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commentsmeta2"/>
  <Override ContentType="application/binary" PartName="/xl/metadata"/>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lanejamento" sheetId="1" r:id="rId4"/>
    <sheet state="visible" name="Projeção" sheetId="2" r:id="rId5"/>
    <sheet state="visible" name="Geral" sheetId="3" r:id="rId6"/>
    <sheet state="hidden" name="planej.OPS-OTIMISTA_26" sheetId="4" r:id="rId7"/>
    <sheet state="hidden" name="planej.OPS_27" sheetId="5" r:id="rId8"/>
    <sheet state="hidden" name="planej.OPS_28" sheetId="6" r:id="rId9"/>
    <sheet state="hidden" name="Overview" sheetId="7" r:id="rId10"/>
    <sheet state="hidden" name="BOLD" sheetId="8" r:id="rId11"/>
  </sheets>
  <definedNames/>
  <calcPr/>
  <extLst>
    <ext uri="GoogleSheetsCustomDataVersion2">
      <go:sheetsCustomData xmlns:go="http://customooxmlschemas.google.com/" r:id="rId12" roundtripDataChecksum="HR8NaDPOfetPD00Q7WTa9f4SN9RPTwFnHe6vPYQFtXo="/>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J73">
      <text>
        <t xml:space="preserve">======
ID#AAAB15wGgBI
DELL    (2026-03-16 11:47:27)
SETUP  R$  -   
PRAZO 24 MESES
INÍCIO A PARTIR DA ENTRADA EM OPERAÇÃO
TÉRMINO 1/1/2027
MENSALIDADE R$ 49,90
TAXA 4%
ATÉ FATURAMENTO DE R$ 1.000.000,00 
FERRAMENTAS VALORES DE INFOBIP</t>
      </text>
    </comment>
    <comment authorId="0" ref="J137">
      <text>
        <t xml:space="preserve">======
ID#AAAB2mO71jg
    (2026-03-27 16:35:15)
PEDIDOS POR MÊS (DE) PEDIDOS POR MÊS (ATÉ) R$ POR PEDIDO R$ HANZO MIN R$ HANZO MAX
ped de     ped ate    R$ ped    hanzo min      hanzo max
1.000        10.000        4,00         4.000                 40.000
10.000      20.000        3,00        40.000               70.000
20.000      40.000        2,00        70.000               110.000
40.000      80.000        1,00        110.000             150.000
80.000     100.000       0,50        150.000             160.000
100.000    OU MAIS   0,25        160.000</t>
      </text>
    </comment>
    <comment authorId="0" ref="J41">
      <text>
        <t xml:space="preserve">======
ID#AAAB15wGgAM
DELL    (2026-03-16 11:47:27)
FATURAMENTO POR MÊS TR HANZO
De Até
R$ - R$ 500.000,00 4.90%
R$ 500.000,01 R$ 1.000.000,00 4.50%
R$ 1.000.000,01 R$ 1.500.000,00 4.25%
R$ 1.500.000,01 R$ 2.000.000,00 4.00%
R$ 2.000.000,01 R$ 2.500.000,00 3.75%
R$ 2.500.000,01 R$ 3.000.000,00 3.50%
R$ 3.000.000,01 R$ 3.500.000,00 3.25%
R$ 3.500.000,01 - 3.00%</t>
      </text>
    </comment>
    <comment authorId="0" ref="BK25">
      <text>
        <t xml:space="preserve">======
ID#AAAB8oq4bw4
DELL    (2026-03-16 11:47:27)
Considerar a estratégia de ativação de lojas, o cliente tem potencial de ativar mais de 1000 lojas, em 2025 com cliente do segmento similar ativamos mais de 500 lojas, este numero ao longo do ano nos traz uma receita de aprox. 100k</t>
      </text>
    </comment>
    <comment authorId="0" ref="J65">
      <text>
        <t xml:space="preserve">======
ID#AAAB15wGgBA
DELL    (2026-03-16 11:47:27)
TOTAL DE PEDIDOS  TAXA HANZO
0 10.000 3,25%
10.000 25.000 3,00%
25.000 50.000 2,75%
ACIMA DE 50.001 2,50%</t>
      </text>
    </comment>
    <comment authorId="0" ref="J129">
      <text>
        <t xml:space="preserve">======
ID#AAAB15wGgBE
DELL    (2026-03-16 11:47:27)
SETUP  R$  -   
PRAZO 36 MESES
INÍCIO A PARTIR DA ENTRADA EM OPERAÇÃO
TÉRMINO mai.-28
MENSALIDADE  R$  299,00 
TAXA 4,0%
FERRAMENTAS VALORES DE INFOBIP</t>
      </text>
    </comment>
    <comment authorId="0" ref="J33">
      <text>
        <t xml:space="preserve">======
ID#AAAB15wGgAQ
DELL    (2026-03-16 11:47:27)
SETUP ISENTO 
PRAZO 36 MESES 
INÍCIO 10/30/2023 
TÉRMINO 10/30/2026 
MENSALIDADE  R$  399,00  
TAXA ESCALONADA 
TOTAL DE PEDIDOS  TAXA HANZO
0 1.000 4,9%
1.001 2.500 3,9%
2.501 5.000 3,2%
ACIMA DE 5.001 2,9%
FERRAMENTAS VALORES DE INFOBIP</t>
      </text>
    </comment>
    <comment authorId="0" ref="J97">
      <text>
        <t xml:space="preserve">======
ID#AAAB15wGgAI
DELL    (2026-03-16 11:47:27)
SETUP  R$  255.000,00   
PRAZO 36 MESES  
INÍCIO 7/1/2025  
TÉRMINO 7/1/2028  
MENSALIDADE  R$  -     
TAXA 6%  
FERRAMENTAS GOOGLE CLOUD CERCA DE   R$  8.000,00</t>
      </text>
    </comment>
    <comment authorId="0" ref="BK17">
      <text>
        <t xml:space="preserve">======
ID#AAAB15wGgAw
DELL    (2026-03-16 11:47:27)
Considerar a estratégia de ativação de lojas, o cliente tem potencial de ativar mais de 1000 lojas, em 2025 com cliente do segmento similar ativamos mais de 500 lojas, este numero ao longo do ano nos traz uma receita de aprox. 100k</t>
      </text>
    </comment>
    <comment authorId="0" ref="J121">
      <text>
        <t xml:space="preserve">======
ID#AAAB15wGgBM
DELL    (2026-03-16 11:47:27)
R$ 399 por loja por mês a partir da entrada em operação da Plataforma Hanzo Customizada 
e 4,9% sobre o faturamento bruto das vendas
realizadas por meio da Plataforma Hanzo Customizada (“Valor Licenciamento”), sendo
que este valor prevê um mínimo garantido de R$ 499.</t>
      </text>
    </comment>
    <comment authorId="0" ref="J89">
      <text>
        <t xml:space="preserve">======
ID#AAAB15wGgAg
DELL    (2026-03-16 11:47:27)
TOTAL DE PEDIDOS  TAXA HANZO
 R$  -     R$  650.000,00  3,00%
 R$  750.001,00   R$  2.500.000,00  2,50%
 R$  2.500.001,00   R$  4.500.000,00  2,25%
 R$  4.500.001,00   R$  7.500.000,00  2,00%
 R$  7.500.001,00   R$  11.500.000,00  1,50%
 ACIMA DE  R$  11.500.000,00  1,00%
MENSALIDADE  R$  299,00 P/ LOJA</t>
      </text>
    </comment>
    <comment authorId="0" ref="J57">
      <text>
        <t xml:space="preserve">======
ID#AAAB15wGgAc
DELL    (2026-03-16 11:47:27)
SETUP  R$  75.000,00   / PRAZO 36 MESES  / INÍCIO 2/1/2025 
TÉRMINO 2/1/2028 / MENSALIDADE  R$  -   TAXA ESCALONADA 
 TOTAL DE PEDIDOS  TAXA HANZO
 R$  -     R$  500.000,00  3,00%
 R$  500.001,00   R$  1.000.000,00  2,50%
 R$  1.000.001,00   R$  2.000.000,00  2,25%
 R$  2.000.001,00   R$  3.000.000,00  2,00%
 R$  3.000.001,00   R$  5.000.000,00  1,75%
 ACIMA DE  R$  5.000.000,00  1,50%
FERRAMENTAS VALORES DE INFOBIP</t>
      </text>
    </comment>
    <comment authorId="0" ref="K25">
      <text>
        <t xml:space="preserve">======
ID#AAAB2mO71jY
DELL    (2026-03-27 16:35:15)
Não temos ainda a remuneração deste contrato (18/03/26)</t>
      </text>
    </comment>
    <comment authorId="0" ref="BK41">
      <text>
        <t xml:space="preserve">======
ID#AAAB8oq4bw0
DELL    (2026-03-16 11:47:27)
Considerar a estratégia de ativação de lojas, o cliente tem potencial de ativar mais de 1000 lojas, em 2025 com cliente do segmento similar ativamos mais de 500 lojas, este numero ao longo do ano nos traz uma receita de aprox. 100k</t>
      </text>
    </comment>
    <comment authorId="0" ref="BK102">
      <text>
        <t xml:space="preserve">======
ID#AAAB2nF_yQg
DELL    (2026-03-27 16:35:15)
Premissa: app próprio captura 10% do GMV total
GMV app: R$ 321.936 × 10% = R$ 32.194 / ano</t>
      </text>
    </comment>
    <comment authorId="0" ref="J49">
      <text>
        <t xml:space="preserve">======
ID#AAAB15wGgA4
DELL    (2026-03-16 11:47:27)
TOTAL DE PEDIDOS  TAXA HANZO
 R$  -     R$  500.000,00  4,0%
 R$  500.001,00   R$  1.000.000,00  3,5%
 ACIMA DE  R$  1.000.000,00  3,0%
MENSALIDADE  R$  199,00 P/LOJA (10 LJ)</t>
      </text>
    </comment>
    <comment authorId="0" ref="J81">
      <text>
        <t xml:space="preserve">======
ID#AAAB15wGgA0
DELL    (2026-03-16 11:47:27)
SETUP  R$  48.000,00 
PRAZO 36 MESES
INÍCIO 3/1/2024
TÉRMINO 3/1/2027
MENSALIDADE  R$  199,00 
TAXA 3,9%
FERRAMENTAS VALORES DE INFOBIP</t>
      </text>
    </comment>
    <comment authorId="0" ref="J113">
      <text>
        <t xml:space="preserve">======
ID#AAAB15wGgAE
DELL    (2026-03-16 11:47:27)
SETUP ISENTO 
PRAZO 36 MESES 
INÍCIO 5/3/2024 
MENSALIDADE  R$  149,00  
TAXA ESCALONADA 
TOTAL DE PEDIDOS  TAXA HANZO
0 50.000 2,0%
50.001 100.000 1,5%
100.001 EM DIANTE 1,0%</t>
      </text>
    </comment>
    <comment authorId="0" ref="J17">
      <text>
        <t xml:space="preserve">======
ID#AAAB15wGgAA
DELL    (2026-03-16 11:47:27)
SETUP ISENTO 
PRAZO 24 MESES 
INÍCIO A PARTIR DE LANÇAMENTO OU 6o MÊS CASO NÃO TENHA SIDO LANÇADO O APP, 10/10/25 
MENSALIDADE  R$  49,00  
TAXA ESCALONADA 
TOTAL DE PEDIDOS  TAXA HANZO
0 10.000  R$  1,40 
10.000 25.000  R$  1,25 
25.001 50.000  R$  1,15 
50.001 100.000  R$  0,90 
100.001 150.000  R$  0,80 
150.001 200.000  R$  0,70 
FERRAMENTAS VALORES DE INFOBIP</t>
      </text>
    </comment>
    <comment authorId="0" ref="W153">
      <text>
        <t xml:space="preserve">======
ID#AAAB15wGgA8
DELL    (2026-03-16 11:47:27)
SETUP  R$  -   
PRAZO 36 MESES
INÍCIO A PARTIR DA ENTRADA EM OPERAÇÃO
TÉRMINO mai.-28
MENSALIDADE  R$  299,00 
TAXA 4,0%
FERRAMENTAS VALORES DE INFOBIP</t>
      </text>
    </comment>
    <comment authorId="0" ref="J107">
      <text>
        <t xml:space="preserve">======
ID#AAAB15wGgAY
DELL    (2026-03-16 11:47:27)
30 lojas em 2026</t>
      </text>
    </comment>
  </commentList>
  <extLst>
    <ext uri="GoogleSheetsCustomDataVersion2">
      <go:sheetsCustomData xmlns:go="http://customooxmlschemas.google.com/" r:id="rId1" roundtripDataSignature="AMtx7miNR245sx8al6t+TlZRYRd0hXD6uA=="/>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J73">
      <text>
        <t xml:space="preserve">======
ID#AAAB2mO71jk
DELL    (2026-03-16 11:47:27)
SETUP  R$  255.000,00   
PRAZO 36 MESES  
INÍCIO 7/1/2025  
TÉRMINO 7/1/2028  
MENSALIDADE  R$  -     
TAXA 6%  
FERRAMENTAS GOOGLE CLOUD CERCA DE   R$  8.000,00</t>
      </text>
    </comment>
    <comment authorId="0" ref="J7">
      <text>
        <t xml:space="preserve">======
ID#AAAB2mmvuHQ
DELL    (2026-03-16 11:47:27)
SQUAD  R$  72.000,00  
HOSTING  R$  15.000,00  
HORAS EXTRAS  R$  266,00  
PRAZO 12 MESES 
INÍCIO 3/1/2025 
MENSALIDADE  R$  -    
TAXA 4,9% 
FERRAMENTAS HOSTING  R$  15.000,00 
 SQUAD  R$  72.000,00 
 GOOGLE  R$  8.000,00</t>
      </text>
    </comment>
    <comment authorId="0" ref="J67">
      <text>
        <t xml:space="preserve">======
ID#AAAB2mO6ASE
DELL    (2026-03-16 11:47:27)
TOTAL DE PEDIDOS  TAXA HANZO
 R$  -     R$  650.000,00  3,00%
 R$  750.001,00   R$  2.500.000,00  2,50%
 R$  2.500.001,00   R$  4.500.000,00  2,25%
 R$  4.500.001,00   R$  7.500.000,00  2,00%
 R$  7.500.001,00   R$  11.500.000,00  1,50%
 ACIMA DE  R$  11.500.000,00  1,00%
MENSALIDADE  R$  299,00 P/ LOJA</t>
      </text>
    </comment>
    <comment authorId="0" ref="X77">
      <text>
        <t xml:space="preserve">======
ID#AAAB2mmvuHU
DELL    (2026-03-27 16:35:15)
Premissa: app próprio captura 10% do GMV total
GMV app: R$ 321.936 × 10% = R$ 32.194 / ano</t>
      </text>
    </comment>
    <comment authorId="0" ref="X13">
      <text>
        <t xml:space="preserve">======
ID#AAAB2mO71kI
DELL    (2026-03-16 11:47:27)
Considerar a estratégia de ativação de lojas, o cliente tem potencial de ativar mais de 1000 lojas, em 2025 com cliente do segmento similar ativamos mais de 500 lojas, este numero ao longo do ano nos traz uma receita de aprox. 100k</t>
      </text>
    </comment>
    <comment authorId="0" ref="J61">
      <text>
        <t xml:space="preserve">======
ID#AAAB2mO71kQ
DELL    (2026-03-16 11:47:27)
SETUP  R$  48.000,00 
PRAZO 36 MESES
INÍCIO 3/1/2024
TÉRMINO 3/1/2027
MENSALIDADE  R$  199,00 
TAXA 3,9%
FERRAMENTAS VALORES DE INFOBIP</t>
      </text>
    </comment>
    <comment authorId="0" ref="AA77">
      <text>
        <t xml:space="preserve">======
ID#AAAB2NfjkIE
DELL    (2026-03-19 15:23:10)
Premissa: app próprio captura 10% do GMV total
GMV app: R$ 321.936 × 10% = R$ 32.194 / ano</t>
      </text>
    </comment>
    <comment authorId="0" ref="AA13">
      <text>
        <t xml:space="preserve">======
ID#AAAB2mmvuHs
DELL    (2026-03-16 11:47:27)
Considerar a estratégia de ativação de lojas, o cliente tem potencial de ativar mais de 1000 lojas, em 2025 com cliente do segmento similar ativamos mais de 500 lojas, este numero ao longo do ano nos traz uma receita de aprox. 100k</t>
      </text>
    </comment>
    <comment authorId="0" ref="X73">
      <text>
        <t xml:space="preserve">======
ID#AAAB2nF_yQo
DELL    (2026-03-16 11:47:27)
não foi incluido os meses que não chegou no minimo (150k)</t>
      </text>
    </comment>
    <comment authorId="0" ref="AA73">
      <text>
        <t xml:space="preserve">======
ID#AAAB2mmvuHA
DELL    (2026-03-16 11:47:27)
não foi incluido os meses que não chegou no minimo (150k)</t>
      </text>
    </comment>
    <comment authorId="0" ref="J55">
      <text>
        <t xml:space="preserve">======
ID#AAAB2nF_yQs
DELL    (2026-03-16 11:47:27)
SETUP  R$  -   
PRAZO 24 MESES
INÍCIO A PARTIR DA ENTRADA EM OPERAÇÃO
TÉRMINO 1/1/2027
MENSALIDADE R$ 49,90
TAXA 4%
ATÉ FATURAMENTO DE R$ 1.000.000,00 
FERRAMENTAS VALORES DE INFOBIP</t>
      </text>
    </comment>
    <comment authorId="0" ref="J49">
      <text>
        <t xml:space="preserve">======
ID#AAAB2mO71jw
DELL    (2026-03-16 11:47:27)
TOTAL DE PEDIDOS  TAXA HANZO
0 10.000 3,25%
10.000 25.000 3,00%
25.000 50.000 2,75%
ACIMA DE 50.001 2,50%</t>
      </text>
    </comment>
    <comment authorId="0" ref="X61">
      <text>
        <t xml:space="preserve">======
ID#AAAB2mmvuHc
DELL    (2026-03-16 11:47:27)
não foi considerado mensalidade das 8 lojas</t>
      </text>
    </comment>
    <comment authorId="0" ref="AA61">
      <text>
        <t xml:space="preserve">======
ID#AAAB2mmvuIA
DELL    (2026-03-16 11:47:27)
não foi considerado mensalidade das 8 lojas</t>
      </text>
    </comment>
    <comment authorId="0" ref="J43">
      <text>
        <t xml:space="preserve">======
ID#AAAB2mO71kE
DELL    (2026-03-16 11:47:27)
SETUP  R$  75.000,00   / PRAZO 36 MESES  / INÍCIO 2/1/2025 
TÉRMINO 2/1/2028 / MENSALIDADE  R$  -   TAXA ESCALONADA 
 TOTAL DE PEDIDOS  TAXA HANZO
 R$  -     R$  500.000,00  3,00%
 R$  500.001,00   R$  1.000.000,00  2,50%
 R$  1.000.001,00   R$  2.000.000,00  2,25%
 R$  2.000.001,00   R$  3.000.000,00  2,00%
 R$  3.000.001,00   R$  5.000.000,00  1,75%
 ACIMA DE  R$  5.000.000,00  1,50%
FERRAMENTAS VALORES DE INFOBIP</t>
      </text>
    </comment>
    <comment authorId="0" ref="X55">
      <text>
        <t xml:space="preserve">======
ID#AAAB2mmvuHw
DELL    (2026-03-16 11:47:27)
foi considerado apenas receita, não esta previsto mensalidade, aprox. 174k de jan - jul</t>
      </text>
    </comment>
    <comment authorId="0" ref="W117">
      <text>
        <t xml:space="preserve">======
ID#AAAB2mmvuHE
DELL    (2026-03-16 11:47:27)
SETUP  R$  -   
PRAZO 36 MESES
INÍCIO A PARTIR DA ENTRADA EM OPERAÇÃO
TÉRMINO mai.-28
MENSALIDADE  R$  299,00 
TAXA 4,0%
FERRAMENTAS VALORES DE INFOBIP</t>
      </text>
    </comment>
    <comment authorId="0" ref="J103">
      <text>
        <t xml:space="preserve">======
ID#AAAB2mO6AR4
    (2026-03-27 16:32:54)
PEDIDOS POR MÊS (DE) PEDIDOS POR MÊS (ATÉ) R$ POR PEDIDO R$ HANZO MIN R$ HANZO MAX
ped de     ped ate    R$ ped    hanzo min      hanzo max
1.000        10.000        4,00         4.000                 40.000
10.000      20.000        3,00        40.000               70.000
20.000      40.000        2,00        70.000               110.000
40.000      80.000        1,00        110.000             150.000
80.000     100.000       0,50        150.000             160.000
100.000    OU MAIS   0,25        160.000</t>
      </text>
    </comment>
    <comment authorId="0" ref="AA55">
      <text>
        <t xml:space="preserve">======
ID#AAAB2mmvuG0
DELL    (2026-03-16 11:47:27)
foi considerado apenas receita, não esta previsto mensalidade, aprox. 174k de jan - jul</t>
      </text>
    </comment>
    <comment authorId="0" ref="J37">
      <text>
        <t xml:space="preserve">======
ID#AAAB2mO71jU
DELL    (2026-03-16 11:47:27)
TOTAL DE PEDIDOS  TAXA HANZO
 R$  -     R$  500.000,00  4,0%
 R$  500.001,00   R$  1.000.000,00  3,5%
 ACIMA DE  R$  1.000.000,00  3,0%
MENSALIDADE  R$  199,00 P/LOJA (10 LJ)</t>
      </text>
    </comment>
    <comment authorId="0" ref="J97">
      <text>
        <t xml:space="preserve">======
ID#AAAB2mmvuG4
DELL    (2026-03-16 11:47:27)
SETUP  R$  -   
PRAZO 36 MESES
INÍCIO A PARTIR DA ENTRADA EM OPERAÇÃO
TÉRMINO mai.-28
MENSALIDADE  R$  299,00 
TAXA 4,0%
FERRAMENTAS VALORES DE INFOBIP</t>
      </text>
    </comment>
    <comment authorId="0" ref="J31">
      <text>
        <t xml:space="preserve">======
ID#AAAB2mO71j0
DELL    (2026-03-16 11:47:27)
FATURAMENTO POR MÊS TR HANZO
De Até
R$ - R$ 500.000,00 4.90%
R$ 500.000,01 R$ 1.000.000,00 4.50%
R$ 1.000.000,01 R$ 1.500.000,00 4.25%
R$ 1.500.000,01 R$ 2.000.000,00 4.00%
R$ 2.000.000,01 R$ 2.500.000,00 3.75%
R$ 2.500.000,01 R$ 3.000.000,00 3.50%
R$ 3.000.000,01 R$ 3.500.000,00 3.25%
R$ 3.500.000,01 - 3.00%</t>
      </text>
    </comment>
    <comment authorId="0" ref="J91">
      <text>
        <t xml:space="preserve">======
ID#AAAB2mO6ASQ
DELL    (2026-03-16 11:47:27)
R$ 399 por loja por mês a partir da entrada em operação da Plataforma Hanzo Customizada 
e 4,9% sobre o faturamento bruto das vendas
realizadas por meio da Plataforma Hanzo Customizada (“Valor Licenciamento”), sendo
que este valor prevê um mínimo garantido de R$ 499.</t>
      </text>
    </comment>
    <comment authorId="0" ref="J25">
      <text>
        <t xml:space="preserve">======
ID#AAAB2mmvuHk
DELL    (2026-03-16 11:47:27)
SETUP ISENTO 
PRAZO 36 MESES 
INÍCIO 10/30/2023 
TÉRMINO 10/30/2026 
MENSALIDADE  R$  399,00  
TAXA ESCALONADA 
TOTAL DE PEDIDOS  TAXA HANZO
0 1.000 4,9%
1.001 2.500 3,9%
2.501 5.000 3,2%
ACIMA DE 5.001 2,9%
FERRAMENTAS VALORES DE INFOBIP</t>
      </text>
    </comment>
    <comment authorId="0" ref="J85">
      <text>
        <t xml:space="preserve">======
ID#AAAB2mO71j8
DELL    (2026-03-16 11:47:27)
SETUP ISENTO 
PRAZO 36 MESES 
INÍCIO 5/3/2024 
MENSALIDADE  R$  149,00  
TAXA ESCALONADA 
TOTAL DE PEDIDOS  TAXA HANZO
0 50.000 2,0%
50.001 100.000 1,5%
100.001 EM DIANTE 1,0%</t>
      </text>
    </comment>
    <comment authorId="0" ref="K19">
      <text>
        <t xml:space="preserve">======
ID#AAAB2NUl-zA
DELL    (2026-03-19 15:23:10)
Não temos ainda a remuneração deste contrato (18/03/26)</t>
      </text>
    </comment>
    <comment authorId="0" ref="J81">
      <text>
        <t xml:space="preserve">======
ID#AAAB2mmvuHY
DELL    (2026-03-16 11:47:27)
30 lojas em 2026</t>
      </text>
    </comment>
    <comment authorId="0" ref="J13">
      <text>
        <t xml:space="preserve">======
ID#AAAB2mmvuHI
DELL    (2026-03-16 11:47:27)
SETUP ISENTO 
PRAZO 24 MESES 
INÍCIO A PARTIR DE LANÇAMENTO OU 6o MÊS CASO NÃO TENHA SIDO LANÇADO O APP, 10/10/25 
MENSALIDADE  R$  49,00  
TAXA ESCALONADA 
TOTAL DE PEDIDOS  TAXA HANZO
0 10.000  R$  1,40 
10.000 25.000  R$  1,25 
25.001 50.000  R$  1,15 
50.001 100.000  R$  0,90 
100.001 150.000  R$  0,80 
150.001 200.000  R$  0,70 
FERRAMENTAS VALORES DE INFOBIP</t>
      </text>
    </comment>
  </commentList>
  <extLst>
    <ext uri="GoogleSheetsCustomDataVersion2">
      <go:sheetsCustomData xmlns:go="http://customooxmlschemas.google.com/" r:id="rId1" roundtripDataSignature="AMtx7mgrgGVt4N3yXTg35InfiLr5E168fA=="/>
    </ext>
  </extL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J73">
      <text>
        <t xml:space="preserve">======
ID#AAAB2mmvuH4
DELL    (2026-03-16 11:47:27)
SETUP  R$  255.000,00   
PRAZO 36 MESES  
INÍCIO 7/1/2025  
TÉRMINO 7/1/2028  
MENSALIDADE  R$  -     
TAXA 6%  
FERRAMENTAS GOOGLE CLOUD CERCA DE   R$  8.000,00</t>
      </text>
    </comment>
    <comment authorId="0" ref="J103">
      <text>
        <t xml:space="preserve">======
ID#AAAB2mO71jc
    (2026-03-27 16:35:15)
PEDIDOS POR MÊS (DE) PEDIDOS POR MÊS (ATÉ) R$ POR PEDIDO R$ HANZO MIN R$ HANZO MAX
ped de     ped ate    R$ ped    hanzo min      hanzo max
1.000        10.000        4,00         4.000                 40.000
10.000      20.000        3,00        40.000               70.000
20.000      40.000        2,00        70.000               110.000
40.000      80.000        1,00        110.000             150.000
80.000     100.000       0,50        150.000             160.000
100.000    OU MAIS   0,25        160.000</t>
      </text>
    </comment>
    <comment authorId="0" ref="J7">
      <text>
        <t xml:space="preserve">======
ID#AAAB2mO6ASY
DELL    (2026-03-16 11:47:27)
SQUAD  R$  72.000,00  
HOSTING  R$  15.000,00  
HORAS EXTRAS  R$  266,00  
PRAZO 12 MESES 
INÍCIO 3/1/2025 
MENSALIDADE  R$  -    
TAXA 4,9% 
FERRAMENTAS HOSTING  R$  15.000,00 
 SQUAD  R$  72.000,00 
 GOOGLE  R$  8.000,00</t>
      </text>
    </comment>
    <comment authorId="0" ref="J37">
      <text>
        <t xml:space="preserve">======
ID#AAAB2mO6ASM
DELL    (2026-03-16 11:47:27)
TOTAL DE PEDIDOS  TAXA HANZO
 R$  -     R$  500.000,00  4,0%
 R$  500.001,00   R$  1.000.000,00  3,5%
 ACIMA DE  R$  1.000.000,00  3,0%
MENSALIDADE  R$  199,00 P/LOJA (10 LJ)</t>
      </text>
    </comment>
    <comment authorId="0" ref="J67">
      <text>
        <t xml:space="preserve">======
ID#AAAB2mO6ASI
DELL    (2026-03-16 11:47:27)
TOTAL DE PEDIDOS  TAXA HANZO
 R$  -     R$  650.000,00  3,00%
 R$  750.001,00   R$  2.500.000,00  2,50%
 R$  2.500.001,00   R$  4.500.000,00  2,25%
 R$  4.500.001,00   R$  7.500.000,00  2,00%
 R$  7.500.001,00   R$  11.500.000,00  1,50%
 ACIMA DE  R$  11.500.000,00  1,00%
MENSALIDADE  R$  299,00 P/ LOJA</t>
      </text>
    </comment>
    <comment authorId="0" ref="J97">
      <text>
        <t xml:space="preserve">======
ID#AAAB2mmvuH8
DELL    (2026-03-16 11:47:27)
SETUP  R$  -   
PRAZO 36 MESES
INÍCIO A PARTIR DA ENTRADA EM OPERAÇÃO
TÉRMINO mai.-28
MENSALIDADE  R$  299,00 
TAXA 4,0%
FERRAMENTAS VALORES DE INFOBIP</t>
      </text>
    </comment>
    <comment authorId="0" ref="J31">
      <text>
        <t xml:space="preserve">======
ID#AAAB2mmvuHg
DELL    (2026-03-16 11:47:27)
FATURAMENTO POR MÊS TR HANZO
De Até
R$ - R$ 500.000,00 4.90%
R$ 500.000,01 R$ 1.000.000,00 4.50%
R$ 1.000.000,01 R$ 1.500.000,00 4.25%
R$ 1.500.000,01 R$ 2.000.000,00 4.00%
R$ 2.000.000,01 R$ 2.500.000,00 3.75%
R$ 2.500.000,01 R$ 3.000.000,00 3.50%
R$ 3.000.000,01 R$ 3.500.000,00 3.25%
R$ 3.500.000,01 - 3.00%</t>
      </text>
    </comment>
    <comment authorId="0" ref="Y13">
      <text>
        <t xml:space="preserve">======
ID#AAAB2mO6ASA
DELL    (2026-03-16 11:47:27)
Considerar a estratégia de ativação de lojas, o cliente tem potencial de ativar mais de 1000 lojas, em 2025 com cliente do segmento similar ativamos mais de 500 lojas, este numero ao longo do ano nos traz uma receita de aprox. 100k</t>
      </text>
    </comment>
    <comment authorId="0" ref="J61">
      <text>
        <t xml:space="preserve">======
ID#AAAB2mO71jo
DELL    (2026-03-16 11:47:27)
SETUP  R$  48.000,00 
PRAZO 36 MESES
INÍCIO 3/1/2024
TÉRMINO 3/1/2027
MENSALIDADE  R$  199,00 
TAXA 3,9%
FERRAMENTAS VALORES DE INFOBIP</t>
      </text>
    </comment>
    <comment authorId="0" ref="J91">
      <text>
        <t xml:space="preserve">======
ID#AAAB2mmvuGw
DELL    (2026-03-16 11:47:27)
R$ 399 por loja por mês a partir da entrada em operação da Plataforma Hanzo Customizada 
e 4,9% sobre o faturamento bruto das vendas
realizadas por meio da Plataforma Hanzo Customizada (“Valor Licenciamento”), sendo
que este valor prevê um mínimo garantido de R$ 499.</t>
      </text>
    </comment>
    <comment authorId="0" ref="J25">
      <text>
        <t xml:space="preserve">======
ID#AAAB2mmvuH0
DELL    (2026-03-16 11:47:27)
SETUP ISENTO 
PRAZO 36 MESES 
INÍCIO 10/30/2023 
TÉRMINO 10/30/2026 
MENSALIDADE  R$  399,00  
TAXA ESCALONADA 
TOTAL DE PEDIDOS  TAXA HANZO
0 1.000 4,9%
1.001 2.500 3,9%
2.501 5.000 3,2%
ACIMA DE 5.001 2,9%
FERRAMENTAS VALORES DE INFOBIP</t>
      </text>
    </comment>
    <comment authorId="0" ref="J55">
      <text>
        <t xml:space="preserve">======
ID#AAAB2mO6ASc
DELL    (2026-03-16 11:47:27)
SETUP  R$  -   
PRAZO 24 MESES
INÍCIO A PARTIR DA ENTRADA EM OPERAÇÃO
TÉRMINO 1/1/2027
MENSALIDADE R$ 49,90
TAXA 4%
ATÉ FATURAMENTO DE R$ 1.000.000,00 
FERRAMENTAS VALORES DE INFOBIP</t>
      </text>
    </comment>
    <comment authorId="0" ref="J85">
      <text>
        <t xml:space="preserve">======
ID#AAAB2mO6ASg
DELL    (2026-03-16 11:47:27)
SETUP ISENTO 
PRAZO 36 MESES 
INÍCIO 5/3/2024 
MENSALIDADE  R$  149,00  
TAXA ESCALONADA 
TOTAL DE PEDIDOS  TAXA HANZO
0 50.000 2,0%
50.001 100.000 1,5%
100.001 EM DIANTE 1,0%</t>
      </text>
    </comment>
    <comment authorId="0" ref="K19">
      <text>
        <t xml:space="preserve">======
ID#AAAB2mmvuHM
DELL    (2026-03-27 16:35:15)
Não temos ainda a remuneração deste contrato (18/03/26)</t>
      </text>
    </comment>
    <comment authorId="0" ref="J81">
      <text>
        <t xml:space="preserve">======
ID#AAAB2mmvuG8
DELL    (2026-03-16 11:47:27)
30 lojas em 2026</t>
      </text>
    </comment>
    <comment authorId="0" ref="J49">
      <text>
        <t xml:space="preserve">======
ID#AAAB2mmvuHo
DELL    (2026-03-16 11:47:27)
TOTAL DE PEDIDOS  TAXA HANZO
0 10.000 3,25%
10.000 25.000 3,00%
25.000 50.000 2,75%
ACIMA DE 50.001 2,50%</t>
      </text>
    </comment>
    <comment authorId="0" ref="J13">
      <text>
        <t xml:space="preserve">======
ID#AAAB2mO6AR8
DELL    (2026-03-16 11:47:27)
SETUP ISENTO 
PRAZO 24 MESES 
INÍCIO A PARTIR DE LANÇAMENTO OU 6o MÊS CASO NÃO TENHA SIDO LANÇADO O APP, 10/10/25 
MENSALIDADE  R$  49,00  
TAXA ESCALONADA 
TOTAL DE PEDIDOS  TAXA HANZO
0 10.000  R$  1,40 
10.000 25.000  R$  1,25 
25.001 50.000  R$  1,15 
50.001 100.000  R$  0,90 
100.001 150.000  R$  0,80 
150.001 200.000  R$  0,70 
FERRAMENTAS VALORES DE INFOBIP</t>
      </text>
    </comment>
    <comment authorId="0" ref="J43">
      <text>
        <t xml:space="preserve">======
ID#AAAB2mO71j4
DELL    (2026-03-16 11:47:27)
SETUP  R$  75.000,00   / PRAZO 36 MESES  / INÍCIO 2/1/2025 
TÉRMINO 2/1/2028 / MENSALIDADE  R$  -   TAXA ESCALONADA 
 TOTAL DE PEDIDOS  TAXA HANZO
 R$  -     R$  500.000,00  3,00%
 R$  500.001,00   R$  1.000.000,00  2,50%
 R$  1.000.001,00   R$  2.000.000,00  2,25%
 R$  2.000.001,00   R$  3.000.000,00  2,00%
 R$  3.000.001,00   R$  5.000.000,00  1,75%
 ACIMA DE  R$  5.000.000,00  1,50%
FERRAMENTAS VALORES DE INFOBIP</t>
      </text>
    </comment>
  </commentList>
  <extLst>
    <ext uri="GoogleSheetsCustomDataVersion2">
      <go:sheetsCustomData xmlns:go="http://customooxmlschemas.google.com/" r:id="rId1" roundtripDataSignature="AMtx7mhjf16VjvhV7FJXuf/heL10XbDSFA=="/>
    </ext>
  </extLst>
</comments>
</file>

<file path=xl/sharedStrings.xml><?xml version="1.0" encoding="utf-8"?>
<sst xmlns="http://schemas.openxmlformats.org/spreadsheetml/2006/main" count="6878" uniqueCount="170">
  <si>
    <t>CONSOLIDADO</t>
  </si>
  <si>
    <t>CLIENTE</t>
  </si>
  <si>
    <t>PED. PLACES</t>
  </si>
  <si>
    <t>TM PLACES</t>
  </si>
  <si>
    <t>RECEITA PLACES</t>
  </si>
  <si>
    <t>FAT</t>
  </si>
  <si>
    <t>PED</t>
  </si>
  <si>
    <t>TM</t>
  </si>
  <si>
    <t>BACIO DI LATTE</t>
  </si>
  <si>
    <t>BACIO DI LATTE (+200)</t>
  </si>
  <si>
    <t>jan</t>
  </si>
  <si>
    <t>jan (real)</t>
  </si>
  <si>
    <t>Diferença (jan)</t>
  </si>
  <si>
    <t>Comparativo (jan)</t>
  </si>
  <si>
    <t>fev</t>
  </si>
  <si>
    <t>fev (real)</t>
  </si>
  <si>
    <t>Diferença (fev)</t>
  </si>
  <si>
    <t>Comparativo (fev)</t>
  </si>
  <si>
    <t>mar</t>
  </si>
  <si>
    <t>mar (real)</t>
  </si>
  <si>
    <t>Diferença (mar)</t>
  </si>
  <si>
    <t>Comparativo (mar)</t>
  </si>
  <si>
    <t>abr</t>
  </si>
  <si>
    <t>abr (real)</t>
  </si>
  <si>
    <t>Diferença (abr)</t>
  </si>
  <si>
    <t>Comparativo (abr)</t>
  </si>
  <si>
    <t>mai</t>
  </si>
  <si>
    <t>mai (real)</t>
  </si>
  <si>
    <t>Diferença (mai)</t>
  </si>
  <si>
    <t>Comparativo (mai)</t>
  </si>
  <si>
    <t>jun</t>
  </si>
  <si>
    <t>jun (real)</t>
  </si>
  <si>
    <t>Diferença (jun)</t>
  </si>
  <si>
    <t>Comparativo (jun)</t>
  </si>
  <si>
    <t>jul</t>
  </si>
  <si>
    <t>jul (real)</t>
  </si>
  <si>
    <t>Diferença (jul)</t>
  </si>
  <si>
    <t>Comparativo (jul)</t>
  </si>
  <si>
    <t>ago</t>
  </si>
  <si>
    <t>ago (real)</t>
  </si>
  <si>
    <t>Diferença (ago)</t>
  </si>
  <si>
    <t>Comparativo (ago)</t>
  </si>
  <si>
    <t>set</t>
  </si>
  <si>
    <t>set (real)</t>
  </si>
  <si>
    <t>Diferença (set)</t>
  </si>
  <si>
    <t>Comparativo (set)</t>
  </si>
  <si>
    <t>out</t>
  </si>
  <si>
    <t>out (real)</t>
  </si>
  <si>
    <t>Diferença (out)</t>
  </si>
  <si>
    <t>Comparativo (out)</t>
  </si>
  <si>
    <t>nov</t>
  </si>
  <si>
    <t>nov (real)</t>
  </si>
  <si>
    <t>Diferença (nov)</t>
  </si>
  <si>
    <t>Comparativo (nov)</t>
  </si>
  <si>
    <t>dez</t>
  </si>
  <si>
    <t>dez (real)</t>
  </si>
  <si>
    <t>Diferença (dez)</t>
  </si>
  <si>
    <t>Comparativo (dez)</t>
  </si>
  <si>
    <t>2026 (Projeção)</t>
  </si>
  <si>
    <t>2026 (Projeção até Jun)</t>
  </si>
  <si>
    <t>2026 (Projeção até Jul)</t>
  </si>
  <si>
    <t>2026 (real)</t>
  </si>
  <si>
    <t>2026 (Projeção x Real)</t>
  </si>
  <si>
    <t>-</t>
  </si>
  <si>
    <t>% do mês no ano</t>
  </si>
  <si>
    <t>Taxa</t>
  </si>
  <si>
    <t>GMV</t>
  </si>
  <si>
    <t>Pedidos</t>
  </si>
  <si>
    <t>Ticket Médio</t>
  </si>
  <si>
    <t>Receita Hanzo</t>
  </si>
  <si>
    <t/>
  </si>
  <si>
    <t>CHIQUINHO (+1000)</t>
  </si>
  <si>
    <t>2026 (Projeção Jun)</t>
  </si>
  <si>
    <t>DRUMATTOS/ALIFE NINO</t>
  </si>
  <si>
    <t>CAMARADA CAMARÃO</t>
  </si>
  <si>
    <t>ESFIHA IMIGRANTES</t>
  </si>
  <si>
    <t>ESFIHA IMIGRANTES (4)</t>
  </si>
  <si>
    <t>FROOTY</t>
  </si>
  <si>
    <t>FROOTY (2)</t>
  </si>
  <si>
    <t>GULA GULA</t>
  </si>
  <si>
    <t>l</t>
  </si>
  <si>
    <t>GULA GULA (10)</t>
  </si>
  <si>
    <t>ITAL'IN HOUSE</t>
  </si>
  <si>
    <t>Repres. do mês no ano</t>
  </si>
  <si>
    <t>ITAL'IN HOUSE (200)</t>
  </si>
  <si>
    <t>MANA POKE</t>
  </si>
  <si>
    <t>MANA POKE (70)</t>
  </si>
  <si>
    <t>MILKY MOO</t>
  </si>
  <si>
    <t>MILK MOO (+780)</t>
  </si>
  <si>
    <t>OLIVERS</t>
  </si>
  <si>
    <t>OLIVERS (8)</t>
  </si>
  <si>
    <t>PAPILA</t>
  </si>
  <si>
    <t>PAPILA (7)</t>
  </si>
  <si>
    <t>PIZZA HUT</t>
  </si>
  <si>
    <t>PIZZA HUT (+250)</t>
  </si>
  <si>
    <t>mar(real)</t>
  </si>
  <si>
    <t>Comparativo(abr)</t>
  </si>
  <si>
    <t>abr(real)</t>
  </si>
  <si>
    <t>QUI O QUA</t>
  </si>
  <si>
    <t>TASTEFY</t>
  </si>
  <si>
    <t>TASTEFY (+180)</t>
  </si>
  <si>
    <t>VINIL BURGER</t>
  </si>
  <si>
    <t>VINIL BURGER (05)</t>
  </si>
  <si>
    <t>WE COFFEE</t>
  </si>
  <si>
    <t>WE COFFEE (15)</t>
  </si>
  <si>
    <t>OUTBACK (180)</t>
  </si>
  <si>
    <t>NINETTO</t>
  </si>
  <si>
    <t>TT</t>
  </si>
  <si>
    <t>2026 (Projeção jun)</t>
  </si>
  <si>
    <t>2026 (Projeção jul)</t>
  </si>
  <si>
    <t>2026 (Real)</t>
  </si>
  <si>
    <t>Diferença (2026 Proj jun)</t>
  </si>
  <si>
    <t>Diferença (2026 Proj jul)</t>
  </si>
  <si>
    <t>Diferença (2026 Proj)</t>
  </si>
  <si>
    <t>2026 vs 2025</t>
  </si>
  <si>
    <t>2026 (Real) vs 2026 (Proj jun)</t>
  </si>
  <si>
    <t>2026 (Real) vs 2026 (Proj jul)</t>
  </si>
  <si>
    <t>2026 (Real) vs 2026 (Proj)</t>
  </si>
  <si>
    <t>Meta %</t>
  </si>
  <si>
    <t>100 %</t>
  </si>
  <si>
    <t>jun (semana1)</t>
  </si>
  <si>
    <t>jun (semana2)</t>
  </si>
  <si>
    <t>jun (semana3)</t>
  </si>
  <si>
    <t>jun (semana4)</t>
  </si>
  <si>
    <t>jun (semana5)</t>
  </si>
  <si>
    <t>jul (semana1)</t>
  </si>
  <si>
    <t>jul (semana2)</t>
  </si>
  <si>
    <t>jul (semana3)</t>
  </si>
  <si>
    <t>jul (semana4)</t>
  </si>
  <si>
    <t>jul (semana5)</t>
  </si>
  <si>
    <t>Projeção semanal</t>
  </si>
  <si>
    <t>-%</t>
  </si>
  <si>
    <t>2026-otim</t>
  </si>
  <si>
    <t>CHIQUINHO SORVETES</t>
  </si>
  <si>
    <t>Otimista</t>
  </si>
  <si>
    <t>Realista</t>
  </si>
  <si>
    <t>2027 vs 2026</t>
  </si>
  <si>
    <t>RECEITA MKTP</t>
  </si>
  <si>
    <t>Cresc vs 2027</t>
  </si>
  <si>
    <t>Part GMV MKTP:</t>
  </si>
  <si>
    <t>NINO CUCINA</t>
  </si>
  <si>
    <t>TATU BOLA</t>
  </si>
  <si>
    <t>BOA PRAÇA</t>
  </si>
  <si>
    <t>RAINHA</t>
  </si>
  <si>
    <t>DEAL WISH LIST</t>
  </si>
  <si>
    <t>Verificar inclusão de outra 
marca grupo Bold</t>
  </si>
  <si>
    <t>2028 vs 2027</t>
  </si>
  <si>
    <t>2028 vs 2025</t>
  </si>
  <si>
    <t>01 DEAL WISH LIST</t>
  </si>
  <si>
    <t>02 DEAL WISH LIST</t>
  </si>
  <si>
    <t>Mês</t>
  </si>
  <si>
    <t>Peso %</t>
  </si>
  <si>
    <t>valor - mi</t>
  </si>
  <si>
    <t>Justificativa Estratégica</t>
  </si>
  <si>
    <t>Junho</t>
  </si>
  <si>
    <t>Go-Live + Copa do Mundo + Dia dos Namorados. O Outback é o local nº 1 para casais e grupos assistindo jogos à tarde/noite.</t>
  </si>
  <si>
    <t>Julho</t>
  </si>
  <si>
    <t>Finais da Copa + Férias Escolares. Fluxo altíssimo de famílias durante o dia e grupos celebrando o encerramento do evento.</t>
  </si>
  <si>
    <t>Agosto</t>
  </si>
  <si>
    <t>Dia dos Pais. Estabilização pós-Copa, mas com um pico forte no segundo domingo.</t>
  </si>
  <si>
    <t>Setembro</t>
  </si>
  <si>
    <t>Mês de rotatividade padrão (sustentação).</t>
  </si>
  <si>
    <t>Outubro</t>
  </si>
  <si>
    <t>Dia das Crianças + Início de Happy Hours. O Outback atrai muitas famílias por causa do menu Kids.</t>
  </si>
  <si>
    <t>Novembro</t>
  </si>
  <si>
    <t>Confraternizações + Black Friday. Início das festas de empresa e grupos de amigos.</t>
  </si>
  <si>
    <t>Dezembro</t>
  </si>
  <si>
    <t>Pico Máximo. Natal, Amigo Secreto e férias. É o mês de maior faturamento histórico do segmento.</t>
  </si>
  <si>
    <t>TOTAL</t>
  </si>
  <si>
    <t>Distribuição dos R$ 24 Milhões e ~171k pedidos.</t>
  </si>
</sst>
</file>

<file path=xl/styles.xml><?xml version="1.0" encoding="utf-8"?>
<styleSheet xmlns="http://schemas.openxmlformats.org/spreadsheetml/2006/main" xmlns:x14ac="http://schemas.microsoft.com/office/spreadsheetml/2009/9/ac" xmlns:mc="http://schemas.openxmlformats.org/markup-compatibility/2006">
  <numFmts count="13">
    <numFmt numFmtId="164" formatCode="00"/>
    <numFmt numFmtId="165" formatCode="&quot;R$&quot;\ #,##0"/>
    <numFmt numFmtId="166" formatCode="[$R$ -416]#,##0.00"/>
    <numFmt numFmtId="167" formatCode="[Color10]&quot;R$ &quot;#,##0;[Red]\-&quot;R$ &quot;#,##0;[Color10]&quot;R$ &quot;0"/>
    <numFmt numFmtId="168" formatCode="[Color10]0.00%;[Red]\-0.00%;[Color10]0.00%"/>
    <numFmt numFmtId="169" formatCode="[Color10]0.0%;[Red]\-0.0%;[Color10]0.0%"/>
    <numFmt numFmtId="170" formatCode="[Color10]0;[Red]\-0;[Color10]0"/>
    <numFmt numFmtId="171" formatCode="&quot;R$&quot;\ #,##0.00"/>
    <numFmt numFmtId="172" formatCode="_-&quot;R$&quot;\ * #,##0.00_-;\-&quot;R$&quot;\ * #,##0.00_-;_-&quot;R$&quot;\ * &quot;-&quot;??_-;_-@"/>
    <numFmt numFmtId="173" formatCode="[$R$ -416]#,##0"/>
    <numFmt numFmtId="174" formatCode="[Color10]0%;[Red]\-0%;[Color10]0%"/>
    <numFmt numFmtId="175" formatCode="0.0%"/>
    <numFmt numFmtId="176" formatCode="_-* #,##0.00_-;\-* #,##0.00_-;_-* &quot;-&quot;??_-;_-@"/>
  </numFmts>
  <fonts count="16">
    <font>
      <sz val="11.0"/>
      <color theme="1"/>
      <name val="Calibri"/>
      <scheme val="minor"/>
    </font>
    <font>
      <sz val="10.0"/>
      <color rgb="FF000000"/>
      <name val="Calibri"/>
    </font>
    <font>
      <sz val="10.0"/>
      <color theme="1"/>
      <name val="Calibri"/>
    </font>
    <font>
      <b/>
      <sz val="10.0"/>
      <color theme="1"/>
      <name val="Calibri"/>
    </font>
    <font/>
    <font>
      <b/>
      <sz val="24.0"/>
      <color rgb="FF000000"/>
      <name val="Calibri"/>
    </font>
    <font>
      <b/>
      <sz val="10.0"/>
      <color rgb="FF000000"/>
      <name val="Calibri"/>
    </font>
    <font>
      <sz val="10.0"/>
      <color theme="0"/>
      <name val="Calibri"/>
    </font>
    <font>
      <b/>
      <sz val="12.0"/>
      <color rgb="FF000000"/>
      <name val="Calibri"/>
    </font>
    <font>
      <sz val="11.0"/>
      <color theme="1"/>
      <name val="Calibri"/>
    </font>
    <font>
      <b/>
      <sz val="10.0"/>
      <color rgb="FF3A7D22"/>
      <name val="Calibri"/>
    </font>
    <font>
      <color theme="1"/>
      <name val="Calibri"/>
      <scheme val="minor"/>
    </font>
    <font>
      <b/>
      <sz val="11.0"/>
      <color theme="1"/>
      <name val="Calibri"/>
    </font>
    <font>
      <color rgb="FF000000"/>
      <name val="Calibri"/>
      <scheme val="minor"/>
    </font>
    <font>
      <sz val="11.0"/>
      <color rgb="FF000000"/>
      <name val="Calibri"/>
    </font>
    <font>
      <sz val="10.0"/>
      <color rgb="FFFFFFFF"/>
      <name val="Calibri"/>
    </font>
  </fonts>
  <fills count="27">
    <fill>
      <patternFill patternType="none"/>
    </fill>
    <fill>
      <patternFill patternType="lightGray"/>
    </fill>
    <fill>
      <patternFill patternType="solid">
        <fgColor rgb="FFD9F1F3"/>
        <bgColor rgb="FFD9F1F3"/>
      </patternFill>
    </fill>
    <fill>
      <patternFill patternType="solid">
        <fgColor rgb="FFF3F3F3"/>
        <bgColor rgb="FFF3F3F3"/>
      </patternFill>
    </fill>
    <fill>
      <patternFill patternType="solid">
        <fgColor rgb="FF277E3E"/>
        <bgColor rgb="FF277E3E"/>
      </patternFill>
    </fill>
    <fill>
      <patternFill patternType="solid">
        <fgColor rgb="FFFAD9D6"/>
        <bgColor rgb="FFFAD9D6"/>
      </patternFill>
    </fill>
    <fill>
      <patternFill patternType="solid">
        <fgColor theme="9"/>
        <bgColor theme="9"/>
      </patternFill>
    </fill>
    <fill>
      <patternFill patternType="solid">
        <fgColor rgb="FFFFFF00"/>
        <bgColor rgb="FFFFFF00"/>
      </patternFill>
    </fill>
    <fill>
      <patternFill patternType="solid">
        <fgColor rgb="FFCAEDFB"/>
        <bgColor rgb="FFCAEDFB"/>
      </patternFill>
    </fill>
    <fill>
      <patternFill patternType="solid">
        <fgColor rgb="FF95DCF7"/>
        <bgColor rgb="FF95DCF7"/>
      </patternFill>
    </fill>
    <fill>
      <patternFill patternType="solid">
        <fgColor rgb="FF60CBF3"/>
        <bgColor rgb="FF60CBF3"/>
      </patternFill>
    </fill>
    <fill>
      <patternFill patternType="solid">
        <fgColor rgb="FFFF99FF"/>
        <bgColor rgb="FFFF99FF"/>
      </patternFill>
    </fill>
    <fill>
      <patternFill patternType="solid">
        <fgColor rgb="FFE8E8E8"/>
        <bgColor rgb="FFE8E8E8"/>
      </patternFill>
    </fill>
    <fill>
      <patternFill patternType="solid">
        <fgColor rgb="FFFEF1CC"/>
        <bgColor rgb="FFFEF1CC"/>
      </patternFill>
    </fill>
    <fill>
      <patternFill patternType="solid">
        <fgColor rgb="FFFFC000"/>
        <bgColor rgb="FFFFC000"/>
      </patternFill>
    </fill>
    <fill>
      <patternFill patternType="solid">
        <fgColor theme="0"/>
        <bgColor theme="0"/>
      </patternFill>
    </fill>
    <fill>
      <patternFill patternType="solid">
        <fgColor rgb="FFF2F2F2"/>
        <bgColor rgb="FFF2F2F2"/>
      </patternFill>
    </fill>
    <fill>
      <patternFill patternType="solid">
        <fgColor rgb="FFC1E4F5"/>
        <bgColor rgb="FFC1E4F5"/>
      </patternFill>
    </fill>
    <fill>
      <patternFill patternType="solid">
        <fgColor rgb="FFE8E9E8"/>
        <bgColor rgb="FFE8E9E8"/>
      </patternFill>
    </fill>
    <fill>
      <patternFill patternType="solid">
        <fgColor rgb="FF4EA72E"/>
        <bgColor rgb="FF4EA72E"/>
      </patternFill>
    </fill>
    <fill>
      <patternFill patternType="solid">
        <fgColor rgb="FFEAD1DC"/>
        <bgColor rgb="FFEAD1DC"/>
      </patternFill>
    </fill>
    <fill>
      <patternFill patternType="solid">
        <fgColor rgb="FFEFEFEF"/>
        <bgColor rgb="FFEFEFEF"/>
      </patternFill>
    </fill>
    <fill>
      <patternFill patternType="solid">
        <fgColor rgb="FFD9EAD3"/>
        <bgColor rgb="FFD9EAD3"/>
      </patternFill>
    </fill>
    <fill>
      <patternFill patternType="solid">
        <fgColor rgb="FFEA9999"/>
        <bgColor rgb="FFEA9999"/>
      </patternFill>
    </fill>
    <fill>
      <patternFill patternType="solid">
        <fgColor rgb="FFD5A6BD"/>
        <bgColor rgb="FFD5A6BD"/>
      </patternFill>
    </fill>
    <fill>
      <patternFill patternType="solid">
        <fgColor rgb="FFB6D7A8"/>
        <bgColor rgb="FFB6D7A8"/>
      </patternFill>
    </fill>
    <fill>
      <patternFill patternType="solid">
        <fgColor rgb="FFFFFFFF"/>
        <bgColor rgb="FFFFFFFF"/>
      </patternFill>
    </fill>
  </fills>
  <borders count="90">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right/>
      <top/>
      <bottom/>
    </border>
    <border>
      <left style="thin">
        <color rgb="FF356854"/>
      </left>
      <right/>
      <top style="thin">
        <color rgb="FF356854"/>
      </top>
      <bottom style="medium">
        <color rgb="FF000000"/>
      </bottom>
    </border>
    <border>
      <left/>
      <right/>
      <top style="thin">
        <color rgb="FF356854"/>
      </top>
      <bottom style="medium">
        <color rgb="FF000000"/>
      </bottom>
    </border>
    <border>
      <left style="thin">
        <color rgb="FF000000"/>
      </left>
      <right style="thin">
        <color rgb="FF000000"/>
      </right>
      <top style="thin">
        <color rgb="FF000000"/>
      </top>
      <bottom style="medium">
        <color rgb="FF000000"/>
      </bottom>
    </border>
    <border>
      <bottom style="thin">
        <color rgb="FF000000"/>
      </bottom>
    </border>
    <border>
      <right style="hair">
        <color rgb="FF000000"/>
      </right>
      <bottom style="hair">
        <color rgb="FF000000"/>
      </bottom>
    </border>
    <border>
      <left style="hair">
        <color rgb="FF000000"/>
      </left>
      <right style="hair">
        <color rgb="FF000000"/>
      </right>
      <bottom style="hair">
        <color rgb="FF000000"/>
      </bottom>
    </border>
    <border>
      <left style="hair">
        <color rgb="FF000000"/>
      </left>
      <right style="hair">
        <color rgb="FF000000"/>
      </right>
      <top/>
      <bottom style="hair">
        <color rgb="FF000000"/>
      </bottom>
    </border>
    <border>
      <left style="hair">
        <color rgb="FF000000"/>
      </left>
      <right style="thin">
        <color rgb="FF000000"/>
      </right>
      <top/>
      <bottom style="hair">
        <color rgb="FF000000"/>
      </bottom>
    </border>
    <border>
      <left style="thin">
        <color rgb="FF000000"/>
      </left>
      <right/>
      <top style="thin">
        <color rgb="FF000000"/>
      </top>
      <bottom/>
    </border>
    <border>
      <left/>
      <right/>
      <top style="thin">
        <color rgb="FF000000"/>
      </top>
      <bottom/>
    </border>
    <border>
      <left/>
      <right style="thin">
        <color rgb="FF000000"/>
      </right>
      <top style="thin">
        <color rgb="FF000000"/>
      </top>
      <bottom/>
    </border>
    <border>
      <right/>
      <top style="thin">
        <color rgb="FF000000"/>
      </top>
      <bottom/>
    </border>
    <border>
      <left/>
      <top style="thin">
        <color rgb="FF000000"/>
      </top>
      <bottom/>
    </border>
    <border>
      <left style="thin">
        <color rgb="FF000000"/>
      </left>
      <right style="thin">
        <color rgb="FF000000"/>
      </right>
      <top style="thin">
        <color rgb="FF000000"/>
      </top>
      <bottom/>
    </border>
    <border>
      <right style="medium">
        <color rgb="FF000000"/>
      </right>
      <top style="thin">
        <color rgb="FF000000"/>
      </top>
      <bottom/>
    </border>
    <border>
      <right style="thin">
        <color rgb="FF000000"/>
      </right>
      <top style="thin">
        <color rgb="FF000000"/>
      </top>
    </border>
    <border>
      <left style="thin">
        <color rgb="FF000000"/>
      </left>
      <right/>
      <bottom/>
    </border>
    <border>
      <left/>
      <right/>
      <bottom/>
    </border>
    <border>
      <left/>
      <right style="thin">
        <color rgb="FF000000"/>
      </right>
      <bottom/>
    </border>
    <border>
      <right/>
      <bottom/>
    </border>
    <border>
      <left/>
      <bottom/>
    </border>
    <border>
      <left style="thin">
        <color rgb="FF000000"/>
      </left>
      <right style="thin">
        <color rgb="FF000000"/>
      </right>
      <bottom/>
    </border>
    <border>
      <right style="medium">
        <color rgb="FF000000"/>
      </right>
      <bottom/>
    </border>
    <border>
      <right style="thin">
        <color rgb="FF000000"/>
      </right>
    </border>
    <border>
      <left style="thin">
        <color rgb="FF000000"/>
      </left>
      <right/>
      <top/>
      <bottom/>
    </border>
    <border>
      <left/>
      <right style="thin">
        <color rgb="FF000000"/>
      </right>
      <top/>
      <bottom/>
    </border>
    <border>
      <right/>
      <top/>
      <bottom/>
    </border>
    <border>
      <left/>
      <top/>
      <bottom/>
    </border>
    <border>
      <left style="thin">
        <color rgb="FF000000"/>
      </left>
      <right style="thin">
        <color rgb="FF000000"/>
      </right>
      <top/>
      <bottom/>
    </border>
    <border>
      <right style="medium">
        <color rgb="FF000000"/>
      </right>
      <top/>
      <bottom/>
    </border>
    <border>
      <right style="medium">
        <color rgb="FF000000"/>
      </right>
      <top/>
    </border>
    <border>
      <left style="thin">
        <color rgb="FF000000"/>
      </left>
      <right style="thin">
        <color rgb="FF000000"/>
      </right>
    </border>
    <border>
      <left style="medium">
        <color rgb="FF000000"/>
      </left>
      <right style="medium">
        <color rgb="FF000000"/>
      </right>
    </border>
    <border>
      <top/>
      <bottom/>
    </border>
    <border>
      <left style="thin">
        <color rgb="FF000000"/>
      </left>
      <right/>
      <top/>
      <bottom style="thin">
        <color rgb="FF000000"/>
      </bottom>
    </border>
    <border>
      <left/>
      <right/>
      <top/>
      <bottom style="thin">
        <color rgb="FF000000"/>
      </bottom>
    </border>
    <border>
      <left/>
      <right style="thin">
        <color rgb="FF000000"/>
      </right>
      <top/>
      <bottom style="thin">
        <color rgb="FF000000"/>
      </bottom>
    </border>
    <border>
      <right/>
      <top/>
      <bottom style="thin">
        <color rgb="FF000000"/>
      </bottom>
    </border>
    <border>
      <left/>
      <top/>
      <bottom style="thin">
        <color rgb="FF000000"/>
      </bottom>
    </border>
    <border>
      <left style="thin">
        <color rgb="FF000000"/>
      </left>
      <right style="thin">
        <color rgb="FF000000"/>
      </right>
      <top/>
      <bottom style="thin">
        <color rgb="FF000000"/>
      </bottom>
    </border>
    <border>
      <top/>
      <bottom style="thin">
        <color rgb="FF000000"/>
      </bottom>
    </border>
    <border>
      <left style="medium">
        <color rgb="FF000000"/>
      </left>
      <right style="medium">
        <color rgb="FF000000"/>
      </right>
      <bottom style="thin">
        <color rgb="FF000000"/>
      </bottom>
    </border>
    <border>
      <right style="hair">
        <color rgb="FF000000"/>
      </right>
      <top style="hair">
        <color rgb="FF000000"/>
      </top>
      <bottom style="hair">
        <color rgb="FF000000"/>
      </bottom>
    </border>
    <border>
      <left style="hair">
        <color rgb="FF000000"/>
      </left>
      <right style="hair">
        <color rgb="FF000000"/>
      </right>
      <top style="hair">
        <color rgb="FF000000"/>
      </top>
      <bottom style="hair">
        <color rgb="FF000000"/>
      </bottom>
    </border>
    <border>
      <left style="hair">
        <color rgb="FF000000"/>
      </left>
      <right style="thin">
        <color rgb="FF000000"/>
      </right>
      <top style="hair">
        <color rgb="FF000000"/>
      </top>
      <bottom style="hair">
        <color rgb="FF000000"/>
      </bottom>
    </border>
    <border>
      <top style="thin">
        <color rgb="FF000000"/>
      </top>
    </border>
    <border>
      <right style="thin">
        <color rgb="FF000000"/>
      </right>
      <bottom/>
    </border>
    <border>
      <left style="thin">
        <color rgb="FF000000"/>
      </left>
    </border>
    <border>
      <right style="medium">
        <color rgb="FF000000"/>
      </right>
    </border>
    <border>
      <right style="medium">
        <color rgb="FF000000"/>
      </right>
      <top/>
      <bottom style="thin">
        <color rgb="FF000000"/>
      </bottom>
    </border>
    <border>
      <left style="hair">
        <color rgb="FF000000"/>
      </left>
      <right/>
      <top style="hair">
        <color rgb="FF000000"/>
      </top>
      <bottom style="hair">
        <color rgb="FF000000"/>
      </bottom>
    </border>
    <border>
      <left style="hair">
        <color rgb="FF000000"/>
      </left>
      <right/>
      <top/>
      <bottom style="hair">
        <color rgb="FF000000"/>
      </bottom>
    </border>
    <border>
      <left style="hair">
        <color rgb="FF000000"/>
      </left>
      <top style="hair">
        <color rgb="FF000000"/>
      </top>
      <bottom style="hair">
        <color rgb="FF000000"/>
      </bottom>
    </border>
    <border>
      <left style="hair">
        <color rgb="FF000000"/>
      </left>
      <right style="hair">
        <color rgb="FF000000"/>
      </right>
      <top style="hair">
        <color rgb="FF000000"/>
      </top>
    </border>
    <border>
      <left style="hair">
        <color rgb="FF000000"/>
      </left>
      <right style="thin">
        <color rgb="FF000000"/>
      </right>
      <top style="hair">
        <color rgb="FF000000"/>
      </top>
    </border>
    <border>
      <left style="hair">
        <color rgb="FF000000"/>
      </left>
      <right style="hair">
        <color rgb="FF000000"/>
      </right>
      <top style="hair">
        <color rgb="FF000000"/>
      </top>
      <bottom style="thin">
        <color rgb="FF000000"/>
      </bottom>
    </border>
    <border>
      <left style="hair">
        <color rgb="FF000000"/>
      </left>
      <right style="thin">
        <color rgb="FF000000"/>
      </right>
      <top style="hair">
        <color rgb="FF000000"/>
      </top>
      <bottom style="thin">
        <color rgb="FF000000"/>
      </bottom>
    </border>
    <border>
      <left style="medium">
        <color rgb="FF000000"/>
      </left>
      <right style="medium">
        <color rgb="FF000000"/>
      </right>
      <top style="medium">
        <color rgb="FF000000"/>
      </top>
      <bottom style="medium">
        <color rgb="FF000000"/>
      </bottom>
    </border>
    <border>
      <left/>
      <right style="medium">
        <color rgb="FF000000"/>
      </right>
      <top style="medium">
        <color rgb="FF000000"/>
      </top>
      <bottom/>
    </border>
    <border>
      <left/>
      <right/>
      <top style="medium">
        <color rgb="FF000000"/>
      </top>
      <bottom/>
    </border>
    <border>
      <left/>
      <right style="medium">
        <color rgb="FF000000"/>
      </right>
      <top style="medium">
        <color rgb="FF000000"/>
      </top>
      <bottom style="medium">
        <color rgb="FF000000"/>
      </bottom>
    </border>
    <border>
      <right style="medium">
        <color rgb="FF000000"/>
      </right>
      <top style="medium">
        <color rgb="FF000000"/>
      </top>
    </border>
    <border>
      <top style="medium">
        <color rgb="FF000000"/>
      </top>
    </border>
    <border>
      <right style="medium">
        <color rgb="FF000000"/>
      </right>
      <top style="medium">
        <color rgb="FF000000"/>
      </top>
      <bottom style="medium">
        <color rgb="FF000000"/>
      </bottom>
    </border>
    <border>
      <left style="medium">
        <color rgb="FF000000"/>
      </left>
      <right style="medium">
        <color rgb="FF000000"/>
      </right>
      <top/>
      <bottom/>
    </border>
    <border>
      <left style="medium">
        <color rgb="FF000000"/>
      </left>
      <right style="medium">
        <color rgb="FF000000"/>
      </right>
      <top style="medium">
        <color rgb="FF000000"/>
      </top>
    </border>
    <border>
      <left style="medium">
        <color rgb="FF000000"/>
      </left>
      <top style="medium">
        <color rgb="FF000000"/>
      </top>
    </border>
    <border>
      <left style="medium">
        <color rgb="FF000000"/>
      </left>
      <right/>
      <top/>
      <bottom/>
    </border>
    <border>
      <left style="thin">
        <color rgb="FF000000"/>
      </left>
      <right style="medium">
        <color rgb="FF000000"/>
      </right>
      <top/>
      <bottom/>
    </border>
    <border>
      <left style="medium">
        <color rgb="FF000000"/>
      </left>
      <right/>
      <top/>
      <bottom style="medium">
        <color rgb="FF000000"/>
      </bottom>
    </border>
    <border>
      <left style="medium">
        <color rgb="FF000000"/>
      </left>
      <right style="medium">
        <color rgb="FF000000"/>
      </right>
      <top/>
      <bottom style="medium">
        <color rgb="FF000000"/>
      </bottom>
    </border>
    <border>
      <left style="thin">
        <color rgb="FF000000"/>
      </left>
      <right/>
      <top/>
    </border>
    <border>
      <left/>
      <right/>
      <top/>
    </border>
    <border>
      <left style="thin">
        <color rgb="FF000000"/>
      </left>
      <bottom style="thin">
        <color rgb="FF000000"/>
      </bottom>
    </border>
    <border>
      <left style="thin">
        <color rgb="FF000000"/>
      </left>
      <top/>
      <bottom style="thin">
        <color rgb="FF000000"/>
      </bottom>
    </border>
    <border>
      <left style="medium">
        <color rgb="FF000000"/>
      </left>
      <right/>
      <top style="medium">
        <color rgb="FF000000"/>
      </top>
      <bottom/>
    </border>
    <border>
      <left style="thin">
        <color rgb="FF000000"/>
      </left>
      <top style="thin">
        <color rgb="FF000000"/>
      </top>
    </border>
    <border>
      <left style="thin">
        <color rgb="FF000000"/>
      </left>
      <right/>
      <top style="thin">
        <color rgb="FF000000"/>
      </top>
      <bottom style="thin">
        <color rgb="FF000000"/>
      </bottom>
    </border>
    <border>
      <left/>
      <right/>
      <top style="thin">
        <color rgb="FF000000"/>
      </top>
      <bottom style="thin">
        <color rgb="FF000000"/>
      </bottom>
    </border>
    <border>
      <left/>
      <right style="thin">
        <color rgb="FF000000"/>
      </right>
      <top style="thin">
        <color rgb="FF000000"/>
      </top>
      <bottom style="thin">
        <color rgb="FF000000"/>
      </bottom>
    </border>
    <border>
      <left style="thin">
        <color rgb="FF000000"/>
      </left>
      <right style="hair">
        <color rgb="FF000000"/>
      </right>
      <top style="thin">
        <color rgb="FF000000"/>
      </top>
      <bottom style="hair">
        <color rgb="FF000000"/>
      </bottom>
    </border>
    <border>
      <left style="hair">
        <color rgb="FF000000"/>
      </left>
      <right style="thin">
        <color rgb="FF000000"/>
      </right>
      <top style="thin">
        <color rgb="FF000000"/>
      </top>
      <bottom style="hair">
        <color rgb="FF000000"/>
      </bottom>
    </border>
    <border>
      <left style="thin">
        <color rgb="FF000000"/>
      </left>
      <right style="hair">
        <color rgb="FF000000"/>
      </right>
      <top style="hair">
        <color rgb="FF000000"/>
      </top>
      <bottom style="hair">
        <color rgb="FF000000"/>
      </bottom>
    </border>
    <border>
      <left style="thin">
        <color rgb="FF000000"/>
      </left>
      <right style="hair">
        <color rgb="FF000000"/>
      </right>
      <top style="hair">
        <color rgb="FF000000"/>
      </top>
      <bottom style="thin">
        <color rgb="FF000000"/>
      </bottom>
    </border>
    <border>
      <left style="hair">
        <color rgb="FF000000"/>
      </left>
      <top style="hair">
        <color rgb="FF000000"/>
      </top>
      <bottom style="thin">
        <color rgb="FF000000"/>
      </bottom>
    </border>
  </borders>
  <cellStyleXfs count="1">
    <xf borderId="0" fillId="0" fontId="0" numFmtId="0" applyAlignment="1" applyFont="1"/>
  </cellStyleXfs>
  <cellXfs count="516">
    <xf borderId="0" fillId="0" fontId="0" numFmtId="0" xfId="0" applyAlignment="1" applyFont="1">
      <alignment readingOrder="0" shrinkToFit="0" vertical="bottom" wrapText="0"/>
    </xf>
    <xf borderId="0" fillId="0" fontId="1" numFmtId="0" xfId="0" applyFont="1"/>
    <xf borderId="0" fillId="0" fontId="1" numFmtId="164" xfId="0" applyFont="1" applyNumberFormat="1"/>
    <xf borderId="0" fillId="0" fontId="2" numFmtId="0" xfId="0" applyFont="1"/>
    <xf borderId="0" fillId="0" fontId="2" numFmtId="165" xfId="0" applyFont="1" applyNumberFormat="1"/>
    <xf borderId="1" fillId="2" fontId="3" numFmtId="3" xfId="0" applyAlignment="1" applyBorder="1" applyFill="1" applyFont="1" applyNumberFormat="1">
      <alignment horizontal="center"/>
    </xf>
    <xf borderId="2" fillId="0" fontId="4" numFmtId="0" xfId="0" applyBorder="1" applyFont="1"/>
    <xf borderId="3" fillId="0" fontId="4" numFmtId="0" xfId="0" applyBorder="1" applyFont="1"/>
    <xf borderId="4" fillId="3" fontId="1" numFmtId="0" xfId="0" applyAlignment="1" applyBorder="1" applyFill="1" applyFont="1">
      <alignment horizontal="right"/>
    </xf>
    <xf borderId="4" fillId="3" fontId="1" numFmtId="0" xfId="0" applyAlignment="1" applyBorder="1" applyFont="1">
      <alignment horizontal="center"/>
    </xf>
    <xf borderId="4" fillId="3" fontId="1" numFmtId="3" xfId="0" applyAlignment="1" applyBorder="1" applyFont="1" applyNumberFormat="1">
      <alignment horizontal="right"/>
    </xf>
    <xf borderId="0" fillId="0" fontId="5" numFmtId="3" xfId="0" applyAlignment="1" applyFont="1" applyNumberFormat="1">
      <alignment vertical="center"/>
    </xf>
    <xf borderId="0" fillId="0" fontId="1" numFmtId="0" xfId="0" applyAlignment="1" applyFont="1">
      <alignment horizontal="right"/>
    </xf>
    <xf borderId="0" fillId="0" fontId="6" numFmtId="0" xfId="0" applyAlignment="1" applyFont="1">
      <alignment horizontal="right"/>
    </xf>
    <xf borderId="0" fillId="0" fontId="3" numFmtId="0" xfId="0" applyAlignment="1" applyFont="1">
      <alignment horizontal="right"/>
    </xf>
    <xf borderId="0" fillId="0" fontId="2" numFmtId="0" xfId="0" applyAlignment="1" applyFont="1">
      <alignment horizontal="right"/>
    </xf>
    <xf borderId="5" fillId="4" fontId="7" numFmtId="0" xfId="0" applyAlignment="1" applyBorder="1" applyFill="1" applyFont="1">
      <alignment horizontal="center" vertical="center"/>
    </xf>
    <xf borderId="6" fillId="4" fontId="7" numFmtId="49" xfId="0" applyAlignment="1" applyBorder="1" applyFont="1" applyNumberFormat="1">
      <alignment horizontal="center" shrinkToFit="0" vertical="center" wrapText="1"/>
    </xf>
    <xf borderId="6" fillId="4" fontId="7" numFmtId="166" xfId="0" applyAlignment="1" applyBorder="1" applyFont="1" applyNumberFormat="1">
      <alignment horizontal="center" shrinkToFit="0" vertical="center" wrapText="1"/>
    </xf>
    <xf borderId="6" fillId="4" fontId="7" numFmtId="165" xfId="0" applyAlignment="1" applyBorder="1" applyFont="1" applyNumberFormat="1">
      <alignment horizontal="center" shrinkToFit="0" vertical="center" wrapText="1"/>
    </xf>
    <xf borderId="7" fillId="2" fontId="3" numFmtId="3" xfId="0" applyAlignment="1" applyBorder="1" applyFont="1" applyNumberFormat="1">
      <alignment horizontal="center" vertical="center"/>
    </xf>
    <xf borderId="4" fillId="3" fontId="1" numFmtId="0" xfId="0" applyAlignment="1" applyBorder="1" applyFont="1">
      <alignment horizontal="right" vertical="center"/>
    </xf>
    <xf borderId="4" fillId="3" fontId="1" numFmtId="0" xfId="0" applyAlignment="1" applyBorder="1" applyFont="1">
      <alignment horizontal="center" vertical="center"/>
    </xf>
    <xf borderId="0" fillId="0" fontId="8" numFmtId="3" xfId="0" applyAlignment="1" applyFont="1" applyNumberFormat="1">
      <alignment horizontal="center" vertical="center"/>
    </xf>
    <xf borderId="8" fillId="0" fontId="5" numFmtId="3" xfId="0" applyAlignment="1" applyBorder="1" applyFont="1" applyNumberFormat="1">
      <alignment vertical="center"/>
    </xf>
    <xf borderId="0" fillId="0" fontId="9" numFmtId="0" xfId="0" applyFont="1"/>
    <xf borderId="9" fillId="0" fontId="1" numFmtId="164" xfId="0" applyAlignment="1" applyBorder="1" applyFont="1" applyNumberFormat="1">
      <alignment horizontal="center" vertical="center"/>
    </xf>
    <xf borderId="10" fillId="0" fontId="2" numFmtId="3" xfId="0" applyAlignment="1" applyBorder="1" applyFont="1" applyNumberFormat="1">
      <alignment horizontal="left" vertical="center"/>
    </xf>
    <xf borderId="11" fillId="5" fontId="2" numFmtId="3" xfId="0" applyAlignment="1" applyBorder="1" applyFill="1" applyFont="1" applyNumberFormat="1">
      <alignment horizontal="center" vertical="center"/>
    </xf>
    <xf borderId="11" fillId="5" fontId="2" numFmtId="166" xfId="0" applyAlignment="1" applyBorder="1" applyFont="1" applyNumberFormat="1">
      <alignment horizontal="center" vertical="center"/>
    </xf>
    <xf borderId="11" fillId="5" fontId="1" numFmtId="165" xfId="0" applyAlignment="1" applyBorder="1" applyFont="1" applyNumberFormat="1">
      <alignment horizontal="center" vertical="center"/>
    </xf>
    <xf borderId="11" fillId="2" fontId="1" numFmtId="165" xfId="0" applyAlignment="1" applyBorder="1" applyFont="1" applyNumberFormat="1">
      <alignment horizontal="center"/>
    </xf>
    <xf borderId="11" fillId="2" fontId="1" numFmtId="3" xfId="0" applyAlignment="1" applyBorder="1" applyFont="1" applyNumberFormat="1">
      <alignment horizontal="center"/>
    </xf>
    <xf borderId="12" fillId="2" fontId="1" numFmtId="165" xfId="0" applyAlignment="1" applyBorder="1" applyFont="1" applyNumberFormat="1">
      <alignment horizontal="center"/>
    </xf>
    <xf borderId="13" fillId="6" fontId="6" numFmtId="0" xfId="0" applyAlignment="1" applyBorder="1" applyFill="1" applyFont="1">
      <alignment horizontal="right"/>
    </xf>
    <xf borderId="13" fillId="3" fontId="1" numFmtId="0" xfId="0" applyAlignment="1" applyBorder="1" applyFont="1">
      <alignment horizontal="center"/>
    </xf>
    <xf borderId="13" fillId="7" fontId="6" numFmtId="0" xfId="0" applyAlignment="1" applyBorder="1" applyFill="1" applyFont="1">
      <alignment horizontal="right"/>
    </xf>
    <xf borderId="14" fillId="8" fontId="6" numFmtId="0" xfId="0" applyAlignment="1" applyBorder="1" applyFill="1" applyFont="1">
      <alignment horizontal="right"/>
    </xf>
    <xf borderId="14" fillId="9" fontId="6" numFmtId="0" xfId="0" applyAlignment="1" applyBorder="1" applyFill="1" applyFont="1">
      <alignment horizontal="right"/>
    </xf>
    <xf borderId="15" fillId="10" fontId="6" numFmtId="0" xfId="0" applyAlignment="1" applyBorder="1" applyFill="1" applyFont="1">
      <alignment horizontal="right"/>
    </xf>
    <xf borderId="14" fillId="7" fontId="6" numFmtId="3" xfId="0" applyAlignment="1" applyBorder="1" applyFont="1" applyNumberFormat="1">
      <alignment horizontal="right"/>
    </xf>
    <xf borderId="14" fillId="8" fontId="6" numFmtId="3" xfId="0" applyAlignment="1" applyBorder="1" applyFont="1" applyNumberFormat="1">
      <alignment horizontal="right"/>
    </xf>
    <xf borderId="14" fillId="10" fontId="6" numFmtId="3" xfId="0" applyAlignment="1" applyBorder="1" applyFont="1" applyNumberFormat="1">
      <alignment horizontal="right"/>
    </xf>
    <xf borderId="13" fillId="11" fontId="6" numFmtId="0" xfId="0" applyAlignment="1" applyBorder="1" applyFill="1" applyFont="1">
      <alignment horizontal="right"/>
    </xf>
    <xf borderId="13" fillId="11" fontId="6" numFmtId="3" xfId="0" applyAlignment="1" applyBorder="1" applyFont="1" applyNumberFormat="1">
      <alignment horizontal="right"/>
    </xf>
    <xf borderId="15" fillId="10" fontId="6" numFmtId="3" xfId="0" applyAlignment="1" applyBorder="1" applyFont="1" applyNumberFormat="1">
      <alignment horizontal="right"/>
    </xf>
    <xf borderId="16" fillId="8" fontId="6" numFmtId="3" xfId="0" applyAlignment="1" applyBorder="1" applyFont="1" applyNumberFormat="1">
      <alignment horizontal="right"/>
    </xf>
    <xf borderId="17" fillId="10" fontId="6" numFmtId="3" xfId="0" applyAlignment="1" applyBorder="1" applyFont="1" applyNumberFormat="1">
      <alignment horizontal="right"/>
    </xf>
    <xf borderId="18" fillId="12" fontId="6" numFmtId="0" xfId="0" applyAlignment="1" applyBorder="1" applyFill="1" applyFont="1">
      <alignment horizontal="right" readingOrder="0"/>
    </xf>
    <xf borderId="19" fillId="13" fontId="6" numFmtId="0" xfId="0" applyAlignment="1" applyBorder="1" applyFill="1" applyFont="1">
      <alignment horizontal="right" readingOrder="0"/>
    </xf>
    <xf borderId="16" fillId="8" fontId="6" numFmtId="0" xfId="0" applyAlignment="1" applyBorder="1" applyFont="1">
      <alignment horizontal="right"/>
    </xf>
    <xf borderId="18" fillId="10" fontId="6" numFmtId="0" xfId="0" applyAlignment="1" applyBorder="1" applyFont="1">
      <alignment horizontal="right"/>
    </xf>
    <xf borderId="14" fillId="14" fontId="3" numFmtId="0" xfId="0" applyAlignment="1" applyBorder="1" applyFill="1" applyFont="1">
      <alignment horizontal="right"/>
    </xf>
    <xf borderId="20" fillId="0" fontId="2" numFmtId="0" xfId="0" applyAlignment="1" applyBorder="1" applyFont="1">
      <alignment horizontal="right"/>
    </xf>
    <xf borderId="21" fillId="3" fontId="6" numFmtId="0" xfId="0" applyAlignment="1" applyBorder="1" applyFont="1">
      <alignment horizontal="right"/>
    </xf>
    <xf borderId="21" fillId="3" fontId="6" numFmtId="0" xfId="0" applyAlignment="1" applyBorder="1" applyFont="1">
      <alignment horizontal="center"/>
    </xf>
    <xf borderId="21" fillId="7" fontId="2" numFmtId="10" xfId="0" applyAlignment="1" applyBorder="1" applyFont="1" applyNumberFormat="1">
      <alignment horizontal="right"/>
    </xf>
    <xf borderId="22" fillId="8" fontId="2" numFmtId="10" xfId="0" applyAlignment="1" applyBorder="1" applyFont="1" applyNumberFormat="1">
      <alignment horizontal="right"/>
    </xf>
    <xf borderId="22" fillId="9" fontId="2" numFmtId="10" xfId="0" applyAlignment="1" applyBorder="1" applyFont="1" applyNumberFormat="1">
      <alignment horizontal="right"/>
    </xf>
    <xf borderId="23" fillId="10" fontId="2" numFmtId="10" xfId="0" applyAlignment="1" applyBorder="1" applyFont="1" applyNumberFormat="1">
      <alignment horizontal="right"/>
    </xf>
    <xf borderId="22" fillId="7" fontId="2" numFmtId="10" xfId="0" applyAlignment="1" applyBorder="1" applyFont="1" applyNumberFormat="1">
      <alignment horizontal="right"/>
    </xf>
    <xf borderId="22" fillId="10" fontId="2" numFmtId="10" xfId="0" applyAlignment="1" applyBorder="1" applyFont="1" applyNumberFormat="1">
      <alignment horizontal="right"/>
    </xf>
    <xf borderId="21" fillId="11" fontId="2" numFmtId="10" xfId="0" applyAlignment="1" applyBorder="1" applyFont="1" applyNumberFormat="1">
      <alignment horizontal="right"/>
    </xf>
    <xf borderId="22" fillId="8" fontId="3" numFmtId="10" xfId="0" applyAlignment="1" applyBorder="1" applyFont="1" applyNumberFormat="1">
      <alignment horizontal="right"/>
    </xf>
    <xf borderId="24" fillId="8" fontId="3" numFmtId="10" xfId="0" applyAlignment="1" applyBorder="1" applyFont="1" applyNumberFormat="1">
      <alignment horizontal="right"/>
    </xf>
    <xf borderId="25" fillId="10" fontId="2" numFmtId="10" xfId="0" applyAlignment="1" applyBorder="1" applyFont="1" applyNumberFormat="1">
      <alignment horizontal="right"/>
    </xf>
    <xf borderId="26" fillId="12" fontId="6" numFmtId="10" xfId="0" applyAlignment="1" applyBorder="1" applyFont="1" applyNumberFormat="1">
      <alignment horizontal="right"/>
    </xf>
    <xf borderId="27" fillId="13" fontId="6" numFmtId="10" xfId="0" applyAlignment="1" applyBorder="1" applyFont="1" applyNumberFormat="1">
      <alignment horizontal="right"/>
    </xf>
    <xf borderId="24" fillId="8" fontId="6" numFmtId="10" xfId="0" applyAlignment="1" applyBorder="1" applyFont="1" applyNumberFormat="1">
      <alignment horizontal="right"/>
    </xf>
    <xf borderId="26" fillId="10" fontId="6" numFmtId="10" xfId="0" applyAlignment="1" applyBorder="1" applyFont="1" applyNumberFormat="1">
      <alignment horizontal="right"/>
    </xf>
    <xf borderId="22" fillId="14" fontId="3" numFmtId="0" xfId="0" applyAlignment="1" applyBorder="1" applyFont="1">
      <alignment horizontal="right"/>
    </xf>
    <xf borderId="28" fillId="0" fontId="2" numFmtId="0" xfId="0" applyAlignment="1" applyBorder="1" applyFont="1">
      <alignment horizontal="right"/>
    </xf>
    <xf borderId="29" fillId="3" fontId="6" numFmtId="0" xfId="0" applyAlignment="1" applyBorder="1" applyFont="1">
      <alignment horizontal="right"/>
    </xf>
    <xf borderId="29" fillId="3" fontId="6" numFmtId="0" xfId="0" applyAlignment="1" applyBorder="1" applyFont="1">
      <alignment horizontal="center"/>
    </xf>
    <xf borderId="29" fillId="7" fontId="2" numFmtId="10" xfId="0" applyAlignment="1" applyBorder="1" applyFont="1" applyNumberFormat="1">
      <alignment horizontal="right"/>
    </xf>
    <xf borderId="4" fillId="8" fontId="2" numFmtId="10" xfId="0" applyAlignment="1" applyBorder="1" applyFont="1" applyNumberFormat="1">
      <alignment horizontal="right"/>
    </xf>
    <xf borderId="4" fillId="9" fontId="2" numFmtId="10" xfId="0" applyAlignment="1" applyBorder="1" applyFont="1" applyNumberFormat="1">
      <alignment horizontal="right"/>
    </xf>
    <xf borderId="30" fillId="10" fontId="2" numFmtId="10" xfId="0" applyAlignment="1" applyBorder="1" applyFont="1" applyNumberFormat="1">
      <alignment horizontal="right"/>
    </xf>
    <xf borderId="4" fillId="7" fontId="2" numFmtId="10" xfId="0" applyAlignment="1" applyBorder="1" applyFont="1" applyNumberFormat="1">
      <alignment horizontal="right"/>
    </xf>
    <xf borderId="4" fillId="10" fontId="2" numFmtId="10" xfId="0" applyAlignment="1" applyBorder="1" applyFont="1" applyNumberFormat="1">
      <alignment horizontal="right"/>
    </xf>
    <xf borderId="29" fillId="11" fontId="2" numFmtId="10" xfId="0" applyAlignment="1" applyBorder="1" applyFont="1" applyNumberFormat="1">
      <alignment horizontal="right"/>
    </xf>
    <xf borderId="4" fillId="8" fontId="3" numFmtId="10" xfId="0" applyAlignment="1" applyBorder="1" applyFont="1" applyNumberFormat="1">
      <alignment horizontal="right"/>
    </xf>
    <xf borderId="31" fillId="8" fontId="3" numFmtId="10" xfId="0" applyAlignment="1" applyBorder="1" applyFont="1" applyNumberFormat="1">
      <alignment horizontal="right"/>
    </xf>
    <xf borderId="32" fillId="10" fontId="2" numFmtId="10" xfId="0" applyAlignment="1" applyBorder="1" applyFont="1" applyNumberFormat="1">
      <alignment horizontal="right"/>
    </xf>
    <xf borderId="33" fillId="12" fontId="6" numFmtId="10" xfId="0" applyAlignment="1" applyBorder="1" applyFont="1" applyNumberFormat="1">
      <alignment horizontal="right"/>
    </xf>
    <xf borderId="34" fillId="13" fontId="6" numFmtId="10" xfId="0" applyAlignment="1" applyBorder="1" applyFont="1" applyNumberFormat="1">
      <alignment horizontal="right"/>
    </xf>
    <xf borderId="35" fillId="13" fontId="6" numFmtId="10" xfId="0" applyAlignment="1" applyBorder="1" applyFont="1" applyNumberFormat="1">
      <alignment horizontal="right"/>
    </xf>
    <xf borderId="31" fillId="8" fontId="6" numFmtId="10" xfId="0" applyAlignment="1" applyBorder="1" applyFont="1" applyNumberFormat="1">
      <alignment horizontal="right"/>
    </xf>
    <xf borderId="33" fillId="10" fontId="6" numFmtId="10" xfId="0" applyAlignment="1" applyBorder="1" applyFont="1" applyNumberFormat="1">
      <alignment horizontal="right"/>
    </xf>
    <xf borderId="4" fillId="14" fontId="3" numFmtId="0" xfId="0" applyAlignment="1" applyBorder="1" applyFont="1">
      <alignment horizontal="right"/>
    </xf>
    <xf borderId="29" fillId="15" fontId="1" numFmtId="165" xfId="0" applyAlignment="1" applyBorder="1" applyFill="1" applyFont="1" applyNumberFormat="1">
      <alignment horizontal="right"/>
    </xf>
    <xf borderId="4" fillId="16" fontId="1" numFmtId="165" xfId="0" applyAlignment="1" applyBorder="1" applyFill="1" applyFont="1" applyNumberFormat="1">
      <alignment horizontal="right"/>
    </xf>
    <xf borderId="4" fillId="16" fontId="10" numFmtId="167" xfId="0" applyAlignment="1" applyBorder="1" applyFont="1" applyNumberFormat="1">
      <alignment horizontal="right"/>
    </xf>
    <xf borderId="30" fillId="16" fontId="10" numFmtId="168" xfId="0" applyAlignment="1" applyBorder="1" applyFont="1" applyNumberFormat="1">
      <alignment horizontal="right"/>
    </xf>
    <xf borderId="4" fillId="15" fontId="1" numFmtId="165" xfId="0" applyAlignment="1" applyBorder="1" applyFont="1" applyNumberFormat="1">
      <alignment horizontal="right"/>
    </xf>
    <xf borderId="4" fillId="16" fontId="10" numFmtId="168" xfId="0" applyAlignment="1" applyBorder="1" applyFont="1" applyNumberFormat="1">
      <alignment horizontal="right"/>
    </xf>
    <xf borderId="29" fillId="16" fontId="1" numFmtId="165" xfId="0" applyAlignment="1" applyBorder="1" applyFont="1" applyNumberFormat="1">
      <alignment horizontal="right"/>
    </xf>
    <xf borderId="4" fillId="16" fontId="2" numFmtId="165" xfId="0" applyAlignment="1" applyBorder="1" applyFont="1" applyNumberFormat="1">
      <alignment vertical="center"/>
    </xf>
    <xf borderId="31" fillId="16" fontId="1" numFmtId="165" xfId="0" applyAlignment="1" applyBorder="1" applyFont="1" applyNumberFormat="1">
      <alignment horizontal="right"/>
    </xf>
    <xf borderId="32" fillId="16" fontId="10" numFmtId="168" xfId="0" applyAlignment="1" applyBorder="1" applyFont="1" applyNumberFormat="1">
      <alignment horizontal="right"/>
    </xf>
    <xf borderId="4" fillId="16" fontId="1" numFmtId="165" xfId="0" applyAlignment="1" applyBorder="1" applyFont="1" applyNumberFormat="1">
      <alignment horizontal="right" readingOrder="0"/>
    </xf>
    <xf borderId="36" fillId="0" fontId="6" numFmtId="165" xfId="0" applyAlignment="1" applyBorder="1" applyFont="1" applyNumberFormat="1">
      <alignment horizontal="right"/>
    </xf>
    <xf borderId="0" fillId="0" fontId="6" numFmtId="165" xfId="0" applyAlignment="1" applyFont="1" applyNumberFormat="1">
      <alignment horizontal="right"/>
    </xf>
    <xf borderId="37" fillId="0" fontId="6" numFmtId="165" xfId="0" applyAlignment="1" applyBorder="1" applyFont="1" applyNumberFormat="1">
      <alignment horizontal="right"/>
    </xf>
    <xf borderId="33" fillId="16" fontId="10" numFmtId="169" xfId="0" applyAlignment="1" applyBorder="1" applyFont="1" applyNumberFormat="1">
      <alignment horizontal="right"/>
    </xf>
    <xf borderId="4" fillId="14" fontId="3" numFmtId="165" xfId="0" applyAlignment="1" applyBorder="1" applyFont="1" applyNumberFormat="1">
      <alignment horizontal="right"/>
    </xf>
    <xf borderId="30" fillId="12" fontId="2" numFmtId="9" xfId="0" applyAlignment="1" applyBorder="1" applyFont="1" applyNumberFormat="1">
      <alignment horizontal="right"/>
    </xf>
    <xf borderId="29" fillId="3" fontId="6" numFmtId="165" xfId="0" applyAlignment="1" applyBorder="1" applyFont="1" applyNumberFormat="1">
      <alignment horizontal="center"/>
    </xf>
    <xf borderId="29" fillId="15" fontId="1" numFmtId="3" xfId="0" applyAlignment="1" applyBorder="1" applyFont="1" applyNumberFormat="1">
      <alignment horizontal="right"/>
    </xf>
    <xf borderId="4" fillId="16" fontId="1" numFmtId="3" xfId="0" applyAlignment="1" applyBorder="1" applyFont="1" applyNumberFormat="1">
      <alignment horizontal="right"/>
    </xf>
    <xf borderId="4" fillId="16" fontId="10" numFmtId="170" xfId="0" applyAlignment="1" applyBorder="1" applyFont="1" applyNumberFormat="1">
      <alignment horizontal="right"/>
    </xf>
    <xf borderId="4" fillId="15" fontId="1" numFmtId="3" xfId="0" applyAlignment="1" applyBorder="1" applyFont="1" applyNumberFormat="1">
      <alignment horizontal="right"/>
    </xf>
    <xf borderId="29" fillId="16" fontId="1" numFmtId="3" xfId="0" applyAlignment="1" applyBorder="1" applyFont="1" applyNumberFormat="1">
      <alignment horizontal="right"/>
    </xf>
    <xf borderId="31" fillId="16" fontId="1" numFmtId="3" xfId="0" applyAlignment="1" applyBorder="1" applyFont="1" applyNumberFormat="1">
      <alignment horizontal="right"/>
    </xf>
    <xf borderId="4" fillId="16" fontId="1" numFmtId="3" xfId="0" applyAlignment="1" applyBorder="1" applyFont="1" applyNumberFormat="1">
      <alignment horizontal="right" readingOrder="0"/>
    </xf>
    <xf borderId="33" fillId="12" fontId="6" numFmtId="3" xfId="0" applyAlignment="1" applyBorder="1" applyFont="1" applyNumberFormat="1">
      <alignment horizontal="right"/>
    </xf>
    <xf borderId="0" fillId="12" fontId="6" numFmtId="3" xfId="0" applyAlignment="1" applyFont="1" applyNumberFormat="1">
      <alignment horizontal="right"/>
    </xf>
    <xf borderId="37" fillId="12" fontId="6" numFmtId="3" xfId="0" applyAlignment="1" applyBorder="1" applyFont="1" applyNumberFormat="1">
      <alignment horizontal="right"/>
    </xf>
    <xf borderId="31" fillId="12" fontId="6" numFmtId="3" xfId="0" applyAlignment="1" applyBorder="1" applyFont="1" applyNumberFormat="1">
      <alignment horizontal="right"/>
    </xf>
    <xf borderId="4" fillId="14" fontId="3" numFmtId="3" xfId="0" applyAlignment="1" applyBorder="1" applyFont="1" applyNumberFormat="1">
      <alignment horizontal="right"/>
    </xf>
    <xf borderId="33" fillId="12" fontId="6" numFmtId="165" xfId="0" applyAlignment="1" applyBorder="1" applyFont="1" applyNumberFormat="1">
      <alignment horizontal="right"/>
    </xf>
    <xf borderId="38" fillId="12" fontId="6" numFmtId="165" xfId="0" applyAlignment="1" applyBorder="1" applyFont="1" applyNumberFormat="1">
      <alignment horizontal="right"/>
    </xf>
    <xf borderId="37" fillId="12" fontId="6" numFmtId="165" xfId="0" applyAlignment="1" applyBorder="1" applyFont="1" applyNumberFormat="1">
      <alignment horizontal="right"/>
    </xf>
    <xf borderId="31" fillId="12" fontId="6" numFmtId="165" xfId="0" applyAlignment="1" applyBorder="1" applyFont="1" applyNumberFormat="1">
      <alignment horizontal="right"/>
    </xf>
    <xf borderId="39" fillId="3" fontId="6" numFmtId="0" xfId="0" applyAlignment="1" applyBorder="1" applyFont="1">
      <alignment horizontal="right"/>
    </xf>
    <xf borderId="39" fillId="3" fontId="6" numFmtId="10" xfId="0" applyAlignment="1" applyBorder="1" applyFont="1" applyNumberFormat="1">
      <alignment horizontal="center"/>
    </xf>
    <xf borderId="39" fillId="16" fontId="1" numFmtId="165" xfId="0" applyAlignment="1" applyBorder="1" applyFont="1" applyNumberFormat="1">
      <alignment horizontal="right"/>
    </xf>
    <xf borderId="40" fillId="3" fontId="1" numFmtId="165" xfId="0" applyAlignment="1" applyBorder="1" applyFont="1" applyNumberFormat="1">
      <alignment horizontal="right"/>
    </xf>
    <xf borderId="40" fillId="16" fontId="10" numFmtId="167" xfId="0" applyAlignment="1" applyBorder="1" applyFont="1" applyNumberFormat="1">
      <alignment horizontal="right"/>
    </xf>
    <xf borderId="41" fillId="16" fontId="10" numFmtId="168" xfId="0" applyAlignment="1" applyBorder="1" applyFont="1" applyNumberFormat="1">
      <alignment horizontal="right"/>
    </xf>
    <xf borderId="40" fillId="16" fontId="1" numFmtId="165" xfId="0" applyAlignment="1" applyBorder="1" applyFont="1" applyNumberFormat="1">
      <alignment horizontal="right"/>
    </xf>
    <xf borderId="40" fillId="16" fontId="10" numFmtId="168" xfId="0" applyAlignment="1" applyBorder="1" applyFont="1" applyNumberFormat="1">
      <alignment horizontal="right"/>
    </xf>
    <xf borderId="39" fillId="3" fontId="1" numFmtId="165" xfId="0" applyAlignment="1" applyBorder="1" applyFont="1" applyNumberFormat="1">
      <alignment horizontal="right"/>
    </xf>
    <xf borderId="42" fillId="16" fontId="1" numFmtId="165" xfId="0" applyAlignment="1" applyBorder="1" applyFont="1" applyNumberFormat="1">
      <alignment horizontal="right"/>
    </xf>
    <xf borderId="43" fillId="16" fontId="10" numFmtId="168" xfId="0" applyAlignment="1" applyBorder="1" applyFont="1" applyNumberFormat="1">
      <alignment horizontal="right"/>
    </xf>
    <xf borderId="44" fillId="12" fontId="6" numFmtId="165" xfId="0" applyAlignment="1" applyBorder="1" applyFont="1" applyNumberFormat="1">
      <alignment horizontal="right"/>
    </xf>
    <xf borderId="45" fillId="12" fontId="6" numFmtId="165" xfId="0" applyAlignment="1" applyBorder="1" applyFont="1" applyNumberFormat="1">
      <alignment horizontal="right"/>
    </xf>
    <xf borderId="46" fillId="12" fontId="6" numFmtId="165" xfId="0" applyAlignment="1" applyBorder="1" applyFont="1" applyNumberFormat="1">
      <alignment horizontal="right"/>
    </xf>
    <xf borderId="42" fillId="12" fontId="6" numFmtId="165" xfId="0" applyAlignment="1" applyBorder="1" applyFont="1" applyNumberFormat="1">
      <alignment horizontal="right"/>
    </xf>
    <xf borderId="44" fillId="16" fontId="10" numFmtId="169" xfId="0" applyAlignment="1" applyBorder="1" applyFont="1" applyNumberFormat="1">
      <alignment horizontal="right"/>
    </xf>
    <xf borderId="40" fillId="14" fontId="3" numFmtId="165" xfId="0" applyAlignment="1" applyBorder="1" applyFont="1" applyNumberFormat="1">
      <alignment horizontal="right"/>
    </xf>
    <xf borderId="41" fillId="12" fontId="2" numFmtId="9" xfId="0" applyAlignment="1" applyBorder="1" applyFont="1" applyNumberFormat="1">
      <alignment horizontal="right"/>
    </xf>
    <xf borderId="47" fillId="0" fontId="1" numFmtId="164" xfId="0" applyAlignment="1" applyBorder="1" applyFont="1" applyNumberFormat="1">
      <alignment horizontal="center" vertical="center"/>
    </xf>
    <xf borderId="48" fillId="0" fontId="2" numFmtId="3" xfId="0" applyAlignment="1" applyBorder="1" applyFont="1" applyNumberFormat="1">
      <alignment horizontal="left" vertical="center"/>
    </xf>
    <xf borderId="48" fillId="5" fontId="2" numFmtId="3" xfId="0" applyAlignment="1" applyBorder="1" applyFont="1" applyNumberFormat="1">
      <alignment horizontal="center" vertical="center"/>
    </xf>
    <xf borderId="48" fillId="5" fontId="2" numFmtId="1" xfId="0" applyAlignment="1" applyBorder="1" applyFont="1" applyNumberFormat="1">
      <alignment horizontal="center" vertical="center"/>
    </xf>
    <xf borderId="48" fillId="5" fontId="1" numFmtId="165" xfId="0" applyAlignment="1" applyBorder="1" applyFont="1" applyNumberFormat="1">
      <alignment horizontal="center" vertical="center"/>
    </xf>
    <xf borderId="48" fillId="2" fontId="1" numFmtId="165" xfId="0" applyAlignment="1" applyBorder="1" applyFont="1" applyNumberFormat="1">
      <alignment horizontal="center"/>
    </xf>
    <xf borderId="48" fillId="2" fontId="1" numFmtId="3" xfId="0" applyAlignment="1" applyBorder="1" applyFont="1" applyNumberFormat="1">
      <alignment horizontal="center"/>
    </xf>
    <xf borderId="49" fillId="2" fontId="1" numFmtId="165" xfId="0" applyAlignment="1" applyBorder="1" applyFont="1" applyNumberFormat="1">
      <alignment horizontal="center"/>
    </xf>
    <xf borderId="0" fillId="0" fontId="6" numFmtId="10" xfId="0" applyAlignment="1" applyFont="1" applyNumberFormat="1">
      <alignment horizontal="center"/>
    </xf>
    <xf borderId="0" fillId="0" fontId="1" numFmtId="165" xfId="0" applyAlignment="1" applyFont="1" applyNumberFormat="1">
      <alignment horizontal="right"/>
    </xf>
    <xf borderId="0" fillId="0" fontId="2" numFmtId="1" xfId="0" applyAlignment="1" applyFont="1" applyNumberFormat="1">
      <alignment horizontal="right"/>
    </xf>
    <xf borderId="0" fillId="0" fontId="3" numFmtId="165" xfId="0" applyAlignment="1" applyFont="1" applyNumberFormat="1">
      <alignment horizontal="right"/>
    </xf>
    <xf borderId="0" fillId="0" fontId="11" numFmtId="0" xfId="0" applyFont="1"/>
    <xf borderId="2" fillId="0" fontId="9" numFmtId="0" xfId="0" applyBorder="1" applyFont="1"/>
    <xf borderId="50" fillId="0" fontId="9" numFmtId="0" xfId="0" applyBorder="1" applyFont="1"/>
    <xf borderId="13" fillId="7" fontId="6" numFmtId="3" xfId="0" applyAlignment="1" applyBorder="1" applyFont="1" applyNumberFormat="1">
      <alignment horizontal="right"/>
    </xf>
    <xf borderId="14" fillId="8" fontId="3" numFmtId="3" xfId="0" applyAlignment="1" applyBorder="1" applyFont="1" applyNumberFormat="1">
      <alignment horizontal="right"/>
    </xf>
    <xf borderId="15" fillId="10" fontId="3" numFmtId="3" xfId="0" applyAlignment="1" applyBorder="1" applyFont="1" applyNumberFormat="1">
      <alignment horizontal="right"/>
    </xf>
    <xf borderId="16" fillId="8" fontId="3" numFmtId="3" xfId="0" applyAlignment="1" applyBorder="1" applyFont="1" applyNumberFormat="1">
      <alignment horizontal="right"/>
    </xf>
    <xf borderId="17" fillId="10" fontId="3" numFmtId="3" xfId="0" applyAlignment="1" applyBorder="1" applyFont="1" applyNumberFormat="1">
      <alignment horizontal="right"/>
    </xf>
    <xf borderId="13" fillId="8" fontId="6" numFmtId="0" xfId="0" applyAlignment="1" applyBorder="1" applyFont="1">
      <alignment horizontal="right"/>
    </xf>
    <xf borderId="13" fillId="14" fontId="3" numFmtId="0" xfId="0" applyAlignment="1" applyBorder="1" applyFont="1">
      <alignment horizontal="right"/>
    </xf>
    <xf borderId="51" fillId="12" fontId="6" numFmtId="10" xfId="0" applyAlignment="1" applyBorder="1" applyFont="1" applyNumberFormat="1">
      <alignment horizontal="right"/>
    </xf>
    <xf borderId="24" fillId="14" fontId="3" numFmtId="0" xfId="0" applyAlignment="1" applyBorder="1" applyFont="1">
      <alignment horizontal="right"/>
    </xf>
    <xf borderId="30" fillId="12" fontId="6" numFmtId="10" xfId="0" applyAlignment="1" applyBorder="1" applyFont="1" applyNumberFormat="1">
      <alignment horizontal="right"/>
    </xf>
    <xf borderId="52" fillId="0" fontId="1" numFmtId="165" xfId="0" applyAlignment="1" applyBorder="1" applyFont="1" applyNumberFormat="1">
      <alignment horizontal="right"/>
    </xf>
    <xf borderId="28" fillId="0" fontId="6" numFmtId="165" xfId="0" applyAlignment="1" applyBorder="1" applyFont="1" applyNumberFormat="1">
      <alignment horizontal="right"/>
    </xf>
    <xf borderId="53" fillId="0" fontId="6" numFmtId="165" xfId="0" applyAlignment="1" applyBorder="1" applyFont="1" applyNumberFormat="1">
      <alignment horizontal="right"/>
    </xf>
    <xf borderId="52" fillId="0" fontId="6" numFmtId="165" xfId="0" applyAlignment="1" applyBorder="1" applyFont="1" applyNumberFormat="1">
      <alignment horizontal="right"/>
    </xf>
    <xf borderId="52" fillId="0" fontId="1" numFmtId="3" xfId="0" applyAlignment="1" applyBorder="1" applyFont="1" applyNumberFormat="1">
      <alignment horizontal="right"/>
    </xf>
    <xf borderId="30" fillId="12" fontId="6" numFmtId="3" xfId="0" applyAlignment="1" applyBorder="1" applyFont="1" applyNumberFormat="1">
      <alignment horizontal="right"/>
    </xf>
    <xf borderId="53" fillId="12" fontId="6" numFmtId="3" xfId="0" applyAlignment="1" applyBorder="1" applyFont="1" applyNumberFormat="1">
      <alignment horizontal="right"/>
    </xf>
    <xf borderId="29" fillId="12" fontId="6" numFmtId="3" xfId="0" applyAlignment="1" applyBorder="1" applyFont="1" applyNumberFormat="1">
      <alignment horizontal="right"/>
    </xf>
    <xf borderId="30" fillId="12" fontId="6" numFmtId="165" xfId="0" applyAlignment="1" applyBorder="1" applyFont="1" applyNumberFormat="1">
      <alignment horizontal="right"/>
    </xf>
    <xf borderId="34" fillId="12" fontId="6" numFmtId="165" xfId="0" applyAlignment="1" applyBorder="1" applyFont="1" applyNumberFormat="1">
      <alignment horizontal="right"/>
    </xf>
    <xf borderId="29" fillId="12" fontId="6" numFmtId="165" xfId="0" applyAlignment="1" applyBorder="1" applyFont="1" applyNumberFormat="1">
      <alignment horizontal="right"/>
    </xf>
    <xf borderId="30" fillId="12" fontId="2" numFmtId="165" xfId="0" applyAlignment="1" applyBorder="1" applyFont="1" applyNumberFormat="1">
      <alignment horizontal="right"/>
    </xf>
    <xf borderId="39" fillId="3" fontId="6" numFmtId="171" xfId="0" applyAlignment="1" applyBorder="1" applyFont="1" applyNumberFormat="1">
      <alignment horizontal="center"/>
    </xf>
    <xf borderId="42" fillId="3" fontId="1" numFmtId="165" xfId="0" applyAlignment="1" applyBorder="1" applyFont="1" applyNumberFormat="1">
      <alignment horizontal="right"/>
    </xf>
    <xf borderId="41" fillId="12" fontId="6" numFmtId="165" xfId="0" applyAlignment="1" applyBorder="1" applyFont="1" applyNumberFormat="1">
      <alignment horizontal="right"/>
    </xf>
    <xf borderId="54" fillId="12" fontId="6" numFmtId="165" xfId="0" applyAlignment="1" applyBorder="1" applyFont="1" applyNumberFormat="1">
      <alignment horizontal="right"/>
    </xf>
    <xf borderId="39" fillId="12" fontId="6" numFmtId="165" xfId="0" applyAlignment="1" applyBorder="1" applyFont="1" applyNumberFormat="1">
      <alignment horizontal="right"/>
    </xf>
    <xf borderId="0" fillId="0" fontId="6" numFmtId="171" xfId="0" applyAlignment="1" applyFont="1" applyNumberFormat="1">
      <alignment horizontal="center"/>
    </xf>
    <xf borderId="0" fillId="0" fontId="1" numFmtId="172" xfId="0" applyAlignment="1" applyFont="1" applyNumberFormat="1">
      <alignment horizontal="right"/>
    </xf>
    <xf borderId="0" fillId="0" fontId="6" numFmtId="172" xfId="0" applyAlignment="1" applyFont="1" applyNumberFormat="1">
      <alignment horizontal="right"/>
    </xf>
    <xf borderId="52" fillId="0" fontId="9" numFmtId="0" xfId="0" applyBorder="1" applyFont="1"/>
    <xf borderId="28" fillId="0" fontId="9" numFmtId="0" xfId="0" applyBorder="1" applyFont="1"/>
    <xf borderId="55" fillId="2" fontId="1" numFmtId="165" xfId="0" applyAlignment="1" applyBorder="1" applyFont="1" applyNumberFormat="1">
      <alignment horizontal="center"/>
    </xf>
    <xf borderId="13" fillId="7" fontId="3" numFmtId="3" xfId="0" applyAlignment="1" applyBorder="1" applyFont="1" applyNumberFormat="1">
      <alignment horizontal="right"/>
    </xf>
    <xf borderId="13" fillId="7" fontId="3" numFmtId="0" xfId="0" applyAlignment="1" applyBorder="1" applyFont="1">
      <alignment horizontal="right"/>
    </xf>
    <xf borderId="48" fillId="5" fontId="2" numFmtId="166" xfId="0" applyAlignment="1" applyBorder="1" applyFont="1" applyNumberFormat="1">
      <alignment horizontal="center" vertical="center"/>
    </xf>
    <xf borderId="56" fillId="2" fontId="1" numFmtId="165" xfId="0" applyAlignment="1" applyBorder="1" applyFont="1" applyNumberFormat="1">
      <alignment horizontal="center"/>
    </xf>
    <xf borderId="0" fillId="0" fontId="2" numFmtId="9" xfId="0" applyFont="1" applyNumberFormat="1"/>
    <xf borderId="0" fillId="0" fontId="1" numFmtId="0" xfId="0" applyAlignment="1" applyFont="1">
      <alignment horizontal="center"/>
    </xf>
    <xf borderId="0" fillId="0" fontId="1" numFmtId="3" xfId="0" applyAlignment="1" applyFont="1" applyNumberFormat="1">
      <alignment horizontal="right"/>
    </xf>
    <xf borderId="0" fillId="0" fontId="1" numFmtId="9" xfId="0" applyAlignment="1" applyFont="1" applyNumberFormat="1">
      <alignment horizontal="right"/>
    </xf>
    <xf borderId="13" fillId="3" fontId="6" numFmtId="0" xfId="0" applyAlignment="1" applyBorder="1" applyFont="1">
      <alignment horizontal="center"/>
    </xf>
    <xf borderId="14" fillId="17" fontId="6" numFmtId="3" xfId="0" applyAlignment="1" applyBorder="1" applyFill="1" applyFont="1" applyNumberFormat="1">
      <alignment horizontal="right"/>
    </xf>
    <xf borderId="16" fillId="17" fontId="6" numFmtId="3" xfId="0" applyAlignment="1" applyBorder="1" applyFont="1" applyNumberFormat="1">
      <alignment horizontal="right"/>
    </xf>
    <xf borderId="14" fillId="11" fontId="6" numFmtId="3" xfId="0" applyAlignment="1" applyBorder="1" applyFont="1" applyNumberFormat="1">
      <alignment horizontal="right"/>
    </xf>
    <xf borderId="22" fillId="17" fontId="2" numFmtId="10" xfId="0" applyAlignment="1" applyBorder="1" applyFont="1" applyNumberFormat="1">
      <alignment horizontal="right"/>
    </xf>
    <xf borderId="22" fillId="11" fontId="2" numFmtId="10" xfId="0" applyAlignment="1" applyBorder="1" applyFont="1" applyNumberFormat="1">
      <alignment horizontal="right"/>
    </xf>
    <xf borderId="4" fillId="17" fontId="2" numFmtId="10" xfId="0" applyAlignment="1" applyBorder="1" applyFont="1" applyNumberFormat="1">
      <alignment horizontal="right"/>
    </xf>
    <xf borderId="4" fillId="11" fontId="2" numFmtId="10" xfId="0" applyAlignment="1" applyBorder="1" applyFont="1" applyNumberFormat="1">
      <alignment horizontal="right"/>
    </xf>
    <xf borderId="33" fillId="18" fontId="3" numFmtId="3" xfId="0" applyBorder="1" applyFill="1" applyFont="1" applyNumberFormat="1"/>
    <xf borderId="4" fillId="12" fontId="6" numFmtId="3" xfId="0" applyAlignment="1" applyBorder="1" applyFont="1" applyNumberFormat="1">
      <alignment horizontal="right"/>
    </xf>
    <xf borderId="0" fillId="0" fontId="2" numFmtId="3" xfId="0" applyFont="1" applyNumberFormat="1"/>
    <xf borderId="4" fillId="12" fontId="6" numFmtId="165" xfId="0" applyAlignment="1" applyBorder="1" applyFont="1" applyNumberFormat="1">
      <alignment horizontal="right"/>
    </xf>
    <xf borderId="40" fillId="16" fontId="2" numFmtId="165" xfId="0" applyAlignment="1" applyBorder="1" applyFont="1" applyNumberFormat="1">
      <alignment horizontal="right"/>
    </xf>
    <xf borderId="39" fillId="16" fontId="2" numFmtId="165" xfId="0" applyAlignment="1" applyBorder="1" applyFont="1" applyNumberFormat="1">
      <alignment horizontal="right"/>
    </xf>
    <xf borderId="42" fillId="16" fontId="2" numFmtId="165" xfId="0" applyAlignment="1" applyBorder="1" applyFont="1" applyNumberFormat="1">
      <alignment horizontal="right"/>
    </xf>
    <xf borderId="40" fillId="12" fontId="6" numFmtId="165" xfId="0" applyAlignment="1" applyBorder="1" applyFont="1" applyNumberFormat="1">
      <alignment horizontal="right"/>
    </xf>
    <xf borderId="8" fillId="0" fontId="8" numFmtId="3" xfId="0" applyAlignment="1" applyBorder="1" applyFont="1" applyNumberFormat="1">
      <alignment horizontal="center" vertical="center"/>
    </xf>
    <xf borderId="14" fillId="10" fontId="6" numFmtId="0" xfId="0" applyAlignment="1" applyBorder="1" applyFont="1">
      <alignment horizontal="right"/>
    </xf>
    <xf borderId="33" fillId="16" fontId="6" numFmtId="165" xfId="0" applyAlignment="1" applyBorder="1" applyFont="1" applyNumberFormat="1">
      <alignment horizontal="right"/>
    </xf>
    <xf borderId="13" fillId="11" fontId="3" numFmtId="0" xfId="0" applyAlignment="1" applyBorder="1" applyFont="1">
      <alignment horizontal="right"/>
    </xf>
    <xf borderId="30" fillId="18" fontId="3" numFmtId="3" xfId="0" applyBorder="1" applyFont="1" applyNumberFormat="1"/>
    <xf borderId="0" fillId="0" fontId="2" numFmtId="9" xfId="0" applyAlignment="1" applyFont="1" applyNumberFormat="1">
      <alignment horizontal="right"/>
    </xf>
    <xf borderId="57" fillId="2" fontId="1" numFmtId="165" xfId="0" applyAlignment="1" applyBorder="1" applyFont="1" applyNumberFormat="1">
      <alignment horizontal="center"/>
    </xf>
    <xf borderId="55" fillId="2" fontId="1" numFmtId="10" xfId="0" applyAlignment="1" applyBorder="1" applyFont="1" applyNumberFormat="1">
      <alignment horizontal="center"/>
    </xf>
    <xf borderId="0" fillId="0" fontId="1" numFmtId="1" xfId="0" applyAlignment="1" applyFont="1" applyNumberFormat="1">
      <alignment horizontal="right"/>
    </xf>
    <xf borderId="49" fillId="2" fontId="1" numFmtId="10" xfId="0" applyAlignment="1" applyBorder="1" applyFont="1" applyNumberFormat="1">
      <alignment horizontal="center"/>
    </xf>
    <xf borderId="29" fillId="16" fontId="1" numFmtId="171" xfId="0" applyAlignment="1" applyBorder="1" applyFont="1" applyNumberFormat="1">
      <alignment horizontal="right"/>
    </xf>
    <xf borderId="0" fillId="0" fontId="6" numFmtId="0" xfId="0" applyAlignment="1" applyFont="1">
      <alignment horizontal="center"/>
    </xf>
    <xf borderId="28" fillId="0" fontId="6" numFmtId="3" xfId="0" applyAlignment="1" applyBorder="1" applyFont="1" applyNumberFormat="1">
      <alignment horizontal="right"/>
    </xf>
    <xf borderId="4" fillId="10" fontId="1" numFmtId="165" xfId="0" applyAlignment="1" applyBorder="1" applyFont="1" applyNumberFormat="1">
      <alignment horizontal="right"/>
    </xf>
    <xf borderId="48" fillId="2" fontId="1" numFmtId="165" xfId="0" applyAlignment="1" applyBorder="1" applyFont="1" applyNumberFormat="1">
      <alignment horizontal="center" vertical="center"/>
    </xf>
    <xf borderId="48" fillId="2" fontId="1" numFmtId="3" xfId="0" applyAlignment="1" applyBorder="1" applyFont="1" applyNumberFormat="1">
      <alignment horizontal="center" vertical="center"/>
    </xf>
    <xf borderId="49" fillId="2" fontId="1" numFmtId="165" xfId="0" applyAlignment="1" applyBorder="1" applyFont="1" applyNumberFormat="1">
      <alignment horizontal="center" vertical="center"/>
    </xf>
    <xf borderId="48" fillId="13" fontId="2" numFmtId="3" xfId="0" applyAlignment="1" applyBorder="1" applyFont="1" applyNumberFormat="1">
      <alignment horizontal="left" vertical="center"/>
    </xf>
    <xf borderId="48" fillId="13" fontId="2" numFmtId="3" xfId="0" applyAlignment="1" applyBorder="1" applyFont="1" applyNumberFormat="1">
      <alignment horizontal="center" vertical="center"/>
    </xf>
    <xf borderId="48" fillId="13" fontId="2" numFmtId="166" xfId="0" applyAlignment="1" applyBorder="1" applyFont="1" applyNumberFormat="1">
      <alignment horizontal="center" vertical="center"/>
    </xf>
    <xf borderId="48" fillId="13" fontId="1" numFmtId="165" xfId="0" applyAlignment="1" applyBorder="1" applyFont="1" applyNumberFormat="1">
      <alignment horizontal="center" vertical="center"/>
    </xf>
    <xf borderId="48" fillId="13" fontId="1" numFmtId="3" xfId="0" applyAlignment="1" applyBorder="1" applyFont="1" applyNumberFormat="1">
      <alignment horizontal="center"/>
    </xf>
    <xf borderId="49" fillId="13" fontId="1" numFmtId="3" xfId="0" applyAlignment="1" applyBorder="1" applyFont="1" applyNumberFormat="1">
      <alignment horizontal="center"/>
    </xf>
    <xf borderId="4" fillId="14" fontId="3" numFmtId="173" xfId="0" applyAlignment="1" applyBorder="1" applyFont="1" applyNumberFormat="1">
      <alignment horizontal="right"/>
    </xf>
    <xf borderId="0" fillId="0" fontId="2" numFmtId="0" xfId="0" applyAlignment="1" applyFont="1">
      <alignment horizontal="center"/>
    </xf>
    <xf borderId="39" fillId="3" fontId="6" numFmtId="165" xfId="0" applyAlignment="1" applyBorder="1" applyFont="1" applyNumberFormat="1">
      <alignment horizontal="center"/>
    </xf>
    <xf borderId="0" fillId="16" fontId="1" numFmtId="3" xfId="0" applyAlignment="1" applyFont="1" applyNumberFormat="1">
      <alignment horizontal="right"/>
    </xf>
    <xf borderId="58" fillId="2" fontId="1" numFmtId="165" xfId="0" applyAlignment="1" applyBorder="1" applyFont="1" applyNumberFormat="1">
      <alignment horizontal="center"/>
    </xf>
    <xf borderId="58" fillId="2" fontId="1" numFmtId="3" xfId="0" applyAlignment="1" applyBorder="1" applyFont="1" applyNumberFormat="1">
      <alignment horizontal="center"/>
    </xf>
    <xf borderId="59" fillId="2" fontId="1" numFmtId="165" xfId="0" applyAlignment="1" applyBorder="1" applyFont="1" applyNumberFormat="1">
      <alignment horizontal="center"/>
    </xf>
    <xf borderId="60" fillId="2" fontId="1" numFmtId="165" xfId="0" applyAlignment="1" applyBorder="1" applyFont="1" applyNumberFormat="1">
      <alignment horizontal="center"/>
    </xf>
    <xf borderId="60" fillId="2" fontId="1" numFmtId="3" xfId="0" applyAlignment="1" applyBorder="1" applyFont="1" applyNumberFormat="1">
      <alignment horizontal="center"/>
    </xf>
    <xf borderId="61" fillId="2" fontId="1" numFmtId="165" xfId="0" applyAlignment="1" applyBorder="1" applyFont="1" applyNumberFormat="1">
      <alignment horizontal="center"/>
    </xf>
    <xf borderId="0" fillId="0" fontId="1" numFmtId="164" xfId="0" applyAlignment="1" applyFont="1" applyNumberFormat="1">
      <alignment horizontal="center" vertical="center"/>
    </xf>
    <xf borderId="0" fillId="0" fontId="2" numFmtId="3" xfId="0" applyAlignment="1" applyFont="1" applyNumberFormat="1">
      <alignment horizontal="left" vertical="center"/>
    </xf>
    <xf borderId="0" fillId="5" fontId="2" numFmtId="3" xfId="0" applyAlignment="1" applyFont="1" applyNumberFormat="1">
      <alignment horizontal="center" vertical="center"/>
    </xf>
    <xf borderId="0" fillId="5" fontId="2" numFmtId="166" xfId="0" applyAlignment="1" applyFont="1" applyNumberFormat="1">
      <alignment horizontal="center" vertical="center"/>
    </xf>
    <xf borderId="0" fillId="5" fontId="1" numFmtId="165" xfId="0" applyAlignment="1" applyFont="1" applyNumberFormat="1">
      <alignment horizontal="center" vertical="center"/>
    </xf>
    <xf borderId="0" fillId="2" fontId="1" numFmtId="165" xfId="0" applyAlignment="1" applyFont="1" applyNumberFormat="1">
      <alignment horizontal="center"/>
    </xf>
    <xf borderId="0" fillId="2" fontId="1" numFmtId="3" xfId="0" applyAlignment="1" applyFont="1" applyNumberFormat="1">
      <alignment horizontal="center"/>
    </xf>
    <xf borderId="39" fillId="3" fontId="6" numFmtId="9" xfId="0" applyAlignment="1" applyBorder="1" applyFont="1" applyNumberFormat="1">
      <alignment horizontal="center"/>
    </xf>
    <xf borderId="0" fillId="0" fontId="9" numFmtId="164" xfId="0" applyAlignment="1" applyFont="1" applyNumberFormat="1">
      <alignment horizontal="center"/>
    </xf>
    <xf borderId="0" fillId="0" fontId="9" numFmtId="3" xfId="0" applyFont="1" applyNumberFormat="1"/>
    <xf borderId="0" fillId="5" fontId="9" numFmtId="3" xfId="0" applyAlignment="1" applyFont="1" applyNumberFormat="1">
      <alignment horizontal="center"/>
    </xf>
    <xf borderId="0" fillId="5" fontId="9" numFmtId="166" xfId="0" applyAlignment="1" applyFont="1" applyNumberFormat="1">
      <alignment horizontal="center"/>
    </xf>
    <xf borderId="0" fillId="5" fontId="9" numFmtId="165" xfId="0" applyAlignment="1" applyFont="1" applyNumberFormat="1">
      <alignment horizontal="center"/>
    </xf>
    <xf borderId="0" fillId="2" fontId="9" numFmtId="165" xfId="0" applyAlignment="1" applyFont="1" applyNumberFormat="1">
      <alignment horizontal="center"/>
    </xf>
    <xf borderId="0" fillId="2" fontId="9" numFmtId="3" xfId="0" applyAlignment="1" applyFont="1" applyNumberFormat="1">
      <alignment horizontal="center"/>
    </xf>
    <xf borderId="0" fillId="15" fontId="12" numFmtId="0" xfId="0" applyAlignment="1" applyFont="1">
      <alignment horizontal="right"/>
    </xf>
    <xf borderId="47" fillId="0" fontId="9" numFmtId="164" xfId="0" applyAlignment="1" applyBorder="1" applyFont="1" applyNumberFormat="1">
      <alignment horizontal="center"/>
    </xf>
    <xf borderId="48" fillId="0" fontId="9" numFmtId="3" xfId="0" applyBorder="1" applyFont="1" applyNumberFormat="1"/>
    <xf borderId="48" fillId="5" fontId="9" numFmtId="3" xfId="0" applyAlignment="1" applyBorder="1" applyFont="1" applyNumberFormat="1">
      <alignment horizontal="center"/>
    </xf>
    <xf borderId="48" fillId="5" fontId="9" numFmtId="166" xfId="0" applyAlignment="1" applyBorder="1" applyFont="1" applyNumberFormat="1">
      <alignment horizontal="center"/>
    </xf>
    <xf borderId="48" fillId="5" fontId="9" numFmtId="165" xfId="0" applyAlignment="1" applyBorder="1" applyFont="1" applyNumberFormat="1">
      <alignment horizontal="center"/>
    </xf>
    <xf borderId="60" fillId="2" fontId="9" numFmtId="165" xfId="0" applyAlignment="1" applyBorder="1" applyFont="1" applyNumberFormat="1">
      <alignment horizontal="center"/>
    </xf>
    <xf borderId="60" fillId="2" fontId="9" numFmtId="3" xfId="0" applyAlignment="1" applyBorder="1" applyFont="1" applyNumberFormat="1">
      <alignment horizontal="center"/>
    </xf>
    <xf borderId="61" fillId="2" fontId="9" numFmtId="165" xfId="0" applyAlignment="1" applyBorder="1" applyFont="1" applyNumberFormat="1">
      <alignment horizontal="center"/>
    </xf>
    <xf borderId="4" fillId="15" fontId="12" numFmtId="0" xfId="0" applyAlignment="1" applyBorder="1" applyFont="1">
      <alignment horizontal="right"/>
    </xf>
    <xf borderId="47" fillId="0" fontId="9" numFmtId="164" xfId="0" applyBorder="1" applyFont="1" applyNumberFormat="1"/>
    <xf borderId="48" fillId="5" fontId="9" numFmtId="3" xfId="0" applyBorder="1" applyFont="1" applyNumberFormat="1"/>
    <xf borderId="48" fillId="5" fontId="9" numFmtId="166" xfId="0" applyBorder="1" applyFont="1" applyNumberFormat="1"/>
    <xf borderId="48" fillId="5" fontId="9" numFmtId="165" xfId="0" applyBorder="1" applyFont="1" applyNumberFormat="1"/>
    <xf borderId="48" fillId="2" fontId="9" numFmtId="165" xfId="0" applyBorder="1" applyFont="1" applyNumberFormat="1"/>
    <xf borderId="48" fillId="2" fontId="9" numFmtId="3" xfId="0" applyBorder="1" applyFont="1" applyNumberFormat="1"/>
    <xf borderId="49" fillId="2" fontId="9" numFmtId="165" xfId="0" applyBorder="1" applyFont="1" applyNumberFormat="1"/>
    <xf borderId="4" fillId="15" fontId="12" numFmtId="10" xfId="0" applyAlignment="1" applyBorder="1" applyFont="1" applyNumberFormat="1">
      <alignment horizontal="right"/>
    </xf>
    <xf borderId="4" fillId="15" fontId="12" numFmtId="165" xfId="0" applyAlignment="1" applyBorder="1" applyFont="1" applyNumberFormat="1">
      <alignment horizontal="right"/>
    </xf>
    <xf borderId="0" fillId="0" fontId="9" numFmtId="9" xfId="0" applyFont="1" applyNumberFormat="1"/>
    <xf borderId="4" fillId="16" fontId="6" numFmtId="165" xfId="0" applyAlignment="1" applyBorder="1" applyFont="1" applyNumberFormat="1">
      <alignment horizontal="right"/>
    </xf>
    <xf borderId="39" fillId="3" fontId="6" numFmtId="4" xfId="0" applyAlignment="1" applyBorder="1" applyFont="1" applyNumberFormat="1">
      <alignment horizontal="center" readingOrder="0"/>
    </xf>
    <xf borderId="4" fillId="15" fontId="12" numFmtId="3" xfId="0" applyAlignment="1" applyBorder="1" applyFont="1" applyNumberFormat="1">
      <alignment horizontal="right"/>
    </xf>
    <xf borderId="30" fillId="12" fontId="12" numFmtId="165" xfId="0" applyAlignment="1" applyBorder="1" applyFont="1" applyNumberFormat="1">
      <alignment horizontal="right"/>
    </xf>
    <xf borderId="13" fillId="19" fontId="3" numFmtId="0" xfId="0" applyAlignment="1" applyBorder="1" applyFill="1" applyFont="1">
      <alignment horizontal="right"/>
    </xf>
    <xf borderId="13" fillId="3" fontId="2" numFmtId="0" xfId="0" applyBorder="1" applyFont="1"/>
    <xf borderId="13" fillId="11" fontId="3" numFmtId="3" xfId="0" applyAlignment="1" applyBorder="1" applyFont="1" applyNumberFormat="1">
      <alignment horizontal="right"/>
    </xf>
    <xf borderId="14" fillId="11" fontId="3" numFmtId="3" xfId="0" applyAlignment="1" applyBorder="1" applyFont="1" applyNumberFormat="1">
      <alignment horizontal="right"/>
    </xf>
    <xf borderId="20" fillId="0" fontId="2" numFmtId="0" xfId="0" applyBorder="1" applyFont="1"/>
    <xf borderId="21" fillId="3" fontId="3" numFmtId="0" xfId="0" applyAlignment="1" applyBorder="1" applyFont="1">
      <alignment horizontal="right"/>
    </xf>
    <xf borderId="21" fillId="3" fontId="2" numFmtId="0" xfId="0" applyBorder="1" applyFont="1"/>
    <xf borderId="28" fillId="0" fontId="2" numFmtId="0" xfId="0" applyBorder="1" applyFont="1"/>
    <xf borderId="29" fillId="3" fontId="3" numFmtId="0" xfId="0" applyAlignment="1" applyBorder="1" applyFont="1">
      <alignment horizontal="right"/>
    </xf>
    <xf borderId="29" fillId="3" fontId="2" numFmtId="0" xfId="0" applyBorder="1" applyFont="1"/>
    <xf borderId="52" fillId="0" fontId="2" numFmtId="165" xfId="0" applyBorder="1" applyFont="1" applyNumberFormat="1"/>
    <xf borderId="29" fillId="15" fontId="2" numFmtId="165" xfId="0" applyAlignment="1" applyBorder="1" applyFont="1" applyNumberFormat="1">
      <alignment horizontal="right"/>
    </xf>
    <xf borderId="29" fillId="16" fontId="2" numFmtId="165" xfId="0" applyAlignment="1" applyBorder="1" applyFont="1" applyNumberFormat="1">
      <alignment horizontal="right"/>
    </xf>
    <xf borderId="4" fillId="16" fontId="2" numFmtId="165" xfId="0" applyAlignment="1" applyBorder="1" applyFont="1" applyNumberFormat="1">
      <alignment horizontal="right"/>
    </xf>
    <xf borderId="36" fillId="0" fontId="3" numFmtId="165" xfId="0" applyAlignment="1" applyBorder="1" applyFont="1" applyNumberFormat="1">
      <alignment horizontal="right"/>
    </xf>
    <xf borderId="29" fillId="3" fontId="3" numFmtId="165" xfId="0" applyAlignment="1" applyBorder="1" applyFont="1" applyNumberFormat="1">
      <alignment horizontal="center"/>
    </xf>
    <xf borderId="52" fillId="0" fontId="2" numFmtId="3" xfId="0" applyBorder="1" applyFont="1" applyNumberFormat="1"/>
    <xf borderId="29" fillId="16" fontId="2" numFmtId="3" xfId="0" applyAlignment="1" applyBorder="1" applyFont="1" applyNumberFormat="1">
      <alignment horizontal="right"/>
    </xf>
    <xf borderId="4" fillId="16" fontId="2" numFmtId="3" xfId="0" applyAlignment="1" applyBorder="1" applyFont="1" applyNumberFormat="1">
      <alignment horizontal="right"/>
    </xf>
    <xf borderId="39" fillId="3" fontId="3" numFmtId="0" xfId="0" applyAlignment="1" applyBorder="1" applyFont="1">
      <alignment horizontal="right"/>
    </xf>
    <xf borderId="39" fillId="3" fontId="3" numFmtId="9" xfId="0" applyAlignment="1" applyBorder="1" applyFont="1" applyNumberFormat="1">
      <alignment horizontal="center"/>
    </xf>
    <xf borderId="39" fillId="3" fontId="2" numFmtId="165" xfId="0" applyAlignment="1" applyBorder="1" applyFont="1" applyNumberFormat="1">
      <alignment horizontal="right"/>
    </xf>
    <xf borderId="40" fillId="3" fontId="2" numFmtId="165" xfId="0" applyAlignment="1" applyBorder="1" applyFont="1" applyNumberFormat="1">
      <alignment horizontal="right"/>
    </xf>
    <xf borderId="42" fillId="3" fontId="2" numFmtId="165" xfId="0" applyAlignment="1" applyBorder="1" applyFont="1" applyNumberFormat="1">
      <alignment horizontal="right"/>
    </xf>
    <xf borderId="62" fillId="7" fontId="6" numFmtId="0" xfId="0" applyAlignment="1" applyBorder="1" applyFont="1">
      <alignment horizontal="right"/>
    </xf>
    <xf borderId="63" fillId="12" fontId="6" numFmtId="0" xfId="0" applyAlignment="1" applyBorder="1" applyFont="1">
      <alignment horizontal="right" readingOrder="0"/>
    </xf>
    <xf borderId="63" fillId="13" fontId="6" numFmtId="0" xfId="0" applyAlignment="1" applyBorder="1" applyFont="1">
      <alignment horizontal="right" readingOrder="0"/>
    </xf>
    <xf borderId="63" fillId="8" fontId="6" numFmtId="0" xfId="0" applyAlignment="1" applyBorder="1" applyFont="1">
      <alignment horizontal="right"/>
    </xf>
    <xf borderId="64" fillId="12" fontId="6" numFmtId="0" xfId="0" applyAlignment="1" applyBorder="1" applyFont="1">
      <alignment horizontal="right"/>
    </xf>
    <xf borderId="62" fillId="20" fontId="6" numFmtId="0" xfId="0" applyAlignment="1" applyBorder="1" applyFill="1" applyFont="1">
      <alignment horizontal="right" readingOrder="0"/>
    </xf>
    <xf borderId="65" fillId="20" fontId="6" numFmtId="0" xfId="0" applyAlignment="1" applyBorder="1" applyFont="1">
      <alignment horizontal="right"/>
    </xf>
    <xf borderId="0" fillId="0" fontId="2" numFmtId="165" xfId="0" applyAlignment="1" applyFont="1" applyNumberFormat="1">
      <alignment horizontal="right"/>
    </xf>
    <xf borderId="37" fillId="3" fontId="6" numFmtId="0" xfId="0" applyAlignment="1" applyBorder="1" applyFont="1">
      <alignment horizontal="right" readingOrder="0"/>
    </xf>
    <xf borderId="66" fillId="0" fontId="6" numFmtId="9" xfId="0" applyAlignment="1" applyBorder="1" applyFont="1" applyNumberFormat="1">
      <alignment horizontal="right" readingOrder="0"/>
    </xf>
    <xf borderId="66" fillId="0" fontId="6" numFmtId="10" xfId="0" applyAlignment="1" applyBorder="1" applyFont="1" applyNumberFormat="1">
      <alignment horizontal="right" readingOrder="0"/>
    </xf>
    <xf borderId="67" fillId="0" fontId="6" numFmtId="165" xfId="0" applyAlignment="1" applyBorder="1" applyFont="1" applyNumberFormat="1">
      <alignment horizontal="right" readingOrder="0"/>
    </xf>
    <xf borderId="62" fillId="15" fontId="10" numFmtId="168" xfId="0" applyAlignment="1" applyBorder="1" applyFont="1" applyNumberFormat="1">
      <alignment horizontal="right" readingOrder="0"/>
    </xf>
    <xf borderId="65" fillId="15" fontId="10" numFmtId="0" xfId="0" applyAlignment="1" applyBorder="1" applyFont="1">
      <alignment horizontal="right" readingOrder="0"/>
    </xf>
    <xf borderId="68" fillId="15" fontId="10" numFmtId="0" xfId="0" applyAlignment="1" applyBorder="1" applyFont="1">
      <alignment horizontal="right" readingOrder="0"/>
    </xf>
    <xf borderId="62" fillId="15" fontId="10" numFmtId="0" xfId="0" applyAlignment="1" applyBorder="1" applyFont="1">
      <alignment horizontal="right" readingOrder="0"/>
    </xf>
    <xf borderId="69" fillId="3" fontId="6" numFmtId="0" xfId="0" applyAlignment="1" applyBorder="1" applyFont="1">
      <alignment horizontal="right"/>
    </xf>
    <xf borderId="70" fillId="0" fontId="6" numFmtId="165" xfId="0" applyAlignment="1" applyBorder="1" applyFont="1" applyNumberFormat="1">
      <alignment horizontal="right"/>
    </xf>
    <xf borderId="71" fillId="0" fontId="6" numFmtId="165" xfId="0" applyAlignment="1" applyBorder="1" applyFont="1" applyNumberFormat="1">
      <alignment horizontal="right"/>
    </xf>
    <xf borderId="62" fillId="15" fontId="10" numFmtId="167" xfId="0" applyAlignment="1" applyBorder="1" applyFont="1" applyNumberFormat="1">
      <alignment horizontal="right"/>
    </xf>
    <xf borderId="65" fillId="15" fontId="10" numFmtId="174" xfId="0" applyAlignment="1" applyBorder="1" applyFont="1" applyNumberFormat="1">
      <alignment horizontal="right"/>
    </xf>
    <xf borderId="62" fillId="15" fontId="10" numFmtId="174" xfId="0" applyAlignment="1" applyBorder="1" applyFont="1" applyNumberFormat="1">
      <alignment horizontal="right"/>
    </xf>
    <xf borderId="0" fillId="0" fontId="2" numFmtId="171" xfId="0" applyAlignment="1" applyFont="1" applyNumberFormat="1">
      <alignment horizontal="right"/>
    </xf>
    <xf borderId="72" fillId="3" fontId="6" numFmtId="0" xfId="0" applyAlignment="1" applyBorder="1" applyFont="1">
      <alignment horizontal="right"/>
    </xf>
    <xf borderId="69" fillId="15" fontId="6" numFmtId="3" xfId="0" applyAlignment="1" applyBorder="1" applyFont="1" applyNumberFormat="1">
      <alignment horizontal="right"/>
    </xf>
    <xf borderId="72" fillId="15" fontId="6" numFmtId="3" xfId="0" applyAlignment="1" applyBorder="1" applyFont="1" applyNumberFormat="1">
      <alignment horizontal="right"/>
    </xf>
    <xf borderId="62" fillId="15" fontId="10" numFmtId="170" xfId="0" applyAlignment="1" applyBorder="1" applyFont="1" applyNumberFormat="1">
      <alignment horizontal="right"/>
    </xf>
    <xf borderId="69" fillId="15" fontId="6" numFmtId="165" xfId="0" applyAlignment="1" applyBorder="1" applyFont="1" applyNumberFormat="1">
      <alignment horizontal="right"/>
    </xf>
    <xf borderId="73" fillId="15" fontId="6" numFmtId="165" xfId="0" applyAlignment="1" applyBorder="1" applyFont="1" applyNumberFormat="1">
      <alignment horizontal="right"/>
    </xf>
    <xf borderId="29" fillId="15" fontId="6" numFmtId="165" xfId="0" applyAlignment="1" applyBorder="1" applyFont="1" applyNumberFormat="1">
      <alignment horizontal="right"/>
    </xf>
    <xf borderId="74" fillId="3" fontId="6" numFmtId="0" xfId="0" applyAlignment="1" applyBorder="1" applyFont="1">
      <alignment horizontal="right"/>
    </xf>
    <xf borderId="75" fillId="15" fontId="6" numFmtId="165" xfId="0" applyAlignment="1" applyBorder="1" applyFont="1" applyNumberFormat="1">
      <alignment horizontal="right"/>
    </xf>
    <xf borderId="74" fillId="15" fontId="6" numFmtId="165" xfId="0" applyAlignment="1" applyBorder="1" applyFont="1" applyNumberFormat="1">
      <alignment horizontal="right"/>
    </xf>
    <xf borderId="14" fillId="8" fontId="6" numFmtId="3" xfId="0" applyAlignment="1" applyBorder="1" applyFont="1" applyNumberFormat="1">
      <alignment horizontal="right" readingOrder="0"/>
    </xf>
    <xf borderId="14" fillId="8" fontId="6" numFmtId="3" xfId="0" applyAlignment="1" applyBorder="1" applyFont="1" applyNumberFormat="1">
      <alignment horizontal="right" readingOrder="0" vertical="bottom"/>
    </xf>
    <xf borderId="18" fillId="12" fontId="6" numFmtId="0" xfId="0" applyAlignment="1" applyBorder="1" applyFont="1">
      <alignment horizontal="right"/>
    </xf>
    <xf borderId="21" fillId="3" fontId="6" numFmtId="0" xfId="0" applyAlignment="1" applyBorder="1" applyFont="1">
      <alignment horizontal="right" readingOrder="0"/>
    </xf>
    <xf borderId="22" fillId="8" fontId="6" numFmtId="10" xfId="0" applyAlignment="1" applyBorder="1" applyFont="1" applyNumberFormat="1">
      <alignment horizontal="right" readingOrder="0"/>
    </xf>
    <xf borderId="22" fillId="8" fontId="6" numFmtId="10" xfId="0" applyAlignment="1" applyBorder="1" applyFont="1" applyNumberFormat="1">
      <alignment horizontal="right" vertical="bottom"/>
    </xf>
    <xf borderId="22" fillId="8" fontId="6" numFmtId="10" xfId="0" applyAlignment="1" applyBorder="1" applyFont="1" applyNumberFormat="1">
      <alignment horizontal="right"/>
    </xf>
    <xf borderId="4" fillId="8" fontId="6" numFmtId="10" xfId="0" applyAlignment="1" applyBorder="1" applyFont="1" applyNumberFormat="1">
      <alignment horizontal="right"/>
    </xf>
    <xf borderId="4" fillId="8" fontId="6" numFmtId="10" xfId="0" applyAlignment="1" applyBorder="1" applyFont="1" applyNumberFormat="1">
      <alignment horizontal="right" vertical="bottom"/>
    </xf>
    <xf borderId="4" fillId="9" fontId="3" numFmtId="168" xfId="0" applyAlignment="1" applyBorder="1" applyFont="1" applyNumberFormat="1">
      <alignment horizontal="right"/>
    </xf>
    <xf borderId="4" fillId="16" fontId="1" numFmtId="165" xfId="0" applyAlignment="1" applyBorder="1" applyFont="1" applyNumberFormat="1">
      <alignment horizontal="right" readingOrder="0" vertical="bottom"/>
    </xf>
    <xf borderId="4" fillId="16" fontId="1" numFmtId="165" xfId="0" applyAlignment="1" applyBorder="1" applyFont="1" applyNumberFormat="1">
      <alignment readingOrder="0" vertical="bottom"/>
    </xf>
    <xf borderId="4" fillId="3" fontId="6" numFmtId="173" xfId="0" applyAlignment="1" applyBorder="1" applyFont="1" applyNumberFormat="1">
      <alignment horizontal="right" vertical="bottom"/>
    </xf>
    <xf borderId="4" fillId="16" fontId="1" numFmtId="3" xfId="0" applyAlignment="1" applyBorder="1" applyFont="1" applyNumberFormat="1">
      <alignment horizontal="right" readingOrder="0" vertical="bottom"/>
    </xf>
    <xf borderId="4" fillId="16" fontId="1" numFmtId="3" xfId="0" applyAlignment="1" applyBorder="1" applyFont="1" applyNumberFormat="1">
      <alignment readingOrder="0" vertical="bottom"/>
    </xf>
    <xf borderId="4" fillId="3" fontId="6" numFmtId="3" xfId="0" applyAlignment="1" applyBorder="1" applyFont="1" applyNumberFormat="1">
      <alignment horizontal="right" vertical="bottom"/>
    </xf>
    <xf borderId="4" fillId="16" fontId="1" numFmtId="165" xfId="0" applyAlignment="1" applyBorder="1" applyFont="1" applyNumberFormat="1">
      <alignment horizontal="right" vertical="bottom"/>
    </xf>
    <xf borderId="4" fillId="16" fontId="6" numFmtId="165" xfId="0" applyAlignment="1" applyBorder="1" applyFont="1" applyNumberFormat="1">
      <alignment horizontal="right" vertical="bottom"/>
    </xf>
    <xf borderId="40" fillId="16" fontId="1" numFmtId="165" xfId="0" applyAlignment="1" applyBorder="1" applyFont="1" applyNumberFormat="1">
      <alignment horizontal="right" vertical="bottom"/>
    </xf>
    <xf borderId="40" fillId="16" fontId="6" numFmtId="165" xfId="0" applyAlignment="1" applyBorder="1" applyFont="1" applyNumberFormat="1">
      <alignment horizontal="right" vertical="bottom"/>
    </xf>
    <xf borderId="0" fillId="0" fontId="13" numFmtId="0" xfId="0" applyFont="1"/>
    <xf borderId="15" fillId="12" fontId="6" numFmtId="0" xfId="0" applyAlignment="1" applyBorder="1" applyFont="1">
      <alignment horizontal="right"/>
    </xf>
    <xf borderId="25" fillId="12" fontId="6" numFmtId="10" xfId="0" applyAlignment="1" applyBorder="1" applyFont="1" applyNumberFormat="1">
      <alignment horizontal="right"/>
    </xf>
    <xf borderId="21" fillId="8" fontId="6" numFmtId="10" xfId="0" applyAlignment="1" applyBorder="1" applyFont="1" applyNumberFormat="1">
      <alignment horizontal="right"/>
    </xf>
    <xf borderId="4" fillId="12" fontId="6" numFmtId="10" xfId="0" applyAlignment="1" applyBorder="1" applyFont="1" applyNumberFormat="1">
      <alignment horizontal="right"/>
    </xf>
    <xf borderId="29" fillId="8" fontId="6" numFmtId="10" xfId="0" applyAlignment="1" applyBorder="1" applyFont="1" applyNumberFormat="1">
      <alignment horizontal="right"/>
    </xf>
    <xf borderId="76" fillId="16" fontId="1" numFmtId="165" xfId="0" applyAlignment="1" applyBorder="1" applyFont="1" applyNumberFormat="1">
      <alignment horizontal="right"/>
    </xf>
    <xf borderId="77" fillId="16" fontId="1" numFmtId="165" xfId="0" applyAlignment="1" applyBorder="1" applyFont="1" applyNumberFormat="1">
      <alignment horizontal="right"/>
    </xf>
    <xf borderId="77" fillId="16" fontId="1" numFmtId="165" xfId="0" applyAlignment="1" applyBorder="1" applyFont="1" applyNumberFormat="1">
      <alignment horizontal="right" vertical="bottom"/>
    </xf>
    <xf borderId="77" fillId="16" fontId="6" numFmtId="165" xfId="0" applyAlignment="1" applyBorder="1" applyFont="1" applyNumberFormat="1">
      <alignment horizontal="right" vertical="bottom"/>
    </xf>
    <xf borderId="78" fillId="3" fontId="1" numFmtId="165" xfId="0" applyAlignment="1" applyBorder="1" applyFont="1" applyNumberFormat="1">
      <alignment horizontal="right"/>
    </xf>
    <xf borderId="8" fillId="3" fontId="1" numFmtId="165" xfId="0" applyAlignment="1" applyBorder="1" applyFont="1" applyNumberFormat="1">
      <alignment horizontal="right"/>
    </xf>
    <xf borderId="8" fillId="3" fontId="6" numFmtId="165" xfId="0" applyAlignment="1" applyBorder="1" applyFont="1" applyNumberFormat="1">
      <alignment horizontal="right"/>
    </xf>
    <xf borderId="42" fillId="16" fontId="10" numFmtId="167" xfId="0" applyAlignment="1" applyBorder="1" applyFont="1" applyNumberFormat="1">
      <alignment horizontal="right"/>
    </xf>
    <xf borderId="0" fillId="0" fontId="14" numFmtId="0" xfId="0" applyFont="1"/>
    <xf borderId="14" fillId="12" fontId="6" numFmtId="0" xfId="0" applyAlignment="1" applyBorder="1" applyFont="1">
      <alignment horizontal="right"/>
    </xf>
    <xf borderId="22" fillId="12" fontId="6" numFmtId="10" xfId="0" applyAlignment="1" applyBorder="1" applyFont="1" applyNumberFormat="1">
      <alignment horizontal="right"/>
    </xf>
    <xf borderId="29" fillId="12" fontId="1" numFmtId="165" xfId="0" applyAlignment="1" applyBorder="1" applyFont="1" applyNumberFormat="1">
      <alignment horizontal="right"/>
    </xf>
    <xf borderId="78" fillId="16" fontId="1" numFmtId="165" xfId="0" applyAlignment="1" applyBorder="1" applyFont="1" applyNumberFormat="1">
      <alignment horizontal="right"/>
    </xf>
    <xf borderId="8" fillId="16" fontId="1" numFmtId="165" xfId="0" applyAlignment="1" applyBorder="1" applyFont="1" applyNumberFormat="1">
      <alignment horizontal="right"/>
    </xf>
    <xf borderId="29" fillId="16" fontId="1" numFmtId="173" xfId="0" applyAlignment="1" applyBorder="1" applyFont="1" applyNumberFormat="1">
      <alignment horizontal="right"/>
    </xf>
    <xf borderId="79" fillId="3" fontId="1" numFmtId="165" xfId="0" applyAlignment="1" applyBorder="1" applyFont="1" applyNumberFormat="1">
      <alignment horizontal="right"/>
    </xf>
    <xf borderId="76" fillId="16" fontId="1" numFmtId="173" xfId="0" applyAlignment="1" applyBorder="1" applyFont="1" applyNumberFormat="1">
      <alignment horizontal="right"/>
    </xf>
    <xf borderId="8" fillId="16" fontId="6" numFmtId="165" xfId="0" applyAlignment="1" applyBorder="1" applyFont="1" applyNumberFormat="1">
      <alignment horizontal="right"/>
    </xf>
    <xf borderId="23" fillId="12" fontId="6" numFmtId="10" xfId="0" applyAlignment="1" applyBorder="1" applyFont="1" applyNumberFormat="1">
      <alignment horizontal="right"/>
    </xf>
    <xf borderId="29" fillId="3" fontId="6" numFmtId="0" xfId="0" applyAlignment="1" applyBorder="1" applyFont="1">
      <alignment horizontal="right" readingOrder="0"/>
    </xf>
    <xf borderId="77" fillId="16" fontId="2" numFmtId="165" xfId="0" applyAlignment="1" applyBorder="1" applyFont="1" applyNumberFormat="1">
      <alignment horizontal="right"/>
    </xf>
    <xf borderId="8" fillId="3" fontId="2" numFmtId="165" xfId="0" applyAlignment="1" applyBorder="1" applyFont="1" applyNumberFormat="1">
      <alignment horizontal="right"/>
    </xf>
    <xf borderId="18" fillId="12" fontId="3" numFmtId="0" xfId="0" applyAlignment="1" applyBorder="1" applyFont="1">
      <alignment horizontal="right"/>
    </xf>
    <xf borderId="22" fillId="8" fontId="6" numFmtId="0" xfId="0" applyAlignment="1" applyBorder="1" applyFont="1">
      <alignment horizontal="right" readingOrder="0"/>
    </xf>
    <xf borderId="76" fillId="15" fontId="1" numFmtId="166" xfId="0" applyAlignment="1" applyBorder="1" applyFont="1" applyNumberFormat="1">
      <alignment horizontal="right"/>
    </xf>
    <xf borderId="78" fillId="3" fontId="2" numFmtId="165" xfId="0" applyAlignment="1" applyBorder="1" applyFont="1" applyNumberFormat="1">
      <alignment horizontal="right"/>
    </xf>
    <xf borderId="18" fillId="3" fontId="1" numFmtId="0" xfId="0" applyAlignment="1" applyBorder="1" applyFont="1">
      <alignment horizontal="center"/>
    </xf>
    <xf borderId="14" fillId="7" fontId="6" numFmtId="0" xfId="0" applyAlignment="1" applyBorder="1" applyFont="1">
      <alignment horizontal="right"/>
    </xf>
    <xf borderId="50" fillId="0" fontId="6" numFmtId="0" xfId="0" applyAlignment="1" applyBorder="1" applyFont="1">
      <alignment horizontal="right"/>
    </xf>
    <xf borderId="50" fillId="0" fontId="6" numFmtId="3" xfId="0" applyAlignment="1" applyBorder="1" applyFont="1" applyNumberFormat="1">
      <alignment horizontal="right"/>
    </xf>
    <xf borderId="13" fillId="8" fontId="3" numFmtId="0" xfId="0" applyAlignment="1" applyBorder="1" applyFont="1">
      <alignment horizontal="right"/>
    </xf>
    <xf borderId="33" fillId="3" fontId="6" numFmtId="0" xfId="0" applyAlignment="1" applyBorder="1" applyFont="1">
      <alignment horizontal="center"/>
    </xf>
    <xf borderId="0" fillId="0" fontId="2" numFmtId="10" xfId="0" applyAlignment="1" applyFont="1" applyNumberFormat="1">
      <alignment horizontal="right"/>
    </xf>
    <xf borderId="29" fillId="8" fontId="3" numFmtId="0" xfId="0" applyAlignment="1" applyBorder="1" applyFont="1">
      <alignment horizontal="right"/>
    </xf>
    <xf borderId="29" fillId="8" fontId="3" numFmtId="165" xfId="0" applyAlignment="1" applyBorder="1" applyFont="1" applyNumberFormat="1">
      <alignment horizontal="right"/>
    </xf>
    <xf borderId="33" fillId="3" fontId="6" numFmtId="165" xfId="0" applyAlignment="1" applyBorder="1" applyFont="1" applyNumberFormat="1">
      <alignment horizontal="center"/>
    </xf>
    <xf borderId="29" fillId="8" fontId="3" numFmtId="3" xfId="0" applyAlignment="1" applyBorder="1" applyFont="1" applyNumberFormat="1">
      <alignment horizontal="right"/>
    </xf>
    <xf borderId="44" fillId="3" fontId="6" numFmtId="10" xfId="0" applyAlignment="1" applyBorder="1" applyFont="1" applyNumberFormat="1">
      <alignment horizontal="center"/>
    </xf>
    <xf borderId="39" fillId="8" fontId="3" numFmtId="165" xfId="0" applyAlignment="1" applyBorder="1" applyFont="1" applyNumberFormat="1">
      <alignment horizontal="right"/>
    </xf>
    <xf borderId="44" fillId="3" fontId="6" numFmtId="171" xfId="0" applyAlignment="1" applyBorder="1" applyFont="1" applyNumberFormat="1">
      <alignment horizontal="center"/>
    </xf>
    <xf borderId="18" fillId="3" fontId="6" numFmtId="0" xfId="0" applyAlignment="1" applyBorder="1" applyFont="1">
      <alignment horizontal="center"/>
    </xf>
    <xf borderId="4" fillId="16" fontId="1" numFmtId="171" xfId="0" applyAlignment="1" applyBorder="1" applyFont="1" applyNumberFormat="1">
      <alignment horizontal="right"/>
    </xf>
    <xf borderId="29" fillId="8" fontId="3" numFmtId="166" xfId="0" applyAlignment="1" applyBorder="1" applyFont="1" applyNumberFormat="1">
      <alignment horizontal="right"/>
    </xf>
    <xf borderId="44" fillId="3" fontId="6" numFmtId="165" xfId="0" applyAlignment="1" applyBorder="1" applyFont="1" applyNumberFormat="1">
      <alignment horizontal="center"/>
    </xf>
    <xf borderId="44" fillId="3" fontId="6" numFmtId="9" xfId="0" applyAlignment="1" applyBorder="1" applyFont="1" applyNumberFormat="1">
      <alignment horizontal="center"/>
    </xf>
    <xf borderId="13" fillId="19" fontId="12" numFmtId="0" xfId="0" applyAlignment="1" applyBorder="1" applyFont="1">
      <alignment horizontal="right"/>
    </xf>
    <xf borderId="18" fillId="3" fontId="9" numFmtId="0" xfId="0" applyBorder="1" applyFont="1"/>
    <xf borderId="14" fillId="7" fontId="12" numFmtId="0" xfId="0" applyAlignment="1" applyBorder="1" applyFont="1">
      <alignment horizontal="right"/>
    </xf>
    <xf borderId="14" fillId="7" fontId="12" numFmtId="3" xfId="0" applyAlignment="1" applyBorder="1" applyFont="1" applyNumberFormat="1">
      <alignment horizontal="right"/>
    </xf>
    <xf borderId="50" fillId="0" fontId="12" numFmtId="0" xfId="0" applyAlignment="1" applyBorder="1" applyFont="1">
      <alignment horizontal="right"/>
    </xf>
    <xf borderId="50" fillId="0" fontId="12" numFmtId="3" xfId="0" applyAlignment="1" applyBorder="1" applyFont="1" applyNumberFormat="1">
      <alignment horizontal="right"/>
    </xf>
    <xf borderId="15" fillId="12" fontId="12" numFmtId="0" xfId="0" applyAlignment="1" applyBorder="1" applyFont="1">
      <alignment horizontal="right"/>
    </xf>
    <xf borderId="13" fillId="8" fontId="12" numFmtId="0" xfId="0" applyAlignment="1" applyBorder="1" applyFont="1">
      <alignment horizontal="right"/>
    </xf>
    <xf borderId="20" fillId="0" fontId="9" numFmtId="0" xfId="0" applyBorder="1" applyFont="1"/>
    <xf borderId="29" fillId="3" fontId="12" numFmtId="0" xfId="0" applyAlignment="1" applyBorder="1" applyFont="1">
      <alignment horizontal="right"/>
    </xf>
    <xf borderId="33" fillId="3" fontId="9" numFmtId="0" xfId="0" applyBorder="1" applyFont="1"/>
    <xf borderId="4" fillId="7" fontId="9" numFmtId="10" xfId="0" applyAlignment="1" applyBorder="1" applyFont="1" applyNumberFormat="1">
      <alignment horizontal="right"/>
    </xf>
    <xf borderId="0" fillId="0" fontId="9" numFmtId="10" xfId="0" applyFont="1" applyNumberFormat="1"/>
    <xf borderId="0" fillId="0" fontId="9" numFmtId="10" xfId="0" applyAlignment="1" applyFont="1" applyNumberFormat="1">
      <alignment horizontal="right"/>
    </xf>
    <xf borderId="30" fillId="12" fontId="12" numFmtId="10" xfId="0" applyAlignment="1" applyBorder="1" applyFont="1" applyNumberFormat="1">
      <alignment horizontal="right"/>
    </xf>
    <xf borderId="29" fillId="8" fontId="12" numFmtId="0" xfId="0" applyAlignment="1" applyBorder="1" applyFont="1">
      <alignment horizontal="right"/>
    </xf>
    <xf borderId="0" fillId="0" fontId="9" numFmtId="165" xfId="0" applyFont="1" applyNumberFormat="1"/>
    <xf borderId="4" fillId="16" fontId="9" numFmtId="165" xfId="0" applyAlignment="1" applyBorder="1" applyFont="1" applyNumberFormat="1">
      <alignment horizontal="right"/>
    </xf>
    <xf borderId="28" fillId="0" fontId="12" numFmtId="165" xfId="0" applyAlignment="1" applyBorder="1" applyFont="1" applyNumberFormat="1">
      <alignment horizontal="right"/>
    </xf>
    <xf borderId="29" fillId="8" fontId="12" numFmtId="165" xfId="0" applyAlignment="1" applyBorder="1" applyFont="1" applyNumberFormat="1">
      <alignment horizontal="right"/>
    </xf>
    <xf borderId="30" fillId="12" fontId="9" numFmtId="9" xfId="0" applyAlignment="1" applyBorder="1" applyFont="1" applyNumberFormat="1">
      <alignment horizontal="right"/>
    </xf>
    <xf borderId="33" fillId="3" fontId="12" numFmtId="165" xfId="0" applyAlignment="1" applyBorder="1" applyFont="1" applyNumberFormat="1">
      <alignment horizontal="center"/>
    </xf>
    <xf borderId="4" fillId="16" fontId="9" numFmtId="3" xfId="0" applyAlignment="1" applyBorder="1" applyFont="1" applyNumberFormat="1">
      <alignment horizontal="right"/>
    </xf>
    <xf borderId="30" fillId="12" fontId="12" numFmtId="3" xfId="0" applyAlignment="1" applyBorder="1" applyFont="1" applyNumberFormat="1">
      <alignment horizontal="right"/>
    </xf>
    <xf borderId="29" fillId="8" fontId="12" numFmtId="3" xfId="0" applyAlignment="1" applyBorder="1" applyFont="1" applyNumberFormat="1">
      <alignment horizontal="right"/>
    </xf>
    <xf borderId="39" fillId="3" fontId="12" numFmtId="0" xfId="0" applyAlignment="1" applyBorder="1" applyFont="1">
      <alignment horizontal="right"/>
    </xf>
    <xf borderId="44" fillId="3" fontId="12" numFmtId="9" xfId="0" applyAlignment="1" applyBorder="1" applyFont="1" applyNumberFormat="1">
      <alignment horizontal="center"/>
    </xf>
    <xf borderId="40" fillId="3" fontId="9" numFmtId="165" xfId="0" applyBorder="1" applyFont="1" applyNumberFormat="1"/>
    <xf borderId="40" fillId="3" fontId="9" numFmtId="165" xfId="0" applyAlignment="1" applyBorder="1" applyFont="1" applyNumberFormat="1">
      <alignment horizontal="right"/>
    </xf>
    <xf borderId="41" fillId="12" fontId="12" numFmtId="165" xfId="0" applyAlignment="1" applyBorder="1" applyFont="1" applyNumberFormat="1">
      <alignment horizontal="right"/>
    </xf>
    <xf borderId="39" fillId="8" fontId="12" numFmtId="165" xfId="0" applyAlignment="1" applyBorder="1" applyFont="1" applyNumberFormat="1">
      <alignment horizontal="right"/>
    </xf>
    <xf borderId="41" fillId="12" fontId="9" numFmtId="9" xfId="0" applyAlignment="1" applyBorder="1" applyFont="1" applyNumberFormat="1">
      <alignment horizontal="right"/>
    </xf>
    <xf borderId="80" fillId="7" fontId="6" numFmtId="0" xfId="0" applyAlignment="1" applyBorder="1" applyFont="1">
      <alignment horizontal="right"/>
    </xf>
    <xf borderId="63" fillId="12" fontId="6" numFmtId="0" xfId="0" applyAlignment="1" applyBorder="1" applyFont="1">
      <alignment horizontal="right"/>
    </xf>
    <xf borderId="62" fillId="20" fontId="6" numFmtId="0" xfId="0" applyAlignment="1" applyBorder="1" applyFont="1">
      <alignment horizontal="right"/>
    </xf>
    <xf borderId="62" fillId="0" fontId="6" numFmtId="165" xfId="0" applyAlignment="1" applyBorder="1" applyFont="1" applyNumberFormat="1">
      <alignment horizontal="right"/>
    </xf>
    <xf borderId="62" fillId="0" fontId="6" numFmtId="175" xfId="0" applyAlignment="1" applyBorder="1" applyFont="1" applyNumberFormat="1">
      <alignment horizontal="right"/>
    </xf>
    <xf borderId="62" fillId="3" fontId="6" numFmtId="3" xfId="0" applyAlignment="1" applyBorder="1" applyFont="1" applyNumberFormat="1">
      <alignment horizontal="right"/>
    </xf>
    <xf borderId="62" fillId="3" fontId="6" numFmtId="175" xfId="0" applyAlignment="1" applyBorder="1" applyFont="1" applyNumberFormat="1">
      <alignment horizontal="right"/>
    </xf>
    <xf borderId="1" fillId="2" fontId="3" numFmtId="166" xfId="0" applyAlignment="1" applyBorder="1" applyFont="1" applyNumberFormat="1">
      <alignment horizontal="center"/>
    </xf>
    <xf borderId="6" fillId="4" fontId="15" numFmtId="165" xfId="0" applyAlignment="1" applyBorder="1" applyFont="1" applyNumberFormat="1">
      <alignment horizontal="center" shrinkToFit="0" vertical="center" wrapText="1"/>
    </xf>
    <xf borderId="7" fillId="2" fontId="3" numFmtId="166" xfId="0" applyAlignment="1" applyBorder="1" applyFont="1" applyNumberFormat="1">
      <alignment horizontal="center" vertical="center"/>
    </xf>
    <xf borderId="0" fillId="0" fontId="1" numFmtId="0" xfId="0" applyAlignment="1" applyFont="1">
      <alignment horizontal="right" vertical="center"/>
    </xf>
    <xf borderId="4" fillId="12" fontId="6" numFmtId="0" xfId="0" applyAlignment="1" applyBorder="1" applyFont="1">
      <alignment horizontal="right"/>
    </xf>
    <xf borderId="11" fillId="2" fontId="1" numFmtId="166" xfId="0" applyAlignment="1" applyBorder="1" applyFont="1" applyNumberFormat="1">
      <alignment horizontal="center"/>
    </xf>
    <xf borderId="13" fillId="3" fontId="6" numFmtId="0" xfId="0" applyAlignment="1" applyBorder="1" applyFont="1">
      <alignment horizontal="right"/>
    </xf>
    <xf borderId="29" fillId="8" fontId="3" numFmtId="10" xfId="0" applyAlignment="1" applyBorder="1" applyFont="1" applyNumberFormat="1">
      <alignment horizontal="right"/>
    </xf>
    <xf borderId="4" fillId="3" fontId="6" numFmtId="0" xfId="0" applyAlignment="1" applyBorder="1" applyFont="1">
      <alignment horizontal="right"/>
    </xf>
    <xf borderId="0" fillId="0" fontId="2" numFmtId="1" xfId="0" applyFont="1" applyNumberFormat="1"/>
    <xf borderId="48" fillId="2" fontId="1" numFmtId="166" xfId="0" applyAlignment="1" applyBorder="1" applyFont="1" applyNumberFormat="1">
      <alignment horizontal="center"/>
    </xf>
    <xf borderId="0" fillId="0" fontId="3" numFmtId="172" xfId="0" applyAlignment="1" applyFont="1" applyNumberFormat="1">
      <alignment horizontal="right"/>
    </xf>
    <xf borderId="0" fillId="0" fontId="2" numFmtId="176" xfId="0" applyFont="1" applyNumberFormat="1"/>
    <xf borderId="48" fillId="7" fontId="2" numFmtId="3" xfId="0" applyAlignment="1" applyBorder="1" applyFont="1" applyNumberFormat="1">
      <alignment horizontal="left" vertical="center"/>
    </xf>
    <xf borderId="13" fillId="21" fontId="6" numFmtId="0" xfId="0" applyAlignment="1" applyBorder="1" applyFill="1" applyFont="1">
      <alignment horizontal="right"/>
    </xf>
    <xf borderId="81" fillId="0" fontId="6" numFmtId="0" xfId="0" applyAlignment="1" applyBorder="1" applyFont="1">
      <alignment horizontal="right"/>
    </xf>
    <xf borderId="0" fillId="0" fontId="6" numFmtId="3" xfId="0" applyAlignment="1" applyFont="1" applyNumberFormat="1">
      <alignment horizontal="right"/>
    </xf>
    <xf borderId="0" fillId="0" fontId="3" numFmtId="3" xfId="0" applyAlignment="1" applyFont="1" applyNumberFormat="1">
      <alignment horizontal="right"/>
    </xf>
    <xf borderId="33" fillId="22" fontId="6" numFmtId="165" xfId="0" applyAlignment="1" applyBorder="1" applyFill="1" applyFont="1" applyNumberFormat="1">
      <alignment horizontal="center"/>
    </xf>
    <xf borderId="48" fillId="2" fontId="1" numFmtId="166" xfId="0" applyAlignment="1" applyBorder="1" applyFont="1" applyNumberFormat="1">
      <alignment horizontal="center" vertical="center"/>
    </xf>
    <xf borderId="13" fillId="23" fontId="6" numFmtId="0" xfId="0" applyAlignment="1" applyBorder="1" applyFill="1" applyFont="1">
      <alignment horizontal="right"/>
    </xf>
    <xf borderId="4" fillId="3" fontId="2" numFmtId="0" xfId="0" applyBorder="1" applyFont="1"/>
    <xf borderId="48" fillId="13" fontId="1" numFmtId="166" xfId="0" applyAlignment="1" applyBorder="1" applyFont="1" applyNumberFormat="1">
      <alignment horizontal="center"/>
    </xf>
    <xf borderId="48" fillId="0" fontId="1" numFmtId="164" xfId="0" applyAlignment="1" applyBorder="1" applyFont="1" applyNumberFormat="1">
      <alignment horizontal="center" vertical="center"/>
    </xf>
    <xf borderId="60" fillId="2" fontId="1" numFmtId="166" xfId="0" applyAlignment="1" applyBorder="1" applyFont="1" applyNumberFormat="1">
      <alignment horizontal="center"/>
    </xf>
    <xf borderId="0" fillId="0" fontId="9" numFmtId="166" xfId="0" applyFont="1" applyNumberFormat="1"/>
    <xf borderId="4" fillId="3" fontId="2" numFmtId="0" xfId="0" applyAlignment="1" applyBorder="1" applyFont="1">
      <alignment horizontal="right"/>
    </xf>
    <xf borderId="29" fillId="8" fontId="3" numFmtId="9" xfId="0" applyAlignment="1" applyBorder="1" applyFont="1" applyNumberFormat="1">
      <alignment horizontal="right"/>
    </xf>
    <xf borderId="0" fillId="0" fontId="2" numFmtId="166" xfId="0" applyFont="1" applyNumberFormat="1"/>
    <xf borderId="4" fillId="7" fontId="2" numFmtId="0" xfId="0" applyBorder="1" applyFont="1"/>
    <xf borderId="62" fillId="12" fontId="6" numFmtId="0" xfId="0" applyAlignment="1" applyBorder="1" applyFont="1">
      <alignment horizontal="right"/>
    </xf>
    <xf borderId="62" fillId="24" fontId="6" numFmtId="0" xfId="0" applyAlignment="1" applyBorder="1" applyFill="1" applyFont="1">
      <alignment horizontal="right"/>
    </xf>
    <xf borderId="62" fillId="25" fontId="6" numFmtId="0" xfId="0" applyAlignment="1" applyBorder="1" applyFill="1" applyFont="1">
      <alignment horizontal="right"/>
    </xf>
    <xf borderId="0" fillId="0" fontId="2" numFmtId="49" xfId="0" applyAlignment="1" applyFont="1" applyNumberFormat="1">
      <alignment horizontal="left" shrinkToFit="0" vertical="top" wrapText="1"/>
    </xf>
    <xf borderId="62" fillId="3" fontId="6" numFmtId="0" xfId="0" applyAlignment="1" applyBorder="1" applyFont="1">
      <alignment horizontal="right"/>
    </xf>
    <xf borderId="4" fillId="3" fontId="9" numFmtId="0" xfId="0" applyBorder="1" applyFont="1"/>
    <xf borderId="0" fillId="0" fontId="2" numFmtId="9" xfId="0" applyAlignment="1" applyFont="1" applyNumberFormat="1">
      <alignment horizontal="center"/>
    </xf>
    <xf borderId="20" fillId="0" fontId="3" numFmtId="9" xfId="0" applyAlignment="1" applyBorder="1" applyFont="1" applyNumberFormat="1">
      <alignment horizontal="center"/>
    </xf>
    <xf borderId="28" fillId="0" fontId="2" numFmtId="9" xfId="0" applyAlignment="1" applyBorder="1" applyFont="1" applyNumberFormat="1">
      <alignment horizontal="center"/>
    </xf>
    <xf borderId="28" fillId="0" fontId="6" numFmtId="166" xfId="0" applyAlignment="1" applyBorder="1" applyFont="1" applyNumberFormat="1">
      <alignment horizontal="right"/>
    </xf>
    <xf borderId="20" fillId="0" fontId="2" numFmtId="9" xfId="0" applyAlignment="1" applyBorder="1" applyFont="1" applyNumberFormat="1">
      <alignment horizontal="center"/>
    </xf>
    <xf borderId="2" fillId="0" fontId="2" numFmtId="9" xfId="0" applyAlignment="1" applyBorder="1" applyFont="1" applyNumberFormat="1">
      <alignment horizontal="center"/>
    </xf>
    <xf borderId="62" fillId="0" fontId="6" numFmtId="10" xfId="0" applyAlignment="1" applyBorder="1" applyFont="1" applyNumberFormat="1">
      <alignment horizontal="right"/>
    </xf>
    <xf borderId="0" fillId="0" fontId="9" numFmtId="9" xfId="0" applyAlignment="1" applyFont="1" applyNumberFormat="1">
      <alignment horizontal="center"/>
    </xf>
    <xf borderId="0" fillId="0" fontId="9" numFmtId="172" xfId="0" applyFont="1" applyNumberFormat="1"/>
    <xf borderId="39" fillId="8" fontId="9" numFmtId="165" xfId="0" applyBorder="1" applyFont="1" applyNumberFormat="1"/>
    <xf borderId="29" fillId="8" fontId="12" numFmtId="166" xfId="0" applyAlignment="1" applyBorder="1" applyFont="1" applyNumberFormat="1">
      <alignment horizontal="right"/>
    </xf>
    <xf borderId="0" fillId="0" fontId="9" numFmtId="1" xfId="0" applyFont="1" applyNumberFormat="1"/>
    <xf borderId="29" fillId="8" fontId="9" numFmtId="165" xfId="0" applyBorder="1" applyFont="1" applyNumberFormat="1"/>
    <xf borderId="29" fillId="8" fontId="9" numFmtId="3" xfId="0" applyBorder="1" applyFont="1" applyNumberFormat="1"/>
    <xf borderId="0" fillId="0" fontId="9" numFmtId="0" xfId="0" applyAlignment="1" applyFont="1">
      <alignment horizontal="center"/>
    </xf>
    <xf borderId="82" fillId="26" fontId="12" numFmtId="0" xfId="0" applyAlignment="1" applyBorder="1" applyFill="1" applyFont="1">
      <alignment horizontal="center"/>
    </xf>
    <xf borderId="83" fillId="26" fontId="12" numFmtId="0" xfId="0" applyAlignment="1" applyBorder="1" applyFont="1">
      <alignment horizontal="center"/>
    </xf>
    <xf borderId="84" fillId="26" fontId="12" numFmtId="0" xfId="0" applyBorder="1" applyFont="1"/>
    <xf borderId="85" fillId="0" fontId="9" numFmtId="0" xfId="0" applyAlignment="1" applyBorder="1" applyFont="1">
      <alignment horizontal="left"/>
    </xf>
    <xf borderId="0" fillId="0" fontId="9" numFmtId="165" xfId="0" applyAlignment="1" applyFont="1" applyNumberFormat="1">
      <alignment horizontal="center"/>
    </xf>
    <xf borderId="86" fillId="0" fontId="9" numFmtId="0" xfId="0" applyBorder="1" applyFont="1"/>
    <xf borderId="87" fillId="0" fontId="9" numFmtId="0" xfId="0" applyAlignment="1" applyBorder="1" applyFont="1">
      <alignment horizontal="left"/>
    </xf>
    <xf borderId="49" fillId="0" fontId="9" numFmtId="0" xfId="0" applyBorder="1" applyFont="1"/>
    <xf borderId="88" fillId="0" fontId="12" numFmtId="0" xfId="0" applyAlignment="1" applyBorder="1" applyFont="1">
      <alignment horizontal="left"/>
    </xf>
    <xf borderId="60" fillId="0" fontId="12" numFmtId="9" xfId="0" applyAlignment="1" applyBorder="1" applyFont="1" applyNumberFormat="1">
      <alignment horizontal="center"/>
    </xf>
    <xf borderId="89" fillId="0" fontId="12" numFmtId="165" xfId="0" applyAlignment="1" applyBorder="1" applyFont="1" applyNumberFormat="1">
      <alignment horizontal="center"/>
    </xf>
    <xf borderId="61" fillId="0" fontId="12" numFmtId="0" xfId="0" applyBorder="1" applyFont="1"/>
  </cellXfs>
  <cellStyles count="1">
    <cellStyle xfId="0" name="Normal" builtinId="0"/>
  </cellStyles>
  <dxfs count="3">
    <dxf>
      <font/>
      <fill>
        <patternFill patternType="solid">
          <fgColor rgb="FFFAE2D5"/>
          <bgColor rgb="FFFAE2D5"/>
        </patternFill>
      </fill>
      <border/>
    </dxf>
    <dxf>
      <font/>
      <fill>
        <patternFill patternType="solid">
          <fgColor rgb="FFD9F2D0"/>
          <bgColor rgb="FFD9F2D0"/>
        </patternFill>
      </fill>
      <border/>
    </dxf>
    <dxf>
      <font/>
      <fill>
        <patternFill patternType="solid">
          <fgColor rgb="FFB7E1CD"/>
          <bgColor rgb="FFB7E1CD"/>
        </patternFill>
      </fill>
      <border/>
    </dxf>
  </dxfs>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comments3.xml.rels><?xml version="1.0" encoding="UTF-8" standalone="yes"?><Relationships xmlns="http://schemas.openxmlformats.org/package/2006/relationships"><Relationship Id="rId1" Type="http://customschemas.google.com/relationships/workbookmetadata" Target="commentsmeta2"/></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12"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4.xml"/><Relationship Id="rId3"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5.xml"/><Relationship Id="rId3"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10.0" ySplit="2.0" topLeftCell="K3" activePane="bottomRight" state="frozen"/>
      <selection activeCell="K1" sqref="K1" pane="topRight"/>
      <selection activeCell="A3" sqref="A3" pane="bottomLeft"/>
      <selection activeCell="K3" sqref="K3" pane="bottomRight"/>
    </sheetView>
  </sheetViews>
  <sheetFormatPr customHeight="1" defaultColWidth="14.43" defaultRowHeight="15.0"/>
  <cols>
    <col customWidth="1" min="1" max="1" width="1.43"/>
    <col customWidth="1" min="2" max="2" width="3.0"/>
    <col customWidth="1" hidden="1" min="3" max="3" width="20.29"/>
    <col customWidth="1" hidden="1" min="4" max="5" width="8.86"/>
    <col customWidth="1" hidden="1" min="6" max="6" width="13.43"/>
    <col customWidth="1" hidden="1" min="7" max="7" width="12.29"/>
    <col customWidth="1" hidden="1" min="8" max="8" width="7.43"/>
    <col customWidth="1" hidden="1" min="9" max="9" width="6.43"/>
    <col customWidth="1" min="10" max="10" width="20.71"/>
    <col customWidth="1" min="11" max="11" width="7.29"/>
    <col customWidth="1" min="12" max="12" width="15.14"/>
    <col customWidth="1" min="13" max="13" width="11.57"/>
    <col customWidth="1" min="14" max="14" width="15.0"/>
    <col customWidth="1" min="15" max="15" width="16.86"/>
    <col customWidth="1" min="16" max="16" width="15.43"/>
    <col customWidth="1" min="17" max="17" width="15.14"/>
    <col customWidth="1" min="18" max="19" width="16.43"/>
    <col customWidth="1" min="20" max="20" width="15.86"/>
    <col customWidth="1" min="21" max="22" width="16.43"/>
    <col customWidth="1" min="23" max="23" width="15.29"/>
    <col customWidth="1" min="24" max="24" width="16.14"/>
    <col customWidth="1" min="25" max="25" width="16.57"/>
    <col customWidth="1" min="26" max="28" width="15.57"/>
    <col customWidth="1" min="29" max="29" width="20.86"/>
    <col customWidth="1" min="30" max="30" width="20.29"/>
    <col customWidth="1" min="31" max="31" width="20.86"/>
    <col customWidth="1" min="32" max="32" width="16.57"/>
    <col customWidth="1" min="33" max="34" width="24.29"/>
    <col customWidth="1" min="35" max="35" width="21.29"/>
    <col customWidth="1" min="38" max="38" width="15.43"/>
    <col customWidth="1" min="41" max="41" width="15.14"/>
    <col customWidth="1" min="44" max="46" width="15.43"/>
    <col customWidth="1" min="47" max="47" width="15.57"/>
    <col customWidth="1" min="50" max="50" width="15.43"/>
    <col customWidth="1" min="52" max="52" width="12.57"/>
    <col customWidth="1" min="53" max="54" width="18.57"/>
    <col customWidth="1" min="56" max="56" width="18.57"/>
    <col customWidth="1" min="57" max="58" width="15.57"/>
    <col customWidth="1" min="61" max="62" width="15.43"/>
    <col customWidth="1" min="63" max="63" width="13.57"/>
    <col customWidth="1" min="64" max="65" width="19.71"/>
    <col customWidth="1" min="66" max="66" width="18.57"/>
    <col customWidth="1" min="67" max="67" width="18.71"/>
  </cols>
  <sheetData>
    <row r="1" ht="15.75" customHeight="1">
      <c r="A1" s="1"/>
      <c r="B1" s="2"/>
      <c r="C1" s="1"/>
      <c r="D1" s="1"/>
      <c r="E1" s="3"/>
      <c r="F1" s="4"/>
      <c r="G1" s="5" t="s">
        <v>0</v>
      </c>
      <c r="H1" s="6"/>
      <c r="I1" s="7"/>
      <c r="J1" s="8"/>
      <c r="K1" s="9"/>
      <c r="L1" s="8"/>
      <c r="M1" s="10"/>
      <c r="N1" s="11"/>
      <c r="O1" s="11"/>
      <c r="P1" s="11"/>
      <c r="Q1" s="11"/>
      <c r="R1" s="11"/>
      <c r="S1" s="11"/>
      <c r="T1" s="11"/>
      <c r="U1" s="11"/>
      <c r="V1" s="11"/>
      <c r="W1" s="12"/>
      <c r="X1" s="13"/>
      <c r="Y1" s="14"/>
      <c r="Z1" s="15"/>
      <c r="AA1" s="15"/>
      <c r="AB1" s="3"/>
      <c r="AC1" s="3"/>
      <c r="AD1" s="3"/>
      <c r="AE1" s="3"/>
      <c r="AF1" s="3"/>
      <c r="AG1" s="3"/>
      <c r="AH1" s="3"/>
      <c r="AI1" s="3"/>
    </row>
    <row r="2" ht="15.75" customHeight="1">
      <c r="A2" s="1"/>
      <c r="B2" s="2"/>
      <c r="C2" s="16" t="s">
        <v>1</v>
      </c>
      <c r="D2" s="17" t="s">
        <v>2</v>
      </c>
      <c r="E2" s="18" t="s">
        <v>3</v>
      </c>
      <c r="F2" s="19" t="s">
        <v>4</v>
      </c>
      <c r="G2" s="20" t="s">
        <v>5</v>
      </c>
      <c r="H2" s="20" t="s">
        <v>6</v>
      </c>
      <c r="I2" s="20" t="s">
        <v>7</v>
      </c>
      <c r="J2" s="21"/>
      <c r="K2" s="22"/>
      <c r="L2" s="21"/>
      <c r="M2" s="21"/>
      <c r="N2" s="11"/>
      <c r="O2" s="11"/>
      <c r="P2" s="11"/>
      <c r="Q2" s="23"/>
      <c r="R2" s="24"/>
      <c r="S2" s="11"/>
      <c r="T2" s="11"/>
      <c r="U2" s="11"/>
      <c r="V2" s="11"/>
      <c r="W2" s="12"/>
      <c r="X2" s="13"/>
      <c r="Y2" s="14"/>
      <c r="Z2" s="15"/>
      <c r="AA2" s="15"/>
      <c r="AB2" s="3"/>
      <c r="AC2" s="3"/>
      <c r="AD2" s="3"/>
      <c r="AE2" s="3"/>
      <c r="AF2" s="3"/>
      <c r="AG2" s="3"/>
      <c r="AH2" s="3"/>
      <c r="AI2" s="3"/>
      <c r="BA2" s="25"/>
    </row>
    <row r="3">
      <c r="A3" s="1"/>
      <c r="B3" s="26">
        <v>1.0</v>
      </c>
      <c r="C3" s="27" t="s">
        <v>8</v>
      </c>
      <c r="D3" s="28"/>
      <c r="E3" s="29"/>
      <c r="F3" s="30"/>
      <c r="G3" s="31">
        <v>3.442912982002714E7</v>
      </c>
      <c r="H3" s="32">
        <v>329237.0</v>
      </c>
      <c r="I3" s="33">
        <v>104.57248067509771</v>
      </c>
      <c r="J3" s="34" t="s">
        <v>9</v>
      </c>
      <c r="K3" s="35"/>
      <c r="L3" s="36" t="s">
        <v>10</v>
      </c>
      <c r="M3" s="37" t="s">
        <v>11</v>
      </c>
      <c r="N3" s="38" t="s">
        <v>12</v>
      </c>
      <c r="O3" s="39" t="s">
        <v>13</v>
      </c>
      <c r="P3" s="40" t="s">
        <v>14</v>
      </c>
      <c r="Q3" s="41" t="s">
        <v>15</v>
      </c>
      <c r="R3" s="38" t="s">
        <v>16</v>
      </c>
      <c r="S3" s="42" t="s">
        <v>17</v>
      </c>
      <c r="T3" s="43" t="s">
        <v>18</v>
      </c>
      <c r="U3" s="37" t="s">
        <v>19</v>
      </c>
      <c r="V3" s="38" t="s">
        <v>20</v>
      </c>
      <c r="W3" s="39" t="s">
        <v>21</v>
      </c>
      <c r="X3" s="44" t="s">
        <v>22</v>
      </c>
      <c r="Y3" s="41" t="s">
        <v>23</v>
      </c>
      <c r="Z3" s="38"/>
      <c r="AA3" s="38" t="s">
        <v>24</v>
      </c>
      <c r="AB3" s="45" t="s">
        <v>25</v>
      </c>
      <c r="AC3" s="43" t="s">
        <v>26</v>
      </c>
      <c r="AD3" s="46"/>
      <c r="AE3" s="41" t="s">
        <v>27</v>
      </c>
      <c r="AF3" s="38" t="s">
        <v>28</v>
      </c>
      <c r="AG3" s="47"/>
      <c r="AH3" s="45" t="s">
        <v>29</v>
      </c>
      <c r="AI3" s="44" t="s">
        <v>30</v>
      </c>
      <c r="AJ3" s="41" t="s">
        <v>31</v>
      </c>
      <c r="AK3" s="38" t="s">
        <v>32</v>
      </c>
      <c r="AL3" s="45" t="s">
        <v>33</v>
      </c>
      <c r="AM3" s="43" t="s">
        <v>34</v>
      </c>
      <c r="AN3" s="41" t="s">
        <v>35</v>
      </c>
      <c r="AO3" s="38" t="s">
        <v>36</v>
      </c>
      <c r="AP3" s="45" t="s">
        <v>37</v>
      </c>
      <c r="AQ3" s="44" t="s">
        <v>38</v>
      </c>
      <c r="AR3" s="41" t="s">
        <v>39</v>
      </c>
      <c r="AS3" s="38" t="s">
        <v>40</v>
      </c>
      <c r="AT3" s="45" t="s">
        <v>41</v>
      </c>
      <c r="AU3" s="43" t="s">
        <v>42</v>
      </c>
      <c r="AV3" s="41" t="s">
        <v>43</v>
      </c>
      <c r="AW3" s="38" t="s">
        <v>44</v>
      </c>
      <c r="AX3" s="45" t="s">
        <v>45</v>
      </c>
      <c r="AY3" s="44" t="s">
        <v>46</v>
      </c>
      <c r="AZ3" s="41" t="s">
        <v>47</v>
      </c>
      <c r="BA3" s="38" t="s">
        <v>48</v>
      </c>
      <c r="BB3" s="45" t="s">
        <v>49</v>
      </c>
      <c r="BC3" s="43" t="s">
        <v>50</v>
      </c>
      <c r="BD3" s="41" t="s">
        <v>51</v>
      </c>
      <c r="BE3" s="38" t="s">
        <v>52</v>
      </c>
      <c r="BF3" s="45" t="s">
        <v>53</v>
      </c>
      <c r="BG3" s="44" t="s">
        <v>54</v>
      </c>
      <c r="BH3" s="41" t="s">
        <v>55</v>
      </c>
      <c r="BI3" s="38" t="s">
        <v>56</v>
      </c>
      <c r="BJ3" s="45" t="s">
        <v>57</v>
      </c>
      <c r="BK3" s="48" t="s">
        <v>58</v>
      </c>
      <c r="BL3" s="49" t="s">
        <v>59</v>
      </c>
      <c r="BM3" s="49" t="s">
        <v>60</v>
      </c>
      <c r="BN3" s="50" t="s">
        <v>61</v>
      </c>
      <c r="BO3" s="51" t="s">
        <v>62</v>
      </c>
      <c r="BP3" s="52">
        <v>2025.0</v>
      </c>
      <c r="BQ3" s="53" t="s">
        <v>63</v>
      </c>
      <c r="BR3" s="3"/>
      <c r="BS3" s="3"/>
      <c r="BT3" s="3"/>
      <c r="BU3" s="3"/>
      <c r="BV3" s="3"/>
      <c r="BW3" s="3"/>
    </row>
    <row r="4">
      <c r="A4" s="1"/>
      <c r="B4" s="26"/>
      <c r="C4" s="27"/>
      <c r="D4" s="28"/>
      <c r="E4" s="29"/>
      <c r="F4" s="30"/>
      <c r="G4" s="31"/>
      <c r="H4" s="32"/>
      <c r="I4" s="33"/>
      <c r="J4" s="54"/>
      <c r="K4" s="55"/>
      <c r="L4" s="56"/>
      <c r="M4" s="57"/>
      <c r="N4" s="58"/>
      <c r="O4" s="59"/>
      <c r="P4" s="60"/>
      <c r="Q4" s="57"/>
      <c r="R4" s="58"/>
      <c r="S4" s="61"/>
      <c r="T4" s="62"/>
      <c r="U4" s="63"/>
      <c r="V4" s="58"/>
      <c r="W4" s="59"/>
      <c r="X4" s="62"/>
      <c r="Y4" s="63"/>
      <c r="Z4" s="58"/>
      <c r="AA4" s="58"/>
      <c r="AB4" s="59"/>
      <c r="AC4" s="62"/>
      <c r="AD4" s="64"/>
      <c r="AE4" s="63"/>
      <c r="AF4" s="58"/>
      <c r="AG4" s="65"/>
      <c r="AH4" s="59"/>
      <c r="AI4" s="62"/>
      <c r="AJ4" s="63"/>
      <c r="AK4" s="58"/>
      <c r="AL4" s="59"/>
      <c r="AM4" s="62"/>
      <c r="AN4" s="63"/>
      <c r="AO4" s="58"/>
      <c r="AP4" s="59"/>
      <c r="AQ4" s="62"/>
      <c r="AR4" s="63"/>
      <c r="AS4" s="58"/>
      <c r="AT4" s="59"/>
      <c r="AU4" s="62"/>
      <c r="AV4" s="63"/>
      <c r="AW4" s="58"/>
      <c r="AX4" s="59"/>
      <c r="AY4" s="62"/>
      <c r="AZ4" s="63"/>
      <c r="BA4" s="58"/>
      <c r="BB4" s="59"/>
      <c r="BC4" s="62"/>
      <c r="BD4" s="63"/>
      <c r="BE4" s="58"/>
      <c r="BF4" s="59"/>
      <c r="BG4" s="62"/>
      <c r="BH4" s="63"/>
      <c r="BI4" s="58"/>
      <c r="BJ4" s="59"/>
      <c r="BK4" s="66"/>
      <c r="BL4" s="67"/>
      <c r="BM4" s="67"/>
      <c r="BN4" s="68"/>
      <c r="BO4" s="69"/>
      <c r="BP4" s="70"/>
      <c r="BQ4" s="71"/>
      <c r="BR4" s="3"/>
      <c r="BS4" s="3"/>
      <c r="BT4" s="3"/>
      <c r="BU4" s="3"/>
      <c r="BV4" s="3"/>
      <c r="BW4" s="3"/>
    </row>
    <row r="5">
      <c r="A5" s="1"/>
      <c r="B5" s="26"/>
      <c r="C5" s="27"/>
      <c r="D5" s="28"/>
      <c r="E5" s="29"/>
      <c r="F5" s="30"/>
      <c r="G5" s="31"/>
      <c r="H5" s="32"/>
      <c r="I5" s="33"/>
      <c r="J5" s="72" t="s">
        <v>64</v>
      </c>
      <c r="K5" s="73"/>
      <c r="L5" s="74" t="s">
        <v>63</v>
      </c>
      <c r="M5" s="75" t="s">
        <v>63</v>
      </c>
      <c r="N5" s="76" t="s">
        <v>63</v>
      </c>
      <c r="O5" s="77" t="s">
        <v>65</v>
      </c>
      <c r="P5" s="78" t="s">
        <v>63</v>
      </c>
      <c r="Q5" s="75" t="s">
        <v>63</v>
      </c>
      <c r="R5" s="76" t="s">
        <v>63</v>
      </c>
      <c r="S5" s="79" t="s">
        <v>65</v>
      </c>
      <c r="T5" s="80">
        <v>0.04</v>
      </c>
      <c r="U5" s="81">
        <f>U6/(BK6-(L6 + P6))</f>
        <v>0.1186525251</v>
      </c>
      <c r="V5" s="76" t="s">
        <v>63</v>
      </c>
      <c r="W5" s="77" t="s">
        <v>65</v>
      </c>
      <c r="X5" s="80">
        <v>0.06</v>
      </c>
      <c r="Y5" s="81">
        <f>Y6/(BK6-(L6+P6))</f>
        <v>0.08226236219</v>
      </c>
      <c r="Z5" s="76"/>
      <c r="AA5" s="76" t="s">
        <v>63</v>
      </c>
      <c r="AB5" s="77" t="s">
        <v>65</v>
      </c>
      <c r="AC5" s="80">
        <v>0.08</v>
      </c>
      <c r="AD5" s="82"/>
      <c r="AE5" s="81">
        <f>AE6/(BK6-(L6+P6))</f>
        <v>0.07963860664</v>
      </c>
      <c r="AF5" s="76" t="s">
        <v>63</v>
      </c>
      <c r="AG5" s="83"/>
      <c r="AH5" s="77" t="s">
        <v>65</v>
      </c>
      <c r="AI5" s="80">
        <v>0.08</v>
      </c>
      <c r="AJ5" s="81">
        <f t="array" ref="AJ5:AJ1049">IF('Projeção'!AL5:AL1566="", "", 'Projeção'!AL5:AL1566)</f>
        <v>0.07010826467</v>
      </c>
      <c r="AK5" s="76" t="s">
        <v>63</v>
      </c>
      <c r="AL5" s="77" t="s">
        <v>65</v>
      </c>
      <c r="AM5" s="80">
        <v>0.1</v>
      </c>
      <c r="AN5" s="81">
        <f t="array" ref="AN5:AN1049">IF('Projeção'!AU5:AU1566="", "", 'Projeção'!AU5:AU1566)</f>
        <v>0.03198851583</v>
      </c>
      <c r="AO5" s="76" t="s">
        <v>63</v>
      </c>
      <c r="AP5" s="77" t="s">
        <v>65</v>
      </c>
      <c r="AQ5" s="80">
        <v>0.06</v>
      </c>
      <c r="AR5" s="81">
        <f>AR6/(BK6-(L6+P6))</f>
        <v>0</v>
      </c>
      <c r="AS5" s="76" t="s">
        <v>63</v>
      </c>
      <c r="AT5" s="77" t="s">
        <v>65</v>
      </c>
      <c r="AU5" s="80">
        <v>0.14</v>
      </c>
      <c r="AV5" s="81">
        <f>AV6/(BK6-(L6+P6))</f>
        <v>0</v>
      </c>
      <c r="AW5" s="76" t="s">
        <v>63</v>
      </c>
      <c r="AX5" s="77" t="s">
        <v>65</v>
      </c>
      <c r="AY5" s="80">
        <v>0.14</v>
      </c>
      <c r="AZ5" s="81">
        <f>AZ6/(BK6-(L6+P6))</f>
        <v>0</v>
      </c>
      <c r="BA5" s="76" t="s">
        <v>63</v>
      </c>
      <c r="BB5" s="77" t="s">
        <v>65</v>
      </c>
      <c r="BC5" s="80">
        <v>0.16</v>
      </c>
      <c r="BD5" s="81">
        <f>BD6/(BK6-(L6+P6))</f>
        <v>0</v>
      </c>
      <c r="BE5" s="76" t="s">
        <v>63</v>
      </c>
      <c r="BF5" s="77" t="s">
        <v>65</v>
      </c>
      <c r="BG5" s="80">
        <v>0.14</v>
      </c>
      <c r="BH5" s="81">
        <f>BH6/(CN6-(AY6 + BC6))</f>
        <v>0</v>
      </c>
      <c r="BI5" s="76" t="s">
        <v>63</v>
      </c>
      <c r="BJ5" s="77" t="s">
        <v>65</v>
      </c>
      <c r="BK5" s="84">
        <f>SUM(T5,X5,AC5,AI5,AM5,AQ5,AU5,AY5,BC5,BG5)</f>
        <v>1</v>
      </c>
      <c r="BL5" s="85">
        <f>SUM(T5,X5,AC5,AI5)</f>
        <v>0.26</v>
      </c>
      <c r="BM5" s="86">
        <f>SUM(T5,X5,AC5,AI5,AM5)</f>
        <v>0.36</v>
      </c>
      <c r="BN5" s="87">
        <f>SUM(U5,Y5,AE5,AJ5,AN5,AR5,AV5,AZ5,BD5,BH5)</f>
        <v>0.3826502744</v>
      </c>
      <c r="BO5" s="88"/>
      <c r="BP5" s="89"/>
      <c r="BQ5" s="71"/>
      <c r="BR5" s="3"/>
      <c r="BS5" s="3"/>
      <c r="BT5" s="3"/>
      <c r="BU5" s="3"/>
      <c r="BV5" s="3"/>
      <c r="BW5" s="3"/>
    </row>
    <row r="6">
      <c r="A6" s="1"/>
      <c r="B6" s="26"/>
      <c r="C6" s="27"/>
      <c r="D6" s="28"/>
      <c r="E6" s="29"/>
      <c r="F6" s="30"/>
      <c r="G6" s="31"/>
      <c r="H6" s="32"/>
      <c r="I6" s="33"/>
      <c r="J6" s="72" t="s">
        <v>66</v>
      </c>
      <c r="K6" s="73"/>
      <c r="L6" s="90">
        <v>2864120.0</v>
      </c>
      <c r="M6" s="91">
        <v>3131157.88</v>
      </c>
      <c r="N6" s="92">
        <f t="shared" ref="N6:N9" si="1">IFERROR(M6-L6,"-")</f>
        <v>267037.88</v>
      </c>
      <c r="O6" s="93">
        <f t="shared" ref="O6:O9" si="2">IFERROR(M6/L6-1,"-")</f>
        <v>0.09323557672</v>
      </c>
      <c r="P6" s="94">
        <v>2553655.0</v>
      </c>
      <c r="Q6" s="91">
        <v>2769592.71</v>
      </c>
      <c r="R6" s="92">
        <f t="shared" ref="R6:R9" si="3">IFERROR(Q6-P6,"-")</f>
        <v>215937.71</v>
      </c>
      <c r="S6" s="95">
        <f t="shared" ref="S6:S9" si="4">IFERROR(Q6/P6-1,"-")</f>
        <v>0.08456025187</v>
      </c>
      <c r="T6" s="96">
        <f>($BK$6-($L$6+$P$6))*T5</f>
        <v>1783289</v>
      </c>
      <c r="U6" s="91">
        <v>5289793.57</v>
      </c>
      <c r="V6" s="92">
        <f t="shared" ref="V6:V9" si="5">IFERROR(U6-T6,"-")</f>
        <v>3506504.57</v>
      </c>
      <c r="W6" s="93">
        <f t="shared" ref="W6:W9" si="6">IFERROR(U6/T6-1,"-")</f>
        <v>1.966313127</v>
      </c>
      <c r="X6" s="96">
        <f>($BK$6-($L$6+$P$6))*X5</f>
        <v>2674933.5</v>
      </c>
      <c r="Y6" s="97">
        <v>3667439.14</v>
      </c>
      <c r="Z6" s="92"/>
      <c r="AA6" s="92">
        <f t="shared" ref="AA6:AA9" si="7">IFERROR(Y6-X6,"-")</f>
        <v>992505.64</v>
      </c>
      <c r="AB6" s="93">
        <f t="shared" ref="AB6:AB9" si="8">IFERROR(Y6/X6-1,"-")</f>
        <v>0.3710393698</v>
      </c>
      <c r="AC6" s="96">
        <f>($BK$6-($L$6+$P$6))*AC5</f>
        <v>3566578</v>
      </c>
      <c r="AD6" s="98"/>
      <c r="AE6" s="91">
        <v>3550466.28</v>
      </c>
      <c r="AF6" s="92">
        <f t="shared" ref="AF6:AF9" si="9">IFERROR(AE6-AC6,"-")</f>
        <v>-16111.72</v>
      </c>
      <c r="AG6" s="99"/>
      <c r="AH6" s="93">
        <f t="shared" ref="AH6:AH9" si="10">IFERROR(AE6/AC6-1,"-")</f>
        <v>-0.004517416975</v>
      </c>
      <c r="AI6" s="96">
        <f>($BK$6-($L$6+$P$6))*AI5</f>
        <v>3566578</v>
      </c>
      <c r="AJ6" s="100">
        <v>3125582.43</v>
      </c>
      <c r="AK6" s="92">
        <f t="shared" ref="AK6:AK9" si="11">IFERROR(AJ6-AI6,"-")</f>
        <v>-440995.57</v>
      </c>
      <c r="AL6" s="93">
        <f t="shared" ref="AL6:AL9" si="12">IFERROR(AJ6/AI6-1,"-")</f>
        <v>-0.1236466916</v>
      </c>
      <c r="AM6" s="96">
        <f>($BK$6-($L$6+$P$6))*AM5</f>
        <v>4458222.5</v>
      </c>
      <c r="AN6" s="91">
        <v>1426119.21</v>
      </c>
      <c r="AO6" s="92">
        <f t="shared" ref="AO6:AO9" si="13">IFERROR(AN6-AM6,"-")</f>
        <v>-3032103.29</v>
      </c>
      <c r="AP6" s="93">
        <f t="shared" ref="AP6:AP9" si="14">IFERROR(AN6/AM6-1,"-")</f>
        <v>-0.6801148417</v>
      </c>
      <c r="AQ6" s="96">
        <f>($BK$6-($L$6+$P$6))*AQ5</f>
        <v>2674933.5</v>
      </c>
      <c r="AR6" s="91"/>
      <c r="AS6" s="92">
        <f t="shared" ref="AS6:AS9" si="15">IFERROR(AR6-AQ6,"-")</f>
        <v>-2674933.5</v>
      </c>
      <c r="AT6" s="93">
        <f t="shared" ref="AT6:AT9" si="16">IFERROR(AR6/AQ6-1,"-")</f>
        <v>-1</v>
      </c>
      <c r="AU6" s="96">
        <f>($BK$6-($L$6+$P$6))*AU5</f>
        <v>6241511.5</v>
      </c>
      <c r="AV6" s="91"/>
      <c r="AW6" s="92">
        <f t="shared" ref="AW6:AW9" si="17">IFERROR(AV6-AU6,"-")</f>
        <v>-6241511.5</v>
      </c>
      <c r="AX6" s="93">
        <f t="shared" ref="AX6:AX9" si="18">IFERROR(AV6/AU6-1,"-")</f>
        <v>-1</v>
      </c>
      <c r="AY6" s="96">
        <f>($BK$6-($L$6+$P$6))*AY5</f>
        <v>6241511.5</v>
      </c>
      <c r="AZ6" s="91"/>
      <c r="BA6" s="92">
        <f t="shared" ref="BA6:BA9" si="19">IFERROR(AZ6-AY6,"-")</f>
        <v>-6241511.5</v>
      </c>
      <c r="BB6" s="93">
        <f t="shared" ref="BB6:BB9" si="20">IFERROR(AZ6/AY6-1,"-")</f>
        <v>-1</v>
      </c>
      <c r="BC6" s="96">
        <f>($BK$6-($L$6+$P$6))*BC5</f>
        <v>7133156</v>
      </c>
      <c r="BD6" s="91"/>
      <c r="BE6" s="92">
        <f t="shared" ref="BE6:BE9" si="21">IFERROR(BD6-BC6,"-")</f>
        <v>-7133156</v>
      </c>
      <c r="BF6" s="93">
        <f t="shared" ref="BF6:BF9" si="22">IFERROR(BD6/BC6-1,"-")</f>
        <v>-1</v>
      </c>
      <c r="BG6" s="96">
        <f>($BK$6-($L$6+$P$6))*BG5</f>
        <v>6241511.5</v>
      </c>
      <c r="BH6" s="91"/>
      <c r="BI6" s="92">
        <f t="shared" ref="BI6:BI9" si="23">IFERROR(BH6-BG6,"-")</f>
        <v>-6241511.5</v>
      </c>
      <c r="BJ6" s="93">
        <f t="shared" ref="BJ6:BJ9" si="24">IFERROR(BH6/BG6-1,"-")</f>
        <v>-1</v>
      </c>
      <c r="BK6" s="101">
        <v>5.0E7</v>
      </c>
      <c r="BL6" s="102">
        <f t="shared" ref="BL6:BL7" si="25">SUM(L6,P6,T6,X6,AC6,AI6)</f>
        <v>17009153.5</v>
      </c>
      <c r="BM6" s="103">
        <f t="shared" ref="BM6:BM7" si="26">SUM(L6,P6,T6,X6,AC6,AI6,AM6)</f>
        <v>21467376</v>
      </c>
      <c r="BN6" s="102">
        <f t="shared" ref="BN6:BN7" si="27">SUM(M6,Q6,U6,Y6,AE6,AJ6,AN6,AR6,AV6,AZ6,BD6,BH6)</f>
        <v>22960151.22</v>
      </c>
      <c r="BO6" s="104">
        <f>IFERROR(BN6/BK6-1,"-")</f>
        <v>-0.5407969756</v>
      </c>
      <c r="BP6" s="105">
        <v>3.46450673E7</v>
      </c>
      <c r="BQ6" s="106">
        <f t="shared" ref="BQ6:BQ9" si="28">BK6/BP6-1</f>
        <v>0.4432068949</v>
      </c>
      <c r="BR6" s="3"/>
      <c r="BS6" s="3"/>
      <c r="BT6" s="3"/>
      <c r="BU6" s="3"/>
      <c r="BV6" s="3"/>
      <c r="BW6" s="3"/>
    </row>
    <row r="7">
      <c r="A7" s="1"/>
      <c r="B7" s="26"/>
      <c r="C7" s="27"/>
      <c r="D7" s="28"/>
      <c r="E7" s="29"/>
      <c r="F7" s="30"/>
      <c r="G7" s="31"/>
      <c r="H7" s="32"/>
      <c r="I7" s="33"/>
      <c r="J7" s="72" t="s">
        <v>67</v>
      </c>
      <c r="K7" s="107"/>
      <c r="L7" s="108">
        <v>33527.0</v>
      </c>
      <c r="M7" s="109">
        <v>33320.0</v>
      </c>
      <c r="N7" s="110">
        <f t="shared" si="1"/>
        <v>-207</v>
      </c>
      <c r="O7" s="93">
        <f t="shared" si="2"/>
        <v>-0.006174128314</v>
      </c>
      <c r="P7" s="111">
        <v>28807.0</v>
      </c>
      <c r="Q7" s="109">
        <v>28740.0</v>
      </c>
      <c r="R7" s="110">
        <f t="shared" si="3"/>
        <v>-67</v>
      </c>
      <c r="S7" s="95">
        <f t="shared" si="4"/>
        <v>-0.002325823585</v>
      </c>
      <c r="T7" s="112">
        <f>T6/$K$8</f>
        <v>19814.32222</v>
      </c>
      <c r="U7" s="109">
        <v>41947.0</v>
      </c>
      <c r="V7" s="110">
        <f t="shared" si="5"/>
        <v>22132.67778</v>
      </c>
      <c r="W7" s="93">
        <f t="shared" si="6"/>
        <v>1.11700403</v>
      </c>
      <c r="X7" s="112">
        <f>X6/$K$8</f>
        <v>29721.48333</v>
      </c>
      <c r="Y7" s="109">
        <v>37395.0</v>
      </c>
      <c r="Z7" s="110"/>
      <c r="AA7" s="110">
        <f t="shared" si="7"/>
        <v>7673.516667</v>
      </c>
      <c r="AB7" s="93">
        <f t="shared" si="8"/>
        <v>0.2581808109</v>
      </c>
      <c r="AC7" s="112">
        <f>AC6/$K$8</f>
        <v>39628.64444</v>
      </c>
      <c r="AD7" s="113"/>
      <c r="AE7" s="109">
        <v>35712.0</v>
      </c>
      <c r="AF7" s="110">
        <f t="shared" si="9"/>
        <v>-3916.644444</v>
      </c>
      <c r="AG7" s="99"/>
      <c r="AH7" s="93">
        <f t="shared" si="10"/>
        <v>-0.09883367194</v>
      </c>
      <c r="AI7" s="112">
        <f>AI6/$K$8</f>
        <v>39628.64444</v>
      </c>
      <c r="AJ7" s="114">
        <v>33203.0</v>
      </c>
      <c r="AK7" s="110">
        <f t="shared" si="11"/>
        <v>-6425.644444</v>
      </c>
      <c r="AL7" s="93">
        <f t="shared" si="12"/>
        <v>-0.1621464608</v>
      </c>
      <c r="AM7" s="112">
        <f>AM6/$K$8</f>
        <v>49535.80556</v>
      </c>
      <c r="AN7" s="109">
        <v>14983.0</v>
      </c>
      <c r="AO7" s="110">
        <f t="shared" si="13"/>
        <v>-34552.80556</v>
      </c>
      <c r="AP7" s="93">
        <f t="shared" si="14"/>
        <v>-0.69753192</v>
      </c>
      <c r="AQ7" s="112">
        <f>AQ6/$K$8</f>
        <v>29721.48333</v>
      </c>
      <c r="AR7" s="109"/>
      <c r="AS7" s="110">
        <f t="shared" si="15"/>
        <v>-29721.48333</v>
      </c>
      <c r="AT7" s="93">
        <f t="shared" si="16"/>
        <v>-1</v>
      </c>
      <c r="AU7" s="112">
        <f>AU6/$K$8</f>
        <v>69350.12778</v>
      </c>
      <c r="AV7" s="109"/>
      <c r="AW7" s="110">
        <f t="shared" si="17"/>
        <v>-69350.12778</v>
      </c>
      <c r="AX7" s="93">
        <f t="shared" si="18"/>
        <v>-1</v>
      </c>
      <c r="AY7" s="112">
        <f>AY6/$K$8</f>
        <v>69350.12778</v>
      </c>
      <c r="AZ7" s="109"/>
      <c r="BA7" s="110">
        <f t="shared" si="19"/>
        <v>-69350.12778</v>
      </c>
      <c r="BB7" s="93">
        <f t="shared" si="20"/>
        <v>-1</v>
      </c>
      <c r="BC7" s="112">
        <f>BC6/$K$8</f>
        <v>79257.28889</v>
      </c>
      <c r="BD7" s="109"/>
      <c r="BE7" s="110">
        <f t="shared" si="21"/>
        <v>-79257.28889</v>
      </c>
      <c r="BF7" s="93">
        <f t="shared" si="22"/>
        <v>-1</v>
      </c>
      <c r="BG7" s="112">
        <f>BG6/$K$8</f>
        <v>69350.12778</v>
      </c>
      <c r="BH7" s="109"/>
      <c r="BI7" s="110">
        <f t="shared" si="23"/>
        <v>-69350.12778</v>
      </c>
      <c r="BJ7" s="93">
        <f t="shared" si="24"/>
        <v>-1</v>
      </c>
      <c r="BK7" s="115">
        <f>SUM(L7,P7,T7,X7,AC7,AI7,AM7,AQ7,AU7,AY7,BC7,BG7)</f>
        <v>557692.0556</v>
      </c>
      <c r="BL7" s="116">
        <f t="shared" si="25"/>
        <v>191127.0944</v>
      </c>
      <c r="BM7" s="117">
        <f t="shared" si="26"/>
        <v>240662.9</v>
      </c>
      <c r="BN7" s="118">
        <f t="shared" si="27"/>
        <v>225300</v>
      </c>
      <c r="BO7" s="104">
        <f t="shared" ref="BO7:BO9" si="31">(BN7/BK7-1)</f>
        <v>-0.5960136105</v>
      </c>
      <c r="BP7" s="119">
        <v>329232.0</v>
      </c>
      <c r="BQ7" s="106">
        <f t="shared" si="28"/>
        <v>0.6939181354</v>
      </c>
      <c r="BR7" s="3"/>
      <c r="BS7" s="3"/>
      <c r="BT7" s="3"/>
      <c r="BU7" s="3"/>
      <c r="BV7" s="3"/>
      <c r="BW7" s="3"/>
    </row>
    <row r="8">
      <c r="A8" s="1"/>
      <c r="B8" s="26"/>
      <c r="C8" s="27"/>
      <c r="D8" s="28"/>
      <c r="E8" s="29"/>
      <c r="F8" s="30"/>
      <c r="G8" s="31"/>
      <c r="H8" s="32"/>
      <c r="I8" s="33"/>
      <c r="J8" s="72" t="s">
        <v>68</v>
      </c>
      <c r="K8" s="107">
        <v>90.0</v>
      </c>
      <c r="L8" s="90">
        <v>90.0</v>
      </c>
      <c r="M8" s="91">
        <f>IFERROR(M6/M7,"-")</f>
        <v>93.97232533</v>
      </c>
      <c r="N8" s="92">
        <f t="shared" si="1"/>
        <v>3.97232533</v>
      </c>
      <c r="O8" s="93">
        <f t="shared" si="2"/>
        <v>0.04413694811</v>
      </c>
      <c r="P8" s="94">
        <v>90.0</v>
      </c>
      <c r="Q8" s="91">
        <f>Q6/Q7</f>
        <v>96.3671785</v>
      </c>
      <c r="R8" s="92">
        <f t="shared" si="3"/>
        <v>6.367178497</v>
      </c>
      <c r="S8" s="95">
        <f t="shared" si="4"/>
        <v>0.07074642774</v>
      </c>
      <c r="T8" s="96">
        <v>90.0</v>
      </c>
      <c r="U8" s="91">
        <f>IFERROR(U6/U7,"-")</f>
        <v>126.1066005</v>
      </c>
      <c r="V8" s="92">
        <f t="shared" si="5"/>
        <v>36.10660047</v>
      </c>
      <c r="W8" s="93">
        <f t="shared" si="6"/>
        <v>0.4011844497</v>
      </c>
      <c r="X8" s="96">
        <f t="shared" ref="X8:Y8" si="29">IFERROR(X6/X7,"-")</f>
        <v>90</v>
      </c>
      <c r="Y8" s="91">
        <f t="shared" si="29"/>
        <v>98.07298141</v>
      </c>
      <c r="Z8" s="92"/>
      <c r="AA8" s="92">
        <f t="shared" si="7"/>
        <v>8.072981415</v>
      </c>
      <c r="AB8" s="93">
        <f t="shared" si="8"/>
        <v>0.0896997935</v>
      </c>
      <c r="AC8" s="96">
        <v>90.0</v>
      </c>
      <c r="AD8" s="98"/>
      <c r="AE8" s="91">
        <f>IFERROR(AE6/AE7,"-")</f>
        <v>99.41941868</v>
      </c>
      <c r="AF8" s="92">
        <f t="shared" si="9"/>
        <v>9.419418683</v>
      </c>
      <c r="AG8" s="99"/>
      <c r="AH8" s="93">
        <f t="shared" si="10"/>
        <v>0.1046602076</v>
      </c>
      <c r="AI8" s="96">
        <f>AI6/AI7</f>
        <v>90</v>
      </c>
      <c r="AJ8" s="91">
        <v>94.135542872632</v>
      </c>
      <c r="AK8" s="92">
        <f t="shared" si="11"/>
        <v>4.135542873</v>
      </c>
      <c r="AL8" s="93">
        <f t="shared" si="12"/>
        <v>0.04595047636</v>
      </c>
      <c r="AM8" s="96">
        <f>AM6/AM7</f>
        <v>90</v>
      </c>
      <c r="AN8" s="91">
        <v>95.18248748581726</v>
      </c>
      <c r="AO8" s="92">
        <f t="shared" si="13"/>
        <v>5.182487486</v>
      </c>
      <c r="AP8" s="93">
        <f t="shared" si="14"/>
        <v>0.05758319429</v>
      </c>
      <c r="AQ8" s="96">
        <f>AQ6/AQ7</f>
        <v>90</v>
      </c>
      <c r="AR8" s="91" t="str">
        <f>IFERROR(AR6/AR7,"-")</f>
        <v>-</v>
      </c>
      <c r="AS8" s="92" t="str">
        <f t="shared" si="15"/>
        <v>-</v>
      </c>
      <c r="AT8" s="93" t="str">
        <f t="shared" si="16"/>
        <v>-</v>
      </c>
      <c r="AU8" s="96">
        <f>AU6/AU7</f>
        <v>90</v>
      </c>
      <c r="AV8" s="91" t="str">
        <f>IFERROR(AV6/AV7,"-")</f>
        <v>-</v>
      </c>
      <c r="AW8" s="92" t="str">
        <f t="shared" si="17"/>
        <v>-</v>
      </c>
      <c r="AX8" s="93" t="str">
        <f t="shared" si="18"/>
        <v>-</v>
      </c>
      <c r="AY8" s="96">
        <f>AY6/AY7</f>
        <v>90</v>
      </c>
      <c r="AZ8" s="91" t="str">
        <f>IFERROR(AZ6/AZ7,"-")</f>
        <v>-</v>
      </c>
      <c r="BA8" s="92" t="str">
        <f t="shared" si="19"/>
        <v>-</v>
      </c>
      <c r="BB8" s="93" t="str">
        <f t="shared" si="20"/>
        <v>-</v>
      </c>
      <c r="BC8" s="96">
        <f>BC6/BC7</f>
        <v>90</v>
      </c>
      <c r="BD8" s="91" t="str">
        <f>IFERROR(BD6/BD7,"-")</f>
        <v>-</v>
      </c>
      <c r="BE8" s="92" t="str">
        <f t="shared" si="21"/>
        <v>-</v>
      </c>
      <c r="BF8" s="93" t="str">
        <f t="shared" si="22"/>
        <v>-</v>
      </c>
      <c r="BG8" s="96">
        <f>BG6/BG7</f>
        <v>90</v>
      </c>
      <c r="BH8" s="91" t="str">
        <f>IFERROR(BH6/BH7,"-")</f>
        <v>-</v>
      </c>
      <c r="BI8" s="92" t="str">
        <f t="shared" si="23"/>
        <v>-</v>
      </c>
      <c r="BJ8" s="93" t="str">
        <f t="shared" si="24"/>
        <v>-</v>
      </c>
      <c r="BK8" s="120">
        <f>BK6/BK7</f>
        <v>89.65521295</v>
      </c>
      <c r="BL8" s="121">
        <f t="shared" ref="BL8:BM8" si="30">IFERROR(BL6/BL7,"-")</f>
        <v>88.9939417</v>
      </c>
      <c r="BM8" s="122">
        <f t="shared" si="30"/>
        <v>89.20101935</v>
      </c>
      <c r="BN8" s="123">
        <f>BN6/BN7</f>
        <v>101.9092375</v>
      </c>
      <c r="BO8" s="104">
        <f t="shared" si="31"/>
        <v>0.1366794434</v>
      </c>
      <c r="BP8" s="105">
        <f>BP6/BP7</f>
        <v>105.2299512</v>
      </c>
      <c r="BQ8" s="106">
        <f t="shared" si="28"/>
        <v>-0.1480067043</v>
      </c>
      <c r="BR8" s="3"/>
      <c r="BS8" s="3"/>
      <c r="BT8" s="3"/>
      <c r="BU8" s="3"/>
      <c r="BV8" s="3"/>
      <c r="BW8" s="3"/>
    </row>
    <row r="9">
      <c r="A9" s="1"/>
      <c r="B9" s="26"/>
      <c r="C9" s="27"/>
      <c r="D9" s="28"/>
      <c r="E9" s="29"/>
      <c r="F9" s="30"/>
      <c r="G9" s="31"/>
      <c r="H9" s="32"/>
      <c r="I9" s="33"/>
      <c r="J9" s="124" t="s">
        <v>69</v>
      </c>
      <c r="K9" s="125">
        <v>0.049</v>
      </c>
      <c r="L9" s="126">
        <f t="shared" ref="L9:M9" si="32">L6*$K$9</f>
        <v>140341.88</v>
      </c>
      <c r="M9" s="127">
        <f t="shared" si="32"/>
        <v>153426.7361</v>
      </c>
      <c r="N9" s="128">
        <f t="shared" si="1"/>
        <v>13084.85612</v>
      </c>
      <c r="O9" s="129">
        <f t="shared" si="2"/>
        <v>0.09323557672</v>
      </c>
      <c r="P9" s="130">
        <f t="shared" ref="P9:Q9" si="33">P6*$K$9</f>
        <v>125129.095</v>
      </c>
      <c r="Q9" s="127">
        <f t="shared" si="33"/>
        <v>135710.0428</v>
      </c>
      <c r="R9" s="128">
        <f t="shared" si="3"/>
        <v>10580.94779</v>
      </c>
      <c r="S9" s="131">
        <f t="shared" si="4"/>
        <v>0.08456025187</v>
      </c>
      <c r="T9" s="132">
        <f t="shared" ref="T9:U9" si="34">T6*$K$9</f>
        <v>87381.161</v>
      </c>
      <c r="U9" s="127">
        <f t="shared" si="34"/>
        <v>259199.8849</v>
      </c>
      <c r="V9" s="128">
        <f t="shared" si="5"/>
        <v>171818.7239</v>
      </c>
      <c r="W9" s="129">
        <f t="shared" si="6"/>
        <v>1.966313127</v>
      </c>
      <c r="X9" s="126">
        <f t="shared" ref="X9:Y9" si="35">X6*$K$9</f>
        <v>131071.7415</v>
      </c>
      <c r="Y9" s="130">
        <f t="shared" si="35"/>
        <v>179704.5179</v>
      </c>
      <c r="Z9" s="128"/>
      <c r="AA9" s="128">
        <f t="shared" si="7"/>
        <v>48632.77636</v>
      </c>
      <c r="AB9" s="129">
        <f t="shared" si="8"/>
        <v>0.3710393698</v>
      </c>
      <c r="AC9" s="126">
        <f>AC6*$K$9</f>
        <v>174762.322</v>
      </c>
      <c r="AD9" s="133"/>
      <c r="AE9" s="130">
        <f>AE6*$K$9</f>
        <v>173972.8477</v>
      </c>
      <c r="AF9" s="128">
        <f t="shared" si="9"/>
        <v>-789.47428</v>
      </c>
      <c r="AG9" s="134"/>
      <c r="AH9" s="129">
        <f t="shared" si="10"/>
        <v>-0.004517416975</v>
      </c>
      <c r="AI9" s="126">
        <f>AI6*$K$9</f>
        <v>174762.322</v>
      </c>
      <c r="AJ9" s="130">
        <v>153153.53907000003</v>
      </c>
      <c r="AK9" s="128">
        <f t="shared" si="11"/>
        <v>-21608.78293</v>
      </c>
      <c r="AL9" s="129">
        <f t="shared" si="12"/>
        <v>-0.1236466916</v>
      </c>
      <c r="AM9" s="126">
        <f>AM6*$K$9</f>
        <v>218452.9025</v>
      </c>
      <c r="AN9" s="130">
        <v>69879.84129</v>
      </c>
      <c r="AO9" s="128">
        <f t="shared" si="13"/>
        <v>-148573.0612</v>
      </c>
      <c r="AP9" s="129">
        <f t="shared" si="14"/>
        <v>-0.6801148417</v>
      </c>
      <c r="AQ9" s="126">
        <f t="shared" ref="AQ9:AR9" si="36">AQ6*$K$9</f>
        <v>131071.7415</v>
      </c>
      <c r="AR9" s="130">
        <f t="shared" si="36"/>
        <v>0</v>
      </c>
      <c r="AS9" s="128">
        <f t="shared" si="15"/>
        <v>-131071.7415</v>
      </c>
      <c r="AT9" s="129">
        <f t="shared" si="16"/>
        <v>-1</v>
      </c>
      <c r="AU9" s="126">
        <f t="shared" ref="AU9:AV9" si="37">AU6*$K$9</f>
        <v>305834.0635</v>
      </c>
      <c r="AV9" s="130">
        <f t="shared" si="37"/>
        <v>0</v>
      </c>
      <c r="AW9" s="128">
        <f t="shared" si="17"/>
        <v>-305834.0635</v>
      </c>
      <c r="AX9" s="129">
        <f t="shared" si="18"/>
        <v>-1</v>
      </c>
      <c r="AY9" s="126">
        <f t="shared" ref="AY9:AZ9" si="38">AY6*$K$9</f>
        <v>305834.0635</v>
      </c>
      <c r="AZ9" s="130">
        <f t="shared" si="38"/>
        <v>0</v>
      </c>
      <c r="BA9" s="128">
        <f t="shared" si="19"/>
        <v>-305834.0635</v>
      </c>
      <c r="BB9" s="129">
        <f t="shared" si="20"/>
        <v>-1</v>
      </c>
      <c r="BC9" s="126">
        <f t="shared" ref="BC9:BD9" si="39">BC6*$K$9</f>
        <v>349524.644</v>
      </c>
      <c r="BD9" s="130">
        <f t="shared" si="39"/>
        <v>0</v>
      </c>
      <c r="BE9" s="128">
        <f t="shared" si="21"/>
        <v>-349524.644</v>
      </c>
      <c r="BF9" s="129">
        <f t="shared" si="22"/>
        <v>-1</v>
      </c>
      <c r="BG9" s="126">
        <f t="shared" ref="BG9:BH9" si="40">BG6*$K$9</f>
        <v>305834.0635</v>
      </c>
      <c r="BH9" s="130">
        <f t="shared" si="40"/>
        <v>0</v>
      </c>
      <c r="BI9" s="128">
        <f t="shared" si="23"/>
        <v>-305834.0635</v>
      </c>
      <c r="BJ9" s="129">
        <f t="shared" si="24"/>
        <v>-1</v>
      </c>
      <c r="BK9" s="135">
        <f>SUM(L9,P9,T9,X9,AC9,AI9,AM9,AQ9,AU9,AY9,BC9,BG9)</f>
        <v>2450000</v>
      </c>
      <c r="BL9" s="136">
        <f>SUM(L9,P9,T9,X9,AC9,AI9)</f>
        <v>833448.5215</v>
      </c>
      <c r="BM9" s="137">
        <f>SUM(L9,P9,T9,X9,AC9,AI9,AM9)</f>
        <v>1051901.424</v>
      </c>
      <c r="BN9" s="138">
        <f>SUM(M9,Q9,U9,Y9,AE9,AJ9,AN9,AR9,AV9,AZ9,BD9,BH9)</f>
        <v>1125047.41</v>
      </c>
      <c r="BO9" s="139">
        <f t="shared" si="31"/>
        <v>-0.5407969756</v>
      </c>
      <c r="BP9" s="140">
        <f>BP6*0.049</f>
        <v>1697608.298</v>
      </c>
      <c r="BQ9" s="141">
        <f t="shared" si="28"/>
        <v>0.4432068949</v>
      </c>
      <c r="BR9" s="3"/>
      <c r="BS9" s="3"/>
      <c r="BT9" s="4"/>
      <c r="BU9" s="3"/>
      <c r="BV9" s="3"/>
      <c r="BW9" s="3"/>
    </row>
    <row r="10">
      <c r="A10" s="1"/>
      <c r="B10" s="142"/>
      <c r="C10" s="143"/>
      <c r="D10" s="144"/>
      <c r="E10" s="145"/>
      <c r="F10" s="146"/>
      <c r="G10" s="147"/>
      <c r="H10" s="148"/>
      <c r="I10" s="149"/>
      <c r="J10" s="13"/>
      <c r="K10" s="150"/>
      <c r="L10" s="150"/>
      <c r="M10" s="151"/>
      <c r="N10" s="151"/>
      <c r="O10" s="151"/>
      <c r="P10" s="152">
        <v>16.0</v>
      </c>
      <c r="Q10" s="23"/>
      <c r="R10" s="152">
        <v>100.0</v>
      </c>
      <c r="S10" s="152">
        <v>180.0</v>
      </c>
      <c r="T10" s="152">
        <v>300.0</v>
      </c>
      <c r="U10" s="152">
        <v>400.0</v>
      </c>
      <c r="V10" s="152">
        <v>450.0</v>
      </c>
      <c r="W10" s="152">
        <v>500.0</v>
      </c>
      <c r="X10" s="153"/>
      <c r="Y10" s="14"/>
      <c r="Z10" s="15"/>
      <c r="AA10" s="15"/>
      <c r="AB10" s="3"/>
      <c r="AC10" s="3"/>
      <c r="AD10" s="3"/>
      <c r="AE10" s="3"/>
      <c r="AF10" s="3"/>
      <c r="AG10" s="3"/>
      <c r="AH10" s="3"/>
      <c r="AI10" s="3"/>
      <c r="AJ10" s="154" t="s">
        <v>70</v>
      </c>
      <c r="AN10" s="154" t="s">
        <v>70</v>
      </c>
      <c r="AX10" s="155"/>
      <c r="AY10" s="25"/>
      <c r="AZ10" s="155"/>
      <c r="BA10" s="156"/>
      <c r="BB10" s="25"/>
    </row>
    <row r="11">
      <c r="A11" s="1"/>
      <c r="B11" s="142"/>
      <c r="C11" s="143"/>
      <c r="D11" s="144"/>
      <c r="E11" s="145"/>
      <c r="F11" s="146"/>
      <c r="G11" s="147"/>
      <c r="H11" s="148"/>
      <c r="I11" s="149"/>
      <c r="J11" s="34" t="s">
        <v>71</v>
      </c>
      <c r="K11" s="35"/>
      <c r="L11" s="36" t="s">
        <v>10</v>
      </c>
      <c r="M11" s="37" t="s">
        <v>11</v>
      </c>
      <c r="N11" s="38" t="s">
        <v>12</v>
      </c>
      <c r="O11" s="39" t="s">
        <v>13</v>
      </c>
      <c r="P11" s="157" t="s">
        <v>14</v>
      </c>
      <c r="Q11" s="37" t="s">
        <v>15</v>
      </c>
      <c r="R11" s="38" t="s">
        <v>16</v>
      </c>
      <c r="S11" s="39" t="s">
        <v>17</v>
      </c>
      <c r="T11" s="36" t="s">
        <v>18</v>
      </c>
      <c r="U11" s="37" t="s">
        <v>19</v>
      </c>
      <c r="V11" s="38" t="s">
        <v>20</v>
      </c>
      <c r="W11" s="39" t="s">
        <v>21</v>
      </c>
      <c r="X11" s="157" t="s">
        <v>22</v>
      </c>
      <c r="Y11" s="158" t="s">
        <v>23</v>
      </c>
      <c r="Z11" s="38"/>
      <c r="AA11" s="38" t="s">
        <v>24</v>
      </c>
      <c r="AB11" s="159" t="s">
        <v>25</v>
      </c>
      <c r="AC11" s="43" t="s">
        <v>26</v>
      </c>
      <c r="AD11" s="160"/>
      <c r="AE11" s="158" t="s">
        <v>27</v>
      </c>
      <c r="AF11" s="38" t="s">
        <v>28</v>
      </c>
      <c r="AG11" s="161"/>
      <c r="AH11" s="159" t="s">
        <v>29</v>
      </c>
      <c r="AI11" s="44" t="s">
        <v>30</v>
      </c>
      <c r="AJ11" s="158" t="s">
        <v>31</v>
      </c>
      <c r="AK11" s="38" t="s">
        <v>32</v>
      </c>
      <c r="AL11" s="159" t="s">
        <v>33</v>
      </c>
      <c r="AM11" s="43" t="s">
        <v>34</v>
      </c>
      <c r="AN11" s="158" t="s">
        <v>35</v>
      </c>
      <c r="AO11" s="38" t="s">
        <v>36</v>
      </c>
      <c r="AP11" s="159" t="s">
        <v>37</v>
      </c>
      <c r="AQ11" s="44" t="s">
        <v>38</v>
      </c>
      <c r="AR11" s="158" t="s">
        <v>39</v>
      </c>
      <c r="AS11" s="38" t="s">
        <v>40</v>
      </c>
      <c r="AT11" s="159" t="s">
        <v>41</v>
      </c>
      <c r="AU11" s="43" t="s">
        <v>42</v>
      </c>
      <c r="AV11" s="158" t="s">
        <v>43</v>
      </c>
      <c r="AW11" s="38" t="s">
        <v>44</v>
      </c>
      <c r="AX11" s="159" t="s">
        <v>45</v>
      </c>
      <c r="AY11" s="44" t="s">
        <v>46</v>
      </c>
      <c r="AZ11" s="158" t="s">
        <v>47</v>
      </c>
      <c r="BA11" s="38" t="s">
        <v>48</v>
      </c>
      <c r="BB11" s="159" t="s">
        <v>49</v>
      </c>
      <c r="BC11" s="43" t="s">
        <v>50</v>
      </c>
      <c r="BD11" s="158" t="s">
        <v>51</v>
      </c>
      <c r="BE11" s="38" t="s">
        <v>52</v>
      </c>
      <c r="BF11" s="159" t="s">
        <v>53</v>
      </c>
      <c r="BG11" s="44" t="s">
        <v>54</v>
      </c>
      <c r="BH11" s="158" t="s">
        <v>55</v>
      </c>
      <c r="BI11" s="38" t="s">
        <v>56</v>
      </c>
      <c r="BJ11" s="159" t="s">
        <v>57</v>
      </c>
      <c r="BK11" s="48" t="s">
        <v>58</v>
      </c>
      <c r="BL11" s="49" t="s">
        <v>72</v>
      </c>
      <c r="BM11" s="49" t="s">
        <v>60</v>
      </c>
      <c r="BN11" s="162" t="s">
        <v>61</v>
      </c>
      <c r="BO11" s="51" t="s">
        <v>62</v>
      </c>
      <c r="BP11" s="163">
        <v>2025.0</v>
      </c>
      <c r="BQ11" s="53" t="s">
        <v>63</v>
      </c>
      <c r="BR11" s="3"/>
      <c r="BS11" s="3"/>
      <c r="BT11" s="3"/>
      <c r="BU11" s="3"/>
      <c r="BV11" s="3"/>
      <c r="BW11" s="3"/>
    </row>
    <row r="12">
      <c r="A12" s="1"/>
      <c r="B12" s="142"/>
      <c r="C12" s="143"/>
      <c r="D12" s="144"/>
      <c r="E12" s="145"/>
      <c r="F12" s="146"/>
      <c r="G12" s="147"/>
      <c r="H12" s="148"/>
      <c r="I12" s="149"/>
      <c r="J12" s="54"/>
      <c r="K12" s="55"/>
      <c r="L12" s="56"/>
      <c r="M12" s="57"/>
      <c r="N12" s="58"/>
      <c r="O12" s="59"/>
      <c r="P12" s="56"/>
      <c r="Q12" s="57"/>
      <c r="R12" s="58"/>
      <c r="S12" s="59"/>
      <c r="T12" s="56"/>
      <c r="U12" s="57"/>
      <c r="V12" s="58"/>
      <c r="W12" s="59"/>
      <c r="X12" s="56"/>
      <c r="Y12" s="57"/>
      <c r="Z12" s="58"/>
      <c r="AA12" s="58"/>
      <c r="AB12" s="59"/>
      <c r="AC12" s="62"/>
      <c r="AD12" s="64"/>
      <c r="AE12" s="63"/>
      <c r="AF12" s="58"/>
      <c r="AG12" s="65"/>
      <c r="AH12" s="59"/>
      <c r="AI12" s="62"/>
      <c r="AJ12" s="63" t="s">
        <v>70</v>
      </c>
      <c r="AK12" s="58"/>
      <c r="AL12" s="59"/>
      <c r="AM12" s="62"/>
      <c r="AN12" s="63" t="s">
        <v>70</v>
      </c>
      <c r="AO12" s="58"/>
      <c r="AP12" s="59"/>
      <c r="AQ12" s="62"/>
      <c r="AR12" s="63"/>
      <c r="AS12" s="58"/>
      <c r="AT12" s="59"/>
      <c r="AU12" s="62"/>
      <c r="AV12" s="63"/>
      <c r="AW12" s="58"/>
      <c r="AX12" s="59"/>
      <c r="AY12" s="62"/>
      <c r="AZ12" s="63"/>
      <c r="BA12" s="58"/>
      <c r="BB12" s="59"/>
      <c r="BC12" s="62"/>
      <c r="BD12" s="63"/>
      <c r="BE12" s="58"/>
      <c r="BF12" s="59"/>
      <c r="BG12" s="62"/>
      <c r="BH12" s="63"/>
      <c r="BI12" s="58"/>
      <c r="BJ12" s="59"/>
      <c r="BK12" s="164"/>
      <c r="BL12" s="67"/>
      <c r="BM12" s="67"/>
      <c r="BN12" s="68"/>
      <c r="BO12" s="69"/>
      <c r="BP12" s="165"/>
      <c r="BQ12" s="71"/>
      <c r="BR12" s="3"/>
      <c r="BS12" s="3"/>
      <c r="BT12" s="3"/>
      <c r="BU12" s="3"/>
      <c r="BV12" s="3"/>
      <c r="BW12" s="3"/>
    </row>
    <row r="13">
      <c r="A13" s="1"/>
      <c r="B13" s="142">
        <v>3.0</v>
      </c>
      <c r="C13" s="143" t="s">
        <v>73</v>
      </c>
      <c r="D13" s="144"/>
      <c r="E13" s="145"/>
      <c r="F13" s="146"/>
      <c r="G13" s="147"/>
      <c r="H13" s="148"/>
      <c r="I13" s="149"/>
      <c r="J13" s="72" t="s">
        <v>64</v>
      </c>
      <c r="K13" s="73"/>
      <c r="L13" s="74" t="s">
        <v>63</v>
      </c>
      <c r="M13" s="75" t="s">
        <v>63</v>
      </c>
      <c r="N13" s="76" t="s">
        <v>63</v>
      </c>
      <c r="O13" s="77" t="s">
        <v>65</v>
      </c>
      <c r="P13" s="74" t="s">
        <v>63</v>
      </c>
      <c r="Q13" s="75"/>
      <c r="R13" s="76" t="s">
        <v>63</v>
      </c>
      <c r="S13" s="77" t="s">
        <v>65</v>
      </c>
      <c r="T13" s="74" t="s">
        <v>63</v>
      </c>
      <c r="U13" s="75"/>
      <c r="V13" s="76" t="s">
        <v>63</v>
      </c>
      <c r="W13" s="77" t="s">
        <v>65</v>
      </c>
      <c r="X13" s="74" t="s">
        <v>63</v>
      </c>
      <c r="Y13" s="75"/>
      <c r="Z13" s="76"/>
      <c r="AA13" s="76" t="s">
        <v>63</v>
      </c>
      <c r="AB13" s="77" t="s">
        <v>65</v>
      </c>
      <c r="AC13" s="80">
        <v>0.01</v>
      </c>
      <c r="AD13" s="82"/>
      <c r="AE13" s="81">
        <f>AE14/(BK14-(L14+P14+T14+X14))</f>
        <v>0.000267215</v>
      </c>
      <c r="AF13" s="76" t="s">
        <v>63</v>
      </c>
      <c r="AG13" s="83"/>
      <c r="AH13" s="77" t="s">
        <v>65</v>
      </c>
      <c r="AI13" s="80">
        <v>0.02</v>
      </c>
      <c r="AJ13" s="81">
        <v>0.0018637349999999998</v>
      </c>
      <c r="AK13" s="76" t="s">
        <v>63</v>
      </c>
      <c r="AL13" s="77" t="s">
        <v>65</v>
      </c>
      <c r="AM13" s="80">
        <v>0.05</v>
      </c>
      <c r="AN13" s="81">
        <v>8.449E-5</v>
      </c>
      <c r="AO13" s="76" t="s">
        <v>63</v>
      </c>
      <c r="AP13" s="77" t="s">
        <v>65</v>
      </c>
      <c r="AQ13" s="80">
        <v>0.1</v>
      </c>
      <c r="AR13" s="81">
        <f>AR14/(BK14-(L14+P14+T14+X14))</f>
        <v>0</v>
      </c>
      <c r="AS13" s="76" t="s">
        <v>63</v>
      </c>
      <c r="AT13" s="77" t="s">
        <v>65</v>
      </c>
      <c r="AU13" s="80">
        <v>0.12</v>
      </c>
      <c r="AV13" s="81">
        <f>AV14/(BK14-(L14+P14+T14+X14))</f>
        <v>0</v>
      </c>
      <c r="AW13" s="76" t="s">
        <v>63</v>
      </c>
      <c r="AX13" s="77" t="s">
        <v>65</v>
      </c>
      <c r="AY13" s="80">
        <v>0.2</v>
      </c>
      <c r="AZ13" s="81">
        <f>AZ14/(BK14-(L14+P14+T14+X14))</f>
        <v>0</v>
      </c>
      <c r="BA13" s="76" t="s">
        <v>63</v>
      </c>
      <c r="BB13" s="77" t="s">
        <v>65</v>
      </c>
      <c r="BC13" s="80">
        <v>0.25</v>
      </c>
      <c r="BD13" s="81">
        <f>BD14/(BK14-(L14+P14+T14+X14))</f>
        <v>0</v>
      </c>
      <c r="BE13" s="76" t="s">
        <v>63</v>
      </c>
      <c r="BF13" s="77" t="s">
        <v>65</v>
      </c>
      <c r="BG13" s="80">
        <v>0.25</v>
      </c>
      <c r="BH13" s="81">
        <f>BH14/(BK14-(L14+P14+T14+X14))</f>
        <v>0</v>
      </c>
      <c r="BI13" s="76" t="s">
        <v>63</v>
      </c>
      <c r="BJ13" s="77" t="s">
        <v>65</v>
      </c>
      <c r="BK13" s="166">
        <f>SUM(AC13,AI13,AM13,AQ13,AU13,AY13,BC13,BG13)</f>
        <v>1</v>
      </c>
      <c r="BL13" s="85">
        <f>SUM(AC13,AI13)</f>
        <v>0.03</v>
      </c>
      <c r="BM13" s="86">
        <f>SUM(T13,X13,AC13,AI13,AM13)</f>
        <v>0.08</v>
      </c>
      <c r="BN13" s="87">
        <f>SUM(AE13,AJ13,AN13,AR13,AV13,AZ13,BD13,BH13)</f>
        <v>0.00221544</v>
      </c>
      <c r="BO13" s="88"/>
      <c r="BP13" s="89" t="s">
        <v>63</v>
      </c>
      <c r="BQ13" s="71"/>
      <c r="BR13" s="3"/>
      <c r="BS13" s="3"/>
      <c r="BT13" s="3"/>
      <c r="BU13" s="3"/>
      <c r="BV13" s="3"/>
      <c r="BW13" s="3"/>
    </row>
    <row r="14">
      <c r="A14" s="1"/>
      <c r="B14" s="142"/>
      <c r="C14" s="143"/>
      <c r="D14" s="144"/>
      <c r="E14" s="145"/>
      <c r="F14" s="146"/>
      <c r="G14" s="147"/>
      <c r="H14" s="148"/>
      <c r="I14" s="149"/>
      <c r="J14" s="72" t="s">
        <v>66</v>
      </c>
      <c r="K14" s="73"/>
      <c r="L14" s="167">
        <v>0.0</v>
      </c>
      <c r="M14" s="91">
        <v>345.44</v>
      </c>
      <c r="N14" s="92">
        <f t="shared" ref="N14:N17" si="41">IFERROR(M14-L14,"-")</f>
        <v>345.44</v>
      </c>
      <c r="O14" s="93" t="str">
        <f t="shared" ref="O14:O17" si="42">IFERROR(M14/L14-1,"-")</f>
        <v>-</v>
      </c>
      <c r="P14" s="167">
        <v>0.0</v>
      </c>
      <c r="Q14" s="91">
        <v>511.94</v>
      </c>
      <c r="R14" s="92">
        <f t="shared" ref="R14:R17" si="43">IFERROR(Q14-P14,"-")</f>
        <v>511.94</v>
      </c>
      <c r="S14" s="93" t="str">
        <f t="shared" ref="S14:S17" si="44">IFERROR(Q14/P14-1,"-")</f>
        <v>-</v>
      </c>
      <c r="T14" s="90">
        <v>0.0</v>
      </c>
      <c r="U14" s="91">
        <v>724.91</v>
      </c>
      <c r="V14" s="92">
        <f t="shared" ref="V14:V17" si="45">IFERROR(U14-T14,"-")</f>
        <v>724.91</v>
      </c>
      <c r="W14" s="93" t="str">
        <f t="shared" ref="W14:W17" si="46">IFERROR(U14/T14-1,"-")</f>
        <v>-</v>
      </c>
      <c r="X14" s="90">
        <v>0.0</v>
      </c>
      <c r="Y14" s="91">
        <v>682.92</v>
      </c>
      <c r="Z14" s="92"/>
      <c r="AA14" s="92">
        <f t="shared" ref="AA14:AA17" si="47">IFERROR(Y14-X14,"-")</f>
        <v>682.92</v>
      </c>
      <c r="AB14" s="93" t="str">
        <f t="shared" ref="AB14:AB17" si="48">IFERROR(Y14/X14-1,"-")</f>
        <v>-</v>
      </c>
      <c r="AC14" s="96">
        <f>($BK$14-($L$14+$P$14+T14+X14))*AC13</f>
        <v>20000</v>
      </c>
      <c r="AD14" s="98"/>
      <c r="AE14" s="91">
        <v>534.43</v>
      </c>
      <c r="AF14" s="92">
        <f t="shared" ref="AF14:AF17" si="49">IFERROR(AE14-AC14,"-")</f>
        <v>-19465.57</v>
      </c>
      <c r="AG14" s="99"/>
      <c r="AH14" s="93">
        <f t="shared" ref="AH14:AH17" si="50">IFERROR(AE14/AC14-1,"-")</f>
        <v>-0.9732785</v>
      </c>
      <c r="AI14" s="96">
        <f>($BK$14-($L$14+$P$14+$T$14+$X$14))*AI13</f>
        <v>40000</v>
      </c>
      <c r="AJ14" s="100">
        <v>3727.4700000000003</v>
      </c>
      <c r="AK14" s="92">
        <f t="shared" ref="AK14:AK17" si="51">IFERROR(AJ14-AI14,"-")</f>
        <v>-36272.53</v>
      </c>
      <c r="AL14" s="93">
        <f t="shared" ref="AL14:AL17" si="52">IFERROR(AJ14/AI14-1,"-")</f>
        <v>-0.90681325</v>
      </c>
      <c r="AM14" s="96">
        <f>($BK$14-($L$14+$P$14+$T$14+$X$14))*AM13</f>
        <v>100000</v>
      </c>
      <c r="AN14" s="91">
        <v>168.98</v>
      </c>
      <c r="AO14" s="92">
        <f t="shared" ref="AO14:AO17" si="53">IFERROR(AN14-AM14,"-")</f>
        <v>-99831.02</v>
      </c>
      <c r="AP14" s="93">
        <f t="shared" ref="AP14:AP17" si="54">IFERROR(AN14/AM14-1,"-")</f>
        <v>-0.9983102</v>
      </c>
      <c r="AQ14" s="96">
        <f>($BK$14-($L$14+$P$14+$T$14+$X$14))*AQ13</f>
        <v>200000</v>
      </c>
      <c r="AR14" s="91"/>
      <c r="AS14" s="92">
        <f t="shared" ref="AS14:AS17" si="55">IFERROR(AR14-AQ14,"-")</f>
        <v>-200000</v>
      </c>
      <c r="AT14" s="93">
        <f t="shared" ref="AT14:AT17" si="56">IFERROR(AR14/AQ14-1,"-")</f>
        <v>-1</v>
      </c>
      <c r="AU14" s="96">
        <f>($BK$14-($L$14+$P$14+$T$14+$X$14))*AU13</f>
        <v>240000</v>
      </c>
      <c r="AV14" s="91"/>
      <c r="AW14" s="92">
        <f t="shared" ref="AW14:AW17" si="57">IFERROR(AV14-AU14,"-")</f>
        <v>-240000</v>
      </c>
      <c r="AX14" s="93">
        <f t="shared" ref="AX14:AX17" si="58">IFERROR(AV14/AU14-1,"-")</f>
        <v>-1</v>
      </c>
      <c r="AY14" s="96">
        <f>($BK$14-($L$14+$P$14+$T$14+$X$14))*AY13</f>
        <v>400000</v>
      </c>
      <c r="AZ14" s="91"/>
      <c r="BA14" s="92">
        <f t="shared" ref="BA14:BA17" si="59">IFERROR(AZ14-AY14,"-")</f>
        <v>-400000</v>
      </c>
      <c r="BB14" s="93">
        <f t="shared" ref="BB14:BB17" si="60">IFERROR(AZ14/AY14-1,"-")</f>
        <v>-1</v>
      </c>
      <c r="BC14" s="96">
        <f>($BK$14-($L$14+$P$14+$T$14+$X$14))*BC13</f>
        <v>500000</v>
      </c>
      <c r="BD14" s="91"/>
      <c r="BE14" s="92">
        <f t="shared" ref="BE14:BE17" si="61">IFERROR(BD14-BC14,"-")</f>
        <v>-500000</v>
      </c>
      <c r="BF14" s="93">
        <f t="shared" ref="BF14:BF17" si="62">IFERROR(BD14/BC14-1,"-")</f>
        <v>-1</v>
      </c>
      <c r="BG14" s="96">
        <f>($BK$14-($L$14+$P$14+$T$14+$X$14))*BG13</f>
        <v>500000</v>
      </c>
      <c r="BH14" s="91"/>
      <c r="BI14" s="92">
        <f t="shared" ref="BI14:BI17" si="63">IFERROR(BH14-BG14,"-")</f>
        <v>-500000</v>
      </c>
      <c r="BJ14" s="93">
        <f t="shared" ref="BJ14:BJ17" si="64">IFERROR(BH14/BG14-1,"-")</f>
        <v>-1</v>
      </c>
      <c r="BK14" s="168">
        <v>2000000.0</v>
      </c>
      <c r="BL14" s="169">
        <f t="shared" ref="BL14:BL15" si="65">SUM(L14,P14,T14,X14,AC14,AI14)</f>
        <v>60000</v>
      </c>
      <c r="BM14" s="103">
        <f t="shared" ref="BM14:BM15" si="66">SUM(L14,P14,T14,X14,AC14,AI14,AM14)</f>
        <v>160000</v>
      </c>
      <c r="BN14" s="170">
        <f t="shared" ref="BN14:BN15" si="67">SUM(M14,Q14,U14,Y14,AE14,AJ14,AN14,AR14,AV14,AZ14,BD14,BH14)</f>
        <v>6696.09</v>
      </c>
      <c r="BO14" s="104">
        <f t="shared" ref="BO14:BO17" si="68">IFERROR(BN14/BK14-1,"-")</f>
        <v>-0.996651955</v>
      </c>
      <c r="BP14" s="105" t="s">
        <v>63</v>
      </c>
      <c r="BQ14" s="106" t="str">
        <f t="shared" ref="BQ14:BQ15" si="69">IFERROR((BK14/BP14),"-")</f>
        <v>-</v>
      </c>
      <c r="BR14" s="3"/>
      <c r="BS14" s="3"/>
      <c r="BT14" s="3"/>
      <c r="BU14" s="3"/>
      <c r="BV14" s="3"/>
      <c r="BW14" s="3"/>
    </row>
    <row r="15">
      <c r="A15" s="1"/>
      <c r="B15" s="142"/>
      <c r="C15" s="143"/>
      <c r="D15" s="144"/>
      <c r="E15" s="145"/>
      <c r="F15" s="146"/>
      <c r="G15" s="147"/>
      <c r="H15" s="148"/>
      <c r="I15" s="149"/>
      <c r="J15" s="72" t="s">
        <v>67</v>
      </c>
      <c r="K15" s="107"/>
      <c r="L15" s="171">
        <v>0.0</v>
      </c>
      <c r="M15" s="109">
        <v>15.0</v>
      </c>
      <c r="N15" s="110">
        <f t="shared" si="41"/>
        <v>15</v>
      </c>
      <c r="O15" s="93" t="str">
        <f t="shared" si="42"/>
        <v>-</v>
      </c>
      <c r="P15" s="171">
        <v>0.0</v>
      </c>
      <c r="Q15" s="109">
        <v>8.0</v>
      </c>
      <c r="R15" s="110">
        <f t="shared" si="43"/>
        <v>8</v>
      </c>
      <c r="S15" s="93" t="str">
        <f t="shared" si="44"/>
        <v>-</v>
      </c>
      <c r="T15" s="108">
        <f>T14/$K$16</f>
        <v>0</v>
      </c>
      <c r="U15" s="109">
        <v>9.0</v>
      </c>
      <c r="V15" s="110">
        <f t="shared" si="45"/>
        <v>9</v>
      </c>
      <c r="W15" s="93" t="str">
        <f t="shared" si="46"/>
        <v>-</v>
      </c>
      <c r="X15" s="108">
        <f>X14/$K$16</f>
        <v>0</v>
      </c>
      <c r="Y15" s="109">
        <v>11.0</v>
      </c>
      <c r="Z15" s="110"/>
      <c r="AA15" s="110">
        <f t="shared" si="47"/>
        <v>11</v>
      </c>
      <c r="AB15" s="93" t="str">
        <f t="shared" si="48"/>
        <v>-</v>
      </c>
      <c r="AC15" s="112">
        <f>AC14/$K$16</f>
        <v>666.6666667</v>
      </c>
      <c r="AD15" s="113"/>
      <c r="AE15" s="109">
        <v>11.0</v>
      </c>
      <c r="AF15" s="110">
        <f t="shared" si="49"/>
        <v>-655.6666667</v>
      </c>
      <c r="AG15" s="99"/>
      <c r="AH15" s="93">
        <f t="shared" si="50"/>
        <v>-0.9835</v>
      </c>
      <c r="AI15" s="112">
        <f>AI14/$K$16</f>
        <v>1333.333333</v>
      </c>
      <c r="AJ15" s="114">
        <v>154.0</v>
      </c>
      <c r="AK15" s="110">
        <f t="shared" si="51"/>
        <v>-1179.333333</v>
      </c>
      <c r="AL15" s="93">
        <f t="shared" si="52"/>
        <v>-0.8845</v>
      </c>
      <c r="AM15" s="112">
        <f>AM14/$K$16</f>
        <v>3333.333333</v>
      </c>
      <c r="AN15" s="109">
        <v>5.0</v>
      </c>
      <c r="AO15" s="110">
        <f t="shared" si="53"/>
        <v>-3328.333333</v>
      </c>
      <c r="AP15" s="93">
        <f t="shared" si="54"/>
        <v>-0.9985</v>
      </c>
      <c r="AQ15" s="112">
        <f>AQ14/$K$16</f>
        <v>6666.666667</v>
      </c>
      <c r="AR15" s="109"/>
      <c r="AS15" s="110">
        <f t="shared" si="55"/>
        <v>-6666.666667</v>
      </c>
      <c r="AT15" s="93">
        <f t="shared" si="56"/>
        <v>-1</v>
      </c>
      <c r="AU15" s="112">
        <f>AU14/$K$16</f>
        <v>8000</v>
      </c>
      <c r="AV15" s="109"/>
      <c r="AW15" s="110">
        <f t="shared" si="57"/>
        <v>-8000</v>
      </c>
      <c r="AX15" s="93">
        <f t="shared" si="58"/>
        <v>-1</v>
      </c>
      <c r="AY15" s="112">
        <f>AY14/$K$16</f>
        <v>13333.33333</v>
      </c>
      <c r="AZ15" s="109"/>
      <c r="BA15" s="110">
        <f t="shared" si="59"/>
        <v>-13333.33333</v>
      </c>
      <c r="BB15" s="93">
        <f t="shared" si="60"/>
        <v>-1</v>
      </c>
      <c r="BC15" s="112">
        <f>BC14/$K$16</f>
        <v>16666.66667</v>
      </c>
      <c r="BD15" s="109"/>
      <c r="BE15" s="110">
        <f t="shared" si="61"/>
        <v>-16666.66667</v>
      </c>
      <c r="BF15" s="93">
        <f t="shared" si="62"/>
        <v>-1</v>
      </c>
      <c r="BG15" s="112">
        <f>BG14/$K$16</f>
        <v>16666.66667</v>
      </c>
      <c r="BH15" s="109"/>
      <c r="BI15" s="110">
        <f t="shared" si="63"/>
        <v>-16666.66667</v>
      </c>
      <c r="BJ15" s="93">
        <f t="shared" si="64"/>
        <v>-1</v>
      </c>
      <c r="BK15" s="172">
        <f>SUM(L15,P15,T15,X15,AC15,AI15,AM15,AQ15,AU15,AY15,BC15,BG15)</f>
        <v>66666.66667</v>
      </c>
      <c r="BL15" s="173">
        <f t="shared" si="65"/>
        <v>2000</v>
      </c>
      <c r="BM15" s="117">
        <f t="shared" si="66"/>
        <v>5333.333333</v>
      </c>
      <c r="BN15" s="174">
        <f t="shared" si="67"/>
        <v>213</v>
      </c>
      <c r="BO15" s="104">
        <f t="shared" si="68"/>
        <v>-0.996805</v>
      </c>
      <c r="BP15" s="119" t="s">
        <v>63</v>
      </c>
      <c r="BQ15" s="106" t="str">
        <f t="shared" si="69"/>
        <v>-</v>
      </c>
      <c r="BR15" s="3"/>
      <c r="BS15" s="3"/>
      <c r="BT15" s="4"/>
      <c r="BU15" s="3"/>
      <c r="BV15" s="3"/>
      <c r="BW15" s="3"/>
    </row>
    <row r="16">
      <c r="A16" s="1"/>
      <c r="B16" s="142"/>
      <c r="C16" s="143"/>
      <c r="D16" s="144"/>
      <c r="E16" s="145"/>
      <c r="F16" s="146"/>
      <c r="G16" s="147"/>
      <c r="H16" s="148"/>
      <c r="I16" s="149"/>
      <c r="J16" s="72" t="s">
        <v>68</v>
      </c>
      <c r="K16" s="107">
        <v>30.0</v>
      </c>
      <c r="L16" s="167">
        <v>30.0</v>
      </c>
      <c r="M16" s="91">
        <f>IFERROR(M14/M15,"-")</f>
        <v>23.02933333</v>
      </c>
      <c r="N16" s="92">
        <f t="shared" si="41"/>
        <v>-6.970666667</v>
      </c>
      <c r="O16" s="93">
        <f t="shared" si="42"/>
        <v>-0.2323555556</v>
      </c>
      <c r="P16" s="167">
        <v>30.0</v>
      </c>
      <c r="Q16" s="91">
        <f>IFERROR(Q14/Q15,"-")</f>
        <v>63.9925</v>
      </c>
      <c r="R16" s="92">
        <f t="shared" si="43"/>
        <v>33.9925</v>
      </c>
      <c r="S16" s="93">
        <f t="shared" si="44"/>
        <v>1.133083333</v>
      </c>
      <c r="T16" s="90">
        <v>30.0</v>
      </c>
      <c r="U16" s="91">
        <f>IFERROR(U14/U15,"-")</f>
        <v>80.54555556</v>
      </c>
      <c r="V16" s="92">
        <f t="shared" si="45"/>
        <v>50.54555556</v>
      </c>
      <c r="W16" s="93">
        <f t="shared" si="46"/>
        <v>1.684851852</v>
      </c>
      <c r="X16" s="90">
        <v>30.0</v>
      </c>
      <c r="Y16" s="91">
        <f>IFERROR(Y14/Y15,"-")</f>
        <v>62.08363636</v>
      </c>
      <c r="Z16" s="92"/>
      <c r="AA16" s="92">
        <f t="shared" si="47"/>
        <v>32.08363636</v>
      </c>
      <c r="AB16" s="93">
        <f t="shared" si="48"/>
        <v>1.069454545</v>
      </c>
      <c r="AC16" s="96">
        <f>AC14/AC15</f>
        <v>30</v>
      </c>
      <c r="AD16" s="98"/>
      <c r="AE16" s="91">
        <f>IFERROR(AE14/AE15,"-")</f>
        <v>48.58454545</v>
      </c>
      <c r="AF16" s="92">
        <f t="shared" si="49"/>
        <v>18.58454545</v>
      </c>
      <c r="AG16" s="99"/>
      <c r="AH16" s="93">
        <f t="shared" si="50"/>
        <v>0.6194848485</v>
      </c>
      <c r="AI16" s="96">
        <f>AI14/AI15</f>
        <v>30</v>
      </c>
      <c r="AJ16" s="91">
        <v>24.20435064935065</v>
      </c>
      <c r="AK16" s="92">
        <f t="shared" si="51"/>
        <v>-5.795649351</v>
      </c>
      <c r="AL16" s="93">
        <f t="shared" si="52"/>
        <v>-0.1931883117</v>
      </c>
      <c r="AM16" s="96">
        <f>AM14/AM15</f>
        <v>30</v>
      </c>
      <c r="AN16" s="91">
        <v>33.796</v>
      </c>
      <c r="AO16" s="92">
        <f t="shared" si="53"/>
        <v>3.796</v>
      </c>
      <c r="AP16" s="93">
        <f t="shared" si="54"/>
        <v>0.1265333333</v>
      </c>
      <c r="AQ16" s="96">
        <f>AQ14/AQ15</f>
        <v>30</v>
      </c>
      <c r="AR16" s="91" t="str">
        <f>IFERROR(AR14/AR15,"-")</f>
        <v>-</v>
      </c>
      <c r="AS16" s="92" t="str">
        <f t="shared" si="55"/>
        <v>-</v>
      </c>
      <c r="AT16" s="93" t="str">
        <f t="shared" si="56"/>
        <v>-</v>
      </c>
      <c r="AU16" s="96">
        <f>AU14/AU15</f>
        <v>30</v>
      </c>
      <c r="AV16" s="91" t="str">
        <f>IFERROR(AV14/AV15,"-")</f>
        <v>-</v>
      </c>
      <c r="AW16" s="92" t="str">
        <f t="shared" si="57"/>
        <v>-</v>
      </c>
      <c r="AX16" s="93" t="str">
        <f t="shared" si="58"/>
        <v>-</v>
      </c>
      <c r="AY16" s="96">
        <f>AY14/AY15</f>
        <v>30</v>
      </c>
      <c r="AZ16" s="91" t="str">
        <f>IFERROR(AZ14/AZ15,"-")</f>
        <v>-</v>
      </c>
      <c r="BA16" s="92" t="str">
        <f t="shared" si="59"/>
        <v>-</v>
      </c>
      <c r="BB16" s="93" t="str">
        <f t="shared" si="60"/>
        <v>-</v>
      </c>
      <c r="BC16" s="96">
        <f>BC14/BC15</f>
        <v>30</v>
      </c>
      <c r="BD16" s="91" t="str">
        <f>IFERROR(BD14/BD15,"-")</f>
        <v>-</v>
      </c>
      <c r="BE16" s="92" t="str">
        <f t="shared" si="61"/>
        <v>-</v>
      </c>
      <c r="BF16" s="93" t="str">
        <f t="shared" si="62"/>
        <v>-</v>
      </c>
      <c r="BG16" s="96">
        <f>BG14/BG15</f>
        <v>30</v>
      </c>
      <c r="BH16" s="91" t="str">
        <f>IFERROR(BH14/BH15,"-")</f>
        <v>-</v>
      </c>
      <c r="BI16" s="92" t="str">
        <f t="shared" si="63"/>
        <v>-</v>
      </c>
      <c r="BJ16" s="93" t="str">
        <f t="shared" si="64"/>
        <v>-</v>
      </c>
      <c r="BK16" s="175">
        <f>BK14/BK15</f>
        <v>30</v>
      </c>
      <c r="BL16" s="176">
        <f t="shared" ref="BL16:BM16" si="70">IFERROR(BL14/BL15,"-")</f>
        <v>30</v>
      </c>
      <c r="BM16" s="122">
        <f t="shared" si="70"/>
        <v>30</v>
      </c>
      <c r="BN16" s="177">
        <f>BN14/BN15</f>
        <v>31.43704225</v>
      </c>
      <c r="BO16" s="104">
        <f t="shared" si="68"/>
        <v>0.04790140845</v>
      </c>
      <c r="BP16" s="105" t="s">
        <v>63</v>
      </c>
      <c r="BQ16" s="178"/>
      <c r="BR16" s="3"/>
      <c r="BS16" s="3"/>
      <c r="BT16" s="3"/>
      <c r="BU16" s="3"/>
      <c r="BV16" s="3"/>
      <c r="BW16" s="3"/>
    </row>
    <row r="17">
      <c r="A17" s="1"/>
      <c r="B17" s="142"/>
      <c r="C17" s="143"/>
      <c r="D17" s="144"/>
      <c r="E17" s="145"/>
      <c r="F17" s="146"/>
      <c r="G17" s="147"/>
      <c r="H17" s="148"/>
      <c r="I17" s="149"/>
      <c r="J17" s="124" t="s">
        <v>69</v>
      </c>
      <c r="K17" s="179">
        <v>1.4</v>
      </c>
      <c r="L17" s="132">
        <f t="shared" ref="L17:M17" si="71">IF(L15=0, 0,
  MIN(L15, 10000) * 1.4 +
  MAX(0, MIN(L15, 25000) - 10000) * 1.25 +
  MAX(0, MIN(L15, 50000) - 25000) * 1.15 +
  MAX(0, MIN(L15, 100000) - 50000) * 0.9 +
  MAX(0, MIN(L15, 150000) - 100000) * 0.8 +
  MAX(0, L15 - 150000) * 0.7
)</f>
        <v>0</v>
      </c>
      <c r="M17" s="127">
        <f t="shared" si="71"/>
        <v>21</v>
      </c>
      <c r="N17" s="128">
        <f t="shared" si="41"/>
        <v>21</v>
      </c>
      <c r="O17" s="129" t="str">
        <f t="shared" si="42"/>
        <v>-</v>
      </c>
      <c r="P17" s="132">
        <f t="shared" ref="P17:Q17" si="72">IF(P15=0, 0,
  MIN(P15, 10000) * 1.4 +
  MAX(0, MIN(P15, 25000) - 10000) * 1.25 +
  MAX(0, MIN(P15, 50000) - 25000) * 1.15 +
  MAX(0, MIN(P15, 100000) - 50000) * 0.9 +
  MAX(0, MIN(P15, 150000) - 100000) * 0.8 +
  MAX(0, P15 - 150000) * 0.7
)</f>
        <v>0</v>
      </c>
      <c r="Q17" s="127">
        <f t="shared" si="72"/>
        <v>11.2</v>
      </c>
      <c r="R17" s="128">
        <f t="shared" si="43"/>
        <v>11.2</v>
      </c>
      <c r="S17" s="129" t="str">
        <f t="shared" si="44"/>
        <v>-</v>
      </c>
      <c r="T17" s="132">
        <f t="shared" ref="T17:U17" si="73">IF(T15=0, 0,
  MIN(T15, 10000) * 1.4 +
  MAX(0, MIN(T15, 25000) - 10000) * 1.25 +
  MAX(0, MIN(T15, 50000) - 25000) * 1.15 +
  MAX(0, MIN(T15, 100000) - 50000) * 0.9 +
  MAX(0, MIN(T15, 150000) - 100000) * 0.8 +
  MAX(0, T15 - 150000) * 0.7
)</f>
        <v>0</v>
      </c>
      <c r="U17" s="127">
        <f t="shared" si="73"/>
        <v>12.6</v>
      </c>
      <c r="V17" s="128">
        <f t="shared" si="45"/>
        <v>12.6</v>
      </c>
      <c r="W17" s="129" t="str">
        <f t="shared" si="46"/>
        <v>-</v>
      </c>
      <c r="X17" s="132">
        <f t="shared" ref="X17:Y17" si="74">IF(X15=0, 0,
  MIN(X15, 10000) * 1.4 +
  MAX(0, MIN(X15, 25000) - 10000) * 1.25 +
  MAX(0, MIN(X15, 50000) - 25000) * 1.15 +
  MAX(0, MIN(X15, 100000) - 50000) * 0.9 +
  MAX(0, MIN(X15, 150000) - 100000) * 0.8 +
  MAX(0, X15 - 150000) * 0.7
)</f>
        <v>0</v>
      </c>
      <c r="Y17" s="127">
        <f t="shared" si="74"/>
        <v>15.4</v>
      </c>
      <c r="Z17" s="128"/>
      <c r="AA17" s="128">
        <f t="shared" si="47"/>
        <v>15.4</v>
      </c>
      <c r="AB17" s="129" t="str">
        <f t="shared" si="48"/>
        <v>-</v>
      </c>
      <c r="AC17" s="132">
        <f>IF(AC15=0, 0,
  MIN(AC15, 10000) * 1.4 +
  MAX(0, MIN(AC15, 25000) - 10000) * 1.25 +
  MAX(0, MIN(AC15, 50000) - 25000) * 1.15 +
  MAX(0, MIN(AC15, 100000) - 50000) * 0.9 +
  MAX(0, MIN(AC15, 150000) - 100000) * 0.8 +
  MAX(0, AC15 - 150000) * 0.7
)</f>
        <v>933.3333333</v>
      </c>
      <c r="AD17" s="180"/>
      <c r="AE17" s="127">
        <f>IF(AE15=0, 0,
  MIN(AE15, 10000) * 1.4 +
  MAX(0, MIN(AE15, 25000) - 10000) * 1.25 +
  MAX(0, MIN(AE15, 50000) - 25000) * 1.15 +
  MAX(0, MIN(AE15, 100000) - 50000) * 0.9 +
  MAX(0, MIN(AE15, 150000) - 100000) * 0.8 +
  MAX(0, AE15 - 150000) * 0.7
)</f>
        <v>15.4</v>
      </c>
      <c r="AF17" s="128">
        <f t="shared" si="49"/>
        <v>-917.9333333</v>
      </c>
      <c r="AG17" s="134"/>
      <c r="AH17" s="129">
        <f t="shared" si="50"/>
        <v>-0.9835</v>
      </c>
      <c r="AI17" s="132">
        <f>IF(AI15=0, 0,
  MIN(AI15, 10000) * 1.4 +
  MAX(0, MIN(AI15, 25000) - 10000) * 1.25 +
  MAX(0, MIN(AI15, 50000) - 25000) * 1.15 +
  MAX(0, MIN(AI15, 100000) - 50000) * 0.9 +
  MAX(0, MIN(AI15, 150000) - 100000) * 0.8 +
  MAX(0, AI15 - 150000) * 0.7
)</f>
        <v>1866.666667</v>
      </c>
      <c r="AJ17" s="127">
        <v>215.6</v>
      </c>
      <c r="AK17" s="128">
        <f t="shared" si="51"/>
        <v>-1651.066667</v>
      </c>
      <c r="AL17" s="129">
        <f t="shared" si="52"/>
        <v>-0.8845</v>
      </c>
      <c r="AM17" s="132">
        <f>IF(AM15=0, 0,
  MIN(AM15, 10000) * 1.4 +
  MAX(0, MIN(AM15, 25000) - 10000) * 1.25 +
  MAX(0, MIN(AM15, 50000) - 25000) * 1.15 +
  MAX(0, MIN(AM15, 100000) - 50000) * 0.9 +
  MAX(0, MIN(AM15, 150000) - 100000) * 0.8 +
  MAX(0, AM15 - 150000) * 0.7
)</f>
        <v>4666.666667</v>
      </c>
      <c r="AN17" s="127">
        <v>7.0</v>
      </c>
      <c r="AO17" s="128">
        <f t="shared" si="53"/>
        <v>-4659.666667</v>
      </c>
      <c r="AP17" s="129">
        <f t="shared" si="54"/>
        <v>-0.9985</v>
      </c>
      <c r="AQ17" s="132">
        <f t="shared" ref="AQ17:AR17" si="75">IF(AQ15=0, 0,
  MIN(AQ15, 10000) * 1.4 +
  MAX(0, MIN(AQ15, 25000) - 10000) * 1.25 +
  MAX(0, MIN(AQ15, 50000) - 25000) * 1.15 +
  MAX(0, MIN(AQ15, 100000) - 50000) * 0.9 +
  MAX(0, MIN(AQ15, 150000) - 100000) * 0.8 +
  MAX(0, AQ15 - 150000) * 0.7
)</f>
        <v>9333.333333</v>
      </c>
      <c r="AR17" s="127">
        <f t="shared" si="75"/>
        <v>0</v>
      </c>
      <c r="AS17" s="128">
        <f t="shared" si="55"/>
        <v>-9333.333333</v>
      </c>
      <c r="AT17" s="129">
        <f t="shared" si="56"/>
        <v>-1</v>
      </c>
      <c r="AU17" s="132">
        <f t="shared" ref="AU17:AV17" si="76">IF(AU15=0, 0,
  MIN(AU15, 10000) * 1.4 +
  MAX(0, MIN(AU15, 25000) - 10000) * 1.25 +
  MAX(0, MIN(AU15, 50000) - 25000) * 1.15 +
  MAX(0, MIN(AU15, 100000) - 50000) * 0.9 +
  MAX(0, MIN(AU15, 150000) - 100000) * 0.8 +
  MAX(0, AU15 - 150000) * 0.7
)</f>
        <v>11200</v>
      </c>
      <c r="AV17" s="127">
        <f t="shared" si="76"/>
        <v>0</v>
      </c>
      <c r="AW17" s="128">
        <f t="shared" si="57"/>
        <v>-11200</v>
      </c>
      <c r="AX17" s="129">
        <f t="shared" si="58"/>
        <v>-1</v>
      </c>
      <c r="AY17" s="132">
        <f t="shared" ref="AY17:AZ17" si="77">IF(AY15=0, 0,
  MIN(AY15, 10000) * 1.4 +
  MAX(0, MIN(AY15, 25000) - 10000) * 1.25 +
  MAX(0, MIN(AY15, 50000) - 25000) * 1.15 +
  MAX(0, MIN(AY15, 100000) - 50000) * 0.9 +
  MAX(0, MIN(AY15, 150000) - 100000) * 0.8 +
  MAX(0, AY15 - 150000) * 0.7
)</f>
        <v>18166.66667</v>
      </c>
      <c r="AZ17" s="127">
        <f t="shared" si="77"/>
        <v>0</v>
      </c>
      <c r="BA17" s="128">
        <f t="shared" si="59"/>
        <v>-18166.66667</v>
      </c>
      <c r="BB17" s="129">
        <f t="shared" si="60"/>
        <v>-1</v>
      </c>
      <c r="BC17" s="132">
        <f t="shared" ref="BC17:BD17" si="78">IF(BC15=0, 0,
  MIN(BC15, 10000) * 1.4 +
  MAX(0, MIN(BC15, 25000) - 10000) * 1.25 +
  MAX(0, MIN(BC15, 50000) - 25000) * 1.15 +
  MAX(0, MIN(BC15, 100000) - 50000) * 0.9 +
  MAX(0, MIN(BC15, 150000) - 100000) * 0.8 +
  MAX(0, BC15 - 150000) * 0.7
)</f>
        <v>22333.33333</v>
      </c>
      <c r="BD17" s="127">
        <f t="shared" si="78"/>
        <v>0</v>
      </c>
      <c r="BE17" s="128">
        <f t="shared" si="61"/>
        <v>-22333.33333</v>
      </c>
      <c r="BF17" s="129">
        <f t="shared" si="62"/>
        <v>-1</v>
      </c>
      <c r="BG17" s="132">
        <f t="shared" ref="BG17:BH17" si="79">IF(BG15=0, 0,
  MIN(BG15, 10000) * 1.4 +
  MAX(0, MIN(BG15, 25000) - 10000) * 1.25 +
  MAX(0, MIN(BG15, 50000) - 25000) * 1.15 +
  MAX(0, MIN(BG15, 100000) - 50000) * 0.9 +
  MAX(0, MIN(BG15, 150000) - 100000) * 0.8 +
  MAX(0, BG15 - 150000) * 0.7
)</f>
        <v>22333.33333</v>
      </c>
      <c r="BH17" s="127">
        <f t="shared" si="79"/>
        <v>0</v>
      </c>
      <c r="BI17" s="128">
        <f t="shared" si="63"/>
        <v>-22333.33333</v>
      </c>
      <c r="BJ17" s="129">
        <f t="shared" si="64"/>
        <v>-1</v>
      </c>
      <c r="BK17" s="181">
        <f>SUM(L17,P17,T17,X17,AC17,AI17,AM17,AQ17,AU17,AY17,BC17,BG17)</f>
        <v>90833.33333</v>
      </c>
      <c r="BL17" s="182">
        <f>SUM(L17,P17,T17,X17,AC17,AI17)</f>
        <v>2800</v>
      </c>
      <c r="BM17" s="137">
        <f>SUM(L17,P17,T17,X17,AC17,AI17,AM17)</f>
        <v>7466.666667</v>
      </c>
      <c r="BN17" s="183">
        <f>SUM(M17,Q17,U17,Y17,AE17,AJ17,AN17,AR17,AV17,AZ17,BD17,BH17)</f>
        <v>298.2</v>
      </c>
      <c r="BO17" s="139">
        <f t="shared" si="68"/>
        <v>-0.9967170642</v>
      </c>
      <c r="BP17" s="140" t="s">
        <v>63</v>
      </c>
      <c r="BQ17" s="141" t="str">
        <f>IFERROR((BK17/BP17),"-")</f>
        <v>-</v>
      </c>
      <c r="BR17" s="3"/>
      <c r="BS17" s="3"/>
      <c r="BT17" s="3"/>
      <c r="BU17" s="3"/>
      <c r="BV17" s="3"/>
      <c r="BW17" s="3"/>
    </row>
    <row r="18">
      <c r="A18" s="1"/>
      <c r="B18" s="142"/>
      <c r="C18" s="143"/>
      <c r="D18" s="144"/>
      <c r="E18" s="145"/>
      <c r="F18" s="146"/>
      <c r="G18" s="147"/>
      <c r="H18" s="148"/>
      <c r="I18" s="149"/>
      <c r="J18" s="13"/>
      <c r="K18" s="184"/>
      <c r="L18" s="185"/>
      <c r="M18" s="185"/>
      <c r="N18" s="185"/>
      <c r="O18" s="185"/>
      <c r="P18" s="185"/>
      <c r="Q18" s="23"/>
      <c r="R18" s="185"/>
      <c r="S18" s="185"/>
      <c r="T18" s="185"/>
      <c r="U18" s="185"/>
      <c r="V18" s="185"/>
      <c r="W18" s="185"/>
      <c r="X18" s="186"/>
      <c r="Y18" s="14"/>
      <c r="Z18" s="15"/>
      <c r="AA18" s="15"/>
      <c r="AB18" s="3"/>
      <c r="AC18" s="3"/>
      <c r="AD18" s="3"/>
      <c r="AE18" s="3"/>
      <c r="AF18" s="3"/>
      <c r="AG18" s="3"/>
      <c r="AH18" s="3"/>
      <c r="AI18" s="3"/>
      <c r="AJ18" s="25" t="s">
        <v>70</v>
      </c>
      <c r="AK18" s="25"/>
      <c r="AL18" s="25"/>
      <c r="AM18" s="25"/>
      <c r="AN18" s="25" t="s">
        <v>70</v>
      </c>
      <c r="AO18" s="25"/>
      <c r="AP18" s="25"/>
      <c r="AQ18" s="25"/>
      <c r="AR18" s="25"/>
      <c r="AS18" s="25"/>
      <c r="AT18" s="25"/>
      <c r="AU18" s="25"/>
      <c r="AV18" s="25"/>
      <c r="AW18" s="25"/>
      <c r="AX18" s="25"/>
      <c r="AY18" s="187"/>
      <c r="AZ18" s="25"/>
      <c r="BA18" s="188"/>
      <c r="BB18" s="25"/>
    </row>
    <row r="19">
      <c r="A19" s="1"/>
      <c r="B19" s="142"/>
      <c r="C19" s="143"/>
      <c r="D19" s="144"/>
      <c r="E19" s="145"/>
      <c r="F19" s="146"/>
      <c r="G19" s="147"/>
      <c r="H19" s="148"/>
      <c r="I19" s="189"/>
      <c r="J19" s="34" t="s">
        <v>74</v>
      </c>
      <c r="K19" s="35"/>
      <c r="L19" s="36" t="s">
        <v>10</v>
      </c>
      <c r="M19" s="37" t="s">
        <v>11</v>
      </c>
      <c r="N19" s="38" t="s">
        <v>12</v>
      </c>
      <c r="O19" s="39" t="s">
        <v>13</v>
      </c>
      <c r="P19" s="190" t="s">
        <v>14</v>
      </c>
      <c r="Q19" s="37" t="s">
        <v>15</v>
      </c>
      <c r="R19" s="38" t="s">
        <v>16</v>
      </c>
      <c r="S19" s="39" t="s">
        <v>17</v>
      </c>
      <c r="T19" s="191" t="s">
        <v>18</v>
      </c>
      <c r="U19" s="37" t="s">
        <v>19</v>
      </c>
      <c r="V19" s="38" t="s">
        <v>20</v>
      </c>
      <c r="W19" s="39" t="s">
        <v>21</v>
      </c>
      <c r="X19" s="157" t="s">
        <v>22</v>
      </c>
      <c r="Y19" s="41" t="s">
        <v>23</v>
      </c>
      <c r="Z19" s="38"/>
      <c r="AA19" s="38" t="s">
        <v>24</v>
      </c>
      <c r="AB19" s="45" t="s">
        <v>25</v>
      </c>
      <c r="AC19" s="43" t="s">
        <v>26</v>
      </c>
      <c r="AD19" s="46"/>
      <c r="AE19" s="41" t="s">
        <v>27</v>
      </c>
      <c r="AF19" s="38" t="s">
        <v>28</v>
      </c>
      <c r="AG19" s="47"/>
      <c r="AH19" s="45" t="s">
        <v>29</v>
      </c>
      <c r="AI19" s="44" t="s">
        <v>30</v>
      </c>
      <c r="AJ19" s="41" t="s">
        <v>31</v>
      </c>
      <c r="AK19" s="38" t="s">
        <v>32</v>
      </c>
      <c r="AL19" s="45" t="s">
        <v>33</v>
      </c>
      <c r="AM19" s="43" t="s">
        <v>34</v>
      </c>
      <c r="AN19" s="41" t="s">
        <v>35</v>
      </c>
      <c r="AO19" s="38" t="s">
        <v>36</v>
      </c>
      <c r="AP19" s="45" t="s">
        <v>37</v>
      </c>
      <c r="AQ19" s="44" t="s">
        <v>38</v>
      </c>
      <c r="AR19" s="41" t="s">
        <v>39</v>
      </c>
      <c r="AS19" s="38" t="s">
        <v>40</v>
      </c>
      <c r="AT19" s="45" t="s">
        <v>41</v>
      </c>
      <c r="AU19" s="43" t="s">
        <v>42</v>
      </c>
      <c r="AV19" s="41" t="s">
        <v>43</v>
      </c>
      <c r="AW19" s="38" t="s">
        <v>44</v>
      </c>
      <c r="AX19" s="45" t="s">
        <v>45</v>
      </c>
      <c r="AY19" s="44" t="s">
        <v>46</v>
      </c>
      <c r="AZ19" s="41" t="s">
        <v>47</v>
      </c>
      <c r="BA19" s="38" t="s">
        <v>48</v>
      </c>
      <c r="BB19" s="45" t="s">
        <v>49</v>
      </c>
      <c r="BC19" s="43" t="s">
        <v>50</v>
      </c>
      <c r="BD19" s="41" t="s">
        <v>51</v>
      </c>
      <c r="BE19" s="38" t="s">
        <v>52</v>
      </c>
      <c r="BF19" s="45" t="s">
        <v>53</v>
      </c>
      <c r="BG19" s="44" t="s">
        <v>54</v>
      </c>
      <c r="BH19" s="41" t="s">
        <v>55</v>
      </c>
      <c r="BI19" s="38" t="s">
        <v>56</v>
      </c>
      <c r="BJ19" s="45" t="s">
        <v>57</v>
      </c>
      <c r="BK19" s="48" t="s">
        <v>58</v>
      </c>
      <c r="BL19" s="49" t="s">
        <v>72</v>
      </c>
      <c r="BM19" s="49" t="s">
        <v>60</v>
      </c>
      <c r="BN19" s="162" t="s">
        <v>61</v>
      </c>
      <c r="BO19" s="51" t="s">
        <v>62</v>
      </c>
      <c r="BP19" s="52">
        <v>2025.0</v>
      </c>
      <c r="BQ19" s="53" t="s">
        <v>63</v>
      </c>
      <c r="BR19" s="3"/>
      <c r="BS19" s="3"/>
      <c r="BT19" s="3"/>
      <c r="BU19" s="3"/>
      <c r="BV19" s="3"/>
      <c r="BW19" s="3"/>
    </row>
    <row r="20" ht="15.75" customHeight="1">
      <c r="A20" s="1"/>
      <c r="B20" s="142"/>
      <c r="C20" s="143"/>
      <c r="D20" s="144"/>
      <c r="E20" s="192"/>
      <c r="F20" s="146"/>
      <c r="G20" s="147"/>
      <c r="H20" s="148"/>
      <c r="I20" s="189"/>
      <c r="J20" s="54"/>
      <c r="K20" s="55"/>
      <c r="L20" s="56"/>
      <c r="M20" s="57"/>
      <c r="N20" s="58"/>
      <c r="O20" s="59"/>
      <c r="P20" s="56"/>
      <c r="Q20" s="57"/>
      <c r="R20" s="58"/>
      <c r="S20" s="59"/>
      <c r="T20" s="56"/>
      <c r="U20" s="57"/>
      <c r="V20" s="58"/>
      <c r="W20" s="59"/>
      <c r="X20" s="56"/>
      <c r="Y20" s="57"/>
      <c r="Z20" s="58"/>
      <c r="AA20" s="58"/>
      <c r="AB20" s="59"/>
      <c r="AC20" s="62"/>
      <c r="AD20" s="64"/>
      <c r="AE20" s="63"/>
      <c r="AF20" s="58"/>
      <c r="AG20" s="65"/>
      <c r="AH20" s="59"/>
      <c r="AI20" s="62"/>
      <c r="AJ20" s="63" t="s">
        <v>70</v>
      </c>
      <c r="AK20" s="58"/>
      <c r="AL20" s="59"/>
      <c r="AM20" s="62"/>
      <c r="AN20" s="63" t="s">
        <v>70</v>
      </c>
      <c r="AO20" s="58"/>
      <c r="AP20" s="59"/>
      <c r="AQ20" s="62"/>
      <c r="AR20" s="63"/>
      <c r="AS20" s="58"/>
      <c r="AT20" s="59"/>
      <c r="AU20" s="62"/>
      <c r="AV20" s="63"/>
      <c r="AW20" s="58"/>
      <c r="AX20" s="59"/>
      <c r="AY20" s="62"/>
      <c r="AZ20" s="63"/>
      <c r="BA20" s="58"/>
      <c r="BB20" s="59"/>
      <c r="BC20" s="62"/>
      <c r="BD20" s="63"/>
      <c r="BE20" s="58"/>
      <c r="BF20" s="59"/>
      <c r="BG20" s="62"/>
      <c r="BH20" s="63"/>
      <c r="BI20" s="58"/>
      <c r="BJ20" s="59"/>
      <c r="BK20" s="164"/>
      <c r="BL20" s="67"/>
      <c r="BM20" s="67"/>
      <c r="BN20" s="68"/>
      <c r="BO20" s="69"/>
      <c r="BP20" s="70"/>
      <c r="BQ20" s="71"/>
      <c r="BR20" s="3"/>
      <c r="BS20" s="3"/>
      <c r="BT20" s="3"/>
      <c r="BU20" s="3"/>
      <c r="BV20" s="3"/>
      <c r="BW20" s="3"/>
    </row>
    <row r="21" ht="15.75" customHeight="1">
      <c r="A21" s="1"/>
      <c r="B21" s="142">
        <v>4.0</v>
      </c>
      <c r="C21" s="143" t="s">
        <v>75</v>
      </c>
      <c r="D21" s="144">
        <f>15000*12*4</f>
        <v>720000</v>
      </c>
      <c r="E21" s="192">
        <v>92.0</v>
      </c>
      <c r="F21" s="146">
        <f>E21*D21</f>
        <v>66240000</v>
      </c>
      <c r="G21" s="147">
        <v>1632825.7999999607</v>
      </c>
      <c r="H21" s="148">
        <v>15759.0</v>
      </c>
      <c r="I21" s="189">
        <v>103.61227235230413</v>
      </c>
      <c r="J21" s="72" t="s">
        <v>64</v>
      </c>
      <c r="K21" s="73"/>
      <c r="L21" s="74" t="s">
        <v>63</v>
      </c>
      <c r="M21" s="75" t="s">
        <v>63</v>
      </c>
      <c r="N21" s="76" t="s">
        <v>63</v>
      </c>
      <c r="O21" s="77" t="s">
        <v>65</v>
      </c>
      <c r="P21" s="74" t="s">
        <v>63</v>
      </c>
      <c r="Q21" s="75" t="s">
        <v>63</v>
      </c>
      <c r="R21" s="76" t="s">
        <v>63</v>
      </c>
      <c r="S21" s="77" t="s">
        <v>65</v>
      </c>
      <c r="T21" s="74" t="s">
        <v>63</v>
      </c>
      <c r="U21" s="75"/>
      <c r="V21" s="76" t="s">
        <v>63</v>
      </c>
      <c r="W21" s="77" t="s">
        <v>65</v>
      </c>
      <c r="X21" s="74" t="s">
        <v>63</v>
      </c>
      <c r="Y21" s="75"/>
      <c r="Z21" s="76"/>
      <c r="AA21" s="76" t="s">
        <v>63</v>
      </c>
      <c r="AB21" s="77" t="s">
        <v>65</v>
      </c>
      <c r="AC21" s="80">
        <v>0.01</v>
      </c>
      <c r="AD21" s="82"/>
      <c r="AE21" s="81">
        <f>AE22/(BK22-(L22+P22+T22+X22))</f>
        <v>0.00001</v>
      </c>
      <c r="AF21" s="76" t="s">
        <v>63</v>
      </c>
      <c r="AG21" s="83"/>
      <c r="AH21" s="77" t="s">
        <v>65</v>
      </c>
      <c r="AI21" s="80">
        <v>0.05</v>
      </c>
      <c r="AJ21" s="81">
        <v>2.21975E-5</v>
      </c>
      <c r="AK21" s="76" t="s">
        <v>63</v>
      </c>
      <c r="AL21" s="77" t="s">
        <v>65</v>
      </c>
      <c r="AM21" s="80">
        <v>0.1</v>
      </c>
      <c r="AN21" s="81">
        <v>5.073175E-4</v>
      </c>
      <c r="AO21" s="76" t="s">
        <v>63</v>
      </c>
      <c r="AP21" s="77" t="s">
        <v>65</v>
      </c>
      <c r="AQ21" s="80">
        <v>0.14</v>
      </c>
      <c r="AR21" s="81">
        <f>AR22/(BK22-(L22+P22+T22+X22))</f>
        <v>0</v>
      </c>
      <c r="AS21" s="76" t="s">
        <v>63</v>
      </c>
      <c r="AT21" s="77" t="s">
        <v>65</v>
      </c>
      <c r="AU21" s="80">
        <v>0.15</v>
      </c>
      <c r="AV21" s="81">
        <f>AV22/(BK22-(L22+P22+T22+X22))</f>
        <v>0</v>
      </c>
      <c r="AW21" s="76" t="s">
        <v>63</v>
      </c>
      <c r="AX21" s="77" t="s">
        <v>65</v>
      </c>
      <c r="AY21" s="80">
        <v>0.2</v>
      </c>
      <c r="AZ21" s="81">
        <f>AZ22/(BK22-(L22+P22+T22+X22))</f>
        <v>0</v>
      </c>
      <c r="BA21" s="76" t="s">
        <v>63</v>
      </c>
      <c r="BB21" s="77" t="s">
        <v>65</v>
      </c>
      <c r="BC21" s="80">
        <v>0.2</v>
      </c>
      <c r="BD21" s="81">
        <f>BD22/(BK22-(L22+P22+T22+X22))</f>
        <v>0</v>
      </c>
      <c r="BE21" s="76" t="s">
        <v>63</v>
      </c>
      <c r="BF21" s="77" t="s">
        <v>65</v>
      </c>
      <c r="BG21" s="80">
        <v>0.15</v>
      </c>
      <c r="BH21" s="81">
        <f>BH22/(BK22-(L22+P22+T22+X22))</f>
        <v>0</v>
      </c>
      <c r="BI21" s="76" t="s">
        <v>63</v>
      </c>
      <c r="BJ21" s="77" t="s">
        <v>65</v>
      </c>
      <c r="BK21" s="166">
        <f>SUM(AC21,AI21,AM21,AQ21,AU21,AY21,BC21,BG21)</f>
        <v>1</v>
      </c>
      <c r="BL21" s="85">
        <f>SUM(AC21,AI21)</f>
        <v>0.06</v>
      </c>
      <c r="BM21" s="86">
        <f>SUM(T21,X21,AC21,AI21,AM21)</f>
        <v>0.16</v>
      </c>
      <c r="BN21" s="87">
        <f>SUM(AE21,AJ21,AN21,AR21,AV21,AZ21,BD21,BH21)</f>
        <v>0.000539515</v>
      </c>
      <c r="BO21" s="88"/>
      <c r="BP21" s="89" t="s">
        <v>63</v>
      </c>
      <c r="BQ21" s="71"/>
      <c r="BR21" s="3"/>
      <c r="BS21" s="3"/>
      <c r="BT21" s="3"/>
      <c r="BU21" s="3"/>
      <c r="BV21" s="3"/>
      <c r="BW21" s="3"/>
    </row>
    <row r="22" ht="15.75" customHeight="1">
      <c r="A22" s="1"/>
      <c r="B22" s="26"/>
      <c r="C22" s="27"/>
      <c r="D22" s="28"/>
      <c r="E22" s="29"/>
      <c r="F22" s="30"/>
      <c r="G22" s="31"/>
      <c r="H22" s="32"/>
      <c r="I22" s="33"/>
      <c r="J22" s="72" t="s">
        <v>66</v>
      </c>
      <c r="K22" s="73"/>
      <c r="L22" s="167">
        <v>0.0</v>
      </c>
      <c r="M22" s="91"/>
      <c r="N22" s="92">
        <f t="shared" ref="N22:N25" si="80">IFERROR(M22-L22,"-")</f>
        <v>0</v>
      </c>
      <c r="O22" s="93" t="str">
        <f t="shared" ref="O22:O25" si="81">IFERROR(M22/L22-1,"-")</f>
        <v>-</v>
      </c>
      <c r="P22" s="167">
        <v>0.0</v>
      </c>
      <c r="Q22" s="91"/>
      <c r="R22" s="92">
        <f t="shared" ref="R22:R25" si="82">IFERROR(Q22-P22,"-")</f>
        <v>0</v>
      </c>
      <c r="S22" s="93" t="str">
        <f t="shared" ref="S22:S25" si="83">IFERROR(Q22/P22-1,"-")</f>
        <v>-</v>
      </c>
      <c r="T22" s="90">
        <v>0.0</v>
      </c>
      <c r="U22" s="91"/>
      <c r="V22" s="92">
        <f t="shared" ref="V22:V25" si="84">IFERROR(U22-T22,"-")</f>
        <v>0</v>
      </c>
      <c r="W22" s="93" t="str">
        <f t="shared" ref="W22:W25" si="85">IFERROR(U22/T22-1,"-")</f>
        <v>-</v>
      </c>
      <c r="X22" s="90">
        <v>0.0</v>
      </c>
      <c r="Y22" s="91"/>
      <c r="Z22" s="92"/>
      <c r="AA22" s="92">
        <f t="shared" ref="AA22:AA25" si="86">IFERROR(Y22-X22,"-")</f>
        <v>0</v>
      </c>
      <c r="AB22" s="93" t="str">
        <f t="shared" ref="AB22:AB25" si="87">IFERROR(Y22/X22-1,"-")</f>
        <v>-</v>
      </c>
      <c r="AC22" s="96">
        <f>($BK$22-($L$22+$P$22+T22+X22))*AC21</f>
        <v>40000</v>
      </c>
      <c r="AD22" s="98"/>
      <c r="AE22" s="91">
        <v>40.0</v>
      </c>
      <c r="AF22" s="92">
        <f t="shared" ref="AF22:AF25" si="88">IFERROR(AE22-AC22,"-")</f>
        <v>-39960</v>
      </c>
      <c r="AG22" s="99"/>
      <c r="AH22" s="93">
        <f t="shared" ref="AH22:AH25" si="89">IFERROR(AE22/AC22-1,"-")</f>
        <v>-0.999</v>
      </c>
      <c r="AI22" s="96">
        <f>($BK$22-($L$22+$P$22+$T$22+$X$22))*AI21</f>
        <v>200000</v>
      </c>
      <c r="AJ22" s="100" t="s">
        <v>70</v>
      </c>
      <c r="AK22" s="92">
        <f t="shared" ref="AK22:AK25" si="90">IFERROR(AJ22-AI22,"-")</f>
        <v>-200000</v>
      </c>
      <c r="AL22" s="93">
        <f t="shared" ref="AL22:AL25" si="91">IFERROR(AJ22/AI22-1,"-")</f>
        <v>-1</v>
      </c>
      <c r="AM22" s="96">
        <f>($BK$22-($L$22+$P$22+$T$22+$X$22))*AM21</f>
        <v>400000</v>
      </c>
      <c r="AN22" s="91">
        <v>2029.27</v>
      </c>
      <c r="AO22" s="92">
        <f t="shared" ref="AO22:AO25" si="92">IFERROR(AN22-AM22,"-")</f>
        <v>-397970.73</v>
      </c>
      <c r="AP22" s="93">
        <f t="shared" ref="AP22:AP25" si="93">IFERROR(AN22/AM22-1,"-")</f>
        <v>-0.994926825</v>
      </c>
      <c r="AQ22" s="96">
        <f>($BK$22-($L$22+$P$22+$T$22+$X$22))*AQ21</f>
        <v>560000</v>
      </c>
      <c r="AR22" s="91"/>
      <c r="AS22" s="92">
        <f t="shared" ref="AS22:AS25" si="94">IFERROR(AR22-AQ22,"-")</f>
        <v>-560000</v>
      </c>
      <c r="AT22" s="93">
        <f t="shared" ref="AT22:AT25" si="95">IFERROR(AR22/AQ22-1,"-")</f>
        <v>-1</v>
      </c>
      <c r="AU22" s="96">
        <f>($BK$22-($L$22+$P$22+$T$22+$X$22))*AU21</f>
        <v>600000</v>
      </c>
      <c r="AV22" s="91"/>
      <c r="AW22" s="92">
        <f t="shared" ref="AW22:AW25" si="96">IFERROR(AV22-AU22,"-")</f>
        <v>-600000</v>
      </c>
      <c r="AX22" s="93">
        <f t="shared" ref="AX22:AX25" si="97">IFERROR(AV22/AU22-1,"-")</f>
        <v>-1</v>
      </c>
      <c r="AY22" s="96">
        <f>($BK$22-($L$22+$P$22+$T$22+$X$22))*AY21</f>
        <v>800000</v>
      </c>
      <c r="AZ22" s="91"/>
      <c r="BA22" s="92">
        <f t="shared" ref="BA22:BA25" si="98">IFERROR(AZ22-AY22,"-")</f>
        <v>-800000</v>
      </c>
      <c r="BB22" s="93">
        <f t="shared" ref="BB22:BB25" si="99">IFERROR(AZ22/AY22-1,"-")</f>
        <v>-1</v>
      </c>
      <c r="BC22" s="96">
        <f>($BK$22-($L$22+$P$22+$T$22+$X$22))*BC21</f>
        <v>800000</v>
      </c>
      <c r="BD22" s="91"/>
      <c r="BE22" s="92">
        <f t="shared" ref="BE22:BE25" si="100">IFERROR(BD22-BC22,"-")</f>
        <v>-800000</v>
      </c>
      <c r="BF22" s="93">
        <f t="shared" ref="BF22:BF25" si="101">IFERROR(BD22/BC22-1,"-")</f>
        <v>-1</v>
      </c>
      <c r="BG22" s="96">
        <f>($BK$22-($L$22+$P$22+$T$22+$X$22))*BG21</f>
        <v>600000</v>
      </c>
      <c r="BH22" s="91"/>
      <c r="BI22" s="92">
        <f t="shared" ref="BI22:BI25" si="102">IFERROR(BH22-BG22,"-")</f>
        <v>-600000</v>
      </c>
      <c r="BJ22" s="93">
        <f t="shared" ref="BJ22:BJ25" si="103">IFERROR(BH22/BG22-1,"-")</f>
        <v>-1</v>
      </c>
      <c r="BK22" s="168">
        <v>4000000.0</v>
      </c>
      <c r="BL22" s="169">
        <f t="shared" ref="BL22:BL23" si="104">SUM(L22,P22,T22,X22,AC22,AI22)</f>
        <v>240000</v>
      </c>
      <c r="BM22" s="103">
        <f t="shared" ref="BM22:BM23" si="105">SUM(L22,P22,T22,X22,AC22,AI22,AM22)</f>
        <v>640000</v>
      </c>
      <c r="BN22" s="177">
        <f t="shared" ref="BN22:BN23" si="106">SUM(M22,Q22,U22,Y22,AE22,AJ22,AN22,AR22,AV22,AZ22,BD22,BH22)</f>
        <v>2069.27</v>
      </c>
      <c r="BO22" s="104">
        <f t="shared" ref="BO22:BO25" si="107">IFERROR(BN22/BK22-1,"-")</f>
        <v>-0.9994826825</v>
      </c>
      <c r="BP22" s="105" t="s">
        <v>63</v>
      </c>
      <c r="BQ22" s="106" t="str">
        <f t="shared" ref="BQ22:BQ23" si="108">IFERROR((BK22/BP22),"-")</f>
        <v>-</v>
      </c>
      <c r="BR22" s="3"/>
      <c r="BS22" s="3"/>
      <c r="BT22" s="3"/>
      <c r="BU22" s="3"/>
      <c r="BV22" s="3"/>
      <c r="BW22" s="3"/>
    </row>
    <row r="23" ht="15.75" customHeight="1">
      <c r="A23" s="1"/>
      <c r="B23" s="142"/>
      <c r="C23" s="143"/>
      <c r="D23" s="144"/>
      <c r="E23" s="192"/>
      <c r="F23" s="146"/>
      <c r="G23" s="31"/>
      <c r="H23" s="32"/>
      <c r="I23" s="193"/>
      <c r="J23" s="72" t="s">
        <v>67</v>
      </c>
      <c r="K23" s="107"/>
      <c r="L23" s="171">
        <f>L22/$K$24</f>
        <v>0</v>
      </c>
      <c r="M23" s="109"/>
      <c r="N23" s="110">
        <f t="shared" si="80"/>
        <v>0</v>
      </c>
      <c r="O23" s="93" t="str">
        <f t="shared" si="81"/>
        <v>-</v>
      </c>
      <c r="P23" s="171">
        <f>P22/$K$24</f>
        <v>0</v>
      </c>
      <c r="Q23" s="109"/>
      <c r="R23" s="110">
        <f t="shared" si="82"/>
        <v>0</v>
      </c>
      <c r="S23" s="93" t="str">
        <f t="shared" si="83"/>
        <v>-</v>
      </c>
      <c r="T23" s="108">
        <f>T22/$K$24</f>
        <v>0</v>
      </c>
      <c r="U23" s="109"/>
      <c r="V23" s="110">
        <f t="shared" si="84"/>
        <v>0</v>
      </c>
      <c r="W23" s="93" t="str">
        <f t="shared" si="85"/>
        <v>-</v>
      </c>
      <c r="X23" s="108">
        <f>X22/$K$24</f>
        <v>0</v>
      </c>
      <c r="Y23" s="109"/>
      <c r="Z23" s="110"/>
      <c r="AA23" s="110">
        <f t="shared" si="86"/>
        <v>0</v>
      </c>
      <c r="AB23" s="93" t="str">
        <f t="shared" si="87"/>
        <v>-</v>
      </c>
      <c r="AC23" s="112">
        <f>AC22/$K$24</f>
        <v>222.2222222</v>
      </c>
      <c r="AD23" s="113"/>
      <c r="AE23" s="109">
        <v>2.0</v>
      </c>
      <c r="AF23" s="110">
        <f t="shared" si="88"/>
        <v>-220.2222222</v>
      </c>
      <c r="AG23" s="99"/>
      <c r="AH23" s="93">
        <f t="shared" si="89"/>
        <v>-0.991</v>
      </c>
      <c r="AI23" s="112">
        <f>AI22/$K$24</f>
        <v>1111.111111</v>
      </c>
      <c r="AJ23" s="114" t="s">
        <v>70</v>
      </c>
      <c r="AK23" s="110">
        <f t="shared" si="90"/>
        <v>-1111.111111</v>
      </c>
      <c r="AL23" s="93">
        <f t="shared" si="91"/>
        <v>-1</v>
      </c>
      <c r="AM23" s="112">
        <f>AM22/$K$24</f>
        <v>2222.222222</v>
      </c>
      <c r="AN23" s="109">
        <v>16.0</v>
      </c>
      <c r="AO23" s="110">
        <f t="shared" si="92"/>
        <v>-2206.222222</v>
      </c>
      <c r="AP23" s="93">
        <f t="shared" si="93"/>
        <v>-0.9928</v>
      </c>
      <c r="AQ23" s="112">
        <f>AQ22/$K$24</f>
        <v>3111.111111</v>
      </c>
      <c r="AR23" s="109"/>
      <c r="AS23" s="110">
        <f t="shared" si="94"/>
        <v>-3111.111111</v>
      </c>
      <c r="AT23" s="93">
        <f t="shared" si="95"/>
        <v>-1</v>
      </c>
      <c r="AU23" s="112">
        <f>AU22/$K$24</f>
        <v>3333.333333</v>
      </c>
      <c r="AV23" s="109"/>
      <c r="AW23" s="110">
        <f t="shared" si="96"/>
        <v>-3333.333333</v>
      </c>
      <c r="AX23" s="93">
        <f t="shared" si="97"/>
        <v>-1</v>
      </c>
      <c r="AY23" s="112">
        <f>AY22/$K$24</f>
        <v>4444.444444</v>
      </c>
      <c r="AZ23" s="109"/>
      <c r="BA23" s="110">
        <f t="shared" si="98"/>
        <v>-4444.444444</v>
      </c>
      <c r="BB23" s="93">
        <f t="shared" si="99"/>
        <v>-1</v>
      </c>
      <c r="BC23" s="112">
        <f>BC22/$K$24</f>
        <v>4444.444444</v>
      </c>
      <c r="BD23" s="109"/>
      <c r="BE23" s="110">
        <f t="shared" si="100"/>
        <v>-4444.444444</v>
      </c>
      <c r="BF23" s="93">
        <f t="shared" si="101"/>
        <v>-1</v>
      </c>
      <c r="BG23" s="112">
        <f>BG22/$K$24</f>
        <v>3333.333333</v>
      </c>
      <c r="BH23" s="109"/>
      <c r="BI23" s="110">
        <f t="shared" si="102"/>
        <v>-3333.333333</v>
      </c>
      <c r="BJ23" s="93">
        <f t="shared" si="103"/>
        <v>-1</v>
      </c>
      <c r="BK23" s="172">
        <f>SUM(L23,P23,T23,X23,AC23,AI23,AM23,AQ23,AU23,AY23,BC23,BG23)</f>
        <v>22222.22222</v>
      </c>
      <c r="BL23" s="173">
        <f t="shared" si="104"/>
        <v>1333.333333</v>
      </c>
      <c r="BM23" s="117">
        <f t="shared" si="105"/>
        <v>3555.555556</v>
      </c>
      <c r="BN23" s="174">
        <f t="shared" si="106"/>
        <v>18</v>
      </c>
      <c r="BO23" s="104">
        <f t="shared" si="107"/>
        <v>-0.99919</v>
      </c>
      <c r="BP23" s="119" t="s">
        <v>63</v>
      </c>
      <c r="BQ23" s="106" t="str">
        <f t="shared" si="108"/>
        <v>-</v>
      </c>
      <c r="BR23" s="4"/>
      <c r="BS23" s="3"/>
      <c r="BT23" s="3"/>
      <c r="BU23" s="3"/>
      <c r="BV23" s="3"/>
      <c r="BW23" s="3"/>
    </row>
    <row r="24" ht="15.75" customHeight="1">
      <c r="A24" s="1"/>
      <c r="B24" s="142"/>
      <c r="C24" s="143"/>
      <c r="D24" s="144"/>
      <c r="E24" s="192"/>
      <c r="F24" s="146"/>
      <c r="G24" s="31"/>
      <c r="H24" s="32"/>
      <c r="I24" s="193"/>
      <c r="J24" s="72" t="s">
        <v>68</v>
      </c>
      <c r="K24" s="107">
        <v>180.0</v>
      </c>
      <c r="L24" s="167">
        <v>180.0</v>
      </c>
      <c r="M24" s="91" t="str">
        <f>IFERROR(M22/M23,"-")</f>
        <v>-</v>
      </c>
      <c r="N24" s="92" t="str">
        <f t="shared" si="80"/>
        <v>-</v>
      </c>
      <c r="O24" s="93" t="str">
        <f t="shared" si="81"/>
        <v>-</v>
      </c>
      <c r="P24" s="167">
        <v>180.0</v>
      </c>
      <c r="Q24" s="91" t="str">
        <f>IFERROR(Q22/Q23,"-")</f>
        <v>-</v>
      </c>
      <c r="R24" s="92" t="str">
        <f t="shared" si="82"/>
        <v>-</v>
      </c>
      <c r="S24" s="93" t="str">
        <f t="shared" si="83"/>
        <v>-</v>
      </c>
      <c r="T24" s="90">
        <v>180.0</v>
      </c>
      <c r="U24" s="91" t="str">
        <f>IFERROR(U22/U23,"-")</f>
        <v>-</v>
      </c>
      <c r="V24" s="92" t="str">
        <f t="shared" si="84"/>
        <v>-</v>
      </c>
      <c r="W24" s="93" t="str">
        <f t="shared" si="85"/>
        <v>-</v>
      </c>
      <c r="X24" s="167">
        <v>180.0</v>
      </c>
      <c r="Y24" s="91" t="str">
        <f>IFERROR(Y22/Y23,"-")</f>
        <v>-</v>
      </c>
      <c r="Z24" s="92"/>
      <c r="AA24" s="92" t="str">
        <f t="shared" si="86"/>
        <v>-</v>
      </c>
      <c r="AB24" s="93" t="str">
        <f t="shared" si="87"/>
        <v>-</v>
      </c>
      <c r="AC24" s="96">
        <f>AC22/AC23</f>
        <v>180</v>
      </c>
      <c r="AD24" s="98"/>
      <c r="AE24" s="91">
        <f>IFERROR(AE22/AE23,"-")</f>
        <v>20</v>
      </c>
      <c r="AF24" s="92">
        <f t="shared" si="88"/>
        <v>-160</v>
      </c>
      <c r="AG24" s="99"/>
      <c r="AH24" s="93">
        <f t="shared" si="89"/>
        <v>-0.8888888889</v>
      </c>
      <c r="AI24" s="96">
        <f>AI22/AI23</f>
        <v>180</v>
      </c>
      <c r="AJ24" s="91" t="s">
        <v>63</v>
      </c>
      <c r="AK24" s="92" t="str">
        <f t="shared" si="90"/>
        <v>-</v>
      </c>
      <c r="AL24" s="93" t="str">
        <f t="shared" si="91"/>
        <v>-</v>
      </c>
      <c r="AM24" s="96">
        <f>AM22/AM23</f>
        <v>180</v>
      </c>
      <c r="AN24" s="91">
        <v>126.829375</v>
      </c>
      <c r="AO24" s="92">
        <f t="shared" si="92"/>
        <v>-53.170625</v>
      </c>
      <c r="AP24" s="93">
        <f t="shared" si="93"/>
        <v>-0.2953923611</v>
      </c>
      <c r="AQ24" s="96">
        <f>AQ22/AQ23</f>
        <v>180</v>
      </c>
      <c r="AR24" s="91" t="str">
        <f>IFERROR(AR22/AR23,"-")</f>
        <v>-</v>
      </c>
      <c r="AS24" s="92" t="str">
        <f t="shared" si="94"/>
        <v>-</v>
      </c>
      <c r="AT24" s="93" t="str">
        <f t="shared" si="95"/>
        <v>-</v>
      </c>
      <c r="AU24" s="96">
        <f>AU22/AU23</f>
        <v>180</v>
      </c>
      <c r="AV24" s="91" t="str">
        <f>IFERROR(AV22/AV23,"-")</f>
        <v>-</v>
      </c>
      <c r="AW24" s="92" t="str">
        <f t="shared" si="96"/>
        <v>-</v>
      </c>
      <c r="AX24" s="93" t="str">
        <f t="shared" si="97"/>
        <v>-</v>
      </c>
      <c r="AY24" s="96">
        <f>AY22/AY23</f>
        <v>180</v>
      </c>
      <c r="AZ24" s="91" t="str">
        <f>IFERROR(AZ22/AZ23,"-")</f>
        <v>-</v>
      </c>
      <c r="BA24" s="92" t="str">
        <f t="shared" si="98"/>
        <v>-</v>
      </c>
      <c r="BB24" s="93" t="str">
        <f t="shared" si="99"/>
        <v>-</v>
      </c>
      <c r="BC24" s="96">
        <f>BC22/BC23</f>
        <v>180</v>
      </c>
      <c r="BD24" s="91" t="str">
        <f>IFERROR(BD22/BD23,"-")</f>
        <v>-</v>
      </c>
      <c r="BE24" s="92" t="str">
        <f t="shared" si="100"/>
        <v>-</v>
      </c>
      <c r="BF24" s="93" t="str">
        <f t="shared" si="101"/>
        <v>-</v>
      </c>
      <c r="BG24" s="96">
        <f>BG22/BG23</f>
        <v>180</v>
      </c>
      <c r="BH24" s="91" t="str">
        <f>IFERROR(BH22/BH23,"-")</f>
        <v>-</v>
      </c>
      <c r="BI24" s="92" t="str">
        <f t="shared" si="102"/>
        <v>-</v>
      </c>
      <c r="BJ24" s="93" t="str">
        <f t="shared" si="103"/>
        <v>-</v>
      </c>
      <c r="BK24" s="175">
        <f>BK22/BK23</f>
        <v>180</v>
      </c>
      <c r="BL24" s="176">
        <f t="shared" ref="BL24:BN24" si="109">IFERROR(BL22/BL23,"-")</f>
        <v>180</v>
      </c>
      <c r="BM24" s="122">
        <f t="shared" si="109"/>
        <v>180</v>
      </c>
      <c r="BN24" s="177">
        <f t="shared" si="109"/>
        <v>114.9594444</v>
      </c>
      <c r="BO24" s="104">
        <f t="shared" si="107"/>
        <v>-0.3613364198</v>
      </c>
      <c r="BP24" s="119"/>
      <c r="BQ24" s="106"/>
      <c r="BR24" s="4"/>
      <c r="BS24" s="3"/>
      <c r="BT24" s="3"/>
      <c r="BU24" s="3"/>
      <c r="BV24" s="3"/>
      <c r="BW24" s="3"/>
    </row>
    <row r="25" ht="15.75" customHeight="1">
      <c r="A25" s="1"/>
      <c r="B25" s="142"/>
      <c r="C25" s="143"/>
      <c r="D25" s="144"/>
      <c r="E25" s="192"/>
      <c r="F25" s="146"/>
      <c r="G25" s="147"/>
      <c r="H25" s="148"/>
      <c r="I25" s="189"/>
      <c r="J25" s="124" t="s">
        <v>69</v>
      </c>
      <c r="K25" s="179">
        <v>4.5</v>
      </c>
      <c r="L25" s="132">
        <f t="shared" ref="L25:M25" si="110">$K$25*L23</f>
        <v>0</v>
      </c>
      <c r="M25" s="127">
        <f t="shared" si="110"/>
        <v>0</v>
      </c>
      <c r="N25" s="128">
        <f t="shared" si="80"/>
        <v>0</v>
      </c>
      <c r="O25" s="129" t="str">
        <f t="shared" si="81"/>
        <v>-</v>
      </c>
      <c r="P25" s="132">
        <f t="shared" ref="P25:Q25" si="111">$K$25*P23</f>
        <v>0</v>
      </c>
      <c r="Q25" s="127">
        <f t="shared" si="111"/>
        <v>0</v>
      </c>
      <c r="R25" s="128">
        <f t="shared" si="82"/>
        <v>0</v>
      </c>
      <c r="S25" s="129" t="str">
        <f t="shared" si="83"/>
        <v>-</v>
      </c>
      <c r="T25" s="126">
        <f t="shared" ref="T25:U25" si="112">$K$25*T23</f>
        <v>0</v>
      </c>
      <c r="U25" s="130">
        <f t="shared" si="112"/>
        <v>0</v>
      </c>
      <c r="V25" s="128">
        <f t="shared" si="84"/>
        <v>0</v>
      </c>
      <c r="W25" s="129" t="str">
        <f t="shared" si="85"/>
        <v>-</v>
      </c>
      <c r="X25" s="126">
        <f t="shared" ref="X25:Y25" si="113">$K$25*X23</f>
        <v>0</v>
      </c>
      <c r="Y25" s="130">
        <f t="shared" si="113"/>
        <v>0</v>
      </c>
      <c r="Z25" s="128"/>
      <c r="AA25" s="128">
        <f t="shared" si="86"/>
        <v>0</v>
      </c>
      <c r="AB25" s="129" t="str">
        <f t="shared" si="87"/>
        <v>-</v>
      </c>
      <c r="AC25" s="126">
        <f>$K$25*AC23</f>
        <v>1000</v>
      </c>
      <c r="AD25" s="133"/>
      <c r="AE25" s="130">
        <f>$K$25*AE23</f>
        <v>9</v>
      </c>
      <c r="AF25" s="128">
        <f t="shared" si="88"/>
        <v>-991</v>
      </c>
      <c r="AG25" s="134"/>
      <c r="AH25" s="129">
        <f t="shared" si="89"/>
        <v>-0.991</v>
      </c>
      <c r="AI25" s="126">
        <f>$K$25*AI23</f>
        <v>5000</v>
      </c>
      <c r="AJ25" s="130">
        <v>0.0</v>
      </c>
      <c r="AK25" s="128">
        <f t="shared" si="90"/>
        <v>-5000</v>
      </c>
      <c r="AL25" s="129">
        <f t="shared" si="91"/>
        <v>-1</v>
      </c>
      <c r="AM25" s="126">
        <f>$K$25*AM23</f>
        <v>10000</v>
      </c>
      <c r="AN25" s="130">
        <v>72.0</v>
      </c>
      <c r="AO25" s="128">
        <f t="shared" si="92"/>
        <v>-9928</v>
      </c>
      <c r="AP25" s="129">
        <f t="shared" si="93"/>
        <v>-0.9928</v>
      </c>
      <c r="AQ25" s="126">
        <f t="shared" ref="AQ25:AR25" si="114">$K$25*AQ23</f>
        <v>14000</v>
      </c>
      <c r="AR25" s="130">
        <f t="shared" si="114"/>
        <v>0</v>
      </c>
      <c r="AS25" s="128">
        <f t="shared" si="94"/>
        <v>-14000</v>
      </c>
      <c r="AT25" s="129">
        <f t="shared" si="95"/>
        <v>-1</v>
      </c>
      <c r="AU25" s="126">
        <f t="shared" ref="AU25:AV25" si="115">$K$25*AU23</f>
        <v>15000</v>
      </c>
      <c r="AV25" s="130">
        <f t="shared" si="115"/>
        <v>0</v>
      </c>
      <c r="AW25" s="128">
        <f t="shared" si="96"/>
        <v>-15000</v>
      </c>
      <c r="AX25" s="129">
        <f t="shared" si="97"/>
        <v>-1</v>
      </c>
      <c r="AY25" s="126">
        <f t="shared" ref="AY25:AZ25" si="116">$K$25*AY23</f>
        <v>20000</v>
      </c>
      <c r="AZ25" s="130">
        <f t="shared" si="116"/>
        <v>0</v>
      </c>
      <c r="BA25" s="128">
        <f t="shared" si="98"/>
        <v>-20000</v>
      </c>
      <c r="BB25" s="129">
        <f t="shared" si="99"/>
        <v>-1</v>
      </c>
      <c r="BC25" s="126">
        <f t="shared" ref="BC25:BD25" si="117">$K$25*BC23</f>
        <v>20000</v>
      </c>
      <c r="BD25" s="130">
        <f t="shared" si="117"/>
        <v>0</v>
      </c>
      <c r="BE25" s="128">
        <f t="shared" si="100"/>
        <v>-20000</v>
      </c>
      <c r="BF25" s="129">
        <f t="shared" si="101"/>
        <v>-1</v>
      </c>
      <c r="BG25" s="126">
        <f t="shared" ref="BG25:BH25" si="118">$K$25*BG23</f>
        <v>15000</v>
      </c>
      <c r="BH25" s="130">
        <f t="shared" si="118"/>
        <v>0</v>
      </c>
      <c r="BI25" s="128">
        <f t="shared" si="102"/>
        <v>-15000</v>
      </c>
      <c r="BJ25" s="129">
        <f t="shared" si="103"/>
        <v>-1</v>
      </c>
      <c r="BK25" s="181">
        <f>SUM(L25,P25,T25,X25,AC25,AI25,AM25,AQ25,AU25,AY25,BC25,BG25)</f>
        <v>100000</v>
      </c>
      <c r="BL25" s="182">
        <f>SUM(L25,P25,T25,X25,AC25,AI25)</f>
        <v>6000</v>
      </c>
      <c r="BM25" s="137">
        <f>SUM(L25,P25,T25,X25,AC25,AI25,AM25)</f>
        <v>16000</v>
      </c>
      <c r="BN25" s="183">
        <f>SUM(M25,Q25,U25,Y25,AE25,AJ25,AN25,AR25,AV25,AZ25,BD25,BH25)</f>
        <v>81</v>
      </c>
      <c r="BO25" s="139">
        <f t="shared" si="107"/>
        <v>-0.99919</v>
      </c>
      <c r="BP25" s="140" t="s">
        <v>63</v>
      </c>
      <c r="BQ25" s="141" t="str">
        <f>IFERROR((BK25/BP25),"-")</f>
        <v>-</v>
      </c>
      <c r="BR25" s="194"/>
      <c r="BS25" s="194"/>
      <c r="BT25" s="3"/>
      <c r="BU25" s="3"/>
      <c r="BV25" s="3"/>
      <c r="BW25" s="3"/>
    </row>
    <row r="26" ht="15.75" customHeight="1">
      <c r="A26" s="1"/>
      <c r="B26" s="142"/>
      <c r="C26" s="143"/>
      <c r="D26" s="144"/>
      <c r="E26" s="192"/>
      <c r="F26" s="146"/>
      <c r="G26" s="147"/>
      <c r="H26" s="148"/>
      <c r="I26" s="189"/>
      <c r="J26" s="12"/>
      <c r="K26" s="195"/>
      <c r="L26" s="12"/>
      <c r="M26" s="196"/>
      <c r="N26" s="196"/>
      <c r="O26" s="197"/>
      <c r="P26" s="196"/>
      <c r="Q26" s="23"/>
      <c r="R26" s="196"/>
      <c r="S26" s="12"/>
      <c r="T26" s="12"/>
      <c r="U26" s="12"/>
      <c r="V26" s="12"/>
      <c r="W26" s="12"/>
      <c r="X26" s="13"/>
      <c r="Y26" s="14"/>
      <c r="Z26" s="15"/>
      <c r="AA26" s="15"/>
      <c r="AB26" s="3"/>
      <c r="AC26" s="3"/>
      <c r="AD26" s="3"/>
      <c r="AE26" s="3"/>
      <c r="AF26" s="3"/>
      <c r="AG26" s="3"/>
      <c r="AH26" s="3"/>
      <c r="AI26" s="3"/>
      <c r="AJ26" s="154" t="s">
        <v>70</v>
      </c>
      <c r="AN26" s="154" t="s">
        <v>70</v>
      </c>
      <c r="AY26" s="187"/>
      <c r="AZ26" s="25"/>
      <c r="BA26" s="188"/>
      <c r="BB26" s="25"/>
    </row>
    <row r="27" ht="15.75" customHeight="1">
      <c r="A27" s="1"/>
      <c r="B27" s="142"/>
      <c r="C27" s="143"/>
      <c r="D27" s="144"/>
      <c r="E27" s="192"/>
      <c r="F27" s="146"/>
      <c r="G27" s="147"/>
      <c r="H27" s="148"/>
      <c r="I27" s="149"/>
      <c r="J27" s="34" t="s">
        <v>76</v>
      </c>
      <c r="K27" s="198"/>
      <c r="L27" s="36" t="s">
        <v>10</v>
      </c>
      <c r="M27" s="199" t="s">
        <v>11</v>
      </c>
      <c r="N27" s="38" t="s">
        <v>12</v>
      </c>
      <c r="O27" s="45" t="s">
        <v>13</v>
      </c>
      <c r="P27" s="157" t="s">
        <v>14</v>
      </c>
      <c r="Q27" s="199" t="s">
        <v>15</v>
      </c>
      <c r="R27" s="38" t="s">
        <v>16</v>
      </c>
      <c r="S27" s="45" t="s">
        <v>17</v>
      </c>
      <c r="T27" s="43" t="s">
        <v>18</v>
      </c>
      <c r="U27" s="199" t="s">
        <v>19</v>
      </c>
      <c r="V27" s="38" t="s">
        <v>20</v>
      </c>
      <c r="W27" s="45" t="s">
        <v>21</v>
      </c>
      <c r="X27" s="44" t="s">
        <v>22</v>
      </c>
      <c r="Y27" s="199" t="s">
        <v>23</v>
      </c>
      <c r="Z27" s="38"/>
      <c r="AA27" s="38" t="s">
        <v>24</v>
      </c>
      <c r="AB27" s="45" t="s">
        <v>25</v>
      </c>
      <c r="AC27" s="43" t="s">
        <v>26</v>
      </c>
      <c r="AD27" s="200"/>
      <c r="AE27" s="199" t="s">
        <v>27</v>
      </c>
      <c r="AF27" s="38" t="s">
        <v>28</v>
      </c>
      <c r="AG27" s="47"/>
      <c r="AH27" s="45" t="s">
        <v>29</v>
      </c>
      <c r="AI27" s="44" t="s">
        <v>30</v>
      </c>
      <c r="AJ27" s="199" t="s">
        <v>31</v>
      </c>
      <c r="AK27" s="38" t="s">
        <v>32</v>
      </c>
      <c r="AL27" s="45" t="s">
        <v>33</v>
      </c>
      <c r="AM27" s="43" t="s">
        <v>34</v>
      </c>
      <c r="AN27" s="199" t="s">
        <v>35</v>
      </c>
      <c r="AO27" s="38" t="s">
        <v>36</v>
      </c>
      <c r="AP27" s="45" t="s">
        <v>37</v>
      </c>
      <c r="AQ27" s="44" t="s">
        <v>38</v>
      </c>
      <c r="AR27" s="199" t="s">
        <v>39</v>
      </c>
      <c r="AS27" s="38" t="s">
        <v>40</v>
      </c>
      <c r="AT27" s="42" t="s">
        <v>41</v>
      </c>
      <c r="AU27" s="43" t="s">
        <v>42</v>
      </c>
      <c r="AV27" s="199" t="s">
        <v>43</v>
      </c>
      <c r="AW27" s="38" t="s">
        <v>44</v>
      </c>
      <c r="AX27" s="45" t="s">
        <v>45</v>
      </c>
      <c r="AY27" s="44" t="s">
        <v>46</v>
      </c>
      <c r="AZ27" s="199" t="s">
        <v>47</v>
      </c>
      <c r="BA27" s="38" t="s">
        <v>48</v>
      </c>
      <c r="BB27" s="45" t="s">
        <v>49</v>
      </c>
      <c r="BC27" s="43" t="s">
        <v>50</v>
      </c>
      <c r="BD27" s="199" t="s">
        <v>51</v>
      </c>
      <c r="BE27" s="38" t="s">
        <v>52</v>
      </c>
      <c r="BF27" s="45" t="s">
        <v>53</v>
      </c>
      <c r="BG27" s="201" t="s">
        <v>54</v>
      </c>
      <c r="BH27" s="199" t="s">
        <v>55</v>
      </c>
      <c r="BI27" s="38" t="s">
        <v>56</v>
      </c>
      <c r="BJ27" s="42" t="s">
        <v>57</v>
      </c>
      <c r="BK27" s="48" t="s">
        <v>58</v>
      </c>
      <c r="BL27" s="49" t="s">
        <v>72</v>
      </c>
      <c r="BM27" s="49" t="s">
        <v>60</v>
      </c>
      <c r="BN27" s="37" t="s">
        <v>61</v>
      </c>
      <c r="BO27" s="51" t="s">
        <v>62</v>
      </c>
      <c r="BP27" s="52">
        <v>2025.0</v>
      </c>
      <c r="BQ27" s="53"/>
      <c r="BR27" s="3"/>
      <c r="BS27" s="3"/>
      <c r="BT27" s="3"/>
      <c r="BU27" s="3"/>
      <c r="BV27" s="3"/>
      <c r="BW27" s="3"/>
    </row>
    <row r="28" ht="15.75" customHeight="1">
      <c r="A28" s="1"/>
      <c r="B28" s="142"/>
      <c r="C28" s="143"/>
      <c r="D28" s="144"/>
      <c r="E28" s="192"/>
      <c r="F28" s="146"/>
      <c r="G28" s="147"/>
      <c r="H28" s="148"/>
      <c r="I28" s="149"/>
      <c r="J28" s="54"/>
      <c r="K28" s="55"/>
      <c r="L28" s="56"/>
      <c r="M28" s="202"/>
      <c r="N28" s="58"/>
      <c r="O28" s="59"/>
      <c r="P28" s="56"/>
      <c r="Q28" s="202"/>
      <c r="R28" s="58"/>
      <c r="S28" s="59"/>
      <c r="T28" s="62"/>
      <c r="U28" s="63"/>
      <c r="V28" s="58"/>
      <c r="W28" s="59"/>
      <c r="X28" s="62"/>
      <c r="Y28" s="63"/>
      <c r="Z28" s="58"/>
      <c r="AA28" s="58"/>
      <c r="AB28" s="59"/>
      <c r="AC28" s="62"/>
      <c r="AD28" s="64"/>
      <c r="AE28" s="63"/>
      <c r="AF28" s="58"/>
      <c r="AG28" s="65"/>
      <c r="AH28" s="59"/>
      <c r="AI28" s="62"/>
      <c r="AJ28" s="63" t="s">
        <v>70</v>
      </c>
      <c r="AK28" s="58"/>
      <c r="AL28" s="59"/>
      <c r="AM28" s="62"/>
      <c r="AN28" s="63" t="s">
        <v>70</v>
      </c>
      <c r="AO28" s="58"/>
      <c r="AP28" s="59"/>
      <c r="AQ28" s="62"/>
      <c r="AR28" s="63"/>
      <c r="AS28" s="58"/>
      <c r="AT28" s="61"/>
      <c r="AU28" s="62"/>
      <c r="AV28" s="63"/>
      <c r="AW28" s="58"/>
      <c r="AX28" s="59"/>
      <c r="AY28" s="62"/>
      <c r="AZ28" s="63"/>
      <c r="BA28" s="58"/>
      <c r="BB28" s="59"/>
      <c r="BC28" s="62"/>
      <c r="BD28" s="63"/>
      <c r="BE28" s="58"/>
      <c r="BF28" s="59"/>
      <c r="BG28" s="203"/>
      <c r="BH28" s="63"/>
      <c r="BI28" s="58"/>
      <c r="BJ28" s="61"/>
      <c r="BK28" s="66"/>
      <c r="BL28" s="67"/>
      <c r="BM28" s="67"/>
      <c r="BN28" s="68"/>
      <c r="BO28" s="69"/>
      <c r="BP28" s="70"/>
      <c r="BQ28" s="71"/>
      <c r="BR28" s="3"/>
      <c r="BS28" s="3"/>
      <c r="BT28" s="3"/>
      <c r="BU28" s="3"/>
      <c r="BV28" s="3"/>
      <c r="BW28" s="3"/>
    </row>
    <row r="29" ht="15.75" customHeight="1">
      <c r="A29" s="1"/>
      <c r="B29" s="142">
        <v>5.0</v>
      </c>
      <c r="C29" s="143" t="s">
        <v>77</v>
      </c>
      <c r="D29" s="144">
        <f>28*2*12</f>
        <v>672</v>
      </c>
      <c r="E29" s="192"/>
      <c r="F29" s="146">
        <f>D29*35</f>
        <v>23520</v>
      </c>
      <c r="G29" s="147">
        <v>14.9</v>
      </c>
      <c r="H29" s="148">
        <v>1.0</v>
      </c>
      <c r="I29" s="149">
        <v>14.9</v>
      </c>
      <c r="J29" s="72" t="s">
        <v>64</v>
      </c>
      <c r="K29" s="73"/>
      <c r="L29" s="74" t="s">
        <v>63</v>
      </c>
      <c r="M29" s="204" t="s">
        <v>63</v>
      </c>
      <c r="N29" s="76" t="s">
        <v>63</v>
      </c>
      <c r="O29" s="77" t="s">
        <v>65</v>
      </c>
      <c r="P29" s="74" t="s">
        <v>63</v>
      </c>
      <c r="Q29" s="204" t="s">
        <v>63</v>
      </c>
      <c r="R29" s="76" t="s">
        <v>63</v>
      </c>
      <c r="S29" s="77" t="s">
        <v>65</v>
      </c>
      <c r="T29" s="80">
        <v>0.03</v>
      </c>
      <c r="U29" s="81">
        <f>U30/(BK30-(L30 + P30))</f>
        <v>0.02879612608</v>
      </c>
      <c r="V29" s="76" t="s">
        <v>63</v>
      </c>
      <c r="W29" s="77" t="s">
        <v>65</v>
      </c>
      <c r="X29" s="80">
        <v>0.03</v>
      </c>
      <c r="Y29" s="81">
        <f>Y30/(BK30-(L30+P30))</f>
        <v>0.02240856239</v>
      </c>
      <c r="Z29" s="76"/>
      <c r="AA29" s="76" t="s">
        <v>63</v>
      </c>
      <c r="AB29" s="77" t="s">
        <v>65</v>
      </c>
      <c r="AC29" s="80">
        <v>0.05</v>
      </c>
      <c r="AD29" s="82"/>
      <c r="AE29" s="81">
        <f>AE30/(BK30-(L30+P30))</f>
        <v>0.02664965997</v>
      </c>
      <c r="AF29" s="76" t="s">
        <v>63</v>
      </c>
      <c r="AG29" s="83"/>
      <c r="AH29" s="77" t="s">
        <v>65</v>
      </c>
      <c r="AI29" s="80">
        <v>0.08</v>
      </c>
      <c r="AJ29" s="81">
        <v>0.026941763167455706</v>
      </c>
      <c r="AK29" s="76" t="s">
        <v>63</v>
      </c>
      <c r="AL29" s="77" t="s">
        <v>65</v>
      </c>
      <c r="AM29" s="80">
        <v>0.13</v>
      </c>
      <c r="AN29" s="81">
        <v>0.01666733825775485</v>
      </c>
      <c r="AO29" s="76" t="s">
        <v>63</v>
      </c>
      <c r="AP29" s="77" t="s">
        <v>65</v>
      </c>
      <c r="AQ29" s="80">
        <v>0.13</v>
      </c>
      <c r="AR29" s="81">
        <f>AR30/(BK30-(L30+P30))</f>
        <v>0</v>
      </c>
      <c r="AS29" s="76" t="s">
        <v>63</v>
      </c>
      <c r="AT29" s="79" t="s">
        <v>65</v>
      </c>
      <c r="AU29" s="80">
        <v>0.13</v>
      </c>
      <c r="AV29" s="81">
        <f>AV30/(BK30-(L30+P30))</f>
        <v>0</v>
      </c>
      <c r="AW29" s="76" t="s">
        <v>63</v>
      </c>
      <c r="AX29" s="77" t="s">
        <v>65</v>
      </c>
      <c r="AY29" s="80">
        <v>0.13</v>
      </c>
      <c r="AZ29" s="81">
        <f>AZ30/(BK30-(L30+P30))</f>
        <v>0</v>
      </c>
      <c r="BA29" s="76" t="s">
        <v>63</v>
      </c>
      <c r="BB29" s="77" t="s">
        <v>65</v>
      </c>
      <c r="BC29" s="80">
        <v>0.16</v>
      </c>
      <c r="BD29" s="81">
        <f>BD30/(BK30-(L30+P30))</f>
        <v>0</v>
      </c>
      <c r="BE29" s="76" t="s">
        <v>63</v>
      </c>
      <c r="BF29" s="77" t="s">
        <v>65</v>
      </c>
      <c r="BG29" s="205">
        <v>0.13</v>
      </c>
      <c r="BH29" s="81">
        <f>BH30/(BK30-(L30+P30))</f>
        <v>0</v>
      </c>
      <c r="BI29" s="76" t="s">
        <v>63</v>
      </c>
      <c r="BJ29" s="79" t="s">
        <v>65</v>
      </c>
      <c r="BK29" s="84">
        <f>SUM(T29,X29,AC29,AI29,AM29,AQ29,AU29,AY29,BC29,BG29)</f>
        <v>1</v>
      </c>
      <c r="BL29" s="85">
        <f>SUM(T29,X29,AC29,AI29)</f>
        <v>0.19</v>
      </c>
      <c r="BM29" s="86">
        <f>SUM(T29,X29,AC29,AI29,AM29)</f>
        <v>0.32</v>
      </c>
      <c r="BN29" s="87">
        <f>SUM(U29,Y29,AE29,AJ29,AN29,AR29,AV29,AZ29,BD29,BH29)</f>
        <v>0.1214634499</v>
      </c>
      <c r="BO29" s="88"/>
      <c r="BP29" s="89" t="s">
        <v>63</v>
      </c>
      <c r="BQ29" s="71"/>
      <c r="BR29" s="3"/>
      <c r="BS29" s="3"/>
      <c r="BT29" s="3"/>
      <c r="BU29" s="3"/>
      <c r="BV29" s="3"/>
      <c r="BW29" s="3"/>
    </row>
    <row r="30" ht="15.75" customHeight="1">
      <c r="A30" s="1"/>
      <c r="B30" s="142"/>
      <c r="C30" s="143"/>
      <c r="D30" s="144"/>
      <c r="E30" s="192"/>
      <c r="F30" s="146"/>
      <c r="G30" s="147"/>
      <c r="H30" s="148"/>
      <c r="I30" s="149"/>
      <c r="J30" s="72" t="s">
        <v>66</v>
      </c>
      <c r="K30" s="73"/>
      <c r="L30" s="167">
        <v>138541.22</v>
      </c>
      <c r="M30" s="91">
        <v>150043.78</v>
      </c>
      <c r="N30" s="92">
        <f t="shared" ref="N30:N33" si="119">IFERROR(M30-L30,"-")</f>
        <v>11502.56</v>
      </c>
      <c r="O30" s="93">
        <f t="shared" ref="O30:O33" si="120">IFERROR(M30/L30-1,"-")</f>
        <v>0.08302626467</v>
      </c>
      <c r="P30" s="167">
        <v>119609.0</v>
      </c>
      <c r="Q30" s="91">
        <v>130221.82</v>
      </c>
      <c r="R30" s="92">
        <f t="shared" ref="R30:R33" si="121">IFERROR(Q30-P30,"-")</f>
        <v>10612.82</v>
      </c>
      <c r="S30" s="93">
        <f t="shared" ref="S30:S33" si="122">IFERROR(Q30/P30-1,"-")</f>
        <v>0.08872927623</v>
      </c>
      <c r="T30" s="96">
        <f>($BK$30-($L$30+$P$30))*T29</f>
        <v>137728.3802</v>
      </c>
      <c r="U30" s="91">
        <v>132201.46</v>
      </c>
      <c r="V30" s="92">
        <f t="shared" ref="V30:V33" si="123">IFERROR(U30-T30,"-")</f>
        <v>-5526.920171</v>
      </c>
      <c r="W30" s="93">
        <f t="shared" ref="W30:W33" si="124">IFERROR(U30/T30-1,"-")</f>
        <v>-0.04012913071</v>
      </c>
      <c r="X30" s="96">
        <f>($BK$30-($L$30+$P$30))*X29</f>
        <v>137728.3802</v>
      </c>
      <c r="Y30" s="91">
        <v>102876.5</v>
      </c>
      <c r="Z30" s="92"/>
      <c r="AA30" s="92">
        <f t="shared" ref="AA30:AA33" si="125">IFERROR(Y30-X30,"-")</f>
        <v>-34851.88017</v>
      </c>
      <c r="AB30" s="93">
        <f t="shared" ref="AB30:AB33" si="126">IFERROR(Y30/X30-1,"-")</f>
        <v>-0.2530479203</v>
      </c>
      <c r="AC30" s="96">
        <f>($BK$30-($L$30+$P$30))*AC29</f>
        <v>229547.3003</v>
      </c>
      <c r="AD30" s="98"/>
      <c r="AE30" s="91">
        <v>122347.15</v>
      </c>
      <c r="AF30" s="92">
        <f t="shared" ref="AF30:AF33" si="127">IFERROR(AE30-AC30,"-")</f>
        <v>-107200.1503</v>
      </c>
      <c r="AG30" s="99"/>
      <c r="AH30" s="93">
        <f t="shared" ref="AH30:AH33" si="128">IFERROR(AE30/AC30-1,"-")</f>
        <v>-0.4670068006</v>
      </c>
      <c r="AI30" s="96">
        <f>($BK$30-($L$30+$P$30))*AI29</f>
        <v>367275.6805</v>
      </c>
      <c r="AJ30" s="100">
        <v>123688.18</v>
      </c>
      <c r="AK30" s="92">
        <f t="shared" ref="AK30:AK33" si="129">IFERROR(AJ30-AI30,"-")</f>
        <v>-243587.5005</v>
      </c>
      <c r="AL30" s="93">
        <f t="shared" ref="AL30:AL33" si="130">IFERROR(AJ30/AI30-1,"-")</f>
        <v>-0.6632279604</v>
      </c>
      <c r="AM30" s="96">
        <f>($BK$30-($L$30+$P$30))*AM29</f>
        <v>596822.9807</v>
      </c>
      <c r="AN30" s="91">
        <v>76518.85</v>
      </c>
      <c r="AO30" s="92">
        <f t="shared" ref="AO30:AO33" si="131">IFERROR(AN30-AM30,"-")</f>
        <v>-520304.1307</v>
      </c>
      <c r="AP30" s="93">
        <f t="shared" ref="AP30:AP33" si="132">IFERROR(AN30/AM30-1,"-")</f>
        <v>-0.8717897057</v>
      </c>
      <c r="AQ30" s="96">
        <f>($BK$30-($L$30+$P$30))*AQ29</f>
        <v>596822.9807</v>
      </c>
      <c r="AR30" s="91"/>
      <c r="AS30" s="92">
        <f t="shared" ref="AS30:AS33" si="133">IFERROR(AR30-AQ30,"-")</f>
        <v>-596822.9807</v>
      </c>
      <c r="AT30" s="95">
        <f t="shared" ref="AT30:AT33" si="134">IFERROR(AR30/AQ30-1,"-")</f>
        <v>-1</v>
      </c>
      <c r="AU30" s="96">
        <f>($BK$30-($L$30+$P$30))*AU29</f>
        <v>596822.9807</v>
      </c>
      <c r="AV30" s="91"/>
      <c r="AW30" s="92">
        <f t="shared" ref="AW30:AW33" si="135">IFERROR(AV30-AU30,"-")</f>
        <v>-596822.9807</v>
      </c>
      <c r="AX30" s="93">
        <f t="shared" ref="AX30:AX33" si="136">IFERROR(AV30/AU30-1,"-")</f>
        <v>-1</v>
      </c>
      <c r="AY30" s="96">
        <f>($BK$30-($L$30+$P$30))*AY29</f>
        <v>596822.9807</v>
      </c>
      <c r="AZ30" s="91"/>
      <c r="BA30" s="92">
        <f t="shared" ref="BA30:BA33" si="137">IFERROR(AZ30-AY30,"-")</f>
        <v>-596822.9807</v>
      </c>
      <c r="BB30" s="93">
        <f t="shared" ref="BB30:BB33" si="138">IFERROR(AZ30/AY30-1,"-")</f>
        <v>-1</v>
      </c>
      <c r="BC30" s="96">
        <f>($BK$30-($L$30+$P$30))*BC29</f>
        <v>734551.3609</v>
      </c>
      <c r="BD30" s="91"/>
      <c r="BE30" s="92">
        <f t="shared" ref="BE30:BE33" si="139">IFERROR(BD30-BC30,"-")</f>
        <v>-734551.3609</v>
      </c>
      <c r="BF30" s="93">
        <f t="shared" ref="BF30:BF33" si="140">IFERROR(BD30/BC30-1,"-")</f>
        <v>-1</v>
      </c>
      <c r="BG30" s="91">
        <f>($BK$30-($L$30+$P$30))*BG29</f>
        <v>596822.9807</v>
      </c>
      <c r="BH30" s="91"/>
      <c r="BI30" s="92">
        <f t="shared" ref="BI30:BI33" si="141">IFERROR(BH30-BG30,"-")</f>
        <v>-596822.9807</v>
      </c>
      <c r="BJ30" s="95">
        <f t="shared" ref="BJ30:BJ33" si="142">IFERROR(BH30/BG30-1,"-")</f>
        <v>-1</v>
      </c>
      <c r="BK30" s="101">
        <v>4849096.225694574</v>
      </c>
      <c r="BL30" s="169">
        <f t="shared" ref="BL30:BL31" si="143">SUM(L30,P30,T30,X30,AC30,AI30)</f>
        <v>1130429.961</v>
      </c>
      <c r="BM30" s="103">
        <f t="shared" ref="BM30:BM31" si="144">SUM(L30,P30,T30,X30,AC30,AI30,AM30)</f>
        <v>1727252.942</v>
      </c>
      <c r="BN30" s="102">
        <f t="shared" ref="BN30:BN31" si="145">SUM(M30,Q30,U30,Y30,AE30,AJ30,AN30,AR30,AV30,AZ30,BD30,BH30)</f>
        <v>837897.74</v>
      </c>
      <c r="BO30" s="104">
        <f t="shared" ref="BO30:BO33" si="146">IFERROR(BN30/BK30-1,"-")</f>
        <v>-0.8272053799</v>
      </c>
      <c r="BP30" s="105">
        <v>1632825.8</v>
      </c>
      <c r="BQ30" s="106">
        <f t="shared" ref="BQ30:BQ32" si="147">BK30/BP30-1</f>
        <v>1.96975723</v>
      </c>
      <c r="BR30" s="3"/>
      <c r="BS30" s="4"/>
      <c r="BT30" s="3"/>
      <c r="BU30" s="3"/>
      <c r="BV30" s="3"/>
      <c r="BW30" s="3"/>
    </row>
    <row r="31" ht="15.75" customHeight="1">
      <c r="A31" s="1"/>
      <c r="B31" s="142"/>
      <c r="C31" s="143"/>
      <c r="D31" s="144"/>
      <c r="E31" s="192"/>
      <c r="F31" s="146"/>
      <c r="G31" s="147"/>
      <c r="H31" s="148"/>
      <c r="I31" s="149"/>
      <c r="J31" s="72" t="s">
        <v>67</v>
      </c>
      <c r="K31" s="107"/>
      <c r="L31" s="171">
        <f>L30/$K$32</f>
        <v>1294.777757</v>
      </c>
      <c r="M31" s="109">
        <v>1236.0</v>
      </c>
      <c r="N31" s="110">
        <f t="shared" si="119"/>
        <v>-58.77775701</v>
      </c>
      <c r="O31" s="93">
        <f t="shared" si="120"/>
        <v>-0.04539602004</v>
      </c>
      <c r="P31" s="171">
        <f>P30/$K$32</f>
        <v>1117.841121</v>
      </c>
      <c r="Q31" s="109">
        <v>1061.0</v>
      </c>
      <c r="R31" s="110">
        <f t="shared" si="121"/>
        <v>-56.8411215</v>
      </c>
      <c r="S31" s="93">
        <f t="shared" si="122"/>
        <v>-0.05084901638</v>
      </c>
      <c r="T31" s="112">
        <f>T30/$K$32</f>
        <v>1287.181123</v>
      </c>
      <c r="U31" s="109">
        <v>1100.0</v>
      </c>
      <c r="V31" s="110">
        <f t="shared" si="123"/>
        <v>-187.1811231</v>
      </c>
      <c r="W31" s="93">
        <f t="shared" si="124"/>
        <v>-0.1454194128</v>
      </c>
      <c r="X31" s="112">
        <f>X30/$K$32</f>
        <v>1287.181123</v>
      </c>
      <c r="Y31" s="109">
        <v>881.0</v>
      </c>
      <c r="Z31" s="110"/>
      <c r="AA31" s="110">
        <f t="shared" si="125"/>
        <v>-406.1811231</v>
      </c>
      <c r="AB31" s="93">
        <f t="shared" si="126"/>
        <v>-0.3155586388</v>
      </c>
      <c r="AC31" s="112">
        <f>AC30/$K$32</f>
        <v>2145.301872</v>
      </c>
      <c r="AD31" s="113"/>
      <c r="AE31" s="109">
        <v>1012.0</v>
      </c>
      <c r="AF31" s="110">
        <f t="shared" si="127"/>
        <v>-1133.301872</v>
      </c>
      <c r="AG31" s="99"/>
      <c r="AH31" s="93">
        <f t="shared" si="128"/>
        <v>-0.5282715159</v>
      </c>
      <c r="AI31" s="112">
        <f>AI30/$K$32</f>
        <v>3432.482995</v>
      </c>
      <c r="AJ31" s="114">
        <v>1058.0</v>
      </c>
      <c r="AK31" s="110">
        <f t="shared" si="129"/>
        <v>-2374.482995</v>
      </c>
      <c r="AL31" s="93">
        <f t="shared" si="130"/>
        <v>-0.69176832</v>
      </c>
      <c r="AM31" s="112">
        <f>AM30/$K$32</f>
        <v>5577.784867</v>
      </c>
      <c r="AN31" s="109">
        <v>665.0</v>
      </c>
      <c r="AO31" s="110">
        <f t="shared" si="131"/>
        <v>-4912.784867</v>
      </c>
      <c r="AP31" s="93">
        <f t="shared" si="132"/>
        <v>-0.880777044</v>
      </c>
      <c r="AQ31" s="112">
        <f>AQ30/$K$32</f>
        <v>5577.784867</v>
      </c>
      <c r="AR31" s="109"/>
      <c r="AS31" s="110">
        <f t="shared" si="133"/>
        <v>-5577.784867</v>
      </c>
      <c r="AT31" s="95">
        <f t="shared" si="134"/>
        <v>-1</v>
      </c>
      <c r="AU31" s="112">
        <f>AU30/$K$32</f>
        <v>5577.784867</v>
      </c>
      <c r="AV31" s="109"/>
      <c r="AW31" s="110">
        <f t="shared" si="135"/>
        <v>-5577.784867</v>
      </c>
      <c r="AX31" s="93">
        <f t="shared" si="136"/>
        <v>-1</v>
      </c>
      <c r="AY31" s="112">
        <f>AY30/$K$32</f>
        <v>5577.784867</v>
      </c>
      <c r="AZ31" s="109"/>
      <c r="BA31" s="110">
        <f t="shared" si="137"/>
        <v>-5577.784867</v>
      </c>
      <c r="BB31" s="93">
        <f t="shared" si="138"/>
        <v>-1</v>
      </c>
      <c r="BC31" s="112">
        <f>BC30/$K$32</f>
        <v>6864.96599</v>
      </c>
      <c r="BD31" s="109"/>
      <c r="BE31" s="110">
        <f t="shared" si="139"/>
        <v>-6864.96599</v>
      </c>
      <c r="BF31" s="93">
        <f t="shared" si="140"/>
        <v>-1</v>
      </c>
      <c r="BG31" s="109">
        <f>BG30/$K$32</f>
        <v>5577.784867</v>
      </c>
      <c r="BH31" s="109"/>
      <c r="BI31" s="110">
        <f t="shared" si="141"/>
        <v>-5577.784867</v>
      </c>
      <c r="BJ31" s="95">
        <f t="shared" si="142"/>
        <v>-1</v>
      </c>
      <c r="BK31" s="206">
        <f>SUM(L31,P31,T31,X31,AC31,AI31,AM31,AQ31,AU31,AY31,BC31,BG31)</f>
        <v>45318.65631</v>
      </c>
      <c r="BL31" s="173">
        <f t="shared" si="143"/>
        <v>10564.76599</v>
      </c>
      <c r="BM31" s="117">
        <f t="shared" si="144"/>
        <v>16142.55086</v>
      </c>
      <c r="BN31" s="207">
        <f t="shared" si="145"/>
        <v>7013</v>
      </c>
      <c r="BO31" s="104">
        <f t="shared" si="146"/>
        <v>-0.8452513695</v>
      </c>
      <c r="BP31" s="119">
        <v>15759.0</v>
      </c>
      <c r="BQ31" s="106">
        <f t="shared" si="147"/>
        <v>1.875731729</v>
      </c>
      <c r="BR31" s="3"/>
      <c r="BS31" s="208"/>
      <c r="BT31" s="3"/>
      <c r="BU31" s="3"/>
      <c r="BV31" s="3"/>
      <c r="BW31" s="3"/>
    </row>
    <row r="32" ht="15.75" customHeight="1">
      <c r="A32" s="1"/>
      <c r="B32" s="142"/>
      <c r="C32" s="143"/>
      <c r="D32" s="144"/>
      <c r="E32" s="192"/>
      <c r="F32" s="146"/>
      <c r="G32" s="147"/>
      <c r="H32" s="148"/>
      <c r="I32" s="149"/>
      <c r="J32" s="72" t="s">
        <v>68</v>
      </c>
      <c r="K32" s="107">
        <v>107.0</v>
      </c>
      <c r="L32" s="171">
        <f>L30/L31</f>
        <v>107</v>
      </c>
      <c r="M32" s="91">
        <f>IFERROR(M30/M31,"-")</f>
        <v>121.394644</v>
      </c>
      <c r="N32" s="92">
        <f t="shared" si="119"/>
        <v>14.39464401</v>
      </c>
      <c r="O32" s="93">
        <f t="shared" si="120"/>
        <v>0.1345293833</v>
      </c>
      <c r="P32" s="90">
        <f t="shared" ref="P32:Q32" si="148">IFERROR(P30/P31,"-")</f>
        <v>107</v>
      </c>
      <c r="Q32" s="91">
        <f t="shared" si="148"/>
        <v>122.7349859</v>
      </c>
      <c r="R32" s="92">
        <f t="shared" si="121"/>
        <v>15.73498586</v>
      </c>
      <c r="S32" s="93">
        <f t="shared" si="122"/>
        <v>0.1470559426</v>
      </c>
      <c r="T32" s="112">
        <f>T30/T31</f>
        <v>107</v>
      </c>
      <c r="U32" s="91">
        <f>IFERROR(U30/U31,"-")</f>
        <v>120.1831455</v>
      </c>
      <c r="V32" s="92">
        <f t="shared" si="123"/>
        <v>13.18314545</v>
      </c>
      <c r="W32" s="93">
        <f t="shared" si="124"/>
        <v>0.1232069669</v>
      </c>
      <c r="X32" s="96">
        <f t="shared" ref="X32:Y32" si="149">IFERROR(X30/X31,"-")</f>
        <v>107</v>
      </c>
      <c r="Y32" s="91">
        <f t="shared" si="149"/>
        <v>116.7724177</v>
      </c>
      <c r="Z32" s="92"/>
      <c r="AA32" s="92">
        <f t="shared" si="125"/>
        <v>9.772417707</v>
      </c>
      <c r="AB32" s="93">
        <f t="shared" si="126"/>
        <v>0.09133100661</v>
      </c>
      <c r="AC32" s="112">
        <f>AC30/AC31</f>
        <v>107</v>
      </c>
      <c r="AD32" s="98"/>
      <c r="AE32" s="91">
        <f>IFERROR(AE30/AE31,"-")</f>
        <v>120.8963933</v>
      </c>
      <c r="AF32" s="92">
        <f t="shared" si="127"/>
        <v>13.89639328</v>
      </c>
      <c r="AG32" s="99"/>
      <c r="AH32" s="93">
        <f t="shared" si="128"/>
        <v>0.1298728344</v>
      </c>
      <c r="AI32" s="112">
        <f>AI30/AI31</f>
        <v>107</v>
      </c>
      <c r="AJ32" s="91">
        <v>116.90754253308128</v>
      </c>
      <c r="AK32" s="92">
        <f t="shared" si="129"/>
        <v>9.907542533</v>
      </c>
      <c r="AL32" s="93">
        <f t="shared" si="130"/>
        <v>0.09259385545</v>
      </c>
      <c r="AM32" s="112">
        <f>AM30/AM31</f>
        <v>107</v>
      </c>
      <c r="AN32" s="91">
        <v>115.06593984962407</v>
      </c>
      <c r="AO32" s="92">
        <f t="shared" si="131"/>
        <v>8.06593985</v>
      </c>
      <c r="AP32" s="93">
        <f t="shared" si="132"/>
        <v>0.07538261542</v>
      </c>
      <c r="AQ32" s="112">
        <f>AQ30/AQ31</f>
        <v>107</v>
      </c>
      <c r="AR32" s="91" t="str">
        <f>IFERROR(AR30/AR31,"-")</f>
        <v>-</v>
      </c>
      <c r="AS32" s="92" t="str">
        <f t="shared" si="133"/>
        <v>-</v>
      </c>
      <c r="AT32" s="95" t="str">
        <f t="shared" si="134"/>
        <v>-</v>
      </c>
      <c r="AU32" s="112">
        <f>AU30/AU31</f>
        <v>107</v>
      </c>
      <c r="AV32" s="91" t="str">
        <f>IFERROR(AV30/AV31,"-")</f>
        <v>-</v>
      </c>
      <c r="AW32" s="92" t="str">
        <f t="shared" si="135"/>
        <v>-</v>
      </c>
      <c r="AX32" s="93" t="str">
        <f t="shared" si="136"/>
        <v>-</v>
      </c>
      <c r="AY32" s="112">
        <f>AY30/AY31</f>
        <v>107</v>
      </c>
      <c r="AZ32" s="91" t="str">
        <f>IFERROR(AZ30/AZ31,"-")</f>
        <v>-</v>
      </c>
      <c r="BA32" s="92" t="str">
        <f t="shared" si="137"/>
        <v>-</v>
      </c>
      <c r="BB32" s="93" t="str">
        <f t="shared" si="138"/>
        <v>-</v>
      </c>
      <c r="BC32" s="112">
        <f>BC30/BC31</f>
        <v>107</v>
      </c>
      <c r="BD32" s="91" t="str">
        <f>IFERROR(BD30/BD31,"-")</f>
        <v>-</v>
      </c>
      <c r="BE32" s="92" t="str">
        <f t="shared" si="139"/>
        <v>-</v>
      </c>
      <c r="BF32" s="93" t="str">
        <f t="shared" si="140"/>
        <v>-</v>
      </c>
      <c r="BG32" s="109">
        <f>BG30/BG31</f>
        <v>107</v>
      </c>
      <c r="BH32" s="91" t="str">
        <f>IFERROR(BH30/BH31,"-")</f>
        <v>-</v>
      </c>
      <c r="BI32" s="92" t="str">
        <f t="shared" si="141"/>
        <v>-</v>
      </c>
      <c r="BJ32" s="95" t="str">
        <f t="shared" si="142"/>
        <v>-</v>
      </c>
      <c r="BK32" s="120">
        <f>BK30/BK31</f>
        <v>107</v>
      </c>
      <c r="BL32" s="176">
        <f t="shared" ref="BL32:BM32" si="150">IFERROR(BL30/BL31,"-")</f>
        <v>107</v>
      </c>
      <c r="BM32" s="122">
        <f t="shared" si="150"/>
        <v>107</v>
      </c>
      <c r="BN32" s="209">
        <f>BN30/BN31</f>
        <v>119.4777898</v>
      </c>
      <c r="BO32" s="104">
        <f t="shared" si="146"/>
        <v>0.1166148581</v>
      </c>
      <c r="BP32" s="119">
        <f>BP30/BP31</f>
        <v>103.6122724</v>
      </c>
      <c r="BQ32" s="106">
        <f t="shared" si="147"/>
        <v>0.03269620066</v>
      </c>
      <c r="BR32" s="3"/>
      <c r="BS32" s="3"/>
      <c r="BT32" s="3"/>
      <c r="BU32" s="3"/>
      <c r="BV32" s="3"/>
      <c r="BW32" s="3"/>
    </row>
    <row r="33" ht="15.75" customHeight="1">
      <c r="A33" s="1"/>
      <c r="B33" s="142"/>
      <c r="C33" s="143"/>
      <c r="D33" s="144"/>
      <c r="E33" s="192"/>
      <c r="F33" s="146"/>
      <c r="G33" s="147"/>
      <c r="H33" s="148"/>
      <c r="I33" s="149"/>
      <c r="J33" s="124" t="s">
        <v>69</v>
      </c>
      <c r="K33" s="125">
        <v>0.039</v>
      </c>
      <c r="L33" s="132">
        <f t="shared" ref="L33:M33" si="151">IF(L31=0, 0, (L30/L31) * (
  MIN(L31, 1000) * 0.049 +
  MAX(0, MIN(L31, 2500) - 1000) * 0.039 +
  MAX(0, MIN(L31, 5000) - 2500) * 0.032 +
  MAX(0, L31 - 5000) * 0.029
))</f>
        <v>6473.10758</v>
      </c>
      <c r="M33" s="210">
        <f t="shared" si="151"/>
        <v>7065.65386</v>
      </c>
      <c r="N33" s="128">
        <f t="shared" si="119"/>
        <v>592.5462801</v>
      </c>
      <c r="O33" s="129">
        <f t="shared" si="120"/>
        <v>0.09153969292</v>
      </c>
      <c r="P33" s="132">
        <f t="shared" ref="P33:Q33" si="152">IF(P31=0, 0, (P30/P31) * (
  MIN(P31, 1000) * 0.049 +
  MAX(0, MIN(P31, 2500) - 1000) * 0.039 +
  MAX(0, MIN(P31, 5000) - 2500) * 0.032 +
  MAX(0, P31 - 5000) * 0.029
))</f>
        <v>5734.751</v>
      </c>
      <c r="Q33" s="210">
        <f t="shared" si="152"/>
        <v>6306.000839</v>
      </c>
      <c r="R33" s="128">
        <f t="shared" si="121"/>
        <v>571.2498386</v>
      </c>
      <c r="S33" s="129">
        <f t="shared" si="122"/>
        <v>0.09961196896</v>
      </c>
      <c r="T33" s="211">
        <f t="shared" ref="T33:U33" si="153">IF(T31=0, 0, (T30/T31) * (
  MIN(T31, 1000) * 0.049 +
  MAX(0, MIN(T31, 2500) - 1000) * 0.039 +
  MAX(0, MIN(T31, 5000) - 2500) * 0.032 +
  MAX(0, T31 - 5000) * 0.029
))</f>
        <v>6441.406827</v>
      </c>
      <c r="U33" s="210">
        <f t="shared" si="153"/>
        <v>6357.688395</v>
      </c>
      <c r="V33" s="128">
        <f t="shared" si="123"/>
        <v>-83.71843212</v>
      </c>
      <c r="W33" s="129">
        <f t="shared" si="124"/>
        <v>-0.01299691735</v>
      </c>
      <c r="X33" s="132">
        <f t="shared" ref="X33:Y33" si="154">IF(X31=0, 0, (X30/X31) * (
  MIN(X31, 1000) * 0.049 +
  MAX(0, MIN(X31, 2500) - 1000) * 0.039 +
  MAX(0, MIN(X31, 5000) - 2500) * 0.032 +
  MAX(0, X31 - 5000) * 0.029
))</f>
        <v>6441.406827</v>
      </c>
      <c r="Y33" s="127">
        <f t="shared" si="154"/>
        <v>5040.9485</v>
      </c>
      <c r="Z33" s="128"/>
      <c r="AA33" s="128">
        <f t="shared" si="125"/>
        <v>-1400.458327</v>
      </c>
      <c r="AB33" s="129">
        <f t="shared" si="126"/>
        <v>-0.2174149785</v>
      </c>
      <c r="AC33" s="132">
        <f>IF(AC31=0, 0, (AC30/AC31) * (
  MIN(AC31, 1000) * 0.049 +
  MAX(0, MIN(AC31, 2500) - 1000) * 0.039 +
  MAX(0, MIN(AC31, 5000) - 2500) * 0.032 +
  MAX(0, AC31 - 5000) * 0.029
))</f>
        <v>10022.34471</v>
      </c>
      <c r="AD33" s="212"/>
      <c r="AE33" s="210">
        <f>IF(AE31=0, 0, (AE30/AE31) * (
  MIN(AE31, 1000) * 0.049 +
  MAX(0, MIN(AE31, 2500) - 1000) * 0.039 +
  MAX(0, MIN(AE31, 5000) - 2500) * 0.032 +
  MAX(0, AE31 - 5000) * 0.029
))</f>
        <v>5980.502783</v>
      </c>
      <c r="AF33" s="128">
        <f t="shared" si="127"/>
        <v>-4041.841928</v>
      </c>
      <c r="AG33" s="134"/>
      <c r="AH33" s="129">
        <f t="shared" si="128"/>
        <v>-0.4032830685</v>
      </c>
      <c r="AI33" s="132">
        <f>IF(AI31=0, 0, (AI30/AI31) * (
  MIN(AI31, 1000) * 0.049 +
  MAX(0, MIN(AI31, 2500) - 1000) * 0.039 +
  MAX(0, MIN(AI31, 5000) - 2500) * 0.032 +
  MAX(0, AI31 - 5000) * 0.029
))</f>
        <v>14695.32177</v>
      </c>
      <c r="AJ33" s="210">
        <v>5992.914445330813</v>
      </c>
      <c r="AK33" s="128">
        <f t="shared" si="129"/>
        <v>-8702.407329</v>
      </c>
      <c r="AL33" s="129">
        <f t="shared" si="130"/>
        <v>-0.5921889607</v>
      </c>
      <c r="AM33" s="132">
        <f>IF(AM31=0, 0, (AM30/AM31) * (
  MIN(AM31, 1000) * 0.049 +
  MAX(0, MIN(AM31, 2500) - 1000) * 0.039 +
  MAX(0, MIN(AM31, 5000) - 2500) * 0.032 +
  MAX(0, AM31 - 5000) * 0.029
))</f>
        <v>21855.36644</v>
      </c>
      <c r="AN33" s="210">
        <v>3749.4236500000006</v>
      </c>
      <c r="AO33" s="128">
        <f t="shared" si="131"/>
        <v>-18105.94279</v>
      </c>
      <c r="AP33" s="129">
        <f t="shared" si="132"/>
        <v>-0.8284437985</v>
      </c>
      <c r="AQ33" s="132">
        <f t="shared" ref="AQ33:AR33" si="155">IF(AQ31=0, 0, (AQ30/AQ31) * (
  MIN(AQ31, 1000) * 0.049 +
  MAX(0, MIN(AQ31, 2500) - 1000) * 0.039 +
  MAX(0, MIN(AQ31, 5000) - 2500) * 0.032 +
  MAX(0, AQ31 - 5000) * 0.029
))</f>
        <v>21855.36644</v>
      </c>
      <c r="AR33" s="210">
        <f t="shared" si="155"/>
        <v>0</v>
      </c>
      <c r="AS33" s="128">
        <f t="shared" si="133"/>
        <v>-21855.36644</v>
      </c>
      <c r="AT33" s="131">
        <f t="shared" si="134"/>
        <v>-1</v>
      </c>
      <c r="AU33" s="132">
        <f t="shared" ref="AU33:AV33" si="156">IF(AU31=0, 0, (AU30/AU31) * (
  MIN(AU31, 1000) * 0.049 +
  MAX(0, MIN(AU31, 2500) - 1000) * 0.039 +
  MAX(0, MIN(AU31, 5000) - 2500) * 0.032 +
  MAX(0, AU31 - 5000) * 0.029
))</f>
        <v>21855.36644</v>
      </c>
      <c r="AV33" s="210">
        <f t="shared" si="156"/>
        <v>0</v>
      </c>
      <c r="AW33" s="128">
        <f t="shared" si="135"/>
        <v>-21855.36644</v>
      </c>
      <c r="AX33" s="129">
        <f t="shared" si="136"/>
        <v>-1</v>
      </c>
      <c r="AY33" s="132">
        <f t="shared" ref="AY33:AZ33" si="157">IF(AY31=0, 0, (AY30/AY31) * (
  MIN(AY31, 1000) * 0.049 +
  MAX(0, MIN(AY31, 2500) - 1000) * 0.039 +
  MAX(0, MIN(AY31, 5000) - 2500) * 0.032 +
  MAX(0, AY31 - 5000) * 0.029
))</f>
        <v>21855.36644</v>
      </c>
      <c r="AZ33" s="210">
        <f t="shared" si="157"/>
        <v>0</v>
      </c>
      <c r="BA33" s="128">
        <f t="shared" si="137"/>
        <v>-21855.36644</v>
      </c>
      <c r="BB33" s="129">
        <f t="shared" si="138"/>
        <v>-1</v>
      </c>
      <c r="BC33" s="132">
        <f t="shared" ref="BC33:BD33" si="158">IF(BC31=0, 0, (BC30/BC31) * (
  MIN(BC31, 1000) * 0.049 +
  MAX(0, MIN(BC31, 2500) - 1000) * 0.039 +
  MAX(0, MIN(BC31, 5000) - 2500) * 0.032 +
  MAX(0, BC31 - 5000) * 0.029
))</f>
        <v>25849.48947</v>
      </c>
      <c r="BD33" s="210">
        <f t="shared" si="158"/>
        <v>0</v>
      </c>
      <c r="BE33" s="128">
        <f t="shared" si="139"/>
        <v>-25849.48947</v>
      </c>
      <c r="BF33" s="129">
        <f t="shared" si="140"/>
        <v>-1</v>
      </c>
      <c r="BG33" s="127">
        <f t="shared" ref="BG33:BH33" si="159">IF(BG31=0, 0, (BG30/BG31) * (
  MIN(BG31, 1000) * 0.049 +
  MAX(0, MIN(BG31, 2500) - 1000) * 0.039 +
  MAX(0, MIN(BG31, 5000) - 2500) * 0.032 +
  MAX(0, BG31 - 5000) * 0.029
))</f>
        <v>21855.36644</v>
      </c>
      <c r="BH33" s="210">
        <f t="shared" si="159"/>
        <v>0</v>
      </c>
      <c r="BI33" s="128">
        <f t="shared" si="141"/>
        <v>-21855.36644</v>
      </c>
      <c r="BJ33" s="131">
        <f t="shared" si="142"/>
        <v>-1</v>
      </c>
      <c r="BK33" s="135">
        <f>SUM(L33,P33,T33,X33,AC33,AI33,AM33,AQ33,AU33,AY33,BC33,BG33)</f>
        <v>184934.6604</v>
      </c>
      <c r="BL33" s="182">
        <f>SUM(L33,P33,T33,X33,AC33,AI33)</f>
        <v>49808.33872</v>
      </c>
      <c r="BM33" s="137">
        <f>SUM(L33,P33,T33,X33,AC33,AI33,AM33)</f>
        <v>71663.70516</v>
      </c>
      <c r="BN33" s="213">
        <f>SUM(M33,Q33,U33,Y33,AE33,AJ33,AN33,AR33,AV33,AZ33,BD33,BH33)</f>
        <v>40493.13247</v>
      </c>
      <c r="BO33" s="139">
        <f t="shared" si="146"/>
        <v>-0.7810408693</v>
      </c>
      <c r="BP33" s="140">
        <f>BP30*0.39</f>
        <v>636802.062</v>
      </c>
      <c r="BQ33" s="141">
        <f>BK33/BP33</f>
        <v>0.2904115288</v>
      </c>
      <c r="BR33" s="3"/>
      <c r="BS33" s="3"/>
      <c r="BT33" s="3"/>
      <c r="BU33" s="3"/>
      <c r="BV33" s="3"/>
      <c r="BW33" s="3"/>
    </row>
    <row r="34" ht="15.75" customHeight="1">
      <c r="A34" s="1"/>
      <c r="B34" s="142"/>
      <c r="C34" s="143"/>
      <c r="D34" s="144"/>
      <c r="E34" s="192"/>
      <c r="F34" s="146"/>
      <c r="G34" s="147"/>
      <c r="H34" s="148"/>
      <c r="I34" s="149"/>
      <c r="J34" s="12"/>
      <c r="K34" s="195"/>
      <c r="L34" s="12"/>
      <c r="M34" s="196"/>
      <c r="N34" s="196"/>
      <c r="O34" s="196"/>
      <c r="P34" s="196"/>
      <c r="Q34" s="214"/>
      <c r="R34" s="196"/>
      <c r="S34" s="12"/>
      <c r="T34" s="12"/>
      <c r="U34" s="12"/>
      <c r="V34" s="12"/>
      <c r="W34" s="12"/>
      <c r="X34" s="13"/>
      <c r="Y34" s="14"/>
      <c r="Z34" s="15"/>
      <c r="AA34" s="15"/>
      <c r="AB34" s="3"/>
      <c r="AC34" s="3"/>
      <c r="AD34" s="3"/>
      <c r="AE34" s="3"/>
      <c r="AF34" s="3"/>
      <c r="AG34" s="3"/>
      <c r="AH34" s="3"/>
      <c r="AI34" s="3"/>
      <c r="AJ34" s="154" t="s">
        <v>70</v>
      </c>
      <c r="AN34" s="154" t="s">
        <v>70</v>
      </c>
      <c r="AY34" s="187"/>
      <c r="AZ34" s="25"/>
      <c r="BA34" s="188"/>
      <c r="BB34" s="25"/>
    </row>
    <row r="35" ht="15.75" customHeight="1">
      <c r="A35" s="1"/>
      <c r="B35" s="142"/>
      <c r="C35" s="143"/>
      <c r="D35" s="144"/>
      <c r="E35" s="192"/>
      <c r="F35" s="146"/>
      <c r="G35" s="147"/>
      <c r="H35" s="148"/>
      <c r="I35" s="149"/>
      <c r="J35" s="34" t="s">
        <v>78</v>
      </c>
      <c r="K35" s="198"/>
      <c r="L35" s="36" t="s">
        <v>10</v>
      </c>
      <c r="M35" s="37" t="s">
        <v>11</v>
      </c>
      <c r="N35" s="38" t="s">
        <v>12</v>
      </c>
      <c r="O35" s="39" t="s">
        <v>13</v>
      </c>
      <c r="P35" s="157" t="s">
        <v>14</v>
      </c>
      <c r="Q35" s="37" t="s">
        <v>15</v>
      </c>
      <c r="R35" s="38" t="s">
        <v>16</v>
      </c>
      <c r="S35" s="215" t="s">
        <v>17</v>
      </c>
      <c r="T35" s="36" t="s">
        <v>18</v>
      </c>
      <c r="U35" s="199" t="s">
        <v>19</v>
      </c>
      <c r="V35" s="38" t="s">
        <v>20</v>
      </c>
      <c r="W35" s="45" t="s">
        <v>21</v>
      </c>
      <c r="X35" s="157" t="s">
        <v>22</v>
      </c>
      <c r="Y35" s="199" t="s">
        <v>23</v>
      </c>
      <c r="Z35" s="38"/>
      <c r="AA35" s="38" t="s">
        <v>24</v>
      </c>
      <c r="AB35" s="45" t="s">
        <v>25</v>
      </c>
      <c r="AC35" s="43" t="s">
        <v>26</v>
      </c>
      <c r="AD35" s="200"/>
      <c r="AE35" s="199" t="s">
        <v>27</v>
      </c>
      <c r="AF35" s="38" t="s">
        <v>28</v>
      </c>
      <c r="AG35" s="47"/>
      <c r="AH35" s="45" t="s">
        <v>29</v>
      </c>
      <c r="AI35" s="44" t="s">
        <v>30</v>
      </c>
      <c r="AJ35" s="199" t="s">
        <v>31</v>
      </c>
      <c r="AK35" s="38" t="s">
        <v>32</v>
      </c>
      <c r="AL35" s="45" t="s">
        <v>33</v>
      </c>
      <c r="AM35" s="43" t="s">
        <v>34</v>
      </c>
      <c r="AN35" s="199" t="s">
        <v>35</v>
      </c>
      <c r="AO35" s="38" t="s">
        <v>36</v>
      </c>
      <c r="AP35" s="45" t="s">
        <v>37</v>
      </c>
      <c r="AQ35" s="44" t="s">
        <v>38</v>
      </c>
      <c r="AR35" s="199" t="s">
        <v>39</v>
      </c>
      <c r="AS35" s="38" t="s">
        <v>40</v>
      </c>
      <c r="AT35" s="45" t="s">
        <v>41</v>
      </c>
      <c r="AU35" s="43" t="s">
        <v>42</v>
      </c>
      <c r="AV35" s="199" t="s">
        <v>43</v>
      </c>
      <c r="AW35" s="38" t="s">
        <v>44</v>
      </c>
      <c r="AX35" s="45" t="s">
        <v>45</v>
      </c>
      <c r="AY35" s="44" t="s">
        <v>46</v>
      </c>
      <c r="AZ35" s="199" t="s">
        <v>47</v>
      </c>
      <c r="BA35" s="38" t="s">
        <v>48</v>
      </c>
      <c r="BB35" s="45" t="s">
        <v>49</v>
      </c>
      <c r="BC35" s="43" t="s">
        <v>50</v>
      </c>
      <c r="BD35" s="199" t="s">
        <v>51</v>
      </c>
      <c r="BE35" s="38" t="s">
        <v>52</v>
      </c>
      <c r="BF35" s="45" t="s">
        <v>53</v>
      </c>
      <c r="BG35" s="201" t="s">
        <v>54</v>
      </c>
      <c r="BH35" s="199" t="s">
        <v>55</v>
      </c>
      <c r="BI35" s="38" t="s">
        <v>56</v>
      </c>
      <c r="BJ35" s="42" t="s">
        <v>57</v>
      </c>
      <c r="BK35" s="48" t="s">
        <v>58</v>
      </c>
      <c r="BL35" s="49" t="s">
        <v>72</v>
      </c>
      <c r="BM35" s="49" t="s">
        <v>60</v>
      </c>
      <c r="BN35" s="37" t="s">
        <v>61</v>
      </c>
      <c r="BO35" s="51" t="s">
        <v>62</v>
      </c>
      <c r="BP35" s="52">
        <v>2025.0</v>
      </c>
      <c r="BQ35" s="53" t="s">
        <v>63</v>
      </c>
      <c r="BR35" s="3"/>
      <c r="BS35" s="3"/>
      <c r="BT35" s="3"/>
      <c r="BU35" s="3"/>
      <c r="BV35" s="3"/>
      <c r="BW35" s="3"/>
    </row>
    <row r="36" ht="15.75" customHeight="1">
      <c r="A36" s="1"/>
      <c r="B36" s="142"/>
      <c r="C36" s="143"/>
      <c r="D36" s="144"/>
      <c r="E36" s="192"/>
      <c r="F36" s="146"/>
      <c r="G36" s="147"/>
      <c r="H36" s="148"/>
      <c r="I36" s="149"/>
      <c r="J36" s="54"/>
      <c r="K36" s="55"/>
      <c r="L36" s="56"/>
      <c r="M36" s="57"/>
      <c r="N36" s="58"/>
      <c r="O36" s="59"/>
      <c r="P36" s="56"/>
      <c r="Q36" s="57"/>
      <c r="R36" s="58"/>
      <c r="S36" s="61"/>
      <c r="T36" s="56"/>
      <c r="U36" s="202"/>
      <c r="V36" s="58"/>
      <c r="W36" s="59"/>
      <c r="X36" s="56"/>
      <c r="Y36" s="202"/>
      <c r="Z36" s="58"/>
      <c r="AA36" s="58"/>
      <c r="AB36" s="59"/>
      <c r="AC36" s="62"/>
      <c r="AD36" s="64"/>
      <c r="AE36" s="63"/>
      <c r="AF36" s="58"/>
      <c r="AG36" s="65"/>
      <c r="AH36" s="59"/>
      <c r="AI36" s="62"/>
      <c r="AJ36" s="63" t="s">
        <v>70</v>
      </c>
      <c r="AK36" s="58"/>
      <c r="AL36" s="59"/>
      <c r="AM36" s="62"/>
      <c r="AN36" s="63" t="s">
        <v>70</v>
      </c>
      <c r="AO36" s="58"/>
      <c r="AP36" s="59"/>
      <c r="AQ36" s="62"/>
      <c r="AR36" s="63"/>
      <c r="AS36" s="58"/>
      <c r="AT36" s="59"/>
      <c r="AU36" s="62"/>
      <c r="AV36" s="63"/>
      <c r="AW36" s="58"/>
      <c r="AX36" s="59"/>
      <c r="AY36" s="62"/>
      <c r="AZ36" s="63"/>
      <c r="BA36" s="58"/>
      <c r="BB36" s="59"/>
      <c r="BC36" s="62"/>
      <c r="BD36" s="63"/>
      <c r="BE36" s="58"/>
      <c r="BF36" s="59"/>
      <c r="BG36" s="203"/>
      <c r="BH36" s="63"/>
      <c r="BI36" s="58"/>
      <c r="BJ36" s="61"/>
      <c r="BK36" s="66"/>
      <c r="BL36" s="67"/>
      <c r="BM36" s="67"/>
      <c r="BN36" s="68"/>
      <c r="BO36" s="69"/>
      <c r="BP36" s="70"/>
      <c r="BQ36" s="71"/>
      <c r="BR36" s="3"/>
      <c r="BS36" s="3"/>
      <c r="BT36" s="3"/>
      <c r="BU36" s="3"/>
      <c r="BV36" s="3"/>
      <c r="BW36" s="3"/>
    </row>
    <row r="37" ht="15.75" customHeight="1">
      <c r="A37" s="1"/>
      <c r="B37" s="142">
        <v>6.0</v>
      </c>
      <c r="C37" s="143" t="s">
        <v>79</v>
      </c>
      <c r="D37" s="144">
        <f>17000*12</f>
        <v>204000</v>
      </c>
      <c r="E37" s="192">
        <v>170.0</v>
      </c>
      <c r="F37" s="146">
        <f>E37*D37</f>
        <v>34680000</v>
      </c>
      <c r="G37" s="147">
        <v>368854.13999999926</v>
      </c>
      <c r="H37" s="148">
        <v>5074.0</v>
      </c>
      <c r="I37" s="149">
        <v>72.69494284588082</v>
      </c>
      <c r="J37" s="72" t="s">
        <v>64</v>
      </c>
      <c r="K37" s="73"/>
      <c r="L37" s="74" t="s">
        <v>63</v>
      </c>
      <c r="M37" s="75" t="s">
        <v>63</v>
      </c>
      <c r="N37" s="76" t="s">
        <v>63</v>
      </c>
      <c r="O37" s="77" t="s">
        <v>65</v>
      </c>
      <c r="P37" s="74" t="s">
        <v>63</v>
      </c>
      <c r="Q37" s="75" t="s">
        <v>63</v>
      </c>
      <c r="R37" s="76" t="s">
        <v>63</v>
      </c>
      <c r="S37" s="79" t="s">
        <v>65</v>
      </c>
      <c r="T37" s="74"/>
      <c r="U37" s="204" t="s">
        <v>63</v>
      </c>
      <c r="V37" s="76" t="s">
        <v>63</v>
      </c>
      <c r="W37" s="77" t="s">
        <v>65</v>
      </c>
      <c r="X37" s="74"/>
      <c r="Y37" s="204" t="s">
        <v>63</v>
      </c>
      <c r="Z37" s="76"/>
      <c r="AA37" s="76" t="s">
        <v>63</v>
      </c>
      <c r="AB37" s="77" t="s">
        <v>65</v>
      </c>
      <c r="AC37" s="80">
        <v>0.02</v>
      </c>
      <c r="AD37" s="82"/>
      <c r="AE37" s="81">
        <f>AE38/(BK38-(L38+P38+T38+X38))</f>
        <v>0</v>
      </c>
      <c r="AF37" s="76" t="s">
        <v>63</v>
      </c>
      <c r="AG37" s="83"/>
      <c r="AH37" s="77" t="s">
        <v>65</v>
      </c>
      <c r="AI37" s="80">
        <v>0.04</v>
      </c>
      <c r="AJ37" s="81">
        <v>0.0</v>
      </c>
      <c r="AK37" s="76" t="s">
        <v>63</v>
      </c>
      <c r="AL37" s="77" t="s">
        <v>65</v>
      </c>
      <c r="AM37" s="80">
        <v>0.07</v>
      </c>
      <c r="AN37" s="81">
        <v>0.0</v>
      </c>
      <c r="AO37" s="76" t="s">
        <v>63</v>
      </c>
      <c r="AP37" s="77" t="s">
        <v>65</v>
      </c>
      <c r="AQ37" s="80">
        <v>0.11</v>
      </c>
      <c r="AR37" s="81">
        <f>AR38/(BK38-(L38+P38+T38+X38))</f>
        <v>0</v>
      </c>
      <c r="AS37" s="76" t="s">
        <v>63</v>
      </c>
      <c r="AT37" s="77" t="s">
        <v>65</v>
      </c>
      <c r="AU37" s="80">
        <v>0.15</v>
      </c>
      <c r="AV37" s="81">
        <f>AV38/(BK38-(L38+P38+T38+X38))</f>
        <v>0</v>
      </c>
      <c r="AW37" s="76" t="s">
        <v>63</v>
      </c>
      <c r="AX37" s="77" t="s">
        <v>65</v>
      </c>
      <c r="AY37" s="80">
        <v>0.2</v>
      </c>
      <c r="AZ37" s="81">
        <f>AZ38/(BK38-(L38+P38+T38+X38))</f>
        <v>0</v>
      </c>
      <c r="BA37" s="76" t="s">
        <v>63</v>
      </c>
      <c r="BB37" s="77" t="s">
        <v>65</v>
      </c>
      <c r="BC37" s="80">
        <v>0.2</v>
      </c>
      <c r="BD37" s="81">
        <f>BD38/(BK38-(L38+P38+T38+X38))</f>
        <v>0</v>
      </c>
      <c r="BE37" s="76" t="s">
        <v>63</v>
      </c>
      <c r="BF37" s="77" t="s">
        <v>65</v>
      </c>
      <c r="BG37" s="205">
        <v>0.21</v>
      </c>
      <c r="BH37" s="81">
        <f>BH38/(BK38-(L38+P38+T38+X38))</f>
        <v>0</v>
      </c>
      <c r="BI37" s="76" t="s">
        <v>63</v>
      </c>
      <c r="BJ37" s="79" t="s">
        <v>65</v>
      </c>
      <c r="BK37" s="84">
        <f>SUM(AC37,AI37,AM37,AQ37,AU37,AY37,BC37,BG37)</f>
        <v>1</v>
      </c>
      <c r="BL37" s="85">
        <f>SUM(AC37,AI37)</f>
        <v>0.06</v>
      </c>
      <c r="BM37" s="86">
        <f>SUM(T37,X37,AC37,AI37,AM37)</f>
        <v>0.13</v>
      </c>
      <c r="BN37" s="87">
        <f>SUM(AE37,AJ37,AN37,AR37,AV37,AZ37,BD37,BH37)</f>
        <v>0</v>
      </c>
      <c r="BO37" s="88"/>
      <c r="BP37" s="89" t="s">
        <v>63</v>
      </c>
      <c r="BQ37" s="71"/>
      <c r="BR37" s="3"/>
      <c r="BS37" s="3"/>
      <c r="BT37" s="3"/>
      <c r="BU37" s="3"/>
      <c r="BV37" s="3"/>
      <c r="BW37" s="3"/>
    </row>
    <row r="38" ht="15.75" customHeight="1">
      <c r="A38" s="1"/>
      <c r="B38" s="142"/>
      <c r="C38" s="143"/>
      <c r="D38" s="144"/>
      <c r="E38" s="192"/>
      <c r="F38" s="146"/>
      <c r="G38" s="147"/>
      <c r="H38" s="148"/>
      <c r="I38" s="149"/>
      <c r="J38" s="72" t="s">
        <v>66</v>
      </c>
      <c r="K38" s="73"/>
      <c r="L38" s="167">
        <v>0.0</v>
      </c>
      <c r="M38" s="91">
        <v>232.36</v>
      </c>
      <c r="N38" s="92">
        <f t="shared" ref="N38:N41" si="160">IFERROR(M38-L38,"-")</f>
        <v>232.36</v>
      </c>
      <c r="O38" s="93" t="str">
        <f t="shared" ref="O38:O41" si="161">IFERROR(M38/L38-1,"-")</f>
        <v>-</v>
      </c>
      <c r="P38" s="90">
        <v>0.0</v>
      </c>
      <c r="Q38" s="91">
        <v>367.46</v>
      </c>
      <c r="R38" s="92">
        <f t="shared" ref="R38:R41" si="162">IFERROR(Q38-P38,"-")</f>
        <v>367.46</v>
      </c>
      <c r="S38" s="95" t="str">
        <f t="shared" ref="S38:S41" si="163">IFERROR(Q38/P38-1,"-")</f>
        <v>-</v>
      </c>
      <c r="T38" s="90">
        <f>($BK$38-($L$38+$P$38))*T37</f>
        <v>0</v>
      </c>
      <c r="U38" s="91">
        <v>177.46</v>
      </c>
      <c r="V38" s="92">
        <f t="shared" ref="V38:V41" si="164">IFERROR(U38-T38,"-")</f>
        <v>177.46</v>
      </c>
      <c r="W38" s="93" t="str">
        <f t="shared" ref="W38:W41" si="165">IFERROR(U38/T38-1,"-")</f>
        <v>-</v>
      </c>
      <c r="X38" s="90">
        <f>($BK$38-($L$38+$P$38))*X37</f>
        <v>0</v>
      </c>
      <c r="Y38" s="91">
        <v>82.24</v>
      </c>
      <c r="Z38" s="92"/>
      <c r="AA38" s="92">
        <f t="shared" ref="AA38:AA41" si="166">IFERROR(Y38-X38,"-")</f>
        <v>82.24</v>
      </c>
      <c r="AB38" s="93" t="str">
        <f t="shared" ref="AB38:AB41" si="167">IFERROR(Y38/X38-1,"-")</f>
        <v>-</v>
      </c>
      <c r="AC38" s="96">
        <f>($BK$38-($L$38+$P$38+$T$38+$X$38))*AC37</f>
        <v>1000</v>
      </c>
      <c r="AD38" s="98"/>
      <c r="AE38" s="91"/>
      <c r="AF38" s="92">
        <f t="shared" ref="AF38:AF41" si="168">IFERROR(AE38-AC38,"-")</f>
        <v>-1000</v>
      </c>
      <c r="AG38" s="99"/>
      <c r="AH38" s="93">
        <f t="shared" ref="AH38:AH41" si="169">IFERROR(AE38/AC38-1,"-")</f>
        <v>-1</v>
      </c>
      <c r="AI38" s="96">
        <f>($BK$38-($L$38+$P$38))*AI37</f>
        <v>2000</v>
      </c>
      <c r="AJ38" s="91">
        <v>0.0</v>
      </c>
      <c r="AK38" s="92">
        <f t="shared" ref="AK38:AK41" si="170">IFERROR(AJ38-AI38,"-")</f>
        <v>-2000</v>
      </c>
      <c r="AL38" s="93">
        <f t="shared" ref="AL38:AL41" si="171">IFERROR(AJ38/AI38-1,"-")</f>
        <v>-1</v>
      </c>
      <c r="AM38" s="96">
        <f>($BK$38-($L$38+$P$38))*AM37</f>
        <v>3500</v>
      </c>
      <c r="AN38" s="91">
        <v>0.0</v>
      </c>
      <c r="AO38" s="92">
        <f t="shared" ref="AO38:AO41" si="172">IFERROR(AN38-AM38,"-")</f>
        <v>-3500</v>
      </c>
      <c r="AP38" s="93">
        <f t="shared" ref="AP38:AP41" si="173">IFERROR(AN38/AM38-1,"-")</f>
        <v>-1</v>
      </c>
      <c r="AQ38" s="96">
        <f>($BK$38-($L$38+$P$38))*AQ37</f>
        <v>5500</v>
      </c>
      <c r="AR38" s="91"/>
      <c r="AS38" s="92">
        <f t="shared" ref="AS38:AS41" si="174">IFERROR(AR38-AQ38,"-")</f>
        <v>-5500</v>
      </c>
      <c r="AT38" s="93">
        <f t="shared" ref="AT38:AT41" si="175">IFERROR(AR38/AQ38-1,"-")</f>
        <v>-1</v>
      </c>
      <c r="AU38" s="96">
        <f>($BK$38-($L$38+$P$38))*AU37</f>
        <v>7500</v>
      </c>
      <c r="AV38" s="91"/>
      <c r="AW38" s="92">
        <f t="shared" ref="AW38:AW41" si="176">IFERROR(AV38-AU38,"-")</f>
        <v>-7500</v>
      </c>
      <c r="AX38" s="93">
        <f t="shared" ref="AX38:AX41" si="177">IFERROR(AV38/AU38-1,"-")</f>
        <v>-1</v>
      </c>
      <c r="AY38" s="96">
        <f>($BK$38-($L$38+$P$38))*AY37</f>
        <v>10000</v>
      </c>
      <c r="AZ38" s="91"/>
      <c r="BA38" s="92">
        <f t="shared" ref="BA38:BA41" si="178">IFERROR(AZ38-AY38,"-")</f>
        <v>-10000</v>
      </c>
      <c r="BB38" s="93">
        <f t="shared" ref="BB38:BB41" si="179">IFERROR(AZ38/AY38-1,"-")</f>
        <v>-1</v>
      </c>
      <c r="BC38" s="96">
        <f>($BK$38-($L$38+$P$38))*BC37</f>
        <v>10000</v>
      </c>
      <c r="BD38" s="91"/>
      <c r="BE38" s="92">
        <f t="shared" ref="BE38:BE41" si="180">IFERROR(BD38-BC38,"-")</f>
        <v>-10000</v>
      </c>
      <c r="BF38" s="93">
        <f t="shared" ref="BF38:BF41" si="181">IFERROR(BD38/BC38-1,"-")</f>
        <v>-1</v>
      </c>
      <c r="BG38" s="91">
        <f>($BK$38-($L$38+$P$38))*BG37</f>
        <v>10500</v>
      </c>
      <c r="BH38" s="91"/>
      <c r="BI38" s="92">
        <f t="shared" ref="BI38:BI41" si="182">IFERROR(BH38-BG38,"-")</f>
        <v>-10500</v>
      </c>
      <c r="BJ38" s="95">
        <f t="shared" ref="BJ38:BJ41" si="183">IFERROR(BH38/BG38-1,"-")</f>
        <v>-1</v>
      </c>
      <c r="BK38" s="101">
        <v>50000.0</v>
      </c>
      <c r="BL38" s="169">
        <f t="shared" ref="BL38:BL39" si="184">SUM(L38,P38,T38,X38,AC38,AI38)</f>
        <v>3000</v>
      </c>
      <c r="BM38" s="103">
        <f t="shared" ref="BM38:BM39" si="185">SUM(L38,P38,T38,X38,AC38,AI38,AM38)</f>
        <v>6500</v>
      </c>
      <c r="BN38" s="102">
        <f t="shared" ref="BN38:BN39" si="186">SUM(M38,Q38,U38,Y38,AE38,AJ38,AN38,AR38,AV38,AZ38,BD38,BH38)</f>
        <v>859.52</v>
      </c>
      <c r="BO38" s="104">
        <f t="shared" ref="BO38:BO41" si="187">IFERROR(BN38/BK38-1,"-")</f>
        <v>-0.9828096</v>
      </c>
      <c r="BP38" s="105" t="s">
        <v>63</v>
      </c>
      <c r="BQ38" s="106" t="str">
        <f t="shared" ref="BQ38:BQ39" si="188">IFERROR((BK38/BP38),"-")</f>
        <v>-</v>
      </c>
      <c r="BR38" s="3"/>
      <c r="BS38" s="3"/>
      <c r="BT38" s="3"/>
      <c r="BU38" s="3"/>
      <c r="BV38" s="3"/>
      <c r="BW38" s="3"/>
    </row>
    <row r="39" ht="15.75" customHeight="1">
      <c r="A39" s="1"/>
      <c r="B39" s="142"/>
      <c r="C39" s="143"/>
      <c r="D39" s="144"/>
      <c r="E39" s="192"/>
      <c r="F39" s="146"/>
      <c r="G39" s="147"/>
      <c r="H39" s="148"/>
      <c r="I39" s="149"/>
      <c r="J39" s="72" t="s">
        <v>67</v>
      </c>
      <c r="K39" s="107"/>
      <c r="L39" s="108">
        <f>L38/$K$40</f>
        <v>0</v>
      </c>
      <c r="M39" s="109">
        <v>16.0</v>
      </c>
      <c r="N39" s="110">
        <f t="shared" si="160"/>
        <v>16</v>
      </c>
      <c r="O39" s="93" t="str">
        <f t="shared" si="161"/>
        <v>-</v>
      </c>
      <c r="P39" s="108">
        <f>P38/$K$40</f>
        <v>0</v>
      </c>
      <c r="Q39" s="109">
        <v>122.0</v>
      </c>
      <c r="R39" s="110">
        <f t="shared" si="162"/>
        <v>122</v>
      </c>
      <c r="S39" s="95" t="str">
        <f t="shared" si="163"/>
        <v>-</v>
      </c>
      <c r="T39" s="108">
        <f>T38/$K$40</f>
        <v>0</v>
      </c>
      <c r="U39" s="109">
        <v>31.0</v>
      </c>
      <c r="V39" s="110">
        <f t="shared" si="164"/>
        <v>31</v>
      </c>
      <c r="W39" s="93" t="str">
        <f t="shared" si="165"/>
        <v>-</v>
      </c>
      <c r="X39" s="108">
        <f>X38/$K$40</f>
        <v>0</v>
      </c>
      <c r="Y39" s="109">
        <v>2.0</v>
      </c>
      <c r="Z39" s="110"/>
      <c r="AA39" s="110">
        <f t="shared" si="166"/>
        <v>2</v>
      </c>
      <c r="AB39" s="93" t="str">
        <f t="shared" si="167"/>
        <v>-</v>
      </c>
      <c r="AC39" s="112">
        <f>AC38/$K$40</f>
        <v>16.66666667</v>
      </c>
      <c r="AD39" s="113"/>
      <c r="AE39" s="109"/>
      <c r="AF39" s="110">
        <f t="shared" si="168"/>
        <v>-16.66666667</v>
      </c>
      <c r="AG39" s="99"/>
      <c r="AH39" s="93">
        <f t="shared" si="169"/>
        <v>-1</v>
      </c>
      <c r="AI39" s="112">
        <f>AI38/$K$40</f>
        <v>33.33333333</v>
      </c>
      <c r="AJ39" s="109">
        <v>0.0</v>
      </c>
      <c r="AK39" s="110">
        <f t="shared" si="170"/>
        <v>-33.33333333</v>
      </c>
      <c r="AL39" s="93">
        <f t="shared" si="171"/>
        <v>-1</v>
      </c>
      <c r="AM39" s="112">
        <f>AM38/$K$40</f>
        <v>58.33333333</v>
      </c>
      <c r="AN39" s="109">
        <v>0.0</v>
      </c>
      <c r="AO39" s="110">
        <f t="shared" si="172"/>
        <v>-58.33333333</v>
      </c>
      <c r="AP39" s="93">
        <f t="shared" si="173"/>
        <v>-1</v>
      </c>
      <c r="AQ39" s="112">
        <f>AQ38/$K$40</f>
        <v>91.66666667</v>
      </c>
      <c r="AR39" s="109"/>
      <c r="AS39" s="110">
        <f t="shared" si="174"/>
        <v>-91.66666667</v>
      </c>
      <c r="AT39" s="93">
        <f t="shared" si="175"/>
        <v>-1</v>
      </c>
      <c r="AU39" s="112">
        <f>AU38/$K$40</f>
        <v>125</v>
      </c>
      <c r="AV39" s="109"/>
      <c r="AW39" s="110">
        <f t="shared" si="176"/>
        <v>-125</v>
      </c>
      <c r="AX39" s="93">
        <f t="shared" si="177"/>
        <v>-1</v>
      </c>
      <c r="AY39" s="112">
        <f>AY38/$K$40</f>
        <v>166.6666667</v>
      </c>
      <c r="AZ39" s="109"/>
      <c r="BA39" s="110">
        <f t="shared" si="178"/>
        <v>-166.6666667</v>
      </c>
      <c r="BB39" s="93">
        <f t="shared" si="179"/>
        <v>-1</v>
      </c>
      <c r="BC39" s="112">
        <f>BC38/$K$40</f>
        <v>166.6666667</v>
      </c>
      <c r="BD39" s="109"/>
      <c r="BE39" s="110">
        <f t="shared" si="180"/>
        <v>-166.6666667</v>
      </c>
      <c r="BF39" s="93">
        <f t="shared" si="181"/>
        <v>-1</v>
      </c>
      <c r="BG39" s="109">
        <f>BG38/$K$40</f>
        <v>175</v>
      </c>
      <c r="BH39" s="109"/>
      <c r="BI39" s="110">
        <f t="shared" si="182"/>
        <v>-175</v>
      </c>
      <c r="BJ39" s="95">
        <f t="shared" si="183"/>
        <v>-1</v>
      </c>
      <c r="BK39" s="115">
        <f>SUM(L39,P39,T39,X39,AC39,AI39,AM39,AQ39,AU39,AY39,BC39,BG39)</f>
        <v>833.3333333</v>
      </c>
      <c r="BL39" s="173">
        <f t="shared" si="184"/>
        <v>50</v>
      </c>
      <c r="BM39" s="117">
        <f t="shared" si="185"/>
        <v>108.3333333</v>
      </c>
      <c r="BN39" s="207">
        <f t="shared" si="186"/>
        <v>171</v>
      </c>
      <c r="BO39" s="104">
        <f t="shared" si="187"/>
        <v>-0.7948</v>
      </c>
      <c r="BP39" s="119" t="s">
        <v>63</v>
      </c>
      <c r="BQ39" s="106" t="str">
        <f t="shared" si="188"/>
        <v>-</v>
      </c>
      <c r="BR39" s="194"/>
      <c r="BS39" s="3"/>
      <c r="BT39" s="3"/>
      <c r="BU39" s="3"/>
      <c r="BV39" s="3"/>
      <c r="BW39" s="3"/>
      <c r="CE39" s="154" t="s">
        <v>80</v>
      </c>
    </row>
    <row r="40" ht="15.75" customHeight="1">
      <c r="A40" s="1"/>
      <c r="B40" s="142"/>
      <c r="C40" s="143"/>
      <c r="D40" s="144"/>
      <c r="E40" s="192"/>
      <c r="F40" s="146"/>
      <c r="G40" s="147"/>
      <c r="H40" s="148"/>
      <c r="I40" s="149"/>
      <c r="J40" s="72" t="s">
        <v>68</v>
      </c>
      <c r="K40" s="107">
        <v>60.0</v>
      </c>
      <c r="L40" s="108">
        <v>60.0</v>
      </c>
      <c r="M40" s="91">
        <f>IFERROR(M38/M39,"-")</f>
        <v>14.5225</v>
      </c>
      <c r="N40" s="92">
        <f t="shared" si="160"/>
        <v>-45.4775</v>
      </c>
      <c r="O40" s="93">
        <f t="shared" si="161"/>
        <v>-0.7579583333</v>
      </c>
      <c r="P40" s="167">
        <v>60.0</v>
      </c>
      <c r="Q40" s="91">
        <f>IFERROR(Q38/Q39,"-")</f>
        <v>3.011967213</v>
      </c>
      <c r="R40" s="92">
        <f t="shared" si="162"/>
        <v>-56.98803279</v>
      </c>
      <c r="S40" s="95">
        <f t="shared" si="163"/>
        <v>-0.9498005464</v>
      </c>
      <c r="T40" s="108">
        <v>60.0</v>
      </c>
      <c r="U40" s="91">
        <f>IFERROR(U38/U39,"-")</f>
        <v>5.724516129</v>
      </c>
      <c r="V40" s="92">
        <f t="shared" si="164"/>
        <v>-54.27548387</v>
      </c>
      <c r="W40" s="93">
        <f t="shared" si="165"/>
        <v>-0.9045913978</v>
      </c>
      <c r="X40" s="108">
        <v>60.0</v>
      </c>
      <c r="Y40" s="109">
        <f>Y38/Y39</f>
        <v>41.12</v>
      </c>
      <c r="Z40" s="92"/>
      <c r="AA40" s="92">
        <f t="shared" si="166"/>
        <v>-18.88</v>
      </c>
      <c r="AB40" s="93">
        <f t="shared" si="167"/>
        <v>-0.3146666667</v>
      </c>
      <c r="AC40" s="112">
        <f>AC38/AC39</f>
        <v>60</v>
      </c>
      <c r="AD40" s="98"/>
      <c r="AE40" s="91" t="str">
        <f>IFERROR(AE38/AE39,"-")</f>
        <v>-</v>
      </c>
      <c r="AF40" s="92" t="str">
        <f t="shared" si="168"/>
        <v>-</v>
      </c>
      <c r="AG40" s="99"/>
      <c r="AH40" s="93" t="str">
        <f t="shared" si="169"/>
        <v>-</v>
      </c>
      <c r="AI40" s="112">
        <f>AI38/AI39</f>
        <v>60</v>
      </c>
      <c r="AJ40" s="91" t="s">
        <v>63</v>
      </c>
      <c r="AK40" s="92" t="str">
        <f t="shared" si="170"/>
        <v>-</v>
      </c>
      <c r="AL40" s="93" t="str">
        <f t="shared" si="171"/>
        <v>-</v>
      </c>
      <c r="AM40" s="112">
        <f>AM38/AM39</f>
        <v>60</v>
      </c>
      <c r="AN40" s="91" t="s">
        <v>63</v>
      </c>
      <c r="AO40" s="92" t="str">
        <f t="shared" si="172"/>
        <v>-</v>
      </c>
      <c r="AP40" s="93" t="str">
        <f t="shared" si="173"/>
        <v>-</v>
      </c>
      <c r="AQ40" s="112">
        <f>AQ38/AQ39</f>
        <v>60</v>
      </c>
      <c r="AR40" s="91" t="str">
        <f>IFERROR(AR38/AR39,"-")</f>
        <v>-</v>
      </c>
      <c r="AS40" s="92" t="str">
        <f t="shared" si="174"/>
        <v>-</v>
      </c>
      <c r="AT40" s="93" t="str">
        <f t="shared" si="175"/>
        <v>-</v>
      </c>
      <c r="AU40" s="112">
        <f>AU38/AU39</f>
        <v>60</v>
      </c>
      <c r="AV40" s="91" t="str">
        <f>IFERROR(AV38/AV39,"-")</f>
        <v>-</v>
      </c>
      <c r="AW40" s="92" t="str">
        <f t="shared" si="176"/>
        <v>-</v>
      </c>
      <c r="AX40" s="93" t="str">
        <f t="shared" si="177"/>
        <v>-</v>
      </c>
      <c r="AY40" s="112">
        <f>AY38/AY39</f>
        <v>60</v>
      </c>
      <c r="AZ40" s="91" t="str">
        <f>IFERROR(AZ38/AZ39,"-")</f>
        <v>-</v>
      </c>
      <c r="BA40" s="92" t="str">
        <f t="shared" si="178"/>
        <v>-</v>
      </c>
      <c r="BB40" s="93" t="str">
        <f t="shared" si="179"/>
        <v>-</v>
      </c>
      <c r="BC40" s="112">
        <f>BC38/BC39</f>
        <v>60</v>
      </c>
      <c r="BD40" s="91" t="str">
        <f>IFERROR(BD38/BD39,"-")</f>
        <v>-</v>
      </c>
      <c r="BE40" s="92" t="str">
        <f t="shared" si="180"/>
        <v>-</v>
      </c>
      <c r="BF40" s="93" t="str">
        <f t="shared" si="181"/>
        <v>-</v>
      </c>
      <c r="BG40" s="109">
        <f>BG38/BG39</f>
        <v>60</v>
      </c>
      <c r="BH40" s="91" t="str">
        <f>IFERROR(BH38/BH39,"-")</f>
        <v>-</v>
      </c>
      <c r="BI40" s="92" t="str">
        <f t="shared" si="182"/>
        <v>-</v>
      </c>
      <c r="BJ40" s="95" t="str">
        <f t="shared" si="183"/>
        <v>-</v>
      </c>
      <c r="BK40" s="216">
        <f>BK38/BK39</f>
        <v>60</v>
      </c>
      <c r="BL40" s="176">
        <f t="shared" ref="BL40:BM40" si="189">IFERROR(BL38/BL39,"-")</f>
        <v>60</v>
      </c>
      <c r="BM40" s="122">
        <f t="shared" si="189"/>
        <v>60</v>
      </c>
      <c r="BN40" s="209">
        <f>BN38/BN39</f>
        <v>5.026432749</v>
      </c>
      <c r="BO40" s="104">
        <f t="shared" si="187"/>
        <v>-0.9162261209</v>
      </c>
      <c r="BP40" s="119"/>
      <c r="BQ40" s="106"/>
      <c r="BR40" s="194"/>
      <c r="BS40" s="3"/>
      <c r="BT40" s="3"/>
      <c r="BU40" s="3"/>
      <c r="BV40" s="3"/>
      <c r="BW40" s="3"/>
    </row>
    <row r="41" ht="15.75" customHeight="1">
      <c r="A41" s="1"/>
      <c r="B41" s="142"/>
      <c r="C41" s="143"/>
      <c r="D41" s="144"/>
      <c r="E41" s="192"/>
      <c r="F41" s="146"/>
      <c r="G41" s="147"/>
      <c r="H41" s="148"/>
      <c r="I41" s="149"/>
      <c r="J41" s="124" t="s">
        <v>69</v>
      </c>
      <c r="K41" s="125">
        <v>0.049</v>
      </c>
      <c r="L41" s="126">
        <f t="shared" ref="L41:M41" si="190">L38*$K$41</f>
        <v>0</v>
      </c>
      <c r="M41" s="130">
        <f t="shared" si="190"/>
        <v>11.38564</v>
      </c>
      <c r="N41" s="128">
        <f t="shared" si="160"/>
        <v>11.38564</v>
      </c>
      <c r="O41" s="129" t="str">
        <f t="shared" si="161"/>
        <v>-</v>
      </c>
      <c r="P41" s="126">
        <f t="shared" ref="P41:Q41" si="191">P38*$K$41</f>
        <v>0</v>
      </c>
      <c r="Q41" s="130">
        <f t="shared" si="191"/>
        <v>18.00554</v>
      </c>
      <c r="R41" s="128">
        <f t="shared" si="162"/>
        <v>18.00554</v>
      </c>
      <c r="S41" s="131" t="str">
        <f t="shared" si="163"/>
        <v>-</v>
      </c>
      <c r="T41" s="126">
        <f t="shared" ref="T41:U41" si="192">T38*$K$41</f>
        <v>0</v>
      </c>
      <c r="U41" s="130">
        <f t="shared" si="192"/>
        <v>8.69554</v>
      </c>
      <c r="V41" s="128">
        <f t="shared" si="164"/>
        <v>8.69554</v>
      </c>
      <c r="W41" s="129" t="str">
        <f t="shared" si="165"/>
        <v>-</v>
      </c>
      <c r="X41" s="126">
        <f t="shared" ref="X41:Y41" si="193">X38*$K$41</f>
        <v>0</v>
      </c>
      <c r="Y41" s="130">
        <f t="shared" si="193"/>
        <v>4.02976</v>
      </c>
      <c r="Z41" s="128"/>
      <c r="AA41" s="128">
        <f t="shared" si="166"/>
        <v>4.02976</v>
      </c>
      <c r="AB41" s="129" t="str">
        <f t="shared" si="167"/>
        <v>-</v>
      </c>
      <c r="AC41" s="126">
        <f>AC38*$K$41</f>
        <v>49</v>
      </c>
      <c r="AD41" s="133"/>
      <c r="AE41" s="130">
        <f>AE38*$K$41</f>
        <v>0</v>
      </c>
      <c r="AF41" s="128">
        <f t="shared" si="168"/>
        <v>-49</v>
      </c>
      <c r="AG41" s="134"/>
      <c r="AH41" s="129">
        <f t="shared" si="169"/>
        <v>-1</v>
      </c>
      <c r="AI41" s="126">
        <f>AI38*$K$41</f>
        <v>98</v>
      </c>
      <c r="AJ41" s="130">
        <v>0.0</v>
      </c>
      <c r="AK41" s="128">
        <f t="shared" si="170"/>
        <v>-98</v>
      </c>
      <c r="AL41" s="129">
        <f t="shared" si="171"/>
        <v>-1</v>
      </c>
      <c r="AM41" s="126">
        <f>AM38*$K$41</f>
        <v>171.5</v>
      </c>
      <c r="AN41" s="130">
        <v>0.0</v>
      </c>
      <c r="AO41" s="128">
        <f t="shared" si="172"/>
        <v>-171.5</v>
      </c>
      <c r="AP41" s="129">
        <f t="shared" si="173"/>
        <v>-1</v>
      </c>
      <c r="AQ41" s="126">
        <f t="shared" ref="AQ41:AR41" si="194">AQ38*$K$41</f>
        <v>269.5</v>
      </c>
      <c r="AR41" s="130">
        <f t="shared" si="194"/>
        <v>0</v>
      </c>
      <c r="AS41" s="128">
        <f t="shared" si="174"/>
        <v>-269.5</v>
      </c>
      <c r="AT41" s="129">
        <f t="shared" si="175"/>
        <v>-1</v>
      </c>
      <c r="AU41" s="126">
        <f t="shared" ref="AU41:AV41" si="195">AU38*$K$41</f>
        <v>367.5</v>
      </c>
      <c r="AV41" s="130">
        <f t="shared" si="195"/>
        <v>0</v>
      </c>
      <c r="AW41" s="128">
        <f t="shared" si="176"/>
        <v>-367.5</v>
      </c>
      <c r="AX41" s="129">
        <f t="shared" si="177"/>
        <v>-1</v>
      </c>
      <c r="AY41" s="126">
        <f t="shared" ref="AY41:AZ41" si="196">AY38*$K$41</f>
        <v>490</v>
      </c>
      <c r="AZ41" s="130">
        <f t="shared" si="196"/>
        <v>0</v>
      </c>
      <c r="BA41" s="128">
        <f t="shared" si="178"/>
        <v>-490</v>
      </c>
      <c r="BB41" s="129">
        <f t="shared" si="179"/>
        <v>-1</v>
      </c>
      <c r="BC41" s="126">
        <f t="shared" ref="BC41:BD41" si="197">BC38*$K$41</f>
        <v>490</v>
      </c>
      <c r="BD41" s="130">
        <f t="shared" si="197"/>
        <v>0</v>
      </c>
      <c r="BE41" s="128">
        <f t="shared" si="180"/>
        <v>-490</v>
      </c>
      <c r="BF41" s="129">
        <f t="shared" si="181"/>
        <v>-1</v>
      </c>
      <c r="BG41" s="130">
        <f t="shared" ref="BG41:BH41" si="198">BG38*$K$41</f>
        <v>514.5</v>
      </c>
      <c r="BH41" s="130">
        <f t="shared" si="198"/>
        <v>0</v>
      </c>
      <c r="BI41" s="128">
        <f t="shared" si="182"/>
        <v>-514.5</v>
      </c>
      <c r="BJ41" s="131">
        <f t="shared" si="183"/>
        <v>-1</v>
      </c>
      <c r="BK41" s="135">
        <f>SUM(L41,P41,T41,X41,AC41,AI41,AM41,AQ41,AU41,AY41,BC41,BG41)</f>
        <v>2450</v>
      </c>
      <c r="BL41" s="182">
        <f>SUM(L41,P41,T41,X41,AC41,AI41)</f>
        <v>147</v>
      </c>
      <c r="BM41" s="137">
        <f>SUM(L41,P41,T41,X41,AC41,AI41,AM41)</f>
        <v>318.5</v>
      </c>
      <c r="BN41" s="213">
        <f>SUM(M41,Q41,U41,Y41,AE41,AJ41,AN41,AR41,AV41,AZ41,BD41,BH41)</f>
        <v>42.11648</v>
      </c>
      <c r="BO41" s="139">
        <f t="shared" si="187"/>
        <v>-0.9828096</v>
      </c>
      <c r="BP41" s="140" t="s">
        <v>63</v>
      </c>
      <c r="BQ41" s="141" t="str">
        <f>IFERROR((BK41/BP41),"-")</f>
        <v>-</v>
      </c>
      <c r="BR41" s="3"/>
      <c r="BS41" s="3"/>
      <c r="BT41" s="3"/>
      <c r="BU41" s="3"/>
    </row>
    <row r="42" ht="15.75" customHeight="1">
      <c r="A42" s="1"/>
      <c r="B42" s="142"/>
      <c r="C42" s="143"/>
      <c r="D42" s="144"/>
      <c r="E42" s="192"/>
      <c r="F42" s="146"/>
      <c r="G42" s="147"/>
      <c r="H42" s="148"/>
      <c r="I42" s="149"/>
      <c r="J42" s="12"/>
      <c r="K42" s="195"/>
      <c r="L42" s="12"/>
      <c r="M42" s="196"/>
      <c r="N42" s="196"/>
      <c r="O42" s="196"/>
      <c r="P42" s="196"/>
      <c r="Q42" s="23"/>
      <c r="R42" s="196"/>
      <c r="S42" s="12"/>
      <c r="T42" s="12"/>
      <c r="U42" s="12"/>
      <c r="V42" s="12"/>
      <c r="W42" s="12"/>
      <c r="X42" s="13"/>
      <c r="Y42" s="14"/>
      <c r="Z42" s="15"/>
      <c r="AA42" s="15"/>
      <c r="AB42" s="3"/>
      <c r="AC42" s="3"/>
      <c r="AD42" s="3"/>
      <c r="AE42" s="3"/>
      <c r="AF42" s="3"/>
      <c r="AG42" s="3"/>
      <c r="AH42" s="3"/>
      <c r="AI42" s="3"/>
      <c r="AJ42" s="154" t="s">
        <v>70</v>
      </c>
      <c r="AN42" s="154" t="s">
        <v>70</v>
      </c>
      <c r="AY42" s="187"/>
      <c r="AZ42" s="25"/>
      <c r="BA42" s="188"/>
      <c r="BB42" s="25"/>
    </row>
    <row r="43" ht="15.75" customHeight="1">
      <c r="A43" s="1"/>
      <c r="B43" s="142"/>
      <c r="C43" s="143"/>
      <c r="D43" s="144"/>
      <c r="E43" s="192"/>
      <c r="F43" s="146"/>
      <c r="G43" s="147"/>
      <c r="H43" s="148"/>
      <c r="I43" s="149"/>
      <c r="J43" s="34" t="s">
        <v>81</v>
      </c>
      <c r="K43" s="35"/>
      <c r="L43" s="36" t="s">
        <v>10</v>
      </c>
      <c r="M43" s="199" t="s">
        <v>11</v>
      </c>
      <c r="N43" s="38" t="s">
        <v>12</v>
      </c>
      <c r="O43" s="45" t="s">
        <v>13</v>
      </c>
      <c r="P43" s="157" t="s">
        <v>14</v>
      </c>
      <c r="Q43" s="199" t="s">
        <v>15</v>
      </c>
      <c r="R43" s="38" t="s">
        <v>16</v>
      </c>
      <c r="S43" s="42" t="s">
        <v>17</v>
      </c>
      <c r="T43" s="217" t="s">
        <v>18</v>
      </c>
      <c r="U43" s="199" t="s">
        <v>19</v>
      </c>
      <c r="V43" s="38" t="s">
        <v>20</v>
      </c>
      <c r="W43" s="45" t="s">
        <v>21</v>
      </c>
      <c r="X43" s="44" t="s">
        <v>22</v>
      </c>
      <c r="Y43" s="199" t="s">
        <v>23</v>
      </c>
      <c r="Z43" s="38"/>
      <c r="AA43" s="38" t="s">
        <v>24</v>
      </c>
      <c r="AB43" s="45" t="s">
        <v>25</v>
      </c>
      <c r="AC43" s="43" t="s">
        <v>26</v>
      </c>
      <c r="AD43" s="200"/>
      <c r="AE43" s="199" t="s">
        <v>27</v>
      </c>
      <c r="AF43" s="38" t="s">
        <v>28</v>
      </c>
      <c r="AG43" s="47"/>
      <c r="AH43" s="45" t="s">
        <v>29</v>
      </c>
      <c r="AI43" s="44" t="s">
        <v>30</v>
      </c>
      <c r="AJ43" s="199" t="s">
        <v>31</v>
      </c>
      <c r="AK43" s="38" t="s">
        <v>32</v>
      </c>
      <c r="AL43" s="45" t="s">
        <v>33</v>
      </c>
      <c r="AM43" s="43" t="s">
        <v>34</v>
      </c>
      <c r="AN43" s="199" t="s">
        <v>35</v>
      </c>
      <c r="AO43" s="38" t="s">
        <v>36</v>
      </c>
      <c r="AP43" s="45" t="s">
        <v>37</v>
      </c>
      <c r="AQ43" s="201" t="s">
        <v>38</v>
      </c>
      <c r="AR43" s="199" t="s">
        <v>39</v>
      </c>
      <c r="AS43" s="38" t="s">
        <v>40</v>
      </c>
      <c r="AT43" s="45" t="s">
        <v>41</v>
      </c>
      <c r="AU43" s="43" t="s">
        <v>42</v>
      </c>
      <c r="AV43" s="199" t="s">
        <v>43</v>
      </c>
      <c r="AW43" s="38" t="s">
        <v>44</v>
      </c>
      <c r="AX43" s="45" t="s">
        <v>45</v>
      </c>
      <c r="AY43" s="44" t="s">
        <v>46</v>
      </c>
      <c r="AZ43" s="199" t="s">
        <v>47</v>
      </c>
      <c r="BA43" s="38" t="s">
        <v>48</v>
      </c>
      <c r="BB43" s="45" t="s">
        <v>49</v>
      </c>
      <c r="BC43" s="43" t="s">
        <v>50</v>
      </c>
      <c r="BD43" s="199" t="s">
        <v>51</v>
      </c>
      <c r="BE43" s="38" t="s">
        <v>52</v>
      </c>
      <c r="BF43" s="45" t="s">
        <v>53</v>
      </c>
      <c r="BG43" s="44" t="s">
        <v>54</v>
      </c>
      <c r="BH43" s="199" t="s">
        <v>55</v>
      </c>
      <c r="BI43" s="38" t="s">
        <v>56</v>
      </c>
      <c r="BJ43" s="45" t="s">
        <v>57</v>
      </c>
      <c r="BK43" s="48" t="s">
        <v>58</v>
      </c>
      <c r="BL43" s="49" t="s">
        <v>72</v>
      </c>
      <c r="BM43" s="49" t="s">
        <v>60</v>
      </c>
      <c r="BN43" s="37" t="s">
        <v>61</v>
      </c>
      <c r="BO43" s="51" t="s">
        <v>62</v>
      </c>
      <c r="BP43" s="52">
        <v>2025.0</v>
      </c>
      <c r="BQ43" s="53"/>
      <c r="BR43" s="3"/>
      <c r="BS43" s="3"/>
      <c r="BT43" s="3"/>
      <c r="BU43" s="3"/>
      <c r="BV43" s="3"/>
      <c r="BW43" s="3"/>
    </row>
    <row r="44" ht="15.75" customHeight="1">
      <c r="A44" s="1"/>
      <c r="B44" s="142"/>
      <c r="C44" s="143"/>
      <c r="D44" s="144"/>
      <c r="E44" s="192"/>
      <c r="F44" s="146"/>
      <c r="G44" s="147"/>
      <c r="H44" s="148"/>
      <c r="I44" s="149"/>
      <c r="J44" s="54"/>
      <c r="K44" s="55"/>
      <c r="L44" s="56"/>
      <c r="M44" s="202"/>
      <c r="N44" s="58"/>
      <c r="O44" s="59"/>
      <c r="P44" s="56"/>
      <c r="Q44" s="202"/>
      <c r="R44" s="58"/>
      <c r="S44" s="61"/>
      <c r="T44" s="62"/>
      <c r="U44" s="63"/>
      <c r="V44" s="58"/>
      <c r="W44" s="59"/>
      <c r="X44" s="62"/>
      <c r="Y44" s="63"/>
      <c r="Z44" s="58"/>
      <c r="AA44" s="58"/>
      <c r="AB44" s="59"/>
      <c r="AC44" s="62"/>
      <c r="AD44" s="64"/>
      <c r="AE44" s="63"/>
      <c r="AF44" s="58"/>
      <c r="AG44" s="65"/>
      <c r="AH44" s="59"/>
      <c r="AI44" s="62"/>
      <c r="AJ44" s="63" t="s">
        <v>70</v>
      </c>
      <c r="AK44" s="58"/>
      <c r="AL44" s="59"/>
      <c r="AM44" s="62"/>
      <c r="AN44" s="63" t="s">
        <v>70</v>
      </c>
      <c r="AO44" s="58"/>
      <c r="AP44" s="59"/>
      <c r="AQ44" s="203"/>
      <c r="AR44" s="63"/>
      <c r="AS44" s="58"/>
      <c r="AT44" s="59"/>
      <c r="AU44" s="62"/>
      <c r="AV44" s="63"/>
      <c r="AW44" s="58"/>
      <c r="AX44" s="59"/>
      <c r="AY44" s="62"/>
      <c r="AZ44" s="63"/>
      <c r="BA44" s="58"/>
      <c r="BB44" s="59"/>
      <c r="BC44" s="62"/>
      <c r="BD44" s="63"/>
      <c r="BE44" s="58"/>
      <c r="BF44" s="59"/>
      <c r="BG44" s="62"/>
      <c r="BH44" s="63"/>
      <c r="BI44" s="58"/>
      <c r="BJ44" s="59"/>
      <c r="BK44" s="164"/>
      <c r="BL44" s="67"/>
      <c r="BM44" s="67"/>
      <c r="BN44" s="68"/>
      <c r="BO44" s="69"/>
      <c r="BP44" s="70"/>
      <c r="BQ44" s="71"/>
      <c r="BR44" s="3"/>
      <c r="BS44" s="3"/>
      <c r="BT44" s="3"/>
      <c r="BU44" s="3"/>
      <c r="BV44" s="3"/>
      <c r="BW44" s="3"/>
    </row>
    <row r="45" ht="15.75" customHeight="1">
      <c r="A45" s="1"/>
      <c r="B45" s="142">
        <v>7.0</v>
      </c>
      <c r="C45" s="143" t="s">
        <v>82</v>
      </c>
      <c r="D45" s="144"/>
      <c r="E45" s="192"/>
      <c r="F45" s="146"/>
      <c r="G45" s="147"/>
      <c r="H45" s="148"/>
      <c r="I45" s="149"/>
      <c r="J45" s="72" t="s">
        <v>83</v>
      </c>
      <c r="K45" s="73"/>
      <c r="L45" s="74" t="s">
        <v>63</v>
      </c>
      <c r="M45" s="204" t="s">
        <v>63</v>
      </c>
      <c r="N45" s="76" t="s">
        <v>63</v>
      </c>
      <c r="O45" s="77" t="s">
        <v>65</v>
      </c>
      <c r="P45" s="74" t="s">
        <v>63</v>
      </c>
      <c r="Q45" s="204" t="s">
        <v>63</v>
      </c>
      <c r="R45" s="76" t="s">
        <v>63</v>
      </c>
      <c r="S45" s="79" t="s">
        <v>65</v>
      </c>
      <c r="T45" s="80">
        <v>0.04</v>
      </c>
      <c r="U45" s="81">
        <f>U46/(BK46-(L46 + P46))</f>
        <v>0.05181774334</v>
      </c>
      <c r="V45" s="76" t="s">
        <v>63</v>
      </c>
      <c r="W45" s="77" t="s">
        <v>65</v>
      </c>
      <c r="X45" s="80">
        <v>0.05</v>
      </c>
      <c r="Y45" s="81">
        <f>Y46/(BK46-(L46+P46))</f>
        <v>0.03728023143</v>
      </c>
      <c r="Z45" s="76"/>
      <c r="AA45" s="76" t="s">
        <v>63</v>
      </c>
      <c r="AB45" s="77" t="s">
        <v>65</v>
      </c>
      <c r="AC45" s="80">
        <v>0.05</v>
      </c>
      <c r="AD45" s="82"/>
      <c r="AE45" s="81">
        <f>AE46/(BK46-(L46+P46))</f>
        <v>0.05252107165</v>
      </c>
      <c r="AF45" s="76" t="s">
        <v>63</v>
      </c>
      <c r="AG45" s="83"/>
      <c r="AH45" s="77" t="s">
        <v>65</v>
      </c>
      <c r="AI45" s="80">
        <v>0.08</v>
      </c>
      <c r="AJ45" s="81">
        <v>0.05844961955070073</v>
      </c>
      <c r="AK45" s="76" t="s">
        <v>63</v>
      </c>
      <c r="AL45" s="77" t="s">
        <v>65</v>
      </c>
      <c r="AM45" s="80">
        <v>0.08</v>
      </c>
      <c r="AN45" s="81">
        <v>0.02680108811122752</v>
      </c>
      <c r="AO45" s="76" t="s">
        <v>63</v>
      </c>
      <c r="AP45" s="77" t="s">
        <v>65</v>
      </c>
      <c r="AQ45" s="205">
        <v>0.08</v>
      </c>
      <c r="AR45" s="81">
        <f>AR46/(BK46-(L46+P46))</f>
        <v>0</v>
      </c>
      <c r="AS45" s="76" t="s">
        <v>63</v>
      </c>
      <c r="AT45" s="77" t="s">
        <v>65</v>
      </c>
      <c r="AU45" s="80">
        <v>0.13</v>
      </c>
      <c r="AV45" s="81">
        <f>AV46/(BK46-(L46+P46))</f>
        <v>0</v>
      </c>
      <c r="AW45" s="76" t="s">
        <v>63</v>
      </c>
      <c r="AX45" s="77" t="s">
        <v>65</v>
      </c>
      <c r="AY45" s="80">
        <v>0.13</v>
      </c>
      <c r="AZ45" s="81">
        <f>AZ46/(BK46-(L46+P46))</f>
        <v>0</v>
      </c>
      <c r="BA45" s="76" t="s">
        <v>63</v>
      </c>
      <c r="BB45" s="77" t="s">
        <v>65</v>
      </c>
      <c r="BC45" s="80">
        <v>0.23</v>
      </c>
      <c r="BD45" s="81">
        <f>BD46/(BK46-(L46+P46))</f>
        <v>0</v>
      </c>
      <c r="BE45" s="76" t="s">
        <v>63</v>
      </c>
      <c r="BF45" s="77" t="s">
        <v>65</v>
      </c>
      <c r="BG45" s="80">
        <v>0.13</v>
      </c>
      <c r="BH45" s="81">
        <f>BH46/(BK46-(L46+P46))</f>
        <v>0</v>
      </c>
      <c r="BI45" s="76" t="s">
        <v>63</v>
      </c>
      <c r="BJ45" s="77" t="s">
        <v>65</v>
      </c>
      <c r="BK45" s="166">
        <f>SUM(T45,X45,AC45,AI45,AM45,AQ45,AU45,AY45,BC45,BG45)</f>
        <v>1</v>
      </c>
      <c r="BL45" s="85">
        <f>SUM(T45,X45,AC45,AI45)</f>
        <v>0.22</v>
      </c>
      <c r="BM45" s="86">
        <f>SUM(T45,X45,AC45,AI45,AM45)</f>
        <v>0.3</v>
      </c>
      <c r="BN45" s="87">
        <f>SUM(U45,Y45,AE45,AJ45,AN45,AR45,AV45,AZ45,BD45,BH45)</f>
        <v>0.2268697541</v>
      </c>
      <c r="BO45" s="88"/>
      <c r="BP45" s="89" t="s">
        <v>63</v>
      </c>
      <c r="BQ45" s="71"/>
      <c r="BR45" s="3"/>
      <c r="BS45" s="3"/>
      <c r="BT45" s="3"/>
      <c r="BU45" s="3"/>
      <c r="BV45" s="3"/>
      <c r="BW45" s="3"/>
    </row>
    <row r="46" ht="15.75" customHeight="1">
      <c r="A46" s="1"/>
      <c r="B46" s="142"/>
      <c r="C46" s="143"/>
      <c r="D46" s="144"/>
      <c r="E46" s="192"/>
      <c r="F46" s="146"/>
      <c r="G46" s="147"/>
      <c r="H46" s="148"/>
      <c r="I46" s="149"/>
      <c r="J46" s="72" t="s">
        <v>66</v>
      </c>
      <c r="K46" s="73"/>
      <c r="L46" s="167">
        <v>60057.0</v>
      </c>
      <c r="M46" s="91">
        <v>45206.81</v>
      </c>
      <c r="N46" s="92">
        <f t="shared" ref="N46:N49" si="199">IFERROR(M46-L46,"-")</f>
        <v>-14850.19</v>
      </c>
      <c r="O46" s="93">
        <f t="shared" ref="O46:O49" si="200">IFERROR(M46/L46-1,"-")</f>
        <v>-0.2472682618</v>
      </c>
      <c r="P46" s="167">
        <v>44180.0</v>
      </c>
      <c r="Q46" s="91">
        <v>42436.91</v>
      </c>
      <c r="R46" s="92">
        <f t="shared" ref="R46:R49" si="201">IFERROR(Q46-P46,"-")</f>
        <v>-1743.09</v>
      </c>
      <c r="S46" s="95">
        <f t="shared" ref="S46:S49" si="202">IFERROR(Q46/P46-1,"-")</f>
        <v>-0.03945427795</v>
      </c>
      <c r="T46" s="96">
        <f>($BK$46-($L$46+$P$46))*T45</f>
        <v>46989.71903</v>
      </c>
      <c r="U46" s="91">
        <v>60872.53</v>
      </c>
      <c r="V46" s="92">
        <f t="shared" ref="V46:V49" si="203">IFERROR(U46-T46,"-")</f>
        <v>13882.81097</v>
      </c>
      <c r="W46" s="93">
        <f t="shared" ref="W46:W49" si="204">IFERROR(U46/T46-1,"-")</f>
        <v>0.2954435834</v>
      </c>
      <c r="X46" s="96">
        <f>($BK$46-($L$46+$P$46))*X45</f>
        <v>58737.14879</v>
      </c>
      <c r="Y46" s="91">
        <v>43794.69</v>
      </c>
      <c r="Z46" s="92"/>
      <c r="AA46" s="92">
        <f t="shared" ref="AA46:AA49" si="205">IFERROR(Y46-X46,"-")</f>
        <v>-14942.45879</v>
      </c>
      <c r="AB46" s="93">
        <f t="shared" ref="AB46:AB49" si="206">IFERROR(Y46/X46-1,"-")</f>
        <v>-0.2543953715</v>
      </c>
      <c r="AC46" s="96">
        <f>($BK$46-($L$46+$P$46))*AC45</f>
        <v>58737.14879</v>
      </c>
      <c r="AD46" s="98"/>
      <c r="AE46" s="91">
        <v>61698.76</v>
      </c>
      <c r="AF46" s="92">
        <f t="shared" ref="AF46:AF49" si="207">IFERROR(AE46-AC46,"-")</f>
        <v>2961.611215</v>
      </c>
      <c r="AG46" s="99"/>
      <c r="AH46" s="93">
        <f t="shared" ref="AH46:AH49" si="208">IFERROR(AE46/AC46-1,"-")</f>
        <v>0.05042143304</v>
      </c>
      <c r="AI46" s="96">
        <f>($BK$46-($L$46+$P$46))*AI45</f>
        <v>93979.43806</v>
      </c>
      <c r="AJ46" s="100">
        <v>68663.28</v>
      </c>
      <c r="AK46" s="92">
        <f t="shared" ref="AK46:AK49" si="209">IFERROR(AJ46-AI46,"-")</f>
        <v>-25316.15806</v>
      </c>
      <c r="AL46" s="93">
        <f t="shared" ref="AL46:AL49" si="210">IFERROR(AJ46/AI46-1,"-")</f>
        <v>-0.2693797556</v>
      </c>
      <c r="AM46" s="96">
        <f>($BK$46-($L$46+$P$46))*AM45</f>
        <v>93979.43806</v>
      </c>
      <c r="AN46" s="91">
        <v>31484.39</v>
      </c>
      <c r="AO46" s="92">
        <f t="shared" ref="AO46:AO49" si="211">IFERROR(AN46-AM46,"-")</f>
        <v>-62495.04806</v>
      </c>
      <c r="AP46" s="93">
        <f t="shared" ref="AP46:AP49" si="212">IFERROR(AN46/AM46-1,"-")</f>
        <v>-0.6649863986</v>
      </c>
      <c r="AQ46" s="91">
        <f>($BK$46-($L$46+$P$46))*AQ45</f>
        <v>93979.43806</v>
      </c>
      <c r="AR46" s="91">
        <v>0.0</v>
      </c>
      <c r="AS46" s="92">
        <f t="shared" ref="AS46:AS49" si="213">IFERROR(AR46-AQ46,"-")</f>
        <v>-93979.43806</v>
      </c>
      <c r="AT46" s="93">
        <f t="shared" ref="AT46:AT49" si="214">IFERROR(AR46/AQ46-1,"-")</f>
        <v>-1</v>
      </c>
      <c r="AU46" s="96">
        <f>($BK$46-($L$46+$P$46))*AU45</f>
        <v>152716.5868</v>
      </c>
      <c r="AV46" s="91">
        <v>0.0</v>
      </c>
      <c r="AW46" s="92">
        <f t="shared" ref="AW46:AW49" si="215">IFERROR(AV46-AU46,"-")</f>
        <v>-152716.5868</v>
      </c>
      <c r="AX46" s="93">
        <f t="shared" ref="AX46:AX49" si="216">IFERROR(AV46/AU46-1,"-")</f>
        <v>-1</v>
      </c>
      <c r="AY46" s="96">
        <f>($BK$46-($L$46+$P$46))*AY45</f>
        <v>152716.5868</v>
      </c>
      <c r="AZ46" s="91">
        <v>0.0</v>
      </c>
      <c r="BA46" s="92">
        <f t="shared" ref="BA46:BA49" si="217">IFERROR(AZ46-AY46,"-")</f>
        <v>-152716.5868</v>
      </c>
      <c r="BB46" s="93">
        <f t="shared" ref="BB46:BB49" si="218">IFERROR(AZ46/AY46-1,"-")</f>
        <v>-1</v>
      </c>
      <c r="BC46" s="96">
        <f>($BK$46-($L$46+$P$46))*BC45</f>
        <v>270190.8844</v>
      </c>
      <c r="BD46" s="91">
        <v>0.0</v>
      </c>
      <c r="BE46" s="92">
        <f t="shared" ref="BE46:BE49" si="219">IFERROR(BD46-BC46,"-")</f>
        <v>-270190.8844</v>
      </c>
      <c r="BF46" s="93">
        <f t="shared" ref="BF46:BF49" si="220">IFERROR(BD46/BC46-1,"-")</f>
        <v>-1</v>
      </c>
      <c r="BG46" s="96">
        <f>($BK$46-($L$46+$P$46))*BG45</f>
        <v>152716.5868</v>
      </c>
      <c r="BH46" s="91">
        <v>0.0</v>
      </c>
      <c r="BI46" s="92">
        <f t="shared" ref="BI46:BI49" si="221">IFERROR(BH46-BG46,"-")</f>
        <v>-152716.5868</v>
      </c>
      <c r="BJ46" s="93">
        <f t="shared" ref="BJ46:BJ49" si="222">IFERROR(BH46/BG46-1,"-")</f>
        <v>-1</v>
      </c>
      <c r="BK46" s="168">
        <v>1278979.9757081596</v>
      </c>
      <c r="BL46" s="169">
        <f t="shared" ref="BL46:BL47" si="223">SUM(L46,P46,T46,X46,AC46,AI46)</f>
        <v>362680.4547</v>
      </c>
      <c r="BM46" s="103">
        <f t="shared" ref="BM46:BM47" si="224">SUM(L46,P46,T46,X46,AC46,AI46,AM46)</f>
        <v>456659.8927</v>
      </c>
      <c r="BN46" s="102">
        <f t="shared" ref="BN46:BN47" si="225">SUM(M46,Q46,U46,Y46,AE46,AJ46,AN46,AR46,AV46,AZ46,BD46,BH46)</f>
        <v>354157.37</v>
      </c>
      <c r="BO46" s="104">
        <f t="shared" ref="BO46:BO49" si="226">IFERROR(BN46/BK46-1,"-")</f>
        <v>-0.7230938899</v>
      </c>
      <c r="BP46" s="105">
        <v>368854.14</v>
      </c>
      <c r="BQ46" s="106">
        <f t="shared" ref="BQ46:BQ47" si="227">BK46/BP46</f>
        <v>3.467441021</v>
      </c>
      <c r="BR46" s="3"/>
      <c r="BS46" s="3"/>
      <c r="BT46" s="3"/>
      <c r="BU46" s="3"/>
      <c r="BV46" s="3"/>
      <c r="BW46" s="3"/>
    </row>
    <row r="47" ht="15.75" customHeight="1">
      <c r="A47" s="1"/>
      <c r="B47" s="142"/>
      <c r="C47" s="143"/>
      <c r="D47" s="144"/>
      <c r="E47" s="192"/>
      <c r="F47" s="146"/>
      <c r="G47" s="147"/>
      <c r="H47" s="148"/>
      <c r="I47" s="149"/>
      <c r="J47" s="72" t="s">
        <v>67</v>
      </c>
      <c r="K47" s="107"/>
      <c r="L47" s="171">
        <f>L46/$K$48</f>
        <v>834.125</v>
      </c>
      <c r="M47" s="109">
        <v>647.0</v>
      </c>
      <c r="N47" s="110">
        <f t="shared" si="199"/>
        <v>-187.125</v>
      </c>
      <c r="O47" s="93">
        <f t="shared" si="200"/>
        <v>-0.22433688</v>
      </c>
      <c r="P47" s="171">
        <f>P46/$K$48</f>
        <v>613.6111111</v>
      </c>
      <c r="Q47" s="109">
        <v>585.0</v>
      </c>
      <c r="R47" s="110">
        <f t="shared" si="201"/>
        <v>-28.61111111</v>
      </c>
      <c r="S47" s="95">
        <f t="shared" si="202"/>
        <v>-0.04662743323</v>
      </c>
      <c r="T47" s="112">
        <f>T46/$K$48</f>
        <v>652.6349865</v>
      </c>
      <c r="U47" s="109">
        <v>1063.0</v>
      </c>
      <c r="V47" s="110">
        <f t="shared" si="203"/>
        <v>410.3650135</v>
      </c>
      <c r="W47" s="93">
        <f t="shared" si="204"/>
        <v>0.6287818183</v>
      </c>
      <c r="X47" s="112">
        <f>X46/$K$48</f>
        <v>815.7937331</v>
      </c>
      <c r="Y47" s="109">
        <v>793.0</v>
      </c>
      <c r="Z47" s="110"/>
      <c r="AA47" s="110">
        <f t="shared" si="205"/>
        <v>-22.79373313</v>
      </c>
      <c r="AB47" s="93">
        <f t="shared" si="206"/>
        <v>-0.02794055924</v>
      </c>
      <c r="AC47" s="112">
        <f>AC46/$K$48</f>
        <v>815.7937331</v>
      </c>
      <c r="AD47" s="113"/>
      <c r="AE47" s="109">
        <v>852.0</v>
      </c>
      <c r="AF47" s="110">
        <f t="shared" si="207"/>
        <v>36.20626687</v>
      </c>
      <c r="AG47" s="99"/>
      <c r="AH47" s="93">
        <f t="shared" si="208"/>
        <v>0.04438164379</v>
      </c>
      <c r="AI47" s="112">
        <f>AI46/$K$48</f>
        <v>1305.269973</v>
      </c>
      <c r="AJ47" s="114">
        <v>859.0</v>
      </c>
      <c r="AK47" s="110">
        <f t="shared" si="209"/>
        <v>-446.269973</v>
      </c>
      <c r="AL47" s="93">
        <f t="shared" si="210"/>
        <v>-0.3418985974</v>
      </c>
      <c r="AM47" s="112">
        <f>AM46/$K$48</f>
        <v>1305.269973</v>
      </c>
      <c r="AN47" s="109">
        <v>356.0</v>
      </c>
      <c r="AO47" s="110">
        <f t="shared" si="211"/>
        <v>-949.269973</v>
      </c>
      <c r="AP47" s="93">
        <f t="shared" si="212"/>
        <v>-0.7272594886</v>
      </c>
      <c r="AQ47" s="109">
        <f>AQ46/$K$48</f>
        <v>1305.269973</v>
      </c>
      <c r="AR47" s="109">
        <v>0.0</v>
      </c>
      <c r="AS47" s="110">
        <f t="shared" si="213"/>
        <v>-1305.269973</v>
      </c>
      <c r="AT47" s="93">
        <f t="shared" si="214"/>
        <v>-1</v>
      </c>
      <c r="AU47" s="112">
        <f>AU46/$K$48</f>
        <v>2121.063706</v>
      </c>
      <c r="AV47" s="109">
        <v>0.0</v>
      </c>
      <c r="AW47" s="110">
        <f t="shared" si="215"/>
        <v>-2121.063706</v>
      </c>
      <c r="AX47" s="93">
        <f t="shared" si="216"/>
        <v>-1</v>
      </c>
      <c r="AY47" s="112">
        <f>AY46/$K$48</f>
        <v>2121.063706</v>
      </c>
      <c r="AZ47" s="109">
        <v>0.0</v>
      </c>
      <c r="BA47" s="110">
        <f t="shared" si="217"/>
        <v>-2121.063706</v>
      </c>
      <c r="BB47" s="93">
        <f t="shared" si="218"/>
        <v>-1</v>
      </c>
      <c r="BC47" s="112">
        <f>BC46/$K$48</f>
        <v>3752.651172</v>
      </c>
      <c r="BD47" s="109">
        <v>0.0</v>
      </c>
      <c r="BE47" s="110">
        <f t="shared" si="219"/>
        <v>-3752.651172</v>
      </c>
      <c r="BF47" s="93">
        <f t="shared" si="220"/>
        <v>-1</v>
      </c>
      <c r="BG47" s="112">
        <f>BG46/$K$48</f>
        <v>2121.063706</v>
      </c>
      <c r="BH47" s="109">
        <v>0.0</v>
      </c>
      <c r="BI47" s="110">
        <f t="shared" si="221"/>
        <v>-2121.063706</v>
      </c>
      <c r="BJ47" s="93">
        <f t="shared" si="222"/>
        <v>-1</v>
      </c>
      <c r="BK47" s="218">
        <f>SUM(L47,P47,T47,X47,AC47,AI47,AM47,AQ47,AU47,AY47,BC47,BG47)</f>
        <v>17763.61077</v>
      </c>
      <c r="BL47" s="173">
        <f t="shared" si="223"/>
        <v>5037.228537</v>
      </c>
      <c r="BM47" s="117">
        <f t="shared" si="224"/>
        <v>6342.49851</v>
      </c>
      <c r="BN47" s="207">
        <f t="shared" si="225"/>
        <v>5155</v>
      </c>
      <c r="BO47" s="104">
        <f t="shared" si="226"/>
        <v>-0.7097999914</v>
      </c>
      <c r="BP47" s="119">
        <v>5074.0</v>
      </c>
      <c r="BQ47" s="106">
        <f t="shared" si="227"/>
        <v>3.500908706</v>
      </c>
      <c r="BR47" s="3"/>
      <c r="BS47" s="3"/>
      <c r="BT47" s="3"/>
      <c r="BU47" s="3"/>
      <c r="BV47" s="3"/>
      <c r="BW47" s="3"/>
    </row>
    <row r="48" ht="15.75" customHeight="1">
      <c r="A48" s="1"/>
      <c r="B48" s="142"/>
      <c r="C48" s="143"/>
      <c r="D48" s="144"/>
      <c r="E48" s="192"/>
      <c r="F48" s="146"/>
      <c r="G48" s="147"/>
      <c r="H48" s="148"/>
      <c r="I48" s="149"/>
      <c r="J48" s="72" t="s">
        <v>68</v>
      </c>
      <c r="K48" s="107">
        <v>72.0</v>
      </c>
      <c r="L48" s="171">
        <f>L46/L47</f>
        <v>72</v>
      </c>
      <c r="M48" s="91">
        <f>IFERROR(M46/M47,"-")</f>
        <v>69.87142195</v>
      </c>
      <c r="N48" s="92">
        <f t="shared" si="199"/>
        <v>-2.128578053</v>
      </c>
      <c r="O48" s="93">
        <f t="shared" si="200"/>
        <v>-0.02956358406</v>
      </c>
      <c r="P48" s="90">
        <f t="shared" ref="P48:Q48" si="228">IFERROR(P46/P47,"-")</f>
        <v>72</v>
      </c>
      <c r="Q48" s="91">
        <f t="shared" si="228"/>
        <v>72.5417265</v>
      </c>
      <c r="R48" s="92">
        <f t="shared" si="201"/>
        <v>0.5417264957</v>
      </c>
      <c r="S48" s="95">
        <f t="shared" si="202"/>
        <v>0.007523979107</v>
      </c>
      <c r="T48" s="112">
        <f>T46/T47</f>
        <v>72</v>
      </c>
      <c r="U48" s="91">
        <f>IFERROR(U46/U47,"-")</f>
        <v>57.26484478</v>
      </c>
      <c r="V48" s="92">
        <f t="shared" si="203"/>
        <v>-14.73515522</v>
      </c>
      <c r="W48" s="93">
        <f t="shared" si="204"/>
        <v>-0.2046549336</v>
      </c>
      <c r="X48" s="96">
        <f t="shared" ref="X48:Y48" si="229">IFERROR(X46/X47,"-")</f>
        <v>72</v>
      </c>
      <c r="Y48" s="91">
        <f t="shared" si="229"/>
        <v>55.22659521</v>
      </c>
      <c r="Z48" s="92"/>
      <c r="AA48" s="92">
        <f t="shared" si="205"/>
        <v>-16.77340479</v>
      </c>
      <c r="AB48" s="93">
        <f t="shared" si="206"/>
        <v>-0.2329639554</v>
      </c>
      <c r="AC48" s="112">
        <f>AC46/AC47</f>
        <v>72</v>
      </c>
      <c r="AD48" s="98"/>
      <c r="AE48" s="91">
        <f>IFERROR(AE46/AE47,"-")</f>
        <v>72.41638498</v>
      </c>
      <c r="AF48" s="92">
        <f t="shared" si="207"/>
        <v>0.4163849765</v>
      </c>
      <c r="AG48" s="99"/>
      <c r="AH48" s="93">
        <f t="shared" si="208"/>
        <v>0.005783124674</v>
      </c>
      <c r="AI48" s="112">
        <f>AI46/AI47</f>
        <v>72</v>
      </c>
      <c r="AJ48" s="91">
        <v>79.9339697322468</v>
      </c>
      <c r="AK48" s="92">
        <f t="shared" si="209"/>
        <v>7.933969732</v>
      </c>
      <c r="AL48" s="93">
        <f t="shared" si="210"/>
        <v>0.1101940241</v>
      </c>
      <c r="AM48" s="112">
        <f>AM46/AM47</f>
        <v>72</v>
      </c>
      <c r="AN48" s="91">
        <v>88.43929775280898</v>
      </c>
      <c r="AO48" s="92">
        <f t="shared" si="211"/>
        <v>16.43929775</v>
      </c>
      <c r="AP48" s="93">
        <f t="shared" si="212"/>
        <v>0.2283235799</v>
      </c>
      <c r="AQ48" s="109">
        <f>AQ46/AQ47</f>
        <v>72</v>
      </c>
      <c r="AR48" s="91" t="str">
        <f>IFERROR(AR46/AR47,"-")</f>
        <v>-</v>
      </c>
      <c r="AS48" s="92" t="str">
        <f t="shared" si="213"/>
        <v>-</v>
      </c>
      <c r="AT48" s="93" t="str">
        <f t="shared" si="214"/>
        <v>-</v>
      </c>
      <c r="AU48" s="112">
        <f>AU46/AU47</f>
        <v>72</v>
      </c>
      <c r="AV48" s="91" t="str">
        <f>IFERROR(AV46/AV47,"-")</f>
        <v>-</v>
      </c>
      <c r="AW48" s="92" t="str">
        <f t="shared" si="215"/>
        <v>-</v>
      </c>
      <c r="AX48" s="93" t="str">
        <f t="shared" si="216"/>
        <v>-</v>
      </c>
      <c r="AY48" s="112">
        <f>AY46/AY47</f>
        <v>72</v>
      </c>
      <c r="AZ48" s="91" t="str">
        <f>IFERROR(AZ46/AZ47,"-")</f>
        <v>-</v>
      </c>
      <c r="BA48" s="92" t="str">
        <f t="shared" si="217"/>
        <v>-</v>
      </c>
      <c r="BB48" s="93" t="str">
        <f t="shared" si="218"/>
        <v>-</v>
      </c>
      <c r="BC48" s="112">
        <f>BC46/BC47</f>
        <v>72</v>
      </c>
      <c r="BD48" s="91" t="str">
        <f>IFERROR(BD46/BD47,"-")</f>
        <v>-</v>
      </c>
      <c r="BE48" s="92" t="str">
        <f t="shared" si="219"/>
        <v>-</v>
      </c>
      <c r="BF48" s="93" t="str">
        <f t="shared" si="220"/>
        <v>-</v>
      </c>
      <c r="BG48" s="112">
        <f>BG46/BG47</f>
        <v>72</v>
      </c>
      <c r="BH48" s="91" t="str">
        <f>IFERROR(BH46/BH47,"-")</f>
        <v>-</v>
      </c>
      <c r="BI48" s="92" t="str">
        <f t="shared" si="221"/>
        <v>-</v>
      </c>
      <c r="BJ48" s="93" t="str">
        <f t="shared" si="222"/>
        <v>-</v>
      </c>
      <c r="BK48" s="175">
        <f>BK46/BK47</f>
        <v>72</v>
      </c>
      <c r="BL48" s="176">
        <f t="shared" ref="BL48:BM48" si="230">IFERROR(BL46/BL47,"-")</f>
        <v>72</v>
      </c>
      <c r="BM48" s="122">
        <f t="shared" si="230"/>
        <v>72</v>
      </c>
      <c r="BN48" s="209">
        <f>BN46/BN47</f>
        <v>68.70172066</v>
      </c>
      <c r="BO48" s="104">
        <f t="shared" si="226"/>
        <v>-0.04580943528</v>
      </c>
      <c r="BP48" s="119">
        <f>BP46/BP47</f>
        <v>72.69494285</v>
      </c>
      <c r="BQ48" s="106">
        <f>BK48/BP48-1</f>
        <v>-0.009559713767</v>
      </c>
      <c r="BR48" s="3"/>
      <c r="BS48" s="3"/>
      <c r="BT48" s="3"/>
      <c r="BU48" s="3"/>
      <c r="BV48" s="3"/>
      <c r="BW48" s="3"/>
    </row>
    <row r="49" ht="15.75" customHeight="1">
      <c r="A49" s="1"/>
      <c r="B49" s="142"/>
      <c r="C49" s="143"/>
      <c r="D49" s="144"/>
      <c r="E49" s="192"/>
      <c r="F49" s="146"/>
      <c r="G49" s="147"/>
      <c r="H49" s="148"/>
      <c r="I49" s="149"/>
      <c r="J49" s="124" t="s">
        <v>69</v>
      </c>
      <c r="K49" s="125">
        <v>0.04</v>
      </c>
      <c r="L49" s="132">
        <f t="shared" ref="L49:M49" si="231">MIN(L46, 500000) * 0.04 +
 MAX(0, MIN(L46, 1000000) - 500000) * 0.035 +
 MAX(0, L46 - 1000000) * 0.03</f>
        <v>2402.28</v>
      </c>
      <c r="M49" s="127">
        <f t="shared" si="231"/>
        <v>1808.2724</v>
      </c>
      <c r="N49" s="128">
        <f t="shared" si="199"/>
        <v>-594.0076</v>
      </c>
      <c r="O49" s="129">
        <f t="shared" si="200"/>
        <v>-0.2472682618</v>
      </c>
      <c r="P49" s="132">
        <f t="shared" ref="P49:Q49" si="232">MIN(P46, 500000) * 0.04 +
 MAX(0, MIN(P46, 1000000) - 500000) * 0.035 +
 MAX(0, P46 - 1000000) * 0.03</f>
        <v>1767.2</v>
      </c>
      <c r="Q49" s="127">
        <f t="shared" si="232"/>
        <v>1697.4764</v>
      </c>
      <c r="R49" s="128">
        <f t="shared" si="201"/>
        <v>-69.7236</v>
      </c>
      <c r="S49" s="131">
        <f t="shared" si="202"/>
        <v>-0.03945427795</v>
      </c>
      <c r="T49" s="132">
        <f t="shared" ref="T49:U49" si="233">MIN(T46, 500000) * 0.04 +
 MAX(0, MIN(T46, 1000000) - 500000) * 0.035 +
 MAX(0, T46 - 1000000) * 0.03</f>
        <v>1879.588761</v>
      </c>
      <c r="U49" s="127">
        <f t="shared" si="233"/>
        <v>2434.9012</v>
      </c>
      <c r="V49" s="128">
        <f t="shared" si="203"/>
        <v>555.3124389</v>
      </c>
      <c r="W49" s="129">
        <f t="shared" si="204"/>
        <v>0.2954435834</v>
      </c>
      <c r="X49" s="132">
        <f t="shared" ref="X49:Y49" si="234">MIN(X46, 500000) * 0.04 +
 MAX(0, MIN(X46, 1000000) - 500000) * 0.035 +
 MAX(0, X46 - 1000000) * 0.03</f>
        <v>2349.485951</v>
      </c>
      <c r="Y49" s="127">
        <f t="shared" si="234"/>
        <v>1751.7876</v>
      </c>
      <c r="Z49" s="128"/>
      <c r="AA49" s="128">
        <f t="shared" si="205"/>
        <v>-597.6983514</v>
      </c>
      <c r="AB49" s="129">
        <f t="shared" si="206"/>
        <v>-0.2543953715</v>
      </c>
      <c r="AC49" s="132">
        <f>MIN(AC46, 500000) * 0.04 +
 MAX(0, MIN(AC46, 1000000) - 500000) * 0.035 +
 MAX(0, AC46 - 1000000) * 0.03</f>
        <v>2349.485951</v>
      </c>
      <c r="AD49" s="180"/>
      <c r="AE49" s="127">
        <f>MIN(AE46, 500000) * 0.04 +
 MAX(0, MIN(AE46, 1000000) - 500000) * 0.035 +
 MAX(0, AE46 - 1000000) * 0.03</f>
        <v>2467.9504</v>
      </c>
      <c r="AF49" s="128">
        <f t="shared" si="207"/>
        <v>118.4644486</v>
      </c>
      <c r="AG49" s="134"/>
      <c r="AH49" s="129">
        <f t="shared" si="208"/>
        <v>0.05042143304</v>
      </c>
      <c r="AI49" s="132">
        <f>MIN(AI46, 500000) * 0.04 +
 MAX(0, MIN(AI46, 1000000) - 500000) * 0.035 +
 MAX(0, AI46 - 1000000) * 0.03</f>
        <v>3759.177522</v>
      </c>
      <c r="AJ49" s="127">
        <v>2746.5312</v>
      </c>
      <c r="AK49" s="128">
        <f t="shared" si="209"/>
        <v>-1012.646322</v>
      </c>
      <c r="AL49" s="129">
        <f t="shared" si="210"/>
        <v>-0.2693797556</v>
      </c>
      <c r="AM49" s="132">
        <f>MIN(AM46, 500000) * 0.04 +
 MAX(0, MIN(AM46, 1000000) - 500000) * 0.035 +
 MAX(0, AM46 - 1000000) * 0.03</f>
        <v>3759.177522</v>
      </c>
      <c r="AN49" s="127">
        <v>1259.3756</v>
      </c>
      <c r="AO49" s="128">
        <f t="shared" si="211"/>
        <v>-2499.801922</v>
      </c>
      <c r="AP49" s="129">
        <f t="shared" si="212"/>
        <v>-0.6649863986</v>
      </c>
      <c r="AQ49" s="127">
        <f t="shared" ref="AQ49:AR49" si="235">MIN(AQ46, 500000) * 0.04 +
 MAX(0, MIN(AQ46, 1000000) - 500000) * 0.035 +
 MAX(0, AQ46 - 1000000) * 0.03</f>
        <v>3759.177522</v>
      </c>
      <c r="AR49" s="127">
        <f t="shared" si="235"/>
        <v>0</v>
      </c>
      <c r="AS49" s="128">
        <f t="shared" si="213"/>
        <v>-3759.177522</v>
      </c>
      <c r="AT49" s="129">
        <f t="shared" si="214"/>
        <v>-1</v>
      </c>
      <c r="AU49" s="132">
        <f t="shared" ref="AU49:AV49" si="236">MIN(AU46, 500000) * 0.04 +
 MAX(0, MIN(AU46, 1000000) - 500000) * 0.035 +
 MAX(0, AU46 - 1000000) * 0.03</f>
        <v>6108.663474</v>
      </c>
      <c r="AV49" s="127">
        <f t="shared" si="236"/>
        <v>0</v>
      </c>
      <c r="AW49" s="128">
        <f t="shared" si="215"/>
        <v>-6108.663474</v>
      </c>
      <c r="AX49" s="129">
        <f t="shared" si="216"/>
        <v>-1</v>
      </c>
      <c r="AY49" s="132">
        <f t="shared" ref="AY49:AZ49" si="237">MIN(AY46, 500000) * 0.04 +
 MAX(0, MIN(AY46, 1000000) - 500000) * 0.035 +
 MAX(0, AY46 - 1000000) * 0.03</f>
        <v>6108.663474</v>
      </c>
      <c r="AZ49" s="127">
        <f t="shared" si="237"/>
        <v>0</v>
      </c>
      <c r="BA49" s="128">
        <f t="shared" si="217"/>
        <v>-6108.663474</v>
      </c>
      <c r="BB49" s="129">
        <f t="shared" si="218"/>
        <v>-1</v>
      </c>
      <c r="BC49" s="132">
        <f t="shared" ref="BC49:BD49" si="238">MIN(BC46, 500000) * 0.04 +
 MAX(0, MIN(BC46, 1000000) - 500000) * 0.035 +
 MAX(0, BC46 - 1000000) * 0.03</f>
        <v>10807.63538</v>
      </c>
      <c r="BD49" s="127">
        <f t="shared" si="238"/>
        <v>0</v>
      </c>
      <c r="BE49" s="128">
        <f t="shared" si="219"/>
        <v>-10807.63538</v>
      </c>
      <c r="BF49" s="129">
        <f t="shared" si="220"/>
        <v>-1</v>
      </c>
      <c r="BG49" s="132">
        <f t="shared" ref="BG49:BH49" si="239">MIN(BG46, 500000) * 0.04 +
 MAX(0, MIN(BG46, 1000000) - 500000) * 0.035 +
 MAX(0, BG46 - 1000000) * 0.03</f>
        <v>6108.663474</v>
      </c>
      <c r="BH49" s="127">
        <f t="shared" si="239"/>
        <v>0</v>
      </c>
      <c r="BI49" s="128">
        <f t="shared" si="221"/>
        <v>-6108.663474</v>
      </c>
      <c r="BJ49" s="129">
        <f t="shared" si="222"/>
        <v>-1</v>
      </c>
      <c r="BK49" s="181">
        <f>SUM(L49,P49,T49,X49,AC49,AI49,AM49,AQ49,AU49,AY49,BC49,BG49)</f>
        <v>51159.19903</v>
      </c>
      <c r="BL49" s="182">
        <f>SUM(L49,P49,T49,X49,AC49,AI49)</f>
        <v>14507.21819</v>
      </c>
      <c r="BM49" s="137">
        <f>SUM(L49,P49,T49,X49,AC49,AI49,AM49)</f>
        <v>18266.39571</v>
      </c>
      <c r="BN49" s="213">
        <f>SUM(M49,Q49,U49,Y49,AE49,AJ49,AN49,AR49,AV49,AZ49,BD49,BH49)</f>
        <v>14166.2948</v>
      </c>
      <c r="BO49" s="139">
        <f t="shared" si="226"/>
        <v>-0.7230938899</v>
      </c>
      <c r="BP49" s="140">
        <f>BP46*0.04</f>
        <v>14754.1656</v>
      </c>
      <c r="BQ49" s="141">
        <f>BK49/BP49</f>
        <v>3.467441021</v>
      </c>
      <c r="BR49" s="3"/>
      <c r="BS49" s="3"/>
      <c r="BT49" s="3"/>
      <c r="BU49" s="3"/>
      <c r="BV49" s="3"/>
      <c r="BW49" s="3"/>
    </row>
    <row r="50" ht="15.75" customHeight="1">
      <c r="A50" s="1"/>
      <c r="B50" s="142"/>
      <c r="C50" s="143"/>
      <c r="D50" s="144"/>
      <c r="E50" s="192"/>
      <c r="F50" s="146"/>
      <c r="G50" s="147"/>
      <c r="H50" s="148"/>
      <c r="I50" s="149"/>
      <c r="J50" s="13"/>
      <c r="K50" s="150"/>
      <c r="L50" s="185"/>
      <c r="M50" s="185"/>
      <c r="N50" s="185"/>
      <c r="O50" s="196">
        <f>X54/7000</f>
        <v>5.714285714</v>
      </c>
      <c r="P50" s="196">
        <f>AC54/7000</f>
        <v>5.714285714</v>
      </c>
      <c r="Q50" s="214"/>
      <c r="R50" s="196">
        <f>AM54/7000</f>
        <v>51.42857143</v>
      </c>
      <c r="S50" s="196">
        <f>AQ54/7000</f>
        <v>74.28571429</v>
      </c>
      <c r="T50" s="196">
        <f>AU54/7000</f>
        <v>91.42857143</v>
      </c>
      <c r="U50" s="196">
        <f>AY54/7000</f>
        <v>91.42857143</v>
      </c>
      <c r="V50" s="196">
        <f>BC54/7000</f>
        <v>131.4285714</v>
      </c>
      <c r="W50" s="196">
        <f>BG54/7000</f>
        <v>85.71428571</v>
      </c>
      <c r="X50" s="186"/>
      <c r="Y50" s="14"/>
      <c r="Z50" s="219"/>
      <c r="AA50" s="219"/>
      <c r="AB50" s="3"/>
      <c r="AC50" s="3"/>
      <c r="AD50" s="3"/>
      <c r="AE50" s="3"/>
      <c r="AF50" s="3"/>
      <c r="AG50" s="3"/>
      <c r="AH50" s="3"/>
      <c r="AI50" s="3"/>
      <c r="AJ50" s="154" t="s">
        <v>70</v>
      </c>
      <c r="AN50" s="154" t="s">
        <v>70</v>
      </c>
      <c r="AY50" s="187"/>
      <c r="AZ50" s="25"/>
      <c r="BA50" s="188"/>
      <c r="BB50" s="25"/>
    </row>
    <row r="51" ht="15.75" customHeight="1">
      <c r="A51" s="1"/>
      <c r="B51" s="142"/>
      <c r="C51" s="143"/>
      <c r="D51" s="144"/>
      <c r="E51" s="192"/>
      <c r="F51" s="146"/>
      <c r="G51" s="147"/>
      <c r="H51" s="148"/>
      <c r="I51" s="149"/>
      <c r="J51" s="34" t="s">
        <v>84</v>
      </c>
      <c r="K51" s="35"/>
      <c r="L51" s="36" t="s">
        <v>10</v>
      </c>
      <c r="M51" s="37" t="s">
        <v>11</v>
      </c>
      <c r="N51" s="38" t="s">
        <v>12</v>
      </c>
      <c r="O51" s="39" t="s">
        <v>13</v>
      </c>
      <c r="P51" s="157" t="s">
        <v>14</v>
      </c>
      <c r="Q51" s="199" t="s">
        <v>15</v>
      </c>
      <c r="R51" s="38" t="s">
        <v>16</v>
      </c>
      <c r="S51" s="42" t="s">
        <v>17</v>
      </c>
      <c r="T51" s="36" t="s">
        <v>18</v>
      </c>
      <c r="U51" s="199" t="s">
        <v>19</v>
      </c>
      <c r="V51" s="38" t="s">
        <v>20</v>
      </c>
      <c r="W51" s="45" t="s">
        <v>21</v>
      </c>
      <c r="X51" s="44" t="s">
        <v>22</v>
      </c>
      <c r="Y51" s="199" t="s">
        <v>23</v>
      </c>
      <c r="Z51" s="38"/>
      <c r="AA51" s="38" t="s">
        <v>24</v>
      </c>
      <c r="AB51" s="45" t="s">
        <v>25</v>
      </c>
      <c r="AC51" s="43" t="s">
        <v>26</v>
      </c>
      <c r="AD51" s="200"/>
      <c r="AE51" s="199" t="s">
        <v>27</v>
      </c>
      <c r="AF51" s="38" t="s">
        <v>28</v>
      </c>
      <c r="AG51" s="47"/>
      <c r="AH51" s="45" t="s">
        <v>29</v>
      </c>
      <c r="AI51" s="44" t="s">
        <v>30</v>
      </c>
      <c r="AJ51" s="199" t="s">
        <v>31</v>
      </c>
      <c r="AK51" s="38" t="s">
        <v>32</v>
      </c>
      <c r="AL51" s="45" t="s">
        <v>33</v>
      </c>
      <c r="AM51" s="43" t="s">
        <v>34</v>
      </c>
      <c r="AN51" s="199" t="s">
        <v>35</v>
      </c>
      <c r="AO51" s="38" t="s">
        <v>36</v>
      </c>
      <c r="AP51" s="45" t="s">
        <v>37</v>
      </c>
      <c r="AQ51" s="201" t="s">
        <v>38</v>
      </c>
      <c r="AR51" s="199" t="s">
        <v>39</v>
      </c>
      <c r="AS51" s="38" t="s">
        <v>40</v>
      </c>
      <c r="AT51" s="45" t="s">
        <v>41</v>
      </c>
      <c r="AU51" s="43" t="s">
        <v>42</v>
      </c>
      <c r="AV51" s="199" t="s">
        <v>43</v>
      </c>
      <c r="AW51" s="38" t="s">
        <v>44</v>
      </c>
      <c r="AX51" s="45" t="s">
        <v>45</v>
      </c>
      <c r="AY51" s="44" t="s">
        <v>46</v>
      </c>
      <c r="AZ51" s="199" t="s">
        <v>47</v>
      </c>
      <c r="BA51" s="38" t="s">
        <v>48</v>
      </c>
      <c r="BB51" s="45" t="s">
        <v>49</v>
      </c>
      <c r="BC51" s="43" t="s">
        <v>50</v>
      </c>
      <c r="BD51" s="199" t="s">
        <v>51</v>
      </c>
      <c r="BE51" s="38" t="s">
        <v>52</v>
      </c>
      <c r="BF51" s="45" t="s">
        <v>53</v>
      </c>
      <c r="BG51" s="201" t="s">
        <v>54</v>
      </c>
      <c r="BH51" s="199" t="s">
        <v>55</v>
      </c>
      <c r="BI51" s="38" t="s">
        <v>56</v>
      </c>
      <c r="BJ51" s="42" t="s">
        <v>57</v>
      </c>
      <c r="BK51" s="48" t="s">
        <v>58</v>
      </c>
      <c r="BL51" s="49" t="s">
        <v>72</v>
      </c>
      <c r="BM51" s="49" t="s">
        <v>60</v>
      </c>
      <c r="BN51" s="37" t="s">
        <v>61</v>
      </c>
      <c r="BO51" s="51" t="s">
        <v>62</v>
      </c>
      <c r="BP51" s="52">
        <v>2025.0</v>
      </c>
      <c r="BQ51" s="53"/>
      <c r="BR51" s="3"/>
      <c r="BS51" s="3"/>
      <c r="BT51" s="208"/>
      <c r="BU51" s="3"/>
      <c r="BV51" s="3"/>
      <c r="BW51" s="3"/>
    </row>
    <row r="52" ht="15.75" customHeight="1">
      <c r="A52" s="1"/>
      <c r="B52" s="142"/>
      <c r="C52" s="143"/>
      <c r="D52" s="144"/>
      <c r="E52" s="192"/>
      <c r="F52" s="146"/>
      <c r="G52" s="147"/>
      <c r="H52" s="148"/>
      <c r="I52" s="220"/>
      <c r="J52" s="54"/>
      <c r="K52" s="55"/>
      <c r="L52" s="56"/>
      <c r="M52" s="57"/>
      <c r="N52" s="58"/>
      <c r="O52" s="59"/>
      <c r="P52" s="56"/>
      <c r="Q52" s="202"/>
      <c r="R52" s="58"/>
      <c r="S52" s="61"/>
      <c r="T52" s="56"/>
      <c r="U52" s="202"/>
      <c r="V52" s="58"/>
      <c r="W52" s="59"/>
      <c r="X52" s="62"/>
      <c r="Y52" s="63"/>
      <c r="Z52" s="58"/>
      <c r="AA52" s="58"/>
      <c r="AB52" s="59"/>
      <c r="AC52" s="62"/>
      <c r="AD52" s="64"/>
      <c r="AE52" s="63"/>
      <c r="AF52" s="58"/>
      <c r="AG52" s="65"/>
      <c r="AH52" s="59"/>
      <c r="AI52" s="62"/>
      <c r="AJ52" s="63" t="s">
        <v>70</v>
      </c>
      <c r="AK52" s="58"/>
      <c r="AL52" s="59"/>
      <c r="AM52" s="62"/>
      <c r="AN52" s="63" t="s">
        <v>70</v>
      </c>
      <c r="AO52" s="58"/>
      <c r="AP52" s="59"/>
      <c r="AQ52" s="203"/>
      <c r="AR52" s="63"/>
      <c r="AS52" s="58"/>
      <c r="AT52" s="59"/>
      <c r="AU52" s="62"/>
      <c r="AV52" s="63"/>
      <c r="AW52" s="58"/>
      <c r="AX52" s="59"/>
      <c r="AY52" s="62"/>
      <c r="AZ52" s="63"/>
      <c r="BA52" s="58"/>
      <c r="BB52" s="59"/>
      <c r="BC52" s="62"/>
      <c r="BD52" s="63"/>
      <c r="BE52" s="58"/>
      <c r="BF52" s="59"/>
      <c r="BG52" s="203"/>
      <c r="BH52" s="63"/>
      <c r="BI52" s="58"/>
      <c r="BJ52" s="61"/>
      <c r="BK52" s="66"/>
      <c r="BL52" s="67"/>
      <c r="BM52" s="67"/>
      <c r="BN52" s="68"/>
      <c r="BO52" s="69"/>
      <c r="BP52" s="70"/>
      <c r="BQ52" s="71"/>
      <c r="BR52" s="3"/>
      <c r="BS52" s="4"/>
      <c r="BT52" s="3"/>
      <c r="BU52" s="3"/>
      <c r="BV52" s="3"/>
      <c r="BW52" s="3"/>
    </row>
    <row r="53" ht="15.75" customHeight="1">
      <c r="A53" s="1"/>
      <c r="B53" s="142">
        <v>8.0</v>
      </c>
      <c r="C53" s="143" t="s">
        <v>85</v>
      </c>
      <c r="D53" s="144">
        <v>3000000.0</v>
      </c>
      <c r="E53" s="192">
        <v>80.0</v>
      </c>
      <c r="F53" s="146">
        <f>E53*D53</f>
        <v>240000000</v>
      </c>
      <c r="G53" s="147">
        <v>294165.12000000407</v>
      </c>
      <c r="H53" s="148">
        <v>3683.0</v>
      </c>
      <c r="I53" s="189">
        <v>79.87106163453817</v>
      </c>
      <c r="J53" s="72" t="s">
        <v>64</v>
      </c>
      <c r="K53" s="73"/>
      <c r="L53" s="74" t="s">
        <v>63</v>
      </c>
      <c r="M53" s="75" t="s">
        <v>63</v>
      </c>
      <c r="N53" s="76" t="s">
        <v>63</v>
      </c>
      <c r="O53" s="77" t="s">
        <v>65</v>
      </c>
      <c r="P53" s="74" t="s">
        <v>63</v>
      </c>
      <c r="Q53" s="204" t="s">
        <v>63</v>
      </c>
      <c r="R53" s="76" t="s">
        <v>63</v>
      </c>
      <c r="S53" s="79" t="s">
        <v>65</v>
      </c>
      <c r="T53" s="74"/>
      <c r="U53" s="204"/>
      <c r="V53" s="76" t="s">
        <v>63</v>
      </c>
      <c r="W53" s="77" t="s">
        <v>65</v>
      </c>
      <c r="X53" s="80">
        <v>0.01</v>
      </c>
      <c r="Y53" s="81">
        <f>Y54/(BK54-(L54+P54+T54))</f>
        <v>0.0000927775</v>
      </c>
      <c r="Z53" s="76"/>
      <c r="AA53" s="76" t="s">
        <v>63</v>
      </c>
      <c r="AB53" s="77" t="s">
        <v>65</v>
      </c>
      <c r="AC53" s="80">
        <v>0.01</v>
      </c>
      <c r="AD53" s="82"/>
      <c r="AE53" s="81">
        <f>AE54/(BK54-(L54+P54+T54))</f>
        <v>0.0003291625</v>
      </c>
      <c r="AF53" s="76" t="s">
        <v>63</v>
      </c>
      <c r="AG53" s="83"/>
      <c r="AH53" s="77" t="s">
        <v>65</v>
      </c>
      <c r="AI53" s="80">
        <v>0.06</v>
      </c>
      <c r="AJ53" s="81">
        <v>2.691875E-4</v>
      </c>
      <c r="AK53" s="76" t="s">
        <v>63</v>
      </c>
      <c r="AL53" s="77" t="s">
        <v>65</v>
      </c>
      <c r="AM53" s="80">
        <v>0.09</v>
      </c>
      <c r="AN53" s="81">
        <v>1.0739499999999998E-4</v>
      </c>
      <c r="AO53" s="76" t="s">
        <v>63</v>
      </c>
      <c r="AP53" s="77" t="s">
        <v>65</v>
      </c>
      <c r="AQ53" s="205">
        <v>0.13</v>
      </c>
      <c r="AR53" s="81">
        <f>AR54/(BK54-(L54+P54+T54))</f>
        <v>0</v>
      </c>
      <c r="AS53" s="76" t="s">
        <v>63</v>
      </c>
      <c r="AT53" s="77" t="s">
        <v>65</v>
      </c>
      <c r="AU53" s="80">
        <v>0.16</v>
      </c>
      <c r="AV53" s="81">
        <f>AV54/(BK54-(L54+P54+T54))</f>
        <v>0</v>
      </c>
      <c r="AW53" s="76" t="s">
        <v>63</v>
      </c>
      <c r="AX53" s="77" t="s">
        <v>65</v>
      </c>
      <c r="AY53" s="80">
        <v>0.16</v>
      </c>
      <c r="AZ53" s="81">
        <f>AZ54/(BK54-(L54+P54+T54))</f>
        <v>0</v>
      </c>
      <c r="BA53" s="76" t="s">
        <v>63</v>
      </c>
      <c r="BB53" s="77" t="s">
        <v>65</v>
      </c>
      <c r="BC53" s="80">
        <v>0.23</v>
      </c>
      <c r="BD53" s="81">
        <f>BD54/(BK54-(L54+P54+T54))</f>
        <v>0</v>
      </c>
      <c r="BE53" s="76" t="s">
        <v>63</v>
      </c>
      <c r="BF53" s="77" t="s">
        <v>65</v>
      </c>
      <c r="BG53" s="205">
        <v>0.15</v>
      </c>
      <c r="BH53" s="81">
        <f>BH54/(BK54-(L54+P54+T54))</f>
        <v>0</v>
      </c>
      <c r="BI53" s="76" t="s">
        <v>63</v>
      </c>
      <c r="BJ53" s="79" t="s">
        <v>65</v>
      </c>
      <c r="BK53" s="84">
        <f>SUM(X53,AC53,AI53,AM53,AQ53,AU53,AY53,BC53,BG53)</f>
        <v>1</v>
      </c>
      <c r="BL53" s="85">
        <f>SUM(X53,AC53,AI53)</f>
        <v>0.08</v>
      </c>
      <c r="BM53" s="86">
        <f>SUM(T53,X53,AC53,AI53,AM53)</f>
        <v>0.17</v>
      </c>
      <c r="BN53" s="87">
        <f>SUM(Y53,AE53,AJ53,AN53,AR53,AV53,AZ53,BD53,BH53)</f>
        <v>0.0007985225</v>
      </c>
      <c r="BO53" s="88"/>
      <c r="BP53" s="89" t="s">
        <v>63</v>
      </c>
      <c r="BQ53" s="71"/>
      <c r="BR53" s="3"/>
      <c r="BS53" s="4"/>
      <c r="BT53" s="3"/>
      <c r="BU53" s="3"/>
      <c r="BV53" s="3"/>
      <c r="BW53" s="3"/>
    </row>
    <row r="54" ht="15.75" customHeight="1">
      <c r="A54" s="1"/>
      <c r="B54" s="142"/>
      <c r="C54" s="143"/>
      <c r="D54" s="144"/>
      <c r="E54" s="192"/>
      <c r="F54" s="146"/>
      <c r="G54" s="147"/>
      <c r="H54" s="148"/>
      <c r="I54" s="189"/>
      <c r="J54" s="72" t="s">
        <v>66</v>
      </c>
      <c r="K54" s="73"/>
      <c r="L54" s="167">
        <v>0.0</v>
      </c>
      <c r="M54" s="91">
        <v>0.0</v>
      </c>
      <c r="N54" s="92">
        <f t="shared" ref="N54:N57" si="240">IFERROR(M54-L54,"-")</f>
        <v>0</v>
      </c>
      <c r="O54" s="93" t="str">
        <f t="shared" ref="O54:O57" si="241">IFERROR(M54/L54-1,"-")</f>
        <v>-</v>
      </c>
      <c r="P54" s="167">
        <v>0.0</v>
      </c>
      <c r="Q54" s="91">
        <v>0.0</v>
      </c>
      <c r="R54" s="92">
        <f t="shared" ref="R54:R57" si="242">IFERROR(Q54-P54,"-")</f>
        <v>0</v>
      </c>
      <c r="S54" s="95" t="str">
        <f t="shared" ref="S54:S57" si="243">IFERROR(Q54/P54-1,"-")</f>
        <v>-</v>
      </c>
      <c r="T54" s="90">
        <f>($BK$54-($L$54+$P$54))*T53</f>
        <v>0</v>
      </c>
      <c r="U54" s="91">
        <v>53.8</v>
      </c>
      <c r="V54" s="92">
        <f t="shared" ref="V54:V57" si="244">IFERROR(U54-T54,"-")</f>
        <v>53.8</v>
      </c>
      <c r="W54" s="93" t="str">
        <f t="shared" ref="W54:W57" si="245">IFERROR(U54/T54-1,"-")</f>
        <v>-</v>
      </c>
      <c r="X54" s="96">
        <f>($BK$54-($L$54+$P$54+$T$54))*X53</f>
        <v>40000</v>
      </c>
      <c r="Y54" s="91">
        <v>371.11</v>
      </c>
      <c r="Z54" s="92"/>
      <c r="AA54" s="92">
        <f t="shared" ref="AA54:AA57" si="246">IFERROR(Y54-X54,"-")</f>
        <v>-39628.89</v>
      </c>
      <c r="AB54" s="93">
        <f t="shared" ref="AB54:AB57" si="247">IFERROR(Y54/X54-1,"-")</f>
        <v>-0.99072225</v>
      </c>
      <c r="AC54" s="96">
        <f>($BK$54-($L$54+$P$54+$T$54))*AC53</f>
        <v>40000</v>
      </c>
      <c r="AD54" s="98"/>
      <c r="AE54" s="91">
        <v>1316.65</v>
      </c>
      <c r="AF54" s="92">
        <f t="shared" ref="AF54:AF57" si="248">IFERROR(AE54-AC54,"-")</f>
        <v>-38683.35</v>
      </c>
      <c r="AG54" s="99"/>
      <c r="AH54" s="93">
        <f t="shared" ref="AH54:AH57" si="249">IFERROR(AE54/AC54-1,"-")</f>
        <v>-0.96708375</v>
      </c>
      <c r="AI54" s="96">
        <f>($BK$54-($L$54+$P$54+$T$54))*AI53</f>
        <v>240000</v>
      </c>
      <c r="AJ54" s="100">
        <v>1076.75</v>
      </c>
      <c r="AK54" s="92">
        <f t="shared" ref="AK54:AK57" si="250">IFERROR(AJ54-AI54,"-")</f>
        <v>-238923.25</v>
      </c>
      <c r="AL54" s="93">
        <f t="shared" ref="AL54:AL57" si="251">IFERROR(AJ54/AI54-1,"-")</f>
        <v>-0.9955135417</v>
      </c>
      <c r="AM54" s="96">
        <f>($BK$54-($L$54+$P$54+$T$54))*AM53</f>
        <v>360000</v>
      </c>
      <c r="AN54" s="91">
        <v>429.58</v>
      </c>
      <c r="AO54" s="92">
        <f t="shared" ref="AO54:AO57" si="252">IFERROR(AN54-AM54,"-")</f>
        <v>-359570.42</v>
      </c>
      <c r="AP54" s="93">
        <f t="shared" ref="AP54:AP57" si="253">IFERROR(AN54/AM54-1,"-")</f>
        <v>-0.9988067222</v>
      </c>
      <c r="AQ54" s="91">
        <f>($BK$54-($L$54+$P$54+$T$54))*AQ53</f>
        <v>520000</v>
      </c>
      <c r="AR54" s="91">
        <v>0.0</v>
      </c>
      <c r="AS54" s="92">
        <f t="shared" ref="AS54:AS57" si="254">IFERROR(AR54-AQ54,"-")</f>
        <v>-520000</v>
      </c>
      <c r="AT54" s="93">
        <f t="shared" ref="AT54:AT57" si="255">IFERROR(AR54/AQ54-1,"-")</f>
        <v>-1</v>
      </c>
      <c r="AU54" s="96">
        <f>($BK$54-($L$54+$P$54+$T$54))*AU53</f>
        <v>640000</v>
      </c>
      <c r="AV54" s="91">
        <v>0.0</v>
      </c>
      <c r="AW54" s="92">
        <f t="shared" ref="AW54:AW57" si="256">IFERROR(AV54-AU54,"-")</f>
        <v>-640000</v>
      </c>
      <c r="AX54" s="93">
        <f t="shared" ref="AX54:AX57" si="257">IFERROR(AV54/AU54-1,"-")</f>
        <v>-1</v>
      </c>
      <c r="AY54" s="96">
        <f>($BK$54-($L$54+$P$54+$T$54))*AY53</f>
        <v>640000</v>
      </c>
      <c r="AZ54" s="91">
        <v>0.0</v>
      </c>
      <c r="BA54" s="92">
        <f t="shared" ref="BA54:BA57" si="258">IFERROR(AZ54-AY54,"-")</f>
        <v>-640000</v>
      </c>
      <c r="BB54" s="93">
        <f t="shared" ref="BB54:BB57" si="259">IFERROR(AZ54/AY54-1,"-")</f>
        <v>-1</v>
      </c>
      <c r="BC54" s="96">
        <f>($BK$54-($L$54+$P$54+$T$54))*BC53</f>
        <v>920000</v>
      </c>
      <c r="BD54" s="91">
        <v>0.0</v>
      </c>
      <c r="BE54" s="92">
        <f t="shared" ref="BE54:BE57" si="260">IFERROR(BD54-BC54,"-")</f>
        <v>-920000</v>
      </c>
      <c r="BF54" s="93">
        <f t="shared" ref="BF54:BF57" si="261">IFERROR(BD54/BC54-1,"-")</f>
        <v>-1</v>
      </c>
      <c r="BG54" s="91">
        <f>($BK$54-($L$54+$P$54+$T$54))*BG53</f>
        <v>600000</v>
      </c>
      <c r="BH54" s="91">
        <v>0.0</v>
      </c>
      <c r="BI54" s="92">
        <f t="shared" ref="BI54:BI57" si="262">IFERROR(BH54-BG54,"-")</f>
        <v>-600000</v>
      </c>
      <c r="BJ54" s="95">
        <f t="shared" ref="BJ54:BJ57" si="263">IFERROR(BH54/BG54-1,"-")</f>
        <v>-1</v>
      </c>
      <c r="BK54" s="101">
        <v>4000000.0</v>
      </c>
      <c r="BL54" s="169">
        <f t="shared" ref="BL54:BL55" si="264">SUM(L54,P54,T54,X54,AC54,AI54)</f>
        <v>320000</v>
      </c>
      <c r="BM54" s="103">
        <f t="shared" ref="BM54:BM55" si="265">SUM(L54,P54,T54,X54,AC54,AI54,AM54)</f>
        <v>680000</v>
      </c>
      <c r="BN54" s="102">
        <f t="shared" ref="BN54:BN55" si="266">SUM(M54,Q54,U54,Y54,AE54,AJ54,AN54,AR54,AV54,AZ54,BD54,BH54)</f>
        <v>3247.89</v>
      </c>
      <c r="BO54" s="104">
        <f t="shared" ref="BO54:BO57" si="267">IFERROR(BN54/BK54-1,"-")</f>
        <v>-0.9991880275</v>
      </c>
      <c r="BP54" s="105" t="s">
        <v>63</v>
      </c>
      <c r="BQ54" s="106" t="str">
        <f t="shared" ref="BQ54:BQ55" si="268">IFERROR((BK54/BP54),"-")</f>
        <v>-</v>
      </c>
      <c r="BR54" s="3"/>
      <c r="BS54" s="3"/>
      <c r="BT54" s="3"/>
      <c r="BU54" s="3"/>
      <c r="BV54" s="3"/>
      <c r="BW54" s="3"/>
    </row>
    <row r="55" ht="15.75" customHeight="1">
      <c r="A55" s="1"/>
      <c r="B55" s="142"/>
      <c r="C55" s="143"/>
      <c r="D55" s="144"/>
      <c r="E55" s="192"/>
      <c r="F55" s="146"/>
      <c r="G55" s="147"/>
      <c r="H55" s="148"/>
      <c r="I55" s="189"/>
      <c r="J55" s="72" t="s">
        <v>67</v>
      </c>
      <c r="K55" s="107"/>
      <c r="L55" s="171">
        <f>L54/$K$56</f>
        <v>0</v>
      </c>
      <c r="M55" s="109">
        <v>0.0</v>
      </c>
      <c r="N55" s="110">
        <f t="shared" si="240"/>
        <v>0</v>
      </c>
      <c r="O55" s="93" t="str">
        <f t="shared" si="241"/>
        <v>-</v>
      </c>
      <c r="P55" s="171">
        <f>P54/$K$56</f>
        <v>0</v>
      </c>
      <c r="Q55" s="109">
        <v>0.0</v>
      </c>
      <c r="R55" s="110">
        <f t="shared" si="242"/>
        <v>0</v>
      </c>
      <c r="S55" s="95" t="str">
        <f t="shared" si="243"/>
        <v>-</v>
      </c>
      <c r="T55" s="171">
        <f>T54/$K$56</f>
        <v>0</v>
      </c>
      <c r="U55" s="109">
        <v>1.0</v>
      </c>
      <c r="V55" s="110">
        <f t="shared" si="244"/>
        <v>1</v>
      </c>
      <c r="W55" s="93" t="str">
        <f t="shared" si="245"/>
        <v>-</v>
      </c>
      <c r="X55" s="112">
        <f>X54/$K$56</f>
        <v>380.952381</v>
      </c>
      <c r="Y55" s="109">
        <v>5.0</v>
      </c>
      <c r="Z55" s="110"/>
      <c r="AA55" s="110">
        <f t="shared" si="246"/>
        <v>-375.952381</v>
      </c>
      <c r="AB55" s="93">
        <f t="shared" si="247"/>
        <v>-0.986875</v>
      </c>
      <c r="AC55" s="112">
        <f>AC54/$K$56</f>
        <v>380.952381</v>
      </c>
      <c r="AD55" s="113"/>
      <c r="AE55" s="109">
        <v>28.0</v>
      </c>
      <c r="AF55" s="110">
        <f t="shared" si="248"/>
        <v>-352.952381</v>
      </c>
      <c r="AG55" s="99"/>
      <c r="AH55" s="93">
        <f t="shared" si="249"/>
        <v>-0.9265</v>
      </c>
      <c r="AI55" s="112">
        <f>AI54/$K$56</f>
        <v>2285.714286</v>
      </c>
      <c r="AJ55" s="114">
        <v>19.0</v>
      </c>
      <c r="AK55" s="110">
        <f t="shared" si="250"/>
        <v>-2266.714286</v>
      </c>
      <c r="AL55" s="93">
        <f t="shared" si="251"/>
        <v>-0.9916875</v>
      </c>
      <c r="AM55" s="112">
        <f>AM54/$K$56</f>
        <v>3428.571429</v>
      </c>
      <c r="AN55" s="109">
        <v>6.0</v>
      </c>
      <c r="AO55" s="110">
        <f t="shared" si="252"/>
        <v>-3422.571429</v>
      </c>
      <c r="AP55" s="93">
        <f t="shared" si="253"/>
        <v>-0.99825</v>
      </c>
      <c r="AQ55" s="109">
        <f>AQ54/$K$56</f>
        <v>4952.380952</v>
      </c>
      <c r="AR55" s="109">
        <v>0.0</v>
      </c>
      <c r="AS55" s="110">
        <f t="shared" si="254"/>
        <v>-4952.380952</v>
      </c>
      <c r="AT55" s="93">
        <f t="shared" si="255"/>
        <v>-1</v>
      </c>
      <c r="AU55" s="112">
        <f>AU54/$K$56</f>
        <v>6095.238095</v>
      </c>
      <c r="AV55" s="109">
        <v>0.0</v>
      </c>
      <c r="AW55" s="110">
        <f t="shared" si="256"/>
        <v>-6095.238095</v>
      </c>
      <c r="AX55" s="93">
        <f t="shared" si="257"/>
        <v>-1</v>
      </c>
      <c r="AY55" s="112">
        <f>AY54/$K$56</f>
        <v>6095.238095</v>
      </c>
      <c r="AZ55" s="109">
        <v>0.0</v>
      </c>
      <c r="BA55" s="110">
        <f t="shared" si="258"/>
        <v>-6095.238095</v>
      </c>
      <c r="BB55" s="93">
        <f t="shared" si="259"/>
        <v>-1</v>
      </c>
      <c r="BC55" s="112">
        <f>BC54/$K$56</f>
        <v>8761.904762</v>
      </c>
      <c r="BD55" s="109">
        <v>0.0</v>
      </c>
      <c r="BE55" s="110">
        <f t="shared" si="260"/>
        <v>-8761.904762</v>
      </c>
      <c r="BF55" s="93">
        <f t="shared" si="261"/>
        <v>-1</v>
      </c>
      <c r="BG55" s="109">
        <f>BG54/$K$56</f>
        <v>5714.285714</v>
      </c>
      <c r="BH55" s="109">
        <v>0.0</v>
      </c>
      <c r="BI55" s="110">
        <f t="shared" si="262"/>
        <v>-5714.285714</v>
      </c>
      <c r="BJ55" s="95">
        <f t="shared" si="263"/>
        <v>-1</v>
      </c>
      <c r="BK55" s="206">
        <f>SUM(L55,P55,T55,X55,AC55,AI55,AM55,AQ55,AU55,AY55,BC55,BG55)</f>
        <v>38095.2381</v>
      </c>
      <c r="BL55" s="173">
        <f t="shared" si="264"/>
        <v>3047.619048</v>
      </c>
      <c r="BM55" s="117">
        <f t="shared" si="265"/>
        <v>6476.190476</v>
      </c>
      <c r="BN55" s="207">
        <f t="shared" si="266"/>
        <v>59</v>
      </c>
      <c r="BO55" s="104">
        <f t="shared" si="267"/>
        <v>-0.99845125</v>
      </c>
      <c r="BP55" s="119" t="s">
        <v>63</v>
      </c>
      <c r="BQ55" s="106" t="str">
        <f t="shared" si="268"/>
        <v>-</v>
      </c>
      <c r="BR55" s="3"/>
      <c r="BS55" s="3"/>
      <c r="BT55" s="3"/>
      <c r="BU55" s="3"/>
      <c r="BV55" s="3"/>
      <c r="BW55" s="3"/>
    </row>
    <row r="56" ht="15.75" customHeight="1">
      <c r="A56" s="1"/>
      <c r="B56" s="142"/>
      <c r="C56" s="143"/>
      <c r="D56" s="144"/>
      <c r="E56" s="192"/>
      <c r="F56" s="146"/>
      <c r="G56" s="147"/>
      <c r="H56" s="148"/>
      <c r="I56" s="189"/>
      <c r="J56" s="72" t="s">
        <v>68</v>
      </c>
      <c r="K56" s="107">
        <v>105.0</v>
      </c>
      <c r="L56" s="90" t="str">
        <f t="shared" ref="L56:M56" si="269">IFERROR(L54/L55,"-")</f>
        <v>-</v>
      </c>
      <c r="M56" s="91" t="str">
        <f t="shared" si="269"/>
        <v>-</v>
      </c>
      <c r="N56" s="92" t="str">
        <f t="shared" si="240"/>
        <v>-</v>
      </c>
      <c r="O56" s="93" t="str">
        <f t="shared" si="241"/>
        <v>-</v>
      </c>
      <c r="P56" s="90" t="str">
        <f t="shared" ref="P56:Q56" si="270">IFERROR(P54/P55,"-")</f>
        <v>-</v>
      </c>
      <c r="Q56" s="91" t="str">
        <f t="shared" si="270"/>
        <v>-</v>
      </c>
      <c r="R56" s="92" t="str">
        <f t="shared" si="242"/>
        <v>-</v>
      </c>
      <c r="S56" s="95" t="str">
        <f t="shared" si="243"/>
        <v>-</v>
      </c>
      <c r="T56" s="90" t="str">
        <f t="shared" ref="T56:U56" si="271">IFERROR(T54/T55,"-")</f>
        <v>-</v>
      </c>
      <c r="U56" s="91">
        <f t="shared" si="271"/>
        <v>53.8</v>
      </c>
      <c r="V56" s="92" t="str">
        <f t="shared" si="244"/>
        <v>-</v>
      </c>
      <c r="W56" s="93" t="str">
        <f t="shared" si="245"/>
        <v>-</v>
      </c>
      <c r="X56" s="96">
        <f t="shared" ref="X56:Y56" si="272">IFERROR(X54/X55,"-")</f>
        <v>105</v>
      </c>
      <c r="Y56" s="91">
        <f t="shared" si="272"/>
        <v>74.222</v>
      </c>
      <c r="Z56" s="92"/>
      <c r="AA56" s="92">
        <f t="shared" si="246"/>
        <v>-30.778</v>
      </c>
      <c r="AB56" s="93">
        <f t="shared" si="247"/>
        <v>-0.2931238095</v>
      </c>
      <c r="AC56" s="112">
        <f>AC54/AC55</f>
        <v>105</v>
      </c>
      <c r="AD56" s="98"/>
      <c r="AE56" s="91">
        <f>IFERROR(AE54/AE55,"-")</f>
        <v>47.02321429</v>
      </c>
      <c r="AF56" s="92">
        <f t="shared" si="248"/>
        <v>-57.97678571</v>
      </c>
      <c r="AG56" s="99"/>
      <c r="AH56" s="93">
        <f t="shared" si="249"/>
        <v>-0.5521598639</v>
      </c>
      <c r="AI56" s="112">
        <f>AI54/AI55</f>
        <v>105</v>
      </c>
      <c r="AJ56" s="91">
        <v>56.671052631578945</v>
      </c>
      <c r="AK56" s="92">
        <f t="shared" si="250"/>
        <v>-48.32894737</v>
      </c>
      <c r="AL56" s="93">
        <f t="shared" si="251"/>
        <v>-0.4602756892</v>
      </c>
      <c r="AM56" s="112">
        <f>AM54/AM55</f>
        <v>105</v>
      </c>
      <c r="AN56" s="91">
        <v>71.59666666666666</v>
      </c>
      <c r="AO56" s="92">
        <f t="shared" si="252"/>
        <v>-33.40333333</v>
      </c>
      <c r="AP56" s="93">
        <f t="shared" si="253"/>
        <v>-0.3181269841</v>
      </c>
      <c r="AQ56" s="109">
        <f>AQ54/AQ55</f>
        <v>105</v>
      </c>
      <c r="AR56" s="91" t="str">
        <f>IFERROR(AR54/AR55,"-")</f>
        <v>-</v>
      </c>
      <c r="AS56" s="92" t="str">
        <f t="shared" si="254"/>
        <v>-</v>
      </c>
      <c r="AT56" s="93" t="str">
        <f t="shared" si="255"/>
        <v>-</v>
      </c>
      <c r="AU56" s="112">
        <f>AU54/AU55</f>
        <v>105</v>
      </c>
      <c r="AV56" s="91" t="str">
        <f>IFERROR(AV54/AV55,"-")</f>
        <v>-</v>
      </c>
      <c r="AW56" s="92" t="str">
        <f t="shared" si="256"/>
        <v>-</v>
      </c>
      <c r="AX56" s="93" t="str">
        <f t="shared" si="257"/>
        <v>-</v>
      </c>
      <c r="AY56" s="112">
        <f>AY54/AY55</f>
        <v>105</v>
      </c>
      <c r="AZ56" s="91" t="str">
        <f>IFERROR(AZ54/AZ55,"-")</f>
        <v>-</v>
      </c>
      <c r="BA56" s="92" t="str">
        <f t="shared" si="258"/>
        <v>-</v>
      </c>
      <c r="BB56" s="93" t="str">
        <f t="shared" si="259"/>
        <v>-</v>
      </c>
      <c r="BC56" s="112">
        <f>BC54/BC55</f>
        <v>105</v>
      </c>
      <c r="BD56" s="91" t="str">
        <f>IFERROR(BD54/BD55,"-")</f>
        <v>-</v>
      </c>
      <c r="BE56" s="92" t="str">
        <f t="shared" si="260"/>
        <v>-</v>
      </c>
      <c r="BF56" s="93" t="str">
        <f t="shared" si="261"/>
        <v>-</v>
      </c>
      <c r="BG56" s="109">
        <f>BG54/BG55</f>
        <v>105</v>
      </c>
      <c r="BH56" s="91" t="str">
        <f>IFERROR(BH54/BH55,"-")</f>
        <v>-</v>
      </c>
      <c r="BI56" s="92" t="str">
        <f t="shared" si="262"/>
        <v>-</v>
      </c>
      <c r="BJ56" s="95" t="str">
        <f t="shared" si="263"/>
        <v>-</v>
      </c>
      <c r="BK56" s="120">
        <f>BK54/BK55</f>
        <v>105</v>
      </c>
      <c r="BL56" s="176">
        <f t="shared" ref="BL56:BM56" si="273">IFERROR(BL54/BL55,"-")</f>
        <v>105</v>
      </c>
      <c r="BM56" s="122">
        <f t="shared" si="273"/>
        <v>105</v>
      </c>
      <c r="BN56" s="209">
        <f>BN54/BN55</f>
        <v>55.04898305</v>
      </c>
      <c r="BO56" s="104">
        <f t="shared" si="267"/>
        <v>-0.4757239709</v>
      </c>
      <c r="BP56" s="119"/>
      <c r="BQ56" s="106"/>
      <c r="BR56" s="3"/>
      <c r="BS56" s="3"/>
      <c r="BT56" s="3"/>
      <c r="BU56" s="3"/>
      <c r="BV56" s="3"/>
      <c r="BW56" s="3"/>
    </row>
    <row r="57" ht="15.75" customHeight="1">
      <c r="A57" s="1"/>
      <c r="B57" s="142"/>
      <c r="C57" s="143"/>
      <c r="D57" s="144"/>
      <c r="E57" s="192"/>
      <c r="F57" s="146"/>
      <c r="G57" s="147"/>
      <c r="H57" s="148"/>
      <c r="I57" s="189"/>
      <c r="J57" s="124" t="s">
        <v>69</v>
      </c>
      <c r="K57" s="125">
        <v>0.03</v>
      </c>
      <c r="L57" s="132">
        <f t="shared" ref="L57:M57" si="274">MIN(L54, 500000) * 0.03 + MAX(0, MIN(L54, 1000000) - 500000) * 0.025 + MAX(0, MIN(L54, 2000000) - 1000000) * 0.0225 + MAX(0, MIN(L54, 3000000) - 2000000) * 0.02 + MAX(0, MIN(L54, 5000000) - 3000000) * 0.0175 + MAX(0, L54 - 5000000) * 0.015</f>
        <v>0</v>
      </c>
      <c r="M57" s="127">
        <f t="shared" si="274"/>
        <v>0</v>
      </c>
      <c r="N57" s="128">
        <f t="shared" si="240"/>
        <v>0</v>
      </c>
      <c r="O57" s="129" t="str">
        <f t="shared" si="241"/>
        <v>-</v>
      </c>
      <c r="P57" s="132">
        <f t="shared" ref="P57:Q57" si="275">MIN(P54, 500000) * 0.03 + MAX(0, MIN(P54, 1000000) - 500000) * 0.025 + MAX(0, MIN(P54, 2000000) - 1000000) * 0.0225 + MAX(0, MIN(P54, 3000000) - 2000000) * 0.02 + MAX(0, MIN(P54, 5000000) - 3000000) * 0.0175 + MAX(0, P54 - 5000000) * 0.015</f>
        <v>0</v>
      </c>
      <c r="Q57" s="127">
        <f t="shared" si="275"/>
        <v>0</v>
      </c>
      <c r="R57" s="128">
        <f t="shared" si="242"/>
        <v>0</v>
      </c>
      <c r="S57" s="131" t="str">
        <f t="shared" si="243"/>
        <v>-</v>
      </c>
      <c r="T57" s="132">
        <f t="shared" ref="T57:U57" si="276">MIN(T54, 500000) * 0.03 + MAX(0, MIN(T54, 1000000) - 500000) * 0.025 + MAX(0, MIN(T54, 2000000) - 1000000) * 0.0225 + MAX(0, MIN(T54, 3000000) - 2000000) * 0.02 + MAX(0, MIN(T54, 5000000) - 3000000) * 0.0175 + MAX(0, T54 - 5000000) * 0.015</f>
        <v>0</v>
      </c>
      <c r="U57" s="127">
        <f t="shared" si="276"/>
        <v>1.614</v>
      </c>
      <c r="V57" s="128">
        <f t="shared" si="244"/>
        <v>1.614</v>
      </c>
      <c r="W57" s="129" t="str">
        <f t="shared" si="245"/>
        <v>-</v>
      </c>
      <c r="X57" s="132">
        <f t="shared" ref="X57:Y57" si="277">MIN(X54, 500000) * 0.03 + MAX(0, MIN(X54, 1000000) - 500000) * 0.025 + MAX(0, MIN(X54, 2000000) - 1000000) * 0.0225 + MAX(0, MIN(X54, 3000000) - 2000000) * 0.02 + MAX(0, MIN(X54, 5000000) - 3000000) * 0.0175 + MAX(0, X54 - 5000000) * 0.015</f>
        <v>1200</v>
      </c>
      <c r="Y57" s="127">
        <f t="shared" si="277"/>
        <v>11.1333</v>
      </c>
      <c r="Z57" s="128"/>
      <c r="AA57" s="128">
        <f t="shared" si="246"/>
        <v>-1188.8667</v>
      </c>
      <c r="AB57" s="129">
        <f t="shared" si="247"/>
        <v>-0.99072225</v>
      </c>
      <c r="AC57" s="132">
        <f>MIN(AC54, 500000) * 0.03 + MAX(0, MIN(AC54, 1000000) - 500000) * 0.025 + MAX(0, MIN(AC54, 2000000) - 1000000) * 0.0225 + MAX(0, MIN(AC54, 3000000) - 2000000) * 0.02 + MAX(0, MIN(AC54, 5000000) - 3000000) * 0.0175 + MAX(0, AC54 - 5000000) * 0.015</f>
        <v>1200</v>
      </c>
      <c r="AD57" s="180"/>
      <c r="AE57" s="127">
        <f>MIN(AE54, 500000) * 0.03 + MAX(0, MIN(AE54, 1000000) - 500000) * 0.025 + MAX(0, MIN(AE54, 2000000) - 1000000) * 0.0225 + MAX(0, MIN(AE54, 3000000) - 2000000) * 0.02 + MAX(0, MIN(AE54, 5000000) - 3000000) * 0.0175 + MAX(0, AE54 - 5000000) * 0.015</f>
        <v>39.4995</v>
      </c>
      <c r="AF57" s="128">
        <f t="shared" si="248"/>
        <v>-1160.5005</v>
      </c>
      <c r="AG57" s="134"/>
      <c r="AH57" s="129">
        <f t="shared" si="249"/>
        <v>-0.96708375</v>
      </c>
      <c r="AI57" s="132">
        <f>MIN(AI54, 500000) * 0.03 + MAX(0, MIN(AI54, 1000000) - 500000) * 0.025 + MAX(0, MIN(AI54, 2000000) - 1000000) * 0.0225 + MAX(0, MIN(AI54, 3000000) - 2000000) * 0.02 + MAX(0, MIN(AI54, 5000000) - 3000000) * 0.0175 + MAX(0, AI54 - 5000000) * 0.015</f>
        <v>7200</v>
      </c>
      <c r="AJ57" s="127">
        <v>32.3025</v>
      </c>
      <c r="AK57" s="128">
        <f t="shared" si="250"/>
        <v>-7167.6975</v>
      </c>
      <c r="AL57" s="129">
        <f t="shared" si="251"/>
        <v>-0.9955135417</v>
      </c>
      <c r="AM57" s="132">
        <f>MIN(AM54, 500000) * 0.03 + MAX(0, MIN(AM54, 1000000) - 500000) * 0.025 + MAX(0, MIN(AM54, 2000000) - 1000000) * 0.0225 + MAX(0, MIN(AM54, 3000000) - 2000000) * 0.02 + MAX(0, MIN(AM54, 5000000) - 3000000) * 0.0175 + MAX(0, AM54 - 5000000) * 0.015</f>
        <v>10800</v>
      </c>
      <c r="AN57" s="127">
        <v>12.8874</v>
      </c>
      <c r="AO57" s="128">
        <f t="shared" si="252"/>
        <v>-10787.1126</v>
      </c>
      <c r="AP57" s="129">
        <f t="shared" si="253"/>
        <v>-0.9988067222</v>
      </c>
      <c r="AQ57" s="127">
        <f t="shared" ref="AQ57:AR57" si="278">MIN(AQ54, 500000) * 0.03 + MAX(0, MIN(AQ54, 1000000) - 500000) * 0.025 + MAX(0, MIN(AQ54, 2000000) - 1000000) * 0.0225 + MAX(0, MIN(AQ54, 3000000) - 2000000) * 0.02 + MAX(0, MIN(AQ54, 5000000) - 3000000) * 0.0175 + MAX(0, AQ54 - 5000000) * 0.015</f>
        <v>15500</v>
      </c>
      <c r="AR57" s="127">
        <f t="shared" si="278"/>
        <v>0</v>
      </c>
      <c r="AS57" s="128">
        <f t="shared" si="254"/>
        <v>-15500</v>
      </c>
      <c r="AT57" s="129">
        <f t="shared" si="255"/>
        <v>-1</v>
      </c>
      <c r="AU57" s="132">
        <f t="shared" ref="AU57:AV57" si="279">MIN(AU54, 500000) * 0.03 + MAX(0, MIN(AU54, 1000000) - 500000) * 0.025 + MAX(0, MIN(AU54, 2000000) - 1000000) * 0.0225 + MAX(0, MIN(AU54, 3000000) - 2000000) * 0.02 + MAX(0, MIN(AU54, 5000000) - 3000000) * 0.0175 + MAX(0, AU54 - 5000000) * 0.015</f>
        <v>18500</v>
      </c>
      <c r="AV57" s="127">
        <f t="shared" si="279"/>
        <v>0</v>
      </c>
      <c r="AW57" s="128">
        <f t="shared" si="256"/>
        <v>-18500</v>
      </c>
      <c r="AX57" s="129">
        <f t="shared" si="257"/>
        <v>-1</v>
      </c>
      <c r="AY57" s="132">
        <f t="shared" ref="AY57:AZ57" si="280">MIN(AY54, 500000) * 0.03 + MAX(0, MIN(AY54, 1000000) - 500000) * 0.025 + MAX(0, MIN(AY54, 2000000) - 1000000) * 0.0225 + MAX(0, MIN(AY54, 3000000) - 2000000) * 0.02 + MAX(0, MIN(AY54, 5000000) - 3000000) * 0.0175 + MAX(0, AY54 - 5000000) * 0.015</f>
        <v>18500</v>
      </c>
      <c r="AZ57" s="127">
        <f t="shared" si="280"/>
        <v>0</v>
      </c>
      <c r="BA57" s="128">
        <f t="shared" si="258"/>
        <v>-18500</v>
      </c>
      <c r="BB57" s="129">
        <f t="shared" si="259"/>
        <v>-1</v>
      </c>
      <c r="BC57" s="132">
        <f t="shared" ref="BC57:BD57" si="281">MIN(BC54, 500000) * 0.03 + MAX(0, MIN(BC54, 1000000) - 500000) * 0.025 + MAX(0, MIN(BC54, 2000000) - 1000000) * 0.0225 + MAX(0, MIN(BC54, 3000000) - 2000000) * 0.02 + MAX(0, MIN(BC54, 5000000) - 3000000) * 0.0175 + MAX(0, BC54 - 5000000) * 0.015</f>
        <v>25500</v>
      </c>
      <c r="BD57" s="127">
        <f t="shared" si="281"/>
        <v>0</v>
      </c>
      <c r="BE57" s="128">
        <f t="shared" si="260"/>
        <v>-25500</v>
      </c>
      <c r="BF57" s="129">
        <f t="shared" si="261"/>
        <v>-1</v>
      </c>
      <c r="BG57" s="127">
        <f t="shared" ref="BG57:BH57" si="282">MIN(BG54, 500000) * 0.03 + MAX(0, MIN(BG54, 1000000) - 500000) * 0.025 + MAX(0, MIN(BG54, 2000000) - 1000000) * 0.0225 + MAX(0, MIN(BG54, 3000000) - 2000000) * 0.02 + MAX(0, MIN(BG54, 5000000) - 3000000) * 0.0175 + MAX(0, BG54 - 5000000) * 0.015</f>
        <v>17500</v>
      </c>
      <c r="BH57" s="127">
        <f t="shared" si="282"/>
        <v>0</v>
      </c>
      <c r="BI57" s="128">
        <f t="shared" si="262"/>
        <v>-17500</v>
      </c>
      <c r="BJ57" s="131">
        <f t="shared" si="263"/>
        <v>-1</v>
      </c>
      <c r="BK57" s="135">
        <f>SUM(L57,P57,T57,X57,AC57,AI57,AM57,AQ57,AU57,AY57,BC57,BG57)</f>
        <v>115900</v>
      </c>
      <c r="BL57" s="182">
        <f>SUM(L57,P57,T57,X57,AC57,AI57)</f>
        <v>9600</v>
      </c>
      <c r="BM57" s="137">
        <f>SUM(L57,P57,T57,X57,AC57,AI57,AM57)</f>
        <v>20400</v>
      </c>
      <c r="BN57" s="213">
        <f>SUM(M57,Q57,U57,Y57,AE57,AJ57,AN57,AR57,AV57,AZ57,BD57,BH57)</f>
        <v>97.4367</v>
      </c>
      <c r="BO57" s="139">
        <f t="shared" si="267"/>
        <v>-0.9991593037</v>
      </c>
      <c r="BP57" s="140" t="s">
        <v>63</v>
      </c>
      <c r="BQ57" s="141" t="str">
        <f>IFERROR((BK57/BP57),"-")</f>
        <v>-</v>
      </c>
      <c r="BR57" s="3"/>
      <c r="BS57" s="3"/>
      <c r="BT57" s="3"/>
      <c r="BU57" s="3"/>
      <c r="BV57" s="3"/>
      <c r="BW57" s="3"/>
    </row>
    <row r="58" ht="15.75" customHeight="1">
      <c r="A58" s="1"/>
      <c r="B58" s="142"/>
      <c r="C58" s="143"/>
      <c r="D58" s="144"/>
      <c r="E58" s="192"/>
      <c r="F58" s="146"/>
      <c r="G58" s="147"/>
      <c r="H58" s="148"/>
      <c r="I58" s="221">
        <v>0.0325</v>
      </c>
      <c r="J58" s="12"/>
      <c r="K58" s="195"/>
      <c r="L58" s="222">
        <f>L62/4600</f>
        <v>5.538130435</v>
      </c>
      <c r="M58" s="196">
        <f>P62/2890</f>
        <v>7.37716263</v>
      </c>
      <c r="N58" s="196">
        <f>T62/3000</f>
        <v>9.922007667</v>
      </c>
      <c r="O58" s="196">
        <f>X62/10000</f>
        <v>2.9766023</v>
      </c>
      <c r="P58" s="196">
        <f>AC62/15000</f>
        <v>7.937606133</v>
      </c>
      <c r="Q58" s="23"/>
      <c r="R58" s="196">
        <f>AM62/15000</f>
        <v>31.75042453</v>
      </c>
      <c r="S58" s="196">
        <f>AQ62/15000</f>
        <v>39.68803067</v>
      </c>
      <c r="T58" s="196">
        <f>AU62/15000</f>
        <v>43.65683373</v>
      </c>
      <c r="U58" s="196">
        <f>AY62/15000</f>
        <v>71.4384552</v>
      </c>
      <c r="V58" s="196">
        <f>BC62/25000</f>
        <v>71.4384552</v>
      </c>
      <c r="W58" s="196">
        <f>BG62/15000</f>
        <v>71.4384552</v>
      </c>
      <c r="X58" s="13"/>
      <c r="Y58" s="14"/>
      <c r="Z58" s="15"/>
      <c r="AA58" s="15"/>
      <c r="AB58" s="3"/>
      <c r="AC58" s="3"/>
      <c r="AD58" s="3"/>
      <c r="AE58" s="3"/>
      <c r="AF58" s="3"/>
      <c r="AG58" s="3"/>
      <c r="AH58" s="3"/>
      <c r="AI58" s="3"/>
      <c r="AJ58" s="154" t="s">
        <v>70</v>
      </c>
      <c r="AN58" s="154" t="s">
        <v>70</v>
      </c>
      <c r="AY58" s="187"/>
      <c r="AZ58" s="25"/>
      <c r="BA58" s="188"/>
      <c r="BB58" s="25"/>
    </row>
    <row r="59" ht="15.75" customHeight="1">
      <c r="A59" s="1"/>
      <c r="B59" s="142"/>
      <c r="C59" s="143"/>
      <c r="D59" s="144"/>
      <c r="E59" s="192"/>
      <c r="F59" s="146"/>
      <c r="G59" s="147"/>
      <c r="H59" s="148"/>
      <c r="I59" s="223"/>
      <c r="J59" s="34" t="s">
        <v>86</v>
      </c>
      <c r="K59" s="35"/>
      <c r="L59" s="36" t="s">
        <v>10</v>
      </c>
      <c r="M59" s="37" t="s">
        <v>11</v>
      </c>
      <c r="N59" s="38" t="s">
        <v>12</v>
      </c>
      <c r="O59" s="39" t="s">
        <v>13</v>
      </c>
      <c r="P59" s="157" t="s">
        <v>14</v>
      </c>
      <c r="Q59" s="199" t="s">
        <v>15</v>
      </c>
      <c r="R59" s="38" t="s">
        <v>16</v>
      </c>
      <c r="S59" s="42" t="s">
        <v>17</v>
      </c>
      <c r="T59" s="43" t="s">
        <v>18</v>
      </c>
      <c r="U59" s="199" t="s">
        <v>19</v>
      </c>
      <c r="V59" s="38" t="s">
        <v>20</v>
      </c>
      <c r="W59" s="45" t="s">
        <v>21</v>
      </c>
      <c r="X59" s="44" t="s">
        <v>22</v>
      </c>
      <c r="Y59" s="199" t="s">
        <v>23</v>
      </c>
      <c r="Z59" s="38"/>
      <c r="AA59" s="38" t="s">
        <v>24</v>
      </c>
      <c r="AB59" s="45" t="s">
        <v>25</v>
      </c>
      <c r="AC59" s="43" t="s">
        <v>26</v>
      </c>
      <c r="AD59" s="200"/>
      <c r="AE59" s="199" t="s">
        <v>27</v>
      </c>
      <c r="AF59" s="38" t="s">
        <v>28</v>
      </c>
      <c r="AG59" s="47"/>
      <c r="AH59" s="45" t="s">
        <v>29</v>
      </c>
      <c r="AI59" s="44" t="s">
        <v>30</v>
      </c>
      <c r="AJ59" s="199" t="s">
        <v>31</v>
      </c>
      <c r="AK59" s="38" t="s">
        <v>32</v>
      </c>
      <c r="AL59" s="45" t="s">
        <v>33</v>
      </c>
      <c r="AM59" s="43" t="s">
        <v>34</v>
      </c>
      <c r="AN59" s="199" t="s">
        <v>35</v>
      </c>
      <c r="AO59" s="38" t="s">
        <v>36</v>
      </c>
      <c r="AP59" s="45" t="s">
        <v>37</v>
      </c>
      <c r="AQ59" s="44" t="s">
        <v>38</v>
      </c>
      <c r="AR59" s="199" t="s">
        <v>39</v>
      </c>
      <c r="AS59" s="38" t="s">
        <v>40</v>
      </c>
      <c r="AT59" s="45" t="s">
        <v>41</v>
      </c>
      <c r="AU59" s="43" t="s">
        <v>42</v>
      </c>
      <c r="AV59" s="199" t="s">
        <v>43</v>
      </c>
      <c r="AW59" s="38" t="s">
        <v>44</v>
      </c>
      <c r="AX59" s="45" t="s">
        <v>45</v>
      </c>
      <c r="AY59" s="44" t="s">
        <v>46</v>
      </c>
      <c r="AZ59" s="199" t="s">
        <v>47</v>
      </c>
      <c r="BA59" s="38" t="s">
        <v>48</v>
      </c>
      <c r="BB59" s="45" t="s">
        <v>49</v>
      </c>
      <c r="BC59" s="43" t="s">
        <v>50</v>
      </c>
      <c r="BD59" s="199" t="s">
        <v>51</v>
      </c>
      <c r="BE59" s="38" t="s">
        <v>52</v>
      </c>
      <c r="BF59" s="45" t="s">
        <v>53</v>
      </c>
      <c r="BG59" s="44" t="s">
        <v>54</v>
      </c>
      <c r="BH59" s="199" t="s">
        <v>55</v>
      </c>
      <c r="BI59" s="38" t="s">
        <v>56</v>
      </c>
      <c r="BJ59" s="45" t="s">
        <v>57</v>
      </c>
      <c r="BK59" s="48" t="s">
        <v>58</v>
      </c>
      <c r="BL59" s="49" t="s">
        <v>72</v>
      </c>
      <c r="BM59" s="49" t="s">
        <v>60</v>
      </c>
      <c r="BN59" s="37" t="s">
        <v>61</v>
      </c>
      <c r="BO59" s="51" t="s">
        <v>62</v>
      </c>
      <c r="BP59" s="52">
        <v>2025.0</v>
      </c>
      <c r="BQ59" s="53"/>
      <c r="BR59" s="3"/>
      <c r="BS59" s="3"/>
      <c r="BT59" s="3"/>
      <c r="BU59" s="3"/>
      <c r="BV59" s="3"/>
      <c r="BW59" s="3"/>
    </row>
    <row r="60" ht="15.75" customHeight="1">
      <c r="A60" s="1"/>
      <c r="B60" s="142"/>
      <c r="C60" s="143"/>
      <c r="D60" s="144"/>
      <c r="E60" s="192"/>
      <c r="F60" s="146"/>
      <c r="G60" s="147"/>
      <c r="H60" s="148"/>
      <c r="I60" s="220"/>
      <c r="J60" s="54"/>
      <c r="K60" s="55"/>
      <c r="L60" s="56"/>
      <c r="M60" s="57"/>
      <c r="N60" s="58"/>
      <c r="O60" s="59"/>
      <c r="P60" s="56"/>
      <c r="Q60" s="202"/>
      <c r="R60" s="58"/>
      <c r="S60" s="61"/>
      <c r="T60" s="62"/>
      <c r="U60" s="63"/>
      <c r="V60" s="58"/>
      <c r="W60" s="59"/>
      <c r="X60" s="62"/>
      <c r="Y60" s="63"/>
      <c r="Z60" s="58"/>
      <c r="AA60" s="58"/>
      <c r="AB60" s="59"/>
      <c r="AC60" s="62"/>
      <c r="AD60" s="64"/>
      <c r="AE60" s="63"/>
      <c r="AF60" s="58"/>
      <c r="AG60" s="65"/>
      <c r="AH60" s="59"/>
      <c r="AI60" s="62"/>
      <c r="AJ60" s="63" t="s">
        <v>70</v>
      </c>
      <c r="AK60" s="58"/>
      <c r="AL60" s="59"/>
      <c r="AM60" s="62"/>
      <c r="AN60" s="63" t="s">
        <v>70</v>
      </c>
      <c r="AO60" s="58"/>
      <c r="AP60" s="59"/>
      <c r="AQ60" s="62"/>
      <c r="AR60" s="63"/>
      <c r="AS60" s="58"/>
      <c r="AT60" s="59"/>
      <c r="AU60" s="62"/>
      <c r="AV60" s="63"/>
      <c r="AW60" s="58"/>
      <c r="AX60" s="59"/>
      <c r="AY60" s="62"/>
      <c r="AZ60" s="63"/>
      <c r="BA60" s="58"/>
      <c r="BB60" s="59"/>
      <c r="BC60" s="62"/>
      <c r="BD60" s="63"/>
      <c r="BE60" s="58"/>
      <c r="BF60" s="59"/>
      <c r="BG60" s="62"/>
      <c r="BH60" s="63"/>
      <c r="BI60" s="58"/>
      <c r="BJ60" s="59"/>
      <c r="BK60" s="164"/>
      <c r="BL60" s="67"/>
      <c r="BM60" s="67"/>
      <c r="BN60" s="68"/>
      <c r="BO60" s="69"/>
      <c r="BP60" s="70"/>
      <c r="BQ60" s="71"/>
      <c r="BR60" s="3"/>
      <c r="BS60" s="3"/>
      <c r="BT60" s="3"/>
      <c r="BU60" s="3"/>
      <c r="BV60" s="3"/>
      <c r="BW60" s="3"/>
    </row>
    <row r="61" ht="15.75" customHeight="1">
      <c r="A61" s="1"/>
      <c r="B61" s="142">
        <v>9.0</v>
      </c>
      <c r="C61" s="143" t="s">
        <v>87</v>
      </c>
      <c r="D61" s="144">
        <v>7200000.0</v>
      </c>
      <c r="E61" s="192">
        <v>30.0</v>
      </c>
      <c r="F61" s="146">
        <f>E61*D61</f>
        <v>216000000</v>
      </c>
      <c r="G61" s="147">
        <v>1580724.5999999477</v>
      </c>
      <c r="H61" s="148">
        <v>66014.0</v>
      </c>
      <c r="I61" s="189">
        <v>23.945293422606532</v>
      </c>
      <c r="J61" s="72" t="s">
        <v>64</v>
      </c>
      <c r="K61" s="73"/>
      <c r="L61" s="74" t="s">
        <v>63</v>
      </c>
      <c r="M61" s="75" t="s">
        <v>63</v>
      </c>
      <c r="N61" s="76" t="s">
        <v>63</v>
      </c>
      <c r="O61" s="77" t="s">
        <v>65</v>
      </c>
      <c r="P61" s="74" t="s">
        <v>63</v>
      </c>
      <c r="Q61" s="204" t="s">
        <v>63</v>
      </c>
      <c r="R61" s="76" t="s">
        <v>63</v>
      </c>
      <c r="S61" s="79" t="s">
        <v>65</v>
      </c>
      <c r="T61" s="80">
        <v>0.005</v>
      </c>
      <c r="U61" s="81">
        <f>U62/(BK62-(L62 + P62))</f>
        <v>0.003961936736</v>
      </c>
      <c r="V61" s="76" t="s">
        <v>63</v>
      </c>
      <c r="W61" s="77" t="s">
        <v>65</v>
      </c>
      <c r="X61" s="80">
        <v>0.005</v>
      </c>
      <c r="Y61" s="81">
        <f>Y62/(BK62-(L62+P62))</f>
        <v>0.002035463387</v>
      </c>
      <c r="Z61" s="76"/>
      <c r="AA61" s="76" t="s">
        <v>63</v>
      </c>
      <c r="AB61" s="77" t="s">
        <v>65</v>
      </c>
      <c r="AC61" s="80">
        <v>0.02</v>
      </c>
      <c r="AD61" s="82"/>
      <c r="AE61" s="81">
        <f>AE62/(BK62-(L62+P62))</f>
        <v>0.002218722669</v>
      </c>
      <c r="AF61" s="76" t="s">
        <v>63</v>
      </c>
      <c r="AG61" s="83"/>
      <c r="AH61" s="77" t="s">
        <v>65</v>
      </c>
      <c r="AI61" s="80">
        <v>0.02</v>
      </c>
      <c r="AJ61" s="81">
        <v>0.001648796011479263</v>
      </c>
      <c r="AK61" s="76" t="s">
        <v>63</v>
      </c>
      <c r="AL61" s="77" t="s">
        <v>65</v>
      </c>
      <c r="AM61" s="80">
        <v>0.08</v>
      </c>
      <c r="AN61" s="81">
        <v>4.935476264329972E-4</v>
      </c>
      <c r="AO61" s="76" t="s">
        <v>63</v>
      </c>
      <c r="AP61" s="77" t="s">
        <v>65</v>
      </c>
      <c r="AQ61" s="80">
        <v>0.1</v>
      </c>
      <c r="AR61" s="81">
        <f>AR62/(BK62-(L62+P62))</f>
        <v>0</v>
      </c>
      <c r="AS61" s="76" t="s">
        <v>63</v>
      </c>
      <c r="AT61" s="77" t="s">
        <v>65</v>
      </c>
      <c r="AU61" s="80">
        <v>0.11</v>
      </c>
      <c r="AV61" s="81">
        <f>AV62/(BK62-(L62+P62))</f>
        <v>0</v>
      </c>
      <c r="AW61" s="76" t="s">
        <v>63</v>
      </c>
      <c r="AX61" s="77" t="s">
        <v>65</v>
      </c>
      <c r="AY61" s="80">
        <v>0.18</v>
      </c>
      <c r="AZ61" s="81">
        <f>AZ62/(BK62-(L62+P62))</f>
        <v>0</v>
      </c>
      <c r="BA61" s="76" t="s">
        <v>63</v>
      </c>
      <c r="BB61" s="77" t="s">
        <v>65</v>
      </c>
      <c r="BC61" s="80">
        <v>0.3</v>
      </c>
      <c r="BD61" s="81">
        <f>BD62/(BK62-(L62+P62))</f>
        <v>0</v>
      </c>
      <c r="BE61" s="76" t="s">
        <v>63</v>
      </c>
      <c r="BF61" s="77" t="s">
        <v>65</v>
      </c>
      <c r="BG61" s="80">
        <v>0.18</v>
      </c>
      <c r="BH61" s="81">
        <f>BH62/(BK62-(L62+P62))</f>
        <v>0</v>
      </c>
      <c r="BI61" s="76" t="s">
        <v>63</v>
      </c>
      <c r="BJ61" s="77" t="s">
        <v>65</v>
      </c>
      <c r="BK61" s="166">
        <f>SUM(T61,X61,AC61,AI61,AM61,AQ61,AU61,AY61,BC61,BG61)</f>
        <v>1</v>
      </c>
      <c r="BL61" s="85">
        <f>SUM(T61,X61,AC61,AI61)</f>
        <v>0.05</v>
      </c>
      <c r="BM61" s="86">
        <f>SUM(T61,X61,AC61,AI61,AM61)</f>
        <v>0.13</v>
      </c>
      <c r="BN61" s="87">
        <f>SUM(U61,Y61,AE61,AJ61,AN61,AR61,AV61,AZ61,BD61,BH61)</f>
        <v>0.01035846643</v>
      </c>
      <c r="BO61" s="88"/>
      <c r="BP61" s="89" t="s">
        <v>63</v>
      </c>
      <c r="BQ61" s="71"/>
      <c r="BR61" s="3"/>
      <c r="BS61" s="3"/>
      <c r="BT61" s="3"/>
      <c r="BU61" s="3"/>
      <c r="BV61" s="3"/>
      <c r="BW61" s="3"/>
    </row>
    <row r="62" ht="15.75" customHeight="1">
      <c r="A62" s="1"/>
      <c r="B62" s="142"/>
      <c r="C62" s="143"/>
      <c r="D62" s="144"/>
      <c r="E62" s="192"/>
      <c r="F62" s="146"/>
      <c r="G62" s="147"/>
      <c r="H62" s="148"/>
      <c r="I62" s="189"/>
      <c r="J62" s="72" t="s">
        <v>66</v>
      </c>
      <c r="K62" s="73"/>
      <c r="L62" s="167">
        <v>25475.4</v>
      </c>
      <c r="M62" s="91">
        <v>24291.16</v>
      </c>
      <c r="N62" s="92">
        <f t="shared" ref="N62:N65" si="283">IFERROR(M62-L62,"-")</f>
        <v>-1184.24</v>
      </c>
      <c r="O62" s="93">
        <f t="shared" ref="O62:O65" si="284">IFERROR(M62/L62-1,"-")</f>
        <v>-0.04648562927</v>
      </c>
      <c r="P62" s="167">
        <v>21320.0</v>
      </c>
      <c r="Q62" s="91">
        <v>20219.57</v>
      </c>
      <c r="R62" s="92">
        <f t="shared" ref="R62:R65" si="285">IFERROR(Q62-P62,"-")</f>
        <v>-1100.43</v>
      </c>
      <c r="S62" s="95">
        <f t="shared" ref="S62:S65" si="286">IFERROR(Q62/P62-1,"-")</f>
        <v>-0.05161491557</v>
      </c>
      <c r="T62" s="96">
        <f>($BK$62-($L$62+$P$62))*T61</f>
        <v>29766.023</v>
      </c>
      <c r="U62" s="91">
        <v>23586.22</v>
      </c>
      <c r="V62" s="92">
        <f t="shared" ref="V62:V65" si="287">IFERROR(U62-T62,"-")</f>
        <v>-6179.803</v>
      </c>
      <c r="W62" s="93">
        <f t="shared" ref="W62:W65" si="288">IFERROR(U62/T62-1,"-")</f>
        <v>-0.2076126529</v>
      </c>
      <c r="X62" s="96">
        <f>($BK$62-($L$62+$P$62))*X61</f>
        <v>29766.023</v>
      </c>
      <c r="Y62" s="91">
        <v>12117.53</v>
      </c>
      <c r="Z62" s="92"/>
      <c r="AA62" s="92">
        <f t="shared" ref="AA62:AA65" si="289">IFERROR(Y62-X62,"-")</f>
        <v>-17648.493</v>
      </c>
      <c r="AB62" s="93">
        <f t="shared" ref="AB62:AB65" si="290">IFERROR(Y62/X62-1,"-")</f>
        <v>-0.5929073226</v>
      </c>
      <c r="AC62" s="96">
        <f>($BK$62-($L$62+$P$62))*AC61</f>
        <v>119064.092</v>
      </c>
      <c r="AD62" s="98"/>
      <c r="AE62" s="91">
        <v>13208.51</v>
      </c>
      <c r="AF62" s="92">
        <f t="shared" ref="AF62:AF65" si="291">IFERROR(AE62-AC62,"-")</f>
        <v>-105855.582</v>
      </c>
      <c r="AG62" s="99"/>
      <c r="AH62" s="93">
        <f t="shared" ref="AH62:AH65" si="292">IFERROR(AE62/AC62-1,"-")</f>
        <v>-0.8890638665</v>
      </c>
      <c r="AI62" s="96">
        <f>($BK$62-($L$62+$P$62))*AI61</f>
        <v>119064.092</v>
      </c>
      <c r="AJ62" s="100">
        <v>9815.62</v>
      </c>
      <c r="AK62" s="92">
        <f t="shared" ref="AK62:AK65" si="293">IFERROR(AJ62-AI62,"-")</f>
        <v>-109248.472</v>
      </c>
      <c r="AL62" s="93">
        <f t="shared" ref="AL62:AL65" si="294">IFERROR(AJ62/AI62-1,"-")</f>
        <v>-0.9175601994</v>
      </c>
      <c r="AM62" s="96">
        <f>($BK$62-($L$62+$P$62))*AM61</f>
        <v>476256.368</v>
      </c>
      <c r="AN62" s="91">
        <v>2938.1899999999996</v>
      </c>
      <c r="AO62" s="92">
        <f t="shared" ref="AO62:AO65" si="295">IFERROR(AN62-AM62,"-")</f>
        <v>-473318.178</v>
      </c>
      <c r="AP62" s="93">
        <f t="shared" ref="AP62:AP65" si="296">IFERROR(AN62/AM62-1,"-")</f>
        <v>-0.9938306547</v>
      </c>
      <c r="AQ62" s="96">
        <f>($BK$62-($L$62+$P$62))*AQ61</f>
        <v>595320.46</v>
      </c>
      <c r="AR62" s="91">
        <v>0.0</v>
      </c>
      <c r="AS62" s="92">
        <f t="shared" ref="AS62:AS65" si="297">IFERROR(AR62-AQ62,"-")</f>
        <v>-595320.46</v>
      </c>
      <c r="AT62" s="93">
        <f t="shared" ref="AT62:AT65" si="298">IFERROR(AR62/AQ62-1,"-")</f>
        <v>-1</v>
      </c>
      <c r="AU62" s="96">
        <f>($BK$62-($L$62+$P$62))*AU61</f>
        <v>654852.506</v>
      </c>
      <c r="AV62" s="91">
        <v>0.0</v>
      </c>
      <c r="AW62" s="92">
        <f t="shared" ref="AW62:AW65" si="299">IFERROR(AV62-AU62,"-")</f>
        <v>-654852.506</v>
      </c>
      <c r="AX62" s="93">
        <f t="shared" ref="AX62:AX65" si="300">IFERROR(AV62/AU62-1,"-")</f>
        <v>-1</v>
      </c>
      <c r="AY62" s="224">
        <f>($BK$62-($L$62+$P$62))*AY61</f>
        <v>1071576.828</v>
      </c>
      <c r="AZ62" s="91">
        <v>0.0</v>
      </c>
      <c r="BA62" s="92">
        <f t="shared" ref="BA62:BA65" si="301">IFERROR(AZ62-AY62,"-")</f>
        <v>-1071576.828</v>
      </c>
      <c r="BB62" s="93">
        <f t="shared" ref="BB62:BB65" si="302">IFERROR(AZ62/AY62-1,"-")</f>
        <v>-1</v>
      </c>
      <c r="BC62" s="96">
        <f>($BK$62-($L$62+$P$62))*BC61</f>
        <v>1785961.38</v>
      </c>
      <c r="BD62" s="91">
        <v>0.0</v>
      </c>
      <c r="BE62" s="92">
        <f t="shared" ref="BE62:BE65" si="303">IFERROR(BD62-BC62,"-")</f>
        <v>-1785961.38</v>
      </c>
      <c r="BF62" s="93">
        <f t="shared" ref="BF62:BF65" si="304">IFERROR(BD62/BC62-1,"-")</f>
        <v>-1</v>
      </c>
      <c r="BG62" s="96">
        <f>($BK$62-($L$62+$P$62))*BG61</f>
        <v>1071576.828</v>
      </c>
      <c r="BH62" s="91">
        <v>0.0</v>
      </c>
      <c r="BI62" s="92">
        <f t="shared" ref="BI62:BI65" si="305">IFERROR(BH62-BG62,"-")</f>
        <v>-1071576.828</v>
      </c>
      <c r="BJ62" s="93">
        <f t="shared" ref="BJ62:BJ65" si="306">IFERROR(BH62/BG62-1,"-")</f>
        <v>-1</v>
      </c>
      <c r="BK62" s="168">
        <v>6000000.0</v>
      </c>
      <c r="BL62" s="169">
        <f t="shared" ref="BL62:BL63" si="307">SUM(L62,P62,T62,X62,AC62,AI62)</f>
        <v>344455.63</v>
      </c>
      <c r="BM62" s="103">
        <f t="shared" ref="BM62:BM63" si="308">SUM(L62,P62,T62,X62,AC62,AI62,AM62)</f>
        <v>820711.998</v>
      </c>
      <c r="BN62" s="102">
        <f t="shared" ref="BN62:BN63" si="309">SUM(M62,Q62,U62,Y62,AE62,AJ62,AN62,AR62,AV62,AZ62,BD62,BH62)</f>
        <v>106176.8</v>
      </c>
      <c r="BO62" s="104">
        <f t="shared" ref="BO62:BO65" si="310">IFERROR(BN62/BK62-1,"-")</f>
        <v>-0.9823038667</v>
      </c>
      <c r="BP62" s="105">
        <v>294165.0</v>
      </c>
      <c r="BQ62" s="106">
        <f t="shared" ref="BQ62:BQ63" si="311">BK62/BP62</f>
        <v>20.39671613</v>
      </c>
      <c r="BR62" s="3"/>
      <c r="BS62" s="3"/>
      <c r="BT62" s="3"/>
      <c r="BU62" s="3"/>
      <c r="BV62" s="3"/>
      <c r="BW62" s="3"/>
    </row>
    <row r="63" ht="15.75" customHeight="1">
      <c r="A63" s="1"/>
      <c r="B63" s="142"/>
      <c r="C63" s="143"/>
      <c r="D63" s="144"/>
      <c r="E63" s="192"/>
      <c r="F63" s="146"/>
      <c r="G63" s="147"/>
      <c r="H63" s="148"/>
      <c r="I63" s="189"/>
      <c r="J63" s="72" t="s">
        <v>67</v>
      </c>
      <c r="K63" s="107"/>
      <c r="L63" s="171">
        <f>L62/$K$64</f>
        <v>276.9065217</v>
      </c>
      <c r="M63" s="109">
        <v>239.0</v>
      </c>
      <c r="N63" s="110">
        <f t="shared" si="283"/>
        <v>-37.90652174</v>
      </c>
      <c r="O63" s="93">
        <f t="shared" si="284"/>
        <v>-0.1368928456</v>
      </c>
      <c r="P63" s="171">
        <f>P62/$K$64</f>
        <v>231.7391304</v>
      </c>
      <c r="Q63" s="109">
        <v>177.0</v>
      </c>
      <c r="R63" s="110">
        <f t="shared" si="285"/>
        <v>-54.73913043</v>
      </c>
      <c r="S63" s="95">
        <f t="shared" si="286"/>
        <v>-0.2362101313</v>
      </c>
      <c r="T63" s="112">
        <f>T62/$K$64</f>
        <v>323.5437283</v>
      </c>
      <c r="U63" s="109">
        <v>204.0</v>
      </c>
      <c r="V63" s="110">
        <f t="shared" si="287"/>
        <v>-119.5437283</v>
      </c>
      <c r="W63" s="93">
        <f t="shared" si="288"/>
        <v>-0.3694824465</v>
      </c>
      <c r="X63" s="112">
        <f>X62/$K$64</f>
        <v>323.5437283</v>
      </c>
      <c r="Y63" s="109">
        <v>99.0</v>
      </c>
      <c r="Z63" s="110"/>
      <c r="AA63" s="110">
        <f t="shared" si="289"/>
        <v>-224.5437283</v>
      </c>
      <c r="AB63" s="93">
        <f t="shared" si="290"/>
        <v>-0.6940135402</v>
      </c>
      <c r="AC63" s="112">
        <f>AC62/$K$64</f>
        <v>1294.174913</v>
      </c>
      <c r="AD63" s="113"/>
      <c r="AE63" s="109">
        <v>103.0</v>
      </c>
      <c r="AF63" s="110">
        <f t="shared" si="291"/>
        <v>-1191.174913</v>
      </c>
      <c r="AG63" s="99"/>
      <c r="AH63" s="93">
        <f t="shared" si="292"/>
        <v>-0.9204126127</v>
      </c>
      <c r="AI63" s="112">
        <f>AI62/$K$64</f>
        <v>1294.174913</v>
      </c>
      <c r="AJ63" s="114">
        <v>89.0</v>
      </c>
      <c r="AK63" s="110">
        <f t="shared" si="293"/>
        <v>-1205.174913</v>
      </c>
      <c r="AL63" s="93">
        <f t="shared" si="294"/>
        <v>-0.9312303159</v>
      </c>
      <c r="AM63" s="112">
        <f>AM62/$K$64</f>
        <v>5176.699652</v>
      </c>
      <c r="AN63" s="109">
        <v>31.0</v>
      </c>
      <c r="AO63" s="110">
        <f t="shared" si="295"/>
        <v>-5145.699652</v>
      </c>
      <c r="AP63" s="93">
        <f t="shared" si="296"/>
        <v>-0.9940116286</v>
      </c>
      <c r="AQ63" s="112">
        <f>AQ62/$K$64</f>
        <v>6470.874565</v>
      </c>
      <c r="AR63" s="109">
        <v>0.0</v>
      </c>
      <c r="AS63" s="110">
        <f t="shared" si="297"/>
        <v>-6470.874565</v>
      </c>
      <c r="AT63" s="93">
        <f t="shared" si="298"/>
        <v>-1</v>
      </c>
      <c r="AU63" s="112">
        <f>AU62/$K$64</f>
        <v>7117.962022</v>
      </c>
      <c r="AV63" s="109">
        <v>0.0</v>
      </c>
      <c r="AW63" s="110">
        <f t="shared" si="299"/>
        <v>-7117.962022</v>
      </c>
      <c r="AX63" s="93">
        <f t="shared" si="300"/>
        <v>-1</v>
      </c>
      <c r="AY63" s="112">
        <f>AY62/$K$64</f>
        <v>11647.57422</v>
      </c>
      <c r="AZ63" s="109">
        <v>0.0</v>
      </c>
      <c r="BA63" s="110">
        <f t="shared" si="301"/>
        <v>-11647.57422</v>
      </c>
      <c r="BB63" s="93">
        <f t="shared" si="302"/>
        <v>-1</v>
      </c>
      <c r="BC63" s="112">
        <f>BC62/$K$64</f>
        <v>19412.6237</v>
      </c>
      <c r="BD63" s="109">
        <v>0.0</v>
      </c>
      <c r="BE63" s="110">
        <f t="shared" si="303"/>
        <v>-19412.6237</v>
      </c>
      <c r="BF63" s="93">
        <f t="shared" si="304"/>
        <v>-1</v>
      </c>
      <c r="BG63" s="112">
        <f>BG62/$K$64</f>
        <v>11647.57422</v>
      </c>
      <c r="BH63" s="109">
        <v>0.0</v>
      </c>
      <c r="BI63" s="110">
        <f t="shared" si="305"/>
        <v>-11647.57422</v>
      </c>
      <c r="BJ63" s="93">
        <f t="shared" si="306"/>
        <v>-1</v>
      </c>
      <c r="BK63" s="218">
        <f>SUM(L63,P63,T63,X63,AC63,AI63,AM63,AQ63,AU63,AY63,BC63,BG63)</f>
        <v>65217.3913</v>
      </c>
      <c r="BL63" s="173">
        <f t="shared" si="307"/>
        <v>3744.082935</v>
      </c>
      <c r="BM63" s="117">
        <f t="shared" si="308"/>
        <v>8920.782587</v>
      </c>
      <c r="BN63" s="207">
        <f t="shared" si="309"/>
        <v>942</v>
      </c>
      <c r="BO63" s="104">
        <f t="shared" si="310"/>
        <v>-0.985556</v>
      </c>
      <c r="BP63" s="119">
        <v>3683.0</v>
      </c>
      <c r="BQ63" s="106">
        <f t="shared" si="311"/>
        <v>17.70768159</v>
      </c>
      <c r="BR63" s="3"/>
      <c r="BS63" s="3"/>
      <c r="BT63" s="3"/>
      <c r="BU63" s="3"/>
      <c r="BV63" s="3"/>
      <c r="BW63" s="3"/>
    </row>
    <row r="64" ht="15.75" customHeight="1">
      <c r="A64" s="1"/>
      <c r="B64" s="142"/>
      <c r="C64" s="143"/>
      <c r="D64" s="144"/>
      <c r="E64" s="192"/>
      <c r="F64" s="146"/>
      <c r="G64" s="147"/>
      <c r="H64" s="148"/>
      <c r="I64" s="189"/>
      <c r="J64" s="72" t="s">
        <v>68</v>
      </c>
      <c r="K64" s="107">
        <v>92.0</v>
      </c>
      <c r="L64" s="171">
        <f>L62/L63</f>
        <v>92</v>
      </c>
      <c r="M64" s="91">
        <f>IFERROR(M62/M63,"-")</f>
        <v>101.6366527</v>
      </c>
      <c r="N64" s="92">
        <f t="shared" si="283"/>
        <v>9.63665272</v>
      </c>
      <c r="O64" s="93">
        <f t="shared" si="284"/>
        <v>0.1047462252</v>
      </c>
      <c r="P64" s="90">
        <f t="shared" ref="P64:Q64" si="312">IFERROR(P62/P63,"-")</f>
        <v>92</v>
      </c>
      <c r="Q64" s="91">
        <f t="shared" si="312"/>
        <v>114.2348588</v>
      </c>
      <c r="R64" s="92">
        <f t="shared" si="285"/>
        <v>22.23485876</v>
      </c>
      <c r="S64" s="95">
        <f t="shared" si="286"/>
        <v>0.2416832474</v>
      </c>
      <c r="T64" s="112">
        <f>T62/T63</f>
        <v>92</v>
      </c>
      <c r="U64" s="91">
        <f>IFERROR(U62/U63,"-")</f>
        <v>115.6187255</v>
      </c>
      <c r="V64" s="92">
        <f t="shared" si="287"/>
        <v>23.61872549</v>
      </c>
      <c r="W64" s="93">
        <f t="shared" si="288"/>
        <v>0.2567252771</v>
      </c>
      <c r="X64" s="96">
        <f t="shared" ref="X64:Y64" si="313">IFERROR(X62/X63,"-")</f>
        <v>92</v>
      </c>
      <c r="Y64" s="91">
        <f t="shared" si="313"/>
        <v>122.3992929</v>
      </c>
      <c r="Z64" s="92"/>
      <c r="AA64" s="92">
        <f t="shared" si="289"/>
        <v>30.39929293</v>
      </c>
      <c r="AB64" s="93">
        <f t="shared" si="290"/>
        <v>0.3304270971</v>
      </c>
      <c r="AC64" s="112">
        <f>AC62/AC63</f>
        <v>92</v>
      </c>
      <c r="AD64" s="98"/>
      <c r="AE64" s="91">
        <f>IFERROR(AE62/AE63,"-")</f>
        <v>128.2379612</v>
      </c>
      <c r="AF64" s="92">
        <f t="shared" si="291"/>
        <v>36.23796117</v>
      </c>
      <c r="AG64" s="99"/>
      <c r="AH64" s="93">
        <f t="shared" si="292"/>
        <v>0.3938908822</v>
      </c>
      <c r="AI64" s="112">
        <f>AI62/AI63</f>
        <v>92</v>
      </c>
      <c r="AJ64" s="91">
        <v>110.28786516853934</v>
      </c>
      <c r="AK64" s="92">
        <f t="shared" si="293"/>
        <v>18.28786517</v>
      </c>
      <c r="AL64" s="93">
        <f t="shared" si="294"/>
        <v>0.1987811431</v>
      </c>
      <c r="AM64" s="112">
        <f>AM62/AM63</f>
        <v>92</v>
      </c>
      <c r="AN64" s="91">
        <v>94.78032258064515</v>
      </c>
      <c r="AO64" s="92">
        <f t="shared" si="295"/>
        <v>2.780322581</v>
      </c>
      <c r="AP64" s="93">
        <f t="shared" si="296"/>
        <v>0.03022089762</v>
      </c>
      <c r="AQ64" s="112">
        <f>AQ62/AQ63</f>
        <v>92</v>
      </c>
      <c r="AR64" s="91" t="str">
        <f>IFERROR(AR62/AR63,"-")</f>
        <v>-</v>
      </c>
      <c r="AS64" s="92" t="str">
        <f t="shared" si="297"/>
        <v>-</v>
      </c>
      <c r="AT64" s="93" t="str">
        <f t="shared" si="298"/>
        <v>-</v>
      </c>
      <c r="AU64" s="112">
        <f>AU62/AU63</f>
        <v>92</v>
      </c>
      <c r="AV64" s="91" t="str">
        <f>IFERROR(AV62/AV63,"-")</f>
        <v>-</v>
      </c>
      <c r="AW64" s="92" t="str">
        <f t="shared" si="299"/>
        <v>-</v>
      </c>
      <c r="AX64" s="93" t="str">
        <f t="shared" si="300"/>
        <v>-</v>
      </c>
      <c r="AY64" s="112">
        <f>AY62/AY63</f>
        <v>92</v>
      </c>
      <c r="AZ64" s="91" t="str">
        <f>IFERROR(AZ62/AZ63,"-")</f>
        <v>-</v>
      </c>
      <c r="BA64" s="92" t="str">
        <f t="shared" si="301"/>
        <v>-</v>
      </c>
      <c r="BB64" s="93" t="str">
        <f t="shared" si="302"/>
        <v>-</v>
      </c>
      <c r="BC64" s="112">
        <f>BC62/BC63</f>
        <v>92</v>
      </c>
      <c r="BD64" s="91" t="str">
        <f>IFERROR(BD62/BD63,"-")</f>
        <v>-</v>
      </c>
      <c r="BE64" s="92" t="str">
        <f t="shared" si="303"/>
        <v>-</v>
      </c>
      <c r="BF64" s="93" t="str">
        <f t="shared" si="304"/>
        <v>-</v>
      </c>
      <c r="BG64" s="112">
        <f>BG62/BG63</f>
        <v>92</v>
      </c>
      <c r="BH64" s="91" t="str">
        <f>IFERROR(BH62/BH63,"-")</f>
        <v>-</v>
      </c>
      <c r="BI64" s="92" t="str">
        <f t="shared" si="305"/>
        <v>-</v>
      </c>
      <c r="BJ64" s="93" t="str">
        <f t="shared" si="306"/>
        <v>-</v>
      </c>
      <c r="BK64" s="175">
        <f>BK62/BK63</f>
        <v>92</v>
      </c>
      <c r="BL64" s="176">
        <f t="shared" ref="BL64:BM64" si="314">IFERROR(BL62/BL63,"-")</f>
        <v>92</v>
      </c>
      <c r="BM64" s="122">
        <f t="shared" si="314"/>
        <v>92</v>
      </c>
      <c r="BN64" s="209">
        <f>BN62/BN63</f>
        <v>112.7142251</v>
      </c>
      <c r="BO64" s="104">
        <f t="shared" si="310"/>
        <v>0.2251546201</v>
      </c>
      <c r="BP64" s="119">
        <f>BP62/BP63</f>
        <v>79.87102905</v>
      </c>
      <c r="BQ64" s="106">
        <f>BK64/BP64-1</f>
        <v>0.151856951</v>
      </c>
      <c r="BR64" s="3"/>
      <c r="BS64" s="3"/>
      <c r="BT64" s="3"/>
      <c r="BU64" s="3"/>
      <c r="BV64" s="3"/>
      <c r="BW64" s="3"/>
    </row>
    <row r="65" ht="15.75" customHeight="1">
      <c r="A65" s="1"/>
      <c r="B65" s="142"/>
      <c r="C65" s="143"/>
      <c r="D65" s="144"/>
      <c r="E65" s="192"/>
      <c r="F65" s="146"/>
      <c r="G65" s="147"/>
      <c r="H65" s="148"/>
      <c r="I65" s="189"/>
      <c r="J65" s="124" t="s">
        <v>69</v>
      </c>
      <c r="K65" s="125">
        <v>0.0325</v>
      </c>
      <c r="L65" s="132">
        <f>IF(L63=0, 0, (MIN(L63, 10000) * 0.0325 + MAX(0, MIN(L63, 25000) - 10000) * 0.03 + MAX(0, MIN(L63, 50000) - 25000) * 0.0275 + MAX(0, L63 - 50000) * 0.025) * (L62 / L63))</f>
        <v>827.9505</v>
      </c>
      <c r="M65" s="127">
        <f>MIN(M62, 500000) * 0.03 + MAX(0, MIN(M62, 1000000) - 500000) * 0.025 + MAX(0, MIN(M62, 2000000) - 1000000) * 0.0225 + MAX(0, MIN(M62, 3000000) - 2000000) * 0.02 + MAX(0, MIN(M62, 5000000) - 3000000) * 0.0175 + MAX(0, M62 - 5000000) * 0.015</f>
        <v>728.7348</v>
      </c>
      <c r="N65" s="128">
        <f t="shared" si="283"/>
        <v>-99.2157</v>
      </c>
      <c r="O65" s="129">
        <f t="shared" si="284"/>
        <v>-0.1198328886</v>
      </c>
      <c r="P65" s="132">
        <f t="shared" ref="P65:Q65" si="315">IF(P63=0, 0, (MIN(P63, 10000) * 0.0325 + MAX(0, MIN(P63, 25000) - 10000) * 0.03 + MAX(0, MIN(P63, 50000) - 25000) * 0.0275 + MAX(0, P63 - 50000) * 0.025) * (P62 / P63))</f>
        <v>692.9</v>
      </c>
      <c r="Q65" s="127">
        <f t="shared" si="315"/>
        <v>657.136025</v>
      </c>
      <c r="R65" s="128">
        <f t="shared" si="285"/>
        <v>-35.763975</v>
      </c>
      <c r="S65" s="131">
        <f t="shared" si="286"/>
        <v>-0.05161491557</v>
      </c>
      <c r="T65" s="132">
        <f t="shared" ref="T65:U65" si="316">IF(T63=0, 0, (MIN(T63, 10000) * 0.0325 + MAX(0, MIN(T63, 25000) - 10000) * 0.03 + MAX(0, MIN(T63, 50000) - 25000) * 0.0275 + MAX(0, T63 - 50000) * 0.025) * (T62 / T63))</f>
        <v>967.3957475</v>
      </c>
      <c r="U65" s="127">
        <f t="shared" si="316"/>
        <v>766.55215</v>
      </c>
      <c r="V65" s="128">
        <f t="shared" si="287"/>
        <v>-200.8435975</v>
      </c>
      <c r="W65" s="129">
        <f t="shared" si="288"/>
        <v>-0.2076126529</v>
      </c>
      <c r="X65" s="132">
        <f t="shared" ref="X65:Y65" si="317">IF(X63=0, 0, (MIN(X63, 10000) * 0.0325 + MAX(0, MIN(X63, 25000) - 10000) * 0.03 + MAX(0, MIN(X63, 50000) - 25000) * 0.0275 + MAX(0, X63 - 50000) * 0.025) * (X62 / X63))</f>
        <v>967.3957475</v>
      </c>
      <c r="Y65" s="127">
        <f t="shared" si="317"/>
        <v>393.819725</v>
      </c>
      <c r="Z65" s="128"/>
      <c r="AA65" s="128">
        <f t="shared" si="289"/>
        <v>-573.5760225</v>
      </c>
      <c r="AB65" s="129">
        <f t="shared" si="290"/>
        <v>-0.5929073226</v>
      </c>
      <c r="AC65" s="132">
        <f>IF(AC63=0, 0, (MIN(AC63, 10000) * 0.0325 + MAX(0, MIN(AC63, 25000) - 10000) * 0.03 + MAX(0, MIN(AC63, 50000) - 25000) * 0.0275 + MAX(0, AC63 - 50000) * 0.025) * (AC62 / AC63))</f>
        <v>3869.58299</v>
      </c>
      <c r="AD65" s="180"/>
      <c r="AE65" s="127">
        <f>IF(AE63=0, 0, (MIN(AE63, 10000) * 0.0325 + MAX(0, MIN(AE63, 25000) - 10000) * 0.03 + MAX(0, MIN(AE63, 50000) - 25000) * 0.0275 + MAX(0, AE63 - 50000) * 0.025) * (AE62 / AE63))</f>
        <v>429.276575</v>
      </c>
      <c r="AF65" s="128">
        <f t="shared" si="291"/>
        <v>-3440.306415</v>
      </c>
      <c r="AG65" s="134"/>
      <c r="AH65" s="129">
        <f t="shared" si="292"/>
        <v>-0.8890638665</v>
      </c>
      <c r="AI65" s="132">
        <f>IF(AI63=0, 0, (MIN(AI63, 10000) * 0.0325 + MAX(0, MIN(AI63, 25000) - 10000) * 0.03 + MAX(0, MIN(AI63, 50000) - 25000) * 0.0275 + MAX(0, AI63 - 50000) * 0.025) * (AI62 / AI63))</f>
        <v>3869.58299</v>
      </c>
      <c r="AJ65" s="127">
        <v>319.00765000000007</v>
      </c>
      <c r="AK65" s="128">
        <f t="shared" si="293"/>
        <v>-3550.57534</v>
      </c>
      <c r="AL65" s="129">
        <f t="shared" si="294"/>
        <v>-0.9175601994</v>
      </c>
      <c r="AM65" s="132">
        <f>IF(AM63=0, 0, (MIN(AM63, 10000) * 0.0325 + MAX(0, MIN(AM63, 25000) - 10000) * 0.03 + MAX(0, MIN(AM63, 50000) - 25000) * 0.0275 + MAX(0, AM63 - 50000) * 0.025) * (AM62 / AM63))</f>
        <v>15478.33196</v>
      </c>
      <c r="AN65" s="127">
        <v>95.491175</v>
      </c>
      <c r="AO65" s="128">
        <f t="shared" si="295"/>
        <v>-15382.84079</v>
      </c>
      <c r="AP65" s="129">
        <f t="shared" si="296"/>
        <v>-0.9938306547</v>
      </c>
      <c r="AQ65" s="132">
        <f t="shared" ref="AQ65:AR65" si="318">IF(AQ63=0, 0, (MIN(AQ63, 10000) * 0.0325 + MAX(0, MIN(AQ63, 25000) - 10000) * 0.03 + MAX(0, MIN(AQ63, 50000) - 25000) * 0.0275 + MAX(0, AQ63 - 50000) * 0.025) * (AQ62 / AQ63))</f>
        <v>19347.91495</v>
      </c>
      <c r="AR65" s="127">
        <f t="shared" si="318"/>
        <v>0</v>
      </c>
      <c r="AS65" s="128">
        <f t="shared" si="297"/>
        <v>-19347.91495</v>
      </c>
      <c r="AT65" s="129">
        <f t="shared" si="298"/>
        <v>-1</v>
      </c>
      <c r="AU65" s="132">
        <f t="shared" ref="AU65:AV65" si="319">IF(AU63=0, 0, (MIN(AU63, 10000) * 0.0325 + MAX(0, MIN(AU63, 25000) - 10000) * 0.03 + MAX(0, MIN(AU63, 50000) - 25000) * 0.0275 + MAX(0, AU63 - 50000) * 0.025) * (AU62 / AU63))</f>
        <v>21282.70645</v>
      </c>
      <c r="AV65" s="127">
        <f t="shared" si="319"/>
        <v>0</v>
      </c>
      <c r="AW65" s="128">
        <f t="shared" si="299"/>
        <v>-21282.70645</v>
      </c>
      <c r="AX65" s="129">
        <f t="shared" si="300"/>
        <v>-1</v>
      </c>
      <c r="AY65" s="132">
        <f t="shared" ref="AY65:AZ65" si="320">IF(AY63=0, 0, (MIN(AY63, 10000) * 0.0325 + MAX(0, MIN(AY63, 25000) - 10000) * 0.03 + MAX(0, MIN(AY63, 50000) - 25000) * 0.0275 + MAX(0, AY63 - 50000) * 0.025) * (AY62 / AY63))</f>
        <v>34447.30484</v>
      </c>
      <c r="AZ65" s="127">
        <f t="shared" si="320"/>
        <v>0</v>
      </c>
      <c r="BA65" s="128">
        <f t="shared" si="301"/>
        <v>-34447.30484</v>
      </c>
      <c r="BB65" s="129">
        <f t="shared" si="302"/>
        <v>-1</v>
      </c>
      <c r="BC65" s="132">
        <f t="shared" ref="BC65:BD65" si="321">IF(BC63=0, 0, (MIN(BC63, 10000) * 0.0325 + MAX(0, MIN(BC63, 25000) - 10000) * 0.03 + MAX(0, MIN(BC63, 50000) - 25000) * 0.0275 + MAX(0, BC63 - 50000) * 0.025) * (BC62 / BC63))</f>
        <v>55878.8414</v>
      </c>
      <c r="BD65" s="127">
        <f t="shared" si="321"/>
        <v>0</v>
      </c>
      <c r="BE65" s="128">
        <f t="shared" si="303"/>
        <v>-55878.8414</v>
      </c>
      <c r="BF65" s="129">
        <f t="shared" si="304"/>
        <v>-1</v>
      </c>
      <c r="BG65" s="132">
        <f t="shared" ref="BG65:BH65" si="322">IF(BG63=0, 0, (MIN(BG63, 10000) * 0.0325 + MAX(0, MIN(BG63, 25000) - 10000) * 0.03 + MAX(0, MIN(BG63, 50000) - 25000) * 0.0275 + MAX(0, BG63 - 50000) * 0.025) * (BG62 / BG63))</f>
        <v>34447.30484</v>
      </c>
      <c r="BH65" s="127">
        <f t="shared" si="322"/>
        <v>0</v>
      </c>
      <c r="BI65" s="128">
        <f t="shared" si="305"/>
        <v>-34447.30484</v>
      </c>
      <c r="BJ65" s="129">
        <f t="shared" si="306"/>
        <v>-1</v>
      </c>
      <c r="BK65" s="181">
        <f>SUM(L65,P65,T65,X65,AC65,AI65,AM65,AQ65,AU65,AY65,BC65,BG65)</f>
        <v>192077.2124</v>
      </c>
      <c r="BL65" s="182">
        <f>SUM(L65,P65,T65,X65,AC65,AI65)</f>
        <v>11194.80798</v>
      </c>
      <c r="BM65" s="137">
        <f>SUM(L65,P65,T65,X65,AC65,AI65,AM65)</f>
        <v>26673.13994</v>
      </c>
      <c r="BN65" s="213">
        <f>SUM(M65,Q65,U65,Y65,AE65,AJ65,AN65,AR65,AV65,AZ65,BD65,BH65)</f>
        <v>3390.0181</v>
      </c>
      <c r="BO65" s="139">
        <f t="shared" si="310"/>
        <v>-0.9823507533</v>
      </c>
      <c r="BP65" s="140">
        <f>BP62*0.0325</f>
        <v>9560.3625</v>
      </c>
      <c r="BQ65" s="141">
        <f>BK65/BP65</f>
        <v>20.0909968</v>
      </c>
      <c r="BR65" s="3"/>
      <c r="BS65" s="3"/>
      <c r="BT65" s="3"/>
      <c r="BU65" s="3"/>
      <c r="BV65" s="3"/>
      <c r="BW65" s="3"/>
    </row>
    <row r="66" ht="15.75" customHeight="1">
      <c r="A66" s="1"/>
      <c r="B66" s="142"/>
      <c r="C66" s="143"/>
      <c r="D66" s="144"/>
      <c r="E66" s="192"/>
      <c r="F66" s="146"/>
      <c r="G66" s="147"/>
      <c r="H66" s="148"/>
      <c r="I66" s="149"/>
      <c r="J66" s="13"/>
      <c r="K66" s="225"/>
      <c r="L66" s="185"/>
      <c r="M66" s="185"/>
      <c r="N66" s="185"/>
      <c r="O66" s="185"/>
      <c r="P66" s="185"/>
      <c r="Q66" s="214"/>
      <c r="R66" s="185"/>
      <c r="S66" s="185"/>
      <c r="T66" s="185"/>
      <c r="U66" s="185"/>
      <c r="V66" s="185"/>
      <c r="W66" s="185"/>
      <c r="X66" s="186"/>
      <c r="Y66" s="14"/>
      <c r="Z66" s="15"/>
      <c r="AA66" s="15"/>
      <c r="AB66" s="3"/>
      <c r="AC66" s="3"/>
      <c r="AD66" s="3"/>
      <c r="AE66" s="3"/>
      <c r="AF66" s="3"/>
      <c r="AG66" s="3"/>
      <c r="AH66" s="3"/>
      <c r="AI66" s="3"/>
      <c r="AJ66" s="154" t="s">
        <v>70</v>
      </c>
      <c r="AN66" s="154" t="s">
        <v>70</v>
      </c>
      <c r="AY66" s="187"/>
      <c r="AZ66" s="25"/>
      <c r="BA66" s="188"/>
      <c r="BB66" s="25"/>
    </row>
    <row r="67" ht="15.75" customHeight="1">
      <c r="A67" s="1"/>
      <c r="B67" s="142"/>
      <c r="C67" s="143"/>
      <c r="D67" s="144"/>
      <c r="E67" s="192"/>
      <c r="F67" s="146"/>
      <c r="G67" s="147"/>
      <c r="H67" s="148"/>
      <c r="I67" s="149"/>
      <c r="J67" s="34" t="s">
        <v>88</v>
      </c>
      <c r="K67" s="35"/>
      <c r="L67" s="36" t="s">
        <v>10</v>
      </c>
      <c r="M67" s="37" t="s">
        <v>11</v>
      </c>
      <c r="N67" s="38" t="s">
        <v>12</v>
      </c>
      <c r="O67" s="39" t="s">
        <v>13</v>
      </c>
      <c r="P67" s="157" t="s">
        <v>14</v>
      </c>
      <c r="Q67" s="199" t="s">
        <v>15</v>
      </c>
      <c r="R67" s="38" t="s">
        <v>16</v>
      </c>
      <c r="S67" s="42" t="s">
        <v>17</v>
      </c>
      <c r="T67" s="43" t="s">
        <v>18</v>
      </c>
      <c r="U67" s="199" t="s">
        <v>19</v>
      </c>
      <c r="V67" s="38" t="s">
        <v>20</v>
      </c>
      <c r="W67" s="45" t="s">
        <v>21</v>
      </c>
      <c r="X67" s="44" t="s">
        <v>22</v>
      </c>
      <c r="Y67" s="199" t="s">
        <v>23</v>
      </c>
      <c r="Z67" s="38"/>
      <c r="AA67" s="38" t="s">
        <v>24</v>
      </c>
      <c r="AB67" s="45" t="s">
        <v>25</v>
      </c>
      <c r="AC67" s="43" t="s">
        <v>26</v>
      </c>
      <c r="AD67" s="200"/>
      <c r="AE67" s="199" t="s">
        <v>27</v>
      </c>
      <c r="AF67" s="38" t="s">
        <v>28</v>
      </c>
      <c r="AG67" s="47"/>
      <c r="AH67" s="45" t="s">
        <v>29</v>
      </c>
      <c r="AI67" s="44" t="s">
        <v>30</v>
      </c>
      <c r="AJ67" s="199" t="s">
        <v>31</v>
      </c>
      <c r="AK67" s="38" t="s">
        <v>32</v>
      </c>
      <c r="AL67" s="45" t="s">
        <v>33</v>
      </c>
      <c r="AM67" s="43" t="s">
        <v>34</v>
      </c>
      <c r="AN67" s="199" t="s">
        <v>35</v>
      </c>
      <c r="AO67" s="38" t="s">
        <v>36</v>
      </c>
      <c r="AP67" s="45" t="s">
        <v>37</v>
      </c>
      <c r="AQ67" s="44" t="s">
        <v>38</v>
      </c>
      <c r="AR67" s="199" t="s">
        <v>39</v>
      </c>
      <c r="AS67" s="38" t="s">
        <v>40</v>
      </c>
      <c r="AT67" s="45" t="s">
        <v>41</v>
      </c>
      <c r="AU67" s="43" t="s">
        <v>42</v>
      </c>
      <c r="AV67" s="199" t="s">
        <v>43</v>
      </c>
      <c r="AW67" s="38" t="s">
        <v>44</v>
      </c>
      <c r="AX67" s="45" t="s">
        <v>45</v>
      </c>
      <c r="AY67" s="44" t="s">
        <v>46</v>
      </c>
      <c r="AZ67" s="199" t="s">
        <v>47</v>
      </c>
      <c r="BA67" s="38" t="s">
        <v>48</v>
      </c>
      <c r="BB67" s="45" t="s">
        <v>49</v>
      </c>
      <c r="BC67" s="43" t="s">
        <v>50</v>
      </c>
      <c r="BD67" s="199" t="s">
        <v>51</v>
      </c>
      <c r="BE67" s="38" t="s">
        <v>52</v>
      </c>
      <c r="BF67" s="45" t="s">
        <v>53</v>
      </c>
      <c r="BG67" s="44" t="s">
        <v>54</v>
      </c>
      <c r="BH67" s="199" t="s">
        <v>55</v>
      </c>
      <c r="BI67" s="38" t="s">
        <v>56</v>
      </c>
      <c r="BJ67" s="45" t="s">
        <v>57</v>
      </c>
      <c r="BK67" s="48" t="s">
        <v>58</v>
      </c>
      <c r="BL67" s="49" t="s">
        <v>72</v>
      </c>
      <c r="BM67" s="49" t="s">
        <v>60</v>
      </c>
      <c r="BN67" s="37" t="s">
        <v>61</v>
      </c>
      <c r="BO67" s="51" t="s">
        <v>62</v>
      </c>
      <c r="BP67" s="52">
        <v>2025.0</v>
      </c>
      <c r="BQ67" s="53"/>
      <c r="BR67" s="3"/>
      <c r="BS67" s="3"/>
      <c r="BT67" s="3"/>
      <c r="BU67" s="3"/>
      <c r="BV67" s="3"/>
      <c r="BW67" s="3"/>
    </row>
    <row r="68" ht="15.75" customHeight="1">
      <c r="A68" s="1"/>
      <c r="B68" s="142"/>
      <c r="C68" s="143"/>
      <c r="D68" s="144"/>
      <c r="E68" s="192"/>
      <c r="F68" s="146"/>
      <c r="G68" s="147"/>
      <c r="H68" s="148"/>
      <c r="I68" s="149"/>
      <c r="J68" s="54"/>
      <c r="K68" s="55"/>
      <c r="L68" s="56"/>
      <c r="M68" s="57"/>
      <c r="N68" s="58"/>
      <c r="O68" s="59"/>
      <c r="P68" s="56"/>
      <c r="Q68" s="202"/>
      <c r="R68" s="58"/>
      <c r="S68" s="61"/>
      <c r="T68" s="62"/>
      <c r="U68" s="63"/>
      <c r="V68" s="58"/>
      <c r="W68" s="59"/>
      <c r="X68" s="62"/>
      <c r="Y68" s="63"/>
      <c r="Z68" s="58"/>
      <c r="AA68" s="58"/>
      <c r="AB68" s="59"/>
      <c r="AC68" s="62"/>
      <c r="AD68" s="64"/>
      <c r="AE68" s="63"/>
      <c r="AF68" s="58"/>
      <c r="AG68" s="65"/>
      <c r="AH68" s="59"/>
      <c r="AI68" s="62"/>
      <c r="AJ68" s="63" t="s">
        <v>70</v>
      </c>
      <c r="AK68" s="58"/>
      <c r="AL68" s="59"/>
      <c r="AM68" s="62"/>
      <c r="AN68" s="63" t="s">
        <v>70</v>
      </c>
      <c r="AO68" s="58"/>
      <c r="AP68" s="59"/>
      <c r="AQ68" s="62"/>
      <c r="AR68" s="63"/>
      <c r="AS68" s="58"/>
      <c r="AT68" s="59"/>
      <c r="AU68" s="62"/>
      <c r="AV68" s="63"/>
      <c r="AW68" s="58"/>
      <c r="AX68" s="59"/>
      <c r="AY68" s="62"/>
      <c r="AZ68" s="63"/>
      <c r="BA68" s="58"/>
      <c r="BB68" s="59"/>
      <c r="BC68" s="62"/>
      <c r="BD68" s="63"/>
      <c r="BE68" s="58"/>
      <c r="BF68" s="59"/>
      <c r="BG68" s="62"/>
      <c r="BH68" s="63"/>
      <c r="BI68" s="58"/>
      <c r="BJ68" s="59"/>
      <c r="BK68" s="164"/>
      <c r="BL68" s="67"/>
      <c r="BM68" s="67"/>
      <c r="BN68" s="68"/>
      <c r="BO68" s="69"/>
      <c r="BP68" s="70"/>
      <c r="BQ68" s="71"/>
      <c r="BR68" s="3"/>
      <c r="BS68" s="3"/>
      <c r="BT68" s="3"/>
      <c r="BU68" s="3"/>
      <c r="BV68" s="3"/>
      <c r="BW68" s="3"/>
    </row>
    <row r="69" ht="15.75" customHeight="1">
      <c r="A69" s="1"/>
      <c r="B69" s="142">
        <v>10.0</v>
      </c>
      <c r="C69" s="143" t="s">
        <v>89</v>
      </c>
      <c r="D69" s="144">
        <f>3000*12*8</f>
        <v>288000</v>
      </c>
      <c r="E69" s="192">
        <v>100.0</v>
      </c>
      <c r="F69" s="146">
        <f>E69*D69</f>
        <v>28800000</v>
      </c>
      <c r="G69" s="147">
        <v>195455.89999999918</v>
      </c>
      <c r="H69" s="148">
        <v>1727.0</v>
      </c>
      <c r="I69" s="149">
        <v>113.17654892877775</v>
      </c>
      <c r="J69" s="72" t="s">
        <v>64</v>
      </c>
      <c r="K69" s="73"/>
      <c r="L69" s="74" t="s">
        <v>63</v>
      </c>
      <c r="M69" s="75" t="s">
        <v>63</v>
      </c>
      <c r="N69" s="76" t="s">
        <v>63</v>
      </c>
      <c r="O69" s="77" t="s">
        <v>65</v>
      </c>
      <c r="P69" s="74" t="s">
        <v>63</v>
      </c>
      <c r="Q69" s="204" t="s">
        <v>63</v>
      </c>
      <c r="R69" s="76" t="s">
        <v>63</v>
      </c>
      <c r="S69" s="79" t="s">
        <v>65</v>
      </c>
      <c r="T69" s="80">
        <v>0.015</v>
      </c>
      <c r="U69" s="81">
        <f>U70/(BK70-(L70 + P70))</f>
        <v>0.01945941389</v>
      </c>
      <c r="V69" s="76" t="s">
        <v>63</v>
      </c>
      <c r="W69" s="77" t="s">
        <v>65</v>
      </c>
      <c r="X69" s="80">
        <v>0.015</v>
      </c>
      <c r="Y69" s="81">
        <f>Y70/(BK70-(P70 + T70))</f>
        <v>0.0175620812</v>
      </c>
      <c r="Z69" s="76"/>
      <c r="AA69" s="76" t="s">
        <v>63</v>
      </c>
      <c r="AB69" s="77" t="s">
        <v>65</v>
      </c>
      <c r="AC69" s="80">
        <v>0.02</v>
      </c>
      <c r="AD69" s="82"/>
      <c r="AE69" s="81">
        <f>AE70/(BK70-(L70+P70))</f>
        <v>0.01496113121</v>
      </c>
      <c r="AF69" s="76" t="s">
        <v>63</v>
      </c>
      <c r="AG69" s="83"/>
      <c r="AH69" s="77" t="s">
        <v>65</v>
      </c>
      <c r="AI69" s="80">
        <v>0.04</v>
      </c>
      <c r="AJ69" s="81">
        <v>0.010944702906043397</v>
      </c>
      <c r="AK69" s="76" t="s">
        <v>63</v>
      </c>
      <c r="AL69" s="77" t="s">
        <v>65</v>
      </c>
      <c r="AM69" s="80">
        <v>0.06</v>
      </c>
      <c r="AN69" s="81">
        <v>0.0069019732420503785</v>
      </c>
      <c r="AO69" s="76" t="s">
        <v>63</v>
      </c>
      <c r="AP69" s="77" t="s">
        <v>65</v>
      </c>
      <c r="AQ69" s="80">
        <v>0.12</v>
      </c>
      <c r="AR69" s="81">
        <f>AR70/(BK70-(L70+P70))</f>
        <v>0</v>
      </c>
      <c r="AS69" s="76" t="s">
        <v>63</v>
      </c>
      <c r="AT69" s="77" t="s">
        <v>65</v>
      </c>
      <c r="AU69" s="80">
        <v>0.15</v>
      </c>
      <c r="AV69" s="81">
        <f>AV70/(BK70-(L70+P70))</f>
        <v>0</v>
      </c>
      <c r="AW69" s="76" t="s">
        <v>63</v>
      </c>
      <c r="AX69" s="77" t="s">
        <v>65</v>
      </c>
      <c r="AY69" s="80">
        <v>0.18</v>
      </c>
      <c r="AZ69" s="81">
        <f>AZ70/(BK70-(L70+P70))</f>
        <v>0</v>
      </c>
      <c r="BA69" s="76" t="s">
        <v>63</v>
      </c>
      <c r="BB69" s="77" t="s">
        <v>65</v>
      </c>
      <c r="BC69" s="80">
        <v>0.22</v>
      </c>
      <c r="BD69" s="81">
        <f>BD70/(BK70-(L70+P70))</f>
        <v>0</v>
      </c>
      <c r="BE69" s="76" t="s">
        <v>63</v>
      </c>
      <c r="BF69" s="77" t="s">
        <v>65</v>
      </c>
      <c r="BG69" s="80">
        <v>0.18</v>
      </c>
      <c r="BH69" s="81">
        <f>BH70/(BK70-(L70+P70))</f>
        <v>0</v>
      </c>
      <c r="BI69" s="76" t="s">
        <v>63</v>
      </c>
      <c r="BJ69" s="77" t="s">
        <v>65</v>
      </c>
      <c r="BK69" s="166">
        <f>SUM(T69,X69,AC69,AI69,AM69,AQ69,AU69,AY69,BC69,BG69)</f>
        <v>1</v>
      </c>
      <c r="BL69" s="85">
        <f>SUM(T69,X69,AC69,AI69)</f>
        <v>0.09</v>
      </c>
      <c r="BM69" s="86">
        <f>SUM(T69,X69,AC69,AI69,AM69)</f>
        <v>0.15</v>
      </c>
      <c r="BN69" s="87">
        <f>SUM(U69,Y69,AE69,AJ69,AN69,AR69,AV69,AZ69,BD69,BH69)</f>
        <v>0.06982930245</v>
      </c>
      <c r="BO69" s="88"/>
      <c r="BP69" s="89" t="s">
        <v>63</v>
      </c>
      <c r="BQ69" s="71"/>
      <c r="BR69" s="3"/>
      <c r="BS69" s="3"/>
      <c r="BT69" s="3"/>
      <c r="BU69" s="3"/>
      <c r="BV69" s="3"/>
      <c r="BW69" s="3"/>
    </row>
    <row r="70" ht="15.75" customHeight="1">
      <c r="A70" s="1"/>
      <c r="B70" s="142"/>
      <c r="C70" s="143"/>
      <c r="D70" s="144"/>
      <c r="E70" s="192"/>
      <c r="F70" s="146"/>
      <c r="G70" s="147"/>
      <c r="H70" s="148"/>
      <c r="I70" s="149"/>
      <c r="J70" s="72" t="s">
        <v>66</v>
      </c>
      <c r="K70" s="73"/>
      <c r="L70" s="167">
        <v>159323.5</v>
      </c>
      <c r="M70" s="91">
        <v>166359.97</v>
      </c>
      <c r="N70" s="92">
        <f t="shared" ref="N70:N73" si="323">IFERROR(M70-L70,"-")</f>
        <v>7036.47</v>
      </c>
      <c r="O70" s="93">
        <f t="shared" ref="O70:O73" si="324">IFERROR(M70/L70-1,"-")</f>
        <v>0.04416467125</v>
      </c>
      <c r="P70" s="167">
        <v>163059.0</v>
      </c>
      <c r="Q70" s="91">
        <v>168706.64</v>
      </c>
      <c r="R70" s="92">
        <f t="shared" ref="R70:R73" si="325">IFERROR(Q70-P70,"-")</f>
        <v>5647.64</v>
      </c>
      <c r="S70" s="95">
        <f t="shared" ref="S70:S73" si="326">IFERROR(Q70/P70-1,"-")</f>
        <v>0.03463556136</v>
      </c>
      <c r="T70" s="96">
        <f>($BK$70-($L$70+$P$70))*T69</f>
        <v>205164.2625</v>
      </c>
      <c r="U70" s="91">
        <v>266158.42</v>
      </c>
      <c r="V70" s="92">
        <f t="shared" ref="V70:V73" si="327">IFERROR(U70-T70,"-")</f>
        <v>60994.1575</v>
      </c>
      <c r="W70" s="93">
        <f t="shared" ref="W70:W73" si="328">IFERROR(U70/T70-1,"-")</f>
        <v>0.2972942595</v>
      </c>
      <c r="X70" s="96">
        <f>($BK$70-($L$70+$P$70))*X69</f>
        <v>205164.2625</v>
      </c>
      <c r="Y70" s="91">
        <v>239402.37</v>
      </c>
      <c r="Z70" s="92"/>
      <c r="AA70" s="92">
        <f t="shared" ref="AA70:AA73" si="329">IFERROR(Y70-X70,"-")</f>
        <v>34238.1075</v>
      </c>
      <c r="AB70" s="93">
        <f t="shared" ref="AB70:AB73" si="330">IFERROR(Y70/X70-1,"-")</f>
        <v>0.1668814397</v>
      </c>
      <c r="AC70" s="96">
        <f>($BK$70-($L$70+$P$70))*AC69</f>
        <v>273552.35</v>
      </c>
      <c r="AD70" s="98"/>
      <c r="AE70" s="91">
        <v>204632.63</v>
      </c>
      <c r="AF70" s="92">
        <f t="shared" ref="AF70:AF73" si="331">IFERROR(AE70-AC70,"-")</f>
        <v>-68919.72</v>
      </c>
      <c r="AG70" s="99"/>
      <c r="AH70" s="93">
        <f t="shared" ref="AH70:AH73" si="332">IFERROR(AE70/AC70-1,"-")</f>
        <v>-0.2519434397</v>
      </c>
      <c r="AI70" s="96">
        <f>($BK$70-($L$70+$P$70))*AI69</f>
        <v>547104.7</v>
      </c>
      <c r="AJ70" s="100">
        <v>149697.46000000002</v>
      </c>
      <c r="AK70" s="92">
        <f t="shared" ref="AK70:AK73" si="333">IFERROR(AJ70-AI70,"-")</f>
        <v>-397407.24</v>
      </c>
      <c r="AL70" s="93">
        <f t="shared" ref="AL70:AL73" si="334">IFERROR(AJ70/AI70-1,"-")</f>
        <v>-0.7263824273</v>
      </c>
      <c r="AM70" s="96">
        <f>($BK$70-($L$70+$P$70))*AM69</f>
        <v>820657.05</v>
      </c>
      <c r="AN70" s="91">
        <v>94402.55</v>
      </c>
      <c r="AO70" s="92">
        <f t="shared" ref="AO70:AO73" si="335">IFERROR(AN70-AM70,"-")</f>
        <v>-726254.5</v>
      </c>
      <c r="AP70" s="93">
        <f t="shared" ref="AP70:AP73" si="336">IFERROR(AN70/AM70-1,"-")</f>
        <v>-0.8849671126</v>
      </c>
      <c r="AQ70" s="96">
        <f>($BK$70-($L$70+$P$70))*AQ69</f>
        <v>1641314.1</v>
      </c>
      <c r="AR70" s="91">
        <v>0.0</v>
      </c>
      <c r="AS70" s="92">
        <f t="shared" ref="AS70:AS73" si="337">IFERROR(AR70-AQ70,"-")</f>
        <v>-1641314.1</v>
      </c>
      <c r="AT70" s="93">
        <f t="shared" ref="AT70:AT73" si="338">IFERROR(AR70/AQ70-1,"-")</f>
        <v>-1</v>
      </c>
      <c r="AU70" s="96">
        <f>($BK$70-($L$70+$P$70))*AU69</f>
        <v>2051642.625</v>
      </c>
      <c r="AV70" s="91">
        <v>0.0</v>
      </c>
      <c r="AW70" s="92">
        <f t="shared" ref="AW70:AW73" si="339">IFERROR(AV70-AU70,"-")</f>
        <v>-2051642.625</v>
      </c>
      <c r="AX70" s="93">
        <f t="shared" ref="AX70:AX73" si="340">IFERROR(AV70/AU70-1,"-")</f>
        <v>-1</v>
      </c>
      <c r="AY70" s="96">
        <f>($BK$70-($L$70+$P$70))*AY69</f>
        <v>2461971.15</v>
      </c>
      <c r="AZ70" s="91">
        <v>0.0</v>
      </c>
      <c r="BA70" s="92">
        <f t="shared" ref="BA70:BA73" si="341">IFERROR(AZ70-AY70,"-")</f>
        <v>-2461971.15</v>
      </c>
      <c r="BB70" s="93">
        <f t="shared" ref="BB70:BB73" si="342">IFERROR(AZ70/AY70-1,"-")</f>
        <v>-1</v>
      </c>
      <c r="BC70" s="96">
        <f>($BK$70-($L$70+$P$70))*BC69</f>
        <v>3009075.85</v>
      </c>
      <c r="BD70" s="91">
        <v>0.0</v>
      </c>
      <c r="BE70" s="92">
        <f t="shared" ref="BE70:BE73" si="343">IFERROR(BD70-BC70,"-")</f>
        <v>-3009075.85</v>
      </c>
      <c r="BF70" s="93">
        <f t="shared" ref="BF70:BF73" si="344">IFERROR(BD70/BC70-1,"-")</f>
        <v>-1</v>
      </c>
      <c r="BG70" s="96">
        <f>($BK$70-($L$70+$P$70))*BG69</f>
        <v>2461971.15</v>
      </c>
      <c r="BH70" s="91">
        <v>0.0</v>
      </c>
      <c r="BI70" s="92">
        <f t="shared" ref="BI70:BI73" si="345">IFERROR(BH70-BG70,"-")</f>
        <v>-2461971.15</v>
      </c>
      <c r="BJ70" s="93">
        <f t="shared" ref="BJ70:BJ73" si="346">IFERROR(BH70/BG70-1,"-")</f>
        <v>-1</v>
      </c>
      <c r="BK70" s="168">
        <v>1.4E7</v>
      </c>
      <c r="BL70" s="169">
        <f t="shared" ref="BL70:BL71" si="347">SUM(L70,P70,T70,X70,AC70,AI70)</f>
        <v>1553368.075</v>
      </c>
      <c r="BM70" s="103">
        <f t="shared" ref="BM70:BM71" si="348">SUM(L70,P70,T70,X70,AC70,AI70,AM70)</f>
        <v>2374025.125</v>
      </c>
      <c r="BN70" s="102">
        <f t="shared" ref="BN70:BN71" si="349">SUM(M70,Q70,U70,Y70,AE70,AJ70,AN70,AR70,AV70,AZ70,BD70,BH70)</f>
        <v>1289360.04</v>
      </c>
      <c r="BO70" s="104">
        <f t="shared" ref="BO70:BO73" si="350">IFERROR(BN70/BK70-1,"-")</f>
        <v>-0.9079028543</v>
      </c>
      <c r="BP70" s="105">
        <v>1580676.0</v>
      </c>
      <c r="BQ70" s="106">
        <f t="shared" ref="BQ70:BQ71" si="351">BK70/BP70</f>
        <v>8.856970056</v>
      </c>
      <c r="BR70" s="3"/>
      <c r="BS70" s="3"/>
      <c r="BT70" s="3"/>
      <c r="BU70" s="3"/>
      <c r="BV70" s="3"/>
      <c r="BW70" s="3"/>
    </row>
    <row r="71" ht="15.75" customHeight="1">
      <c r="A71" s="1"/>
      <c r="B71" s="142"/>
      <c r="C71" s="143"/>
      <c r="D71" s="144"/>
      <c r="E71" s="192"/>
      <c r="F71" s="146"/>
      <c r="G71" s="147"/>
      <c r="H71" s="148"/>
      <c r="I71" s="149"/>
      <c r="J71" s="72" t="s">
        <v>67</v>
      </c>
      <c r="K71" s="107"/>
      <c r="L71" s="171">
        <f>L70/$K$72</f>
        <v>5310.783333</v>
      </c>
      <c r="M71" s="109">
        <v>5222.0</v>
      </c>
      <c r="N71" s="110">
        <f t="shared" si="323"/>
        <v>-88.78333333</v>
      </c>
      <c r="O71" s="93">
        <f t="shared" si="324"/>
        <v>-0.01671755893</v>
      </c>
      <c r="P71" s="171">
        <f>P70/$K$72</f>
        <v>5435.3</v>
      </c>
      <c r="Q71" s="109">
        <v>5242.0</v>
      </c>
      <c r="R71" s="110">
        <f t="shared" si="325"/>
        <v>-193.3</v>
      </c>
      <c r="S71" s="95">
        <f t="shared" si="326"/>
        <v>-0.03556381432</v>
      </c>
      <c r="T71" s="112">
        <f>T70/$K$72</f>
        <v>6838.80875</v>
      </c>
      <c r="U71" s="109">
        <v>9743.0</v>
      </c>
      <c r="V71" s="110">
        <f t="shared" si="327"/>
        <v>2904.19125</v>
      </c>
      <c r="W71" s="93">
        <f t="shared" si="328"/>
        <v>0.4246633231</v>
      </c>
      <c r="X71" s="112">
        <f>X70/$K$72</f>
        <v>6838.80875</v>
      </c>
      <c r="Y71" s="109">
        <v>9807.0</v>
      </c>
      <c r="Z71" s="110"/>
      <c r="AA71" s="110">
        <f t="shared" si="329"/>
        <v>2968.19125</v>
      </c>
      <c r="AB71" s="93">
        <f t="shared" si="330"/>
        <v>0.4340216781</v>
      </c>
      <c r="AC71" s="112">
        <f>AC70/$K$72</f>
        <v>9118.411667</v>
      </c>
      <c r="AD71" s="113"/>
      <c r="AE71" s="109">
        <v>7784.0</v>
      </c>
      <c r="AF71" s="110">
        <f t="shared" si="331"/>
        <v>-1334.411667</v>
      </c>
      <c r="AG71" s="99"/>
      <c r="AH71" s="93">
        <f t="shared" si="332"/>
        <v>-0.1463425556</v>
      </c>
      <c r="AI71" s="112">
        <f>AI70/$K$72</f>
        <v>18236.82333</v>
      </c>
      <c r="AJ71" s="114">
        <v>4674.0</v>
      </c>
      <c r="AK71" s="110">
        <f t="shared" si="333"/>
        <v>-13562.82333</v>
      </c>
      <c r="AL71" s="93">
        <f t="shared" si="334"/>
        <v>-0.7437053639</v>
      </c>
      <c r="AM71" s="112">
        <f>AM70/$K$72</f>
        <v>27355.235</v>
      </c>
      <c r="AN71" s="109">
        <v>2609.0</v>
      </c>
      <c r="AO71" s="110">
        <f t="shared" si="335"/>
        <v>-24746.235</v>
      </c>
      <c r="AP71" s="93">
        <f t="shared" si="336"/>
        <v>-0.9046252025</v>
      </c>
      <c r="AQ71" s="112">
        <f>AQ70/$K$72</f>
        <v>54710.47</v>
      </c>
      <c r="AR71" s="109">
        <v>0.0</v>
      </c>
      <c r="AS71" s="110">
        <f t="shared" si="337"/>
        <v>-54710.47</v>
      </c>
      <c r="AT71" s="93">
        <f t="shared" si="338"/>
        <v>-1</v>
      </c>
      <c r="AU71" s="112">
        <f>AU70/$K$72</f>
        <v>68388.0875</v>
      </c>
      <c r="AV71" s="109">
        <v>0.0</v>
      </c>
      <c r="AW71" s="110">
        <f t="shared" si="339"/>
        <v>-68388.0875</v>
      </c>
      <c r="AX71" s="93">
        <f t="shared" si="340"/>
        <v>-1</v>
      </c>
      <c r="AY71" s="112">
        <f>AY70/$K$72</f>
        <v>82065.705</v>
      </c>
      <c r="AZ71" s="109">
        <v>0.0</v>
      </c>
      <c r="BA71" s="110">
        <f t="shared" si="341"/>
        <v>-82065.705</v>
      </c>
      <c r="BB71" s="93">
        <f t="shared" si="342"/>
        <v>-1</v>
      </c>
      <c r="BC71" s="112">
        <f>BC70/$K$72</f>
        <v>100302.5283</v>
      </c>
      <c r="BD71" s="109">
        <v>0.0</v>
      </c>
      <c r="BE71" s="110">
        <f t="shared" si="343"/>
        <v>-100302.5283</v>
      </c>
      <c r="BF71" s="93">
        <f t="shared" si="344"/>
        <v>-1</v>
      </c>
      <c r="BG71" s="112">
        <f>BG70/$K$72</f>
        <v>82065.705</v>
      </c>
      <c r="BH71" s="109">
        <v>0.0</v>
      </c>
      <c r="BI71" s="110">
        <f t="shared" si="345"/>
        <v>-82065.705</v>
      </c>
      <c r="BJ71" s="93">
        <f t="shared" si="346"/>
        <v>-1</v>
      </c>
      <c r="BK71" s="218">
        <f>SUM(L71,P71,T71,X71,AC71,AI71,AM71,AQ71,AU71,AY71,BC71,BG71)</f>
        <v>466666.6667</v>
      </c>
      <c r="BL71" s="173">
        <f t="shared" si="347"/>
        <v>51778.93583</v>
      </c>
      <c r="BM71" s="117">
        <f t="shared" si="348"/>
        <v>79134.17083</v>
      </c>
      <c r="BN71" s="207">
        <f t="shared" si="349"/>
        <v>45081</v>
      </c>
      <c r="BO71" s="104">
        <f t="shared" si="350"/>
        <v>-0.9033978571</v>
      </c>
      <c r="BP71" s="119">
        <v>66013.0</v>
      </c>
      <c r="BQ71" s="106">
        <f t="shared" si="351"/>
        <v>7.06931463</v>
      </c>
      <c r="BR71" s="3"/>
      <c r="BS71" s="3"/>
      <c r="BT71" s="3"/>
      <c r="BU71" s="3"/>
      <c r="BV71" s="3"/>
      <c r="BW71" s="3"/>
    </row>
    <row r="72" ht="15.75" customHeight="1">
      <c r="A72" s="1"/>
      <c r="B72" s="142"/>
      <c r="C72" s="143"/>
      <c r="D72" s="144"/>
      <c r="E72" s="192"/>
      <c r="F72" s="146"/>
      <c r="G72" s="147"/>
      <c r="H72" s="148"/>
      <c r="I72" s="149"/>
      <c r="J72" s="72" t="s">
        <v>68</v>
      </c>
      <c r="K72" s="107">
        <v>30.0</v>
      </c>
      <c r="L72" s="171">
        <f>L70/L71</f>
        <v>30</v>
      </c>
      <c r="M72" s="91">
        <f>IFERROR(M70/M71,"-")</f>
        <v>31.85752011</v>
      </c>
      <c r="N72" s="92">
        <f t="shared" si="323"/>
        <v>1.857520107</v>
      </c>
      <c r="O72" s="93">
        <f t="shared" si="324"/>
        <v>0.06191733691</v>
      </c>
      <c r="P72" s="90">
        <f t="shared" ref="P72:Q72" si="352">IFERROR(P70/P71,"-")</f>
        <v>30</v>
      </c>
      <c r="Q72" s="91">
        <f t="shared" si="352"/>
        <v>32.18363983</v>
      </c>
      <c r="R72" s="92">
        <f t="shared" si="325"/>
        <v>2.183639832</v>
      </c>
      <c r="S72" s="95">
        <f t="shared" si="326"/>
        <v>0.0727879944</v>
      </c>
      <c r="T72" s="112">
        <f>T70/T71</f>
        <v>30</v>
      </c>
      <c r="U72" s="91">
        <f>IFERROR(U70/U71,"-")</f>
        <v>27.31791235</v>
      </c>
      <c r="V72" s="92">
        <f t="shared" si="327"/>
        <v>-2.682087653</v>
      </c>
      <c r="W72" s="93">
        <f t="shared" si="328"/>
        <v>-0.08940292176</v>
      </c>
      <c r="X72" s="96">
        <f t="shared" ref="X72:Y72" si="353">IFERROR(X70/X71,"-")</f>
        <v>30</v>
      </c>
      <c r="Y72" s="91">
        <f t="shared" si="353"/>
        <v>24.41137657</v>
      </c>
      <c r="Z72" s="92"/>
      <c r="AA72" s="92">
        <f t="shared" si="329"/>
        <v>-5.588623432</v>
      </c>
      <c r="AB72" s="93">
        <f t="shared" si="330"/>
        <v>-0.1862874477</v>
      </c>
      <c r="AC72" s="112">
        <f>AC70/AC71</f>
        <v>30</v>
      </c>
      <c r="AD72" s="98"/>
      <c r="AE72" s="91">
        <f>IFERROR(AE70/AE71,"-")</f>
        <v>26.28887847</v>
      </c>
      <c r="AF72" s="92">
        <f t="shared" si="331"/>
        <v>-3.711121531</v>
      </c>
      <c r="AG72" s="99"/>
      <c r="AH72" s="93">
        <f t="shared" si="332"/>
        <v>-0.123704051</v>
      </c>
      <c r="AI72" s="112">
        <f>AI70/AI71</f>
        <v>30</v>
      </c>
      <c r="AJ72" s="91">
        <v>32.02769790329483</v>
      </c>
      <c r="AK72" s="92">
        <f t="shared" si="333"/>
        <v>2.027697903</v>
      </c>
      <c r="AL72" s="93">
        <f t="shared" si="334"/>
        <v>0.06758993011</v>
      </c>
      <c r="AM72" s="112">
        <f>AM70/AM71</f>
        <v>30</v>
      </c>
      <c r="AN72" s="91">
        <v>36.183422767343814</v>
      </c>
      <c r="AO72" s="92">
        <f t="shared" si="335"/>
        <v>6.183422767</v>
      </c>
      <c r="AP72" s="93">
        <f t="shared" si="336"/>
        <v>0.2061140922</v>
      </c>
      <c r="AQ72" s="112">
        <f>AQ70/AQ71</f>
        <v>30</v>
      </c>
      <c r="AR72" s="91" t="str">
        <f>IFERROR(AR70/AR71,"-")</f>
        <v>-</v>
      </c>
      <c r="AS72" s="92" t="str">
        <f t="shared" si="337"/>
        <v>-</v>
      </c>
      <c r="AT72" s="93" t="str">
        <f t="shared" si="338"/>
        <v>-</v>
      </c>
      <c r="AU72" s="112">
        <f>AU70/AU71</f>
        <v>30</v>
      </c>
      <c r="AV72" s="91" t="str">
        <f>IFERROR(AV70/AV71,"-")</f>
        <v>-</v>
      </c>
      <c r="AW72" s="92" t="str">
        <f t="shared" si="339"/>
        <v>-</v>
      </c>
      <c r="AX72" s="93" t="str">
        <f t="shared" si="340"/>
        <v>-</v>
      </c>
      <c r="AY72" s="112">
        <f>AY70/AY71</f>
        <v>30</v>
      </c>
      <c r="AZ72" s="91" t="str">
        <f>IFERROR(AZ70/AZ71,"-")</f>
        <v>-</v>
      </c>
      <c r="BA72" s="92" t="str">
        <f t="shared" si="341"/>
        <v>-</v>
      </c>
      <c r="BB72" s="93" t="str">
        <f t="shared" si="342"/>
        <v>-</v>
      </c>
      <c r="BC72" s="112">
        <f>BC70/BC71</f>
        <v>30</v>
      </c>
      <c r="BD72" s="91" t="str">
        <f>IFERROR(BD70/BD71,"-")</f>
        <v>-</v>
      </c>
      <c r="BE72" s="92" t="str">
        <f t="shared" si="343"/>
        <v>-</v>
      </c>
      <c r="BF72" s="93" t="str">
        <f t="shared" si="344"/>
        <v>-</v>
      </c>
      <c r="BG72" s="112">
        <f>BG70/BG71</f>
        <v>30</v>
      </c>
      <c r="BH72" s="91" t="str">
        <f>IFERROR(BH70/BH71,"-")</f>
        <v>-</v>
      </c>
      <c r="BI72" s="92" t="str">
        <f t="shared" si="345"/>
        <v>-</v>
      </c>
      <c r="BJ72" s="93" t="str">
        <f t="shared" si="346"/>
        <v>-</v>
      </c>
      <c r="BK72" s="175">
        <f>BK70/BK71</f>
        <v>30</v>
      </c>
      <c r="BL72" s="176">
        <f t="shared" ref="BL72:BM72" si="354">IFERROR(BL70/BL71,"-")</f>
        <v>30</v>
      </c>
      <c r="BM72" s="122">
        <f t="shared" si="354"/>
        <v>30</v>
      </c>
      <c r="BN72" s="209">
        <f>BN70/BN71</f>
        <v>28.6009636</v>
      </c>
      <c r="BO72" s="104">
        <f t="shared" si="350"/>
        <v>-0.0466345467</v>
      </c>
      <c r="BP72" s="119">
        <f>BP70/BP71</f>
        <v>23.94491994</v>
      </c>
      <c r="BQ72" s="106">
        <f>BK72/BP72-1</f>
        <v>0.2528753521</v>
      </c>
      <c r="BR72" s="3"/>
      <c r="BS72" s="3"/>
      <c r="BT72" s="3"/>
      <c r="BU72" s="3"/>
      <c r="BV72" s="3"/>
      <c r="BW72" s="3"/>
    </row>
    <row r="73" ht="15.75" customHeight="1">
      <c r="A73" s="1"/>
      <c r="B73" s="142"/>
      <c r="C73" s="143"/>
      <c r="D73" s="144"/>
      <c r="E73" s="192"/>
      <c r="F73" s="146"/>
      <c r="G73" s="147"/>
      <c r="H73" s="148"/>
      <c r="I73" s="149"/>
      <c r="J73" s="124" t="s">
        <v>69</v>
      </c>
      <c r="K73" s="125">
        <v>0.04</v>
      </c>
      <c r="L73" s="132">
        <f t="shared" ref="L73:M73" si="355">IF(L70&gt;=1000000,$K$73*L70,0)</f>
        <v>0</v>
      </c>
      <c r="M73" s="127">
        <f t="shared" si="355"/>
        <v>0</v>
      </c>
      <c r="N73" s="128">
        <f t="shared" si="323"/>
        <v>0</v>
      </c>
      <c r="O73" s="129" t="str">
        <f t="shared" si="324"/>
        <v>-</v>
      </c>
      <c r="P73" s="132">
        <f t="shared" ref="P73:Q73" si="356">IF(P70&gt;=1000000,$K$73*P70,0)</f>
        <v>0</v>
      </c>
      <c r="Q73" s="127">
        <f t="shared" si="356"/>
        <v>0</v>
      </c>
      <c r="R73" s="128">
        <f t="shared" si="325"/>
        <v>0</v>
      </c>
      <c r="S73" s="131" t="str">
        <f t="shared" si="326"/>
        <v>-</v>
      </c>
      <c r="T73" s="132">
        <f t="shared" ref="T73:U73" si="357">IF(T70&gt;=1000000,$K$73*T70,0)</f>
        <v>0</v>
      </c>
      <c r="U73" s="127">
        <f t="shared" si="357"/>
        <v>0</v>
      </c>
      <c r="V73" s="128">
        <f t="shared" si="327"/>
        <v>0</v>
      </c>
      <c r="W73" s="129" t="str">
        <f t="shared" si="328"/>
        <v>-</v>
      </c>
      <c r="X73" s="132">
        <f t="shared" ref="X73:Y73" si="358">IF(X70&gt;=1000000,$K$73*X70,0)</f>
        <v>0</v>
      </c>
      <c r="Y73" s="127">
        <f t="shared" si="358"/>
        <v>0</v>
      </c>
      <c r="Z73" s="128"/>
      <c r="AA73" s="128">
        <f t="shared" si="329"/>
        <v>0</v>
      </c>
      <c r="AB73" s="129" t="str">
        <f t="shared" si="330"/>
        <v>-</v>
      </c>
      <c r="AC73" s="132">
        <f>IF(AC70&gt;=1000000,$K$73*AC70,0)</f>
        <v>0</v>
      </c>
      <c r="AD73" s="180"/>
      <c r="AE73" s="127">
        <f>IF(AE70&gt;=1000000,$K$73*AE70,0)</f>
        <v>0</v>
      </c>
      <c r="AF73" s="128">
        <f t="shared" si="331"/>
        <v>0</v>
      </c>
      <c r="AG73" s="134"/>
      <c r="AH73" s="129" t="str">
        <f t="shared" si="332"/>
        <v>-</v>
      </c>
      <c r="AI73" s="132">
        <f>IF(AI70&gt;=1000000,$K$73*AI70,0)</f>
        <v>0</v>
      </c>
      <c r="AJ73" s="127">
        <v>0.0</v>
      </c>
      <c r="AK73" s="128">
        <f t="shared" si="333"/>
        <v>0</v>
      </c>
      <c r="AL73" s="129" t="str">
        <f t="shared" si="334"/>
        <v>-</v>
      </c>
      <c r="AM73" s="132">
        <f>IF(AM70&gt;=1000000,$K$73*AM70,0)</f>
        <v>0</v>
      </c>
      <c r="AN73" s="127">
        <v>0.0</v>
      </c>
      <c r="AO73" s="128">
        <f t="shared" si="335"/>
        <v>0</v>
      </c>
      <c r="AP73" s="129" t="str">
        <f t="shared" si="336"/>
        <v>-</v>
      </c>
      <c r="AQ73" s="132">
        <f t="shared" ref="AQ73:AR73" si="359">IF(AQ70&gt;=1000000,$K$73*AQ70,0)</f>
        <v>65652.564</v>
      </c>
      <c r="AR73" s="127">
        <f t="shared" si="359"/>
        <v>0</v>
      </c>
      <c r="AS73" s="128">
        <f t="shared" si="337"/>
        <v>-65652.564</v>
      </c>
      <c r="AT73" s="129">
        <f t="shared" si="338"/>
        <v>-1</v>
      </c>
      <c r="AU73" s="132">
        <f t="shared" ref="AU73:AV73" si="360">IF(AU70&gt;=1000000,$K$73*AU70,0)</f>
        <v>82065.705</v>
      </c>
      <c r="AV73" s="127">
        <f t="shared" si="360"/>
        <v>0</v>
      </c>
      <c r="AW73" s="128">
        <f t="shared" si="339"/>
        <v>-82065.705</v>
      </c>
      <c r="AX73" s="129">
        <f t="shared" si="340"/>
        <v>-1</v>
      </c>
      <c r="AY73" s="132">
        <f t="shared" ref="AY73:AZ73" si="361">IF(AY70&gt;=1000000,$K$73*AY70,0)</f>
        <v>98478.846</v>
      </c>
      <c r="AZ73" s="127">
        <f t="shared" si="361"/>
        <v>0</v>
      </c>
      <c r="BA73" s="128">
        <f t="shared" si="341"/>
        <v>-98478.846</v>
      </c>
      <c r="BB73" s="129">
        <f t="shared" si="342"/>
        <v>-1</v>
      </c>
      <c r="BC73" s="132">
        <f t="shared" ref="BC73:BD73" si="362">IF(BC70&gt;=1000000,$K$73*BC70,0)</f>
        <v>120363.034</v>
      </c>
      <c r="BD73" s="127">
        <f t="shared" si="362"/>
        <v>0</v>
      </c>
      <c r="BE73" s="128">
        <f t="shared" si="343"/>
        <v>-120363.034</v>
      </c>
      <c r="BF73" s="129">
        <f t="shared" si="344"/>
        <v>-1</v>
      </c>
      <c r="BG73" s="132">
        <f t="shared" ref="BG73:BH73" si="363">IF(BG70&gt;=1000000,$K$73*BG70,0)</f>
        <v>98478.846</v>
      </c>
      <c r="BH73" s="127">
        <f t="shared" si="363"/>
        <v>0</v>
      </c>
      <c r="BI73" s="128">
        <f t="shared" si="345"/>
        <v>-98478.846</v>
      </c>
      <c r="BJ73" s="129">
        <f t="shared" si="346"/>
        <v>-1</v>
      </c>
      <c r="BK73" s="181">
        <f>SUM(L73,P73,T73,X73,AC73,AI73,AM73,AQ73,AU73,AY73,BC73,BG73)</f>
        <v>465038.995</v>
      </c>
      <c r="BL73" s="182">
        <f>SUM(L73,P73,T73,X73,AC73,AI73)</f>
        <v>0</v>
      </c>
      <c r="BM73" s="137">
        <f>SUM(L73,P73,T73,X73,AC73,AI73,AM73)</f>
        <v>0</v>
      </c>
      <c r="BN73" s="213">
        <f>SUM(M73,Q73,U73,Y73,AE73,AJ73,AN73,AR73,AV73,AZ73,BD73,BH73)</f>
        <v>0</v>
      </c>
      <c r="BO73" s="139">
        <f t="shared" si="350"/>
        <v>-1</v>
      </c>
      <c r="BP73" s="140">
        <f>BP70*0.04</f>
        <v>63227.04</v>
      </c>
      <c r="BQ73" s="141">
        <f>BK73/BP73</f>
        <v>7.355065096</v>
      </c>
      <c r="BR73" s="3"/>
      <c r="BS73" s="3"/>
      <c r="BT73" s="3"/>
      <c r="BU73" s="3"/>
      <c r="BV73" s="3"/>
      <c r="BW73" s="3"/>
    </row>
    <row r="74" ht="15.75" customHeight="1">
      <c r="A74" s="1"/>
      <c r="B74" s="142"/>
      <c r="C74" s="143"/>
      <c r="D74" s="144"/>
      <c r="E74" s="192"/>
      <c r="F74" s="146"/>
      <c r="G74" s="147"/>
      <c r="H74" s="148"/>
      <c r="I74" s="149"/>
      <c r="J74" s="13"/>
      <c r="K74" s="150"/>
      <c r="L74" s="196"/>
      <c r="M74" s="196"/>
      <c r="N74" s="196"/>
      <c r="O74" s="196"/>
      <c r="P74" s="196"/>
      <c r="Q74" s="214"/>
      <c r="R74" s="196"/>
      <c r="S74" s="196"/>
      <c r="T74" s="196"/>
      <c r="U74" s="196"/>
      <c r="V74" s="196"/>
      <c r="W74" s="196"/>
      <c r="X74" s="226"/>
      <c r="Y74" s="14"/>
      <c r="Z74" s="15"/>
      <c r="AA74" s="15"/>
      <c r="AB74" s="3"/>
      <c r="AC74" s="3"/>
      <c r="AD74" s="3"/>
      <c r="AE74" s="3"/>
      <c r="AF74" s="3"/>
      <c r="AG74" s="3"/>
      <c r="AH74" s="3"/>
      <c r="AI74" s="3"/>
      <c r="AJ74" s="154" t="s">
        <v>70</v>
      </c>
      <c r="AN74" s="154" t="s">
        <v>70</v>
      </c>
      <c r="AY74" s="187"/>
      <c r="AZ74" s="25"/>
      <c r="BA74" s="188"/>
      <c r="BB74" s="25"/>
    </row>
    <row r="75" ht="15.75" customHeight="1">
      <c r="A75" s="1"/>
      <c r="B75" s="142"/>
      <c r="C75" s="143"/>
      <c r="D75" s="144"/>
      <c r="E75" s="192"/>
      <c r="F75" s="146"/>
      <c r="G75" s="147"/>
      <c r="H75" s="148"/>
      <c r="I75" s="149"/>
      <c r="J75" s="34" t="s">
        <v>90</v>
      </c>
      <c r="K75" s="35"/>
      <c r="L75" s="36" t="s">
        <v>10</v>
      </c>
      <c r="M75" s="37" t="s">
        <v>11</v>
      </c>
      <c r="N75" s="38" t="s">
        <v>12</v>
      </c>
      <c r="O75" s="39" t="s">
        <v>13</v>
      </c>
      <c r="P75" s="157" t="s">
        <v>14</v>
      </c>
      <c r="Q75" s="199" t="s">
        <v>15</v>
      </c>
      <c r="R75" s="38" t="s">
        <v>16</v>
      </c>
      <c r="S75" s="42" t="s">
        <v>17</v>
      </c>
      <c r="T75" s="43" t="s">
        <v>18</v>
      </c>
      <c r="U75" s="199" t="s">
        <v>19</v>
      </c>
      <c r="V75" s="38" t="s">
        <v>20</v>
      </c>
      <c r="W75" s="45" t="s">
        <v>21</v>
      </c>
      <c r="X75" s="44" t="s">
        <v>22</v>
      </c>
      <c r="Y75" s="199" t="s">
        <v>23</v>
      </c>
      <c r="Z75" s="38"/>
      <c r="AA75" s="38" t="s">
        <v>24</v>
      </c>
      <c r="AB75" s="45" t="s">
        <v>25</v>
      </c>
      <c r="AC75" s="43" t="s">
        <v>26</v>
      </c>
      <c r="AD75" s="200"/>
      <c r="AE75" s="199" t="s">
        <v>27</v>
      </c>
      <c r="AF75" s="38" t="s">
        <v>28</v>
      </c>
      <c r="AG75" s="47"/>
      <c r="AH75" s="45" t="s">
        <v>29</v>
      </c>
      <c r="AI75" s="44" t="s">
        <v>30</v>
      </c>
      <c r="AJ75" s="199" t="s">
        <v>31</v>
      </c>
      <c r="AK75" s="38" t="s">
        <v>32</v>
      </c>
      <c r="AL75" s="45" t="s">
        <v>33</v>
      </c>
      <c r="AM75" s="43" t="s">
        <v>34</v>
      </c>
      <c r="AN75" s="199" t="s">
        <v>35</v>
      </c>
      <c r="AO75" s="38" t="s">
        <v>36</v>
      </c>
      <c r="AP75" s="45" t="s">
        <v>37</v>
      </c>
      <c r="AQ75" s="44" t="s">
        <v>38</v>
      </c>
      <c r="AR75" s="199" t="s">
        <v>39</v>
      </c>
      <c r="AS75" s="38" t="s">
        <v>40</v>
      </c>
      <c r="AT75" s="45" t="s">
        <v>41</v>
      </c>
      <c r="AU75" s="43" t="s">
        <v>42</v>
      </c>
      <c r="AV75" s="199" t="s">
        <v>43</v>
      </c>
      <c r="AW75" s="38" t="s">
        <v>44</v>
      </c>
      <c r="AX75" s="45" t="s">
        <v>45</v>
      </c>
      <c r="AY75" s="44" t="s">
        <v>46</v>
      </c>
      <c r="AZ75" s="199" t="s">
        <v>47</v>
      </c>
      <c r="BA75" s="38" t="s">
        <v>48</v>
      </c>
      <c r="BB75" s="45" t="s">
        <v>49</v>
      </c>
      <c r="BC75" s="43" t="s">
        <v>50</v>
      </c>
      <c r="BD75" s="199" t="s">
        <v>51</v>
      </c>
      <c r="BE75" s="38" t="s">
        <v>52</v>
      </c>
      <c r="BF75" s="45" t="s">
        <v>53</v>
      </c>
      <c r="BG75" s="201" t="s">
        <v>54</v>
      </c>
      <c r="BH75" s="199" t="s">
        <v>55</v>
      </c>
      <c r="BI75" s="38" t="s">
        <v>56</v>
      </c>
      <c r="BJ75" s="42" t="s">
        <v>57</v>
      </c>
      <c r="BK75" s="48" t="s">
        <v>58</v>
      </c>
      <c r="BL75" s="49" t="s">
        <v>72</v>
      </c>
      <c r="BM75" s="49" t="s">
        <v>60</v>
      </c>
      <c r="BN75" s="37" t="s">
        <v>61</v>
      </c>
      <c r="BO75" s="51" t="s">
        <v>62</v>
      </c>
      <c r="BP75" s="52">
        <v>2025.0</v>
      </c>
      <c r="BQ75" s="53"/>
      <c r="BR75" s="3"/>
      <c r="BS75" s="3"/>
      <c r="BT75" s="3"/>
      <c r="BU75" s="3"/>
      <c r="BV75" s="3"/>
      <c r="BW75" s="3"/>
    </row>
    <row r="76" ht="15.75" customHeight="1">
      <c r="A76" s="1"/>
      <c r="B76" s="142"/>
      <c r="C76" s="143"/>
      <c r="D76" s="144"/>
      <c r="E76" s="192"/>
      <c r="F76" s="146"/>
      <c r="G76" s="147"/>
      <c r="H76" s="148"/>
      <c r="I76" s="149"/>
      <c r="J76" s="54"/>
      <c r="K76" s="55"/>
      <c r="L76" s="56"/>
      <c r="M76" s="57"/>
      <c r="N76" s="58"/>
      <c r="O76" s="59"/>
      <c r="P76" s="56"/>
      <c r="Q76" s="202"/>
      <c r="R76" s="58"/>
      <c r="S76" s="61"/>
      <c r="T76" s="62"/>
      <c r="U76" s="63"/>
      <c r="V76" s="58"/>
      <c r="W76" s="59"/>
      <c r="X76" s="62"/>
      <c r="Y76" s="63"/>
      <c r="Z76" s="58"/>
      <c r="AA76" s="58"/>
      <c r="AB76" s="59"/>
      <c r="AC76" s="62"/>
      <c r="AD76" s="64"/>
      <c r="AE76" s="63"/>
      <c r="AF76" s="58"/>
      <c r="AG76" s="65"/>
      <c r="AH76" s="59"/>
      <c r="AI76" s="62"/>
      <c r="AJ76" s="63" t="s">
        <v>70</v>
      </c>
      <c r="AK76" s="58"/>
      <c r="AL76" s="59"/>
      <c r="AM76" s="62"/>
      <c r="AN76" s="63" t="s">
        <v>70</v>
      </c>
      <c r="AO76" s="58"/>
      <c r="AP76" s="59"/>
      <c r="AQ76" s="62"/>
      <c r="AR76" s="63"/>
      <c r="AS76" s="58"/>
      <c r="AT76" s="59"/>
      <c r="AU76" s="62"/>
      <c r="AV76" s="63"/>
      <c r="AW76" s="58"/>
      <c r="AX76" s="59"/>
      <c r="AY76" s="62"/>
      <c r="AZ76" s="63"/>
      <c r="BA76" s="58"/>
      <c r="BB76" s="59"/>
      <c r="BC76" s="62"/>
      <c r="BD76" s="63"/>
      <c r="BE76" s="58"/>
      <c r="BF76" s="59"/>
      <c r="BG76" s="203"/>
      <c r="BH76" s="63"/>
      <c r="BI76" s="58"/>
      <c r="BJ76" s="61"/>
      <c r="BK76" s="66"/>
      <c r="BL76" s="67"/>
      <c r="BM76" s="67"/>
      <c r="BN76" s="68"/>
      <c r="BO76" s="69"/>
      <c r="BP76" s="70"/>
      <c r="BQ76" s="71"/>
      <c r="BR76" s="3"/>
      <c r="BS76" s="3"/>
      <c r="BT76" s="3"/>
      <c r="BU76" s="3"/>
      <c r="BV76" s="3"/>
      <c r="BW76" s="3"/>
    </row>
    <row r="77" ht="15.75" customHeight="1">
      <c r="A77" s="1"/>
      <c r="B77" s="142">
        <v>11.0</v>
      </c>
      <c r="C77" s="143" t="s">
        <v>91</v>
      </c>
      <c r="D77" s="144">
        <f>80000*12</f>
        <v>960000</v>
      </c>
      <c r="E77" s="192">
        <v>60.0</v>
      </c>
      <c r="F77" s="146">
        <f>E77*D77</f>
        <v>57600000</v>
      </c>
      <c r="G77" s="147">
        <v>409141.4900000167</v>
      </c>
      <c r="H77" s="148">
        <v>13480.0</v>
      </c>
      <c r="I77" s="149">
        <v>30.351742581603613</v>
      </c>
      <c r="J77" s="72" t="s">
        <v>64</v>
      </c>
      <c r="K77" s="73"/>
      <c r="L77" s="74" t="s">
        <v>63</v>
      </c>
      <c r="M77" s="75" t="s">
        <v>63</v>
      </c>
      <c r="N77" s="76" t="s">
        <v>63</v>
      </c>
      <c r="O77" s="77" t="s">
        <v>65</v>
      </c>
      <c r="P77" s="74" t="s">
        <v>63</v>
      </c>
      <c r="Q77" s="204" t="s">
        <v>63</v>
      </c>
      <c r="R77" s="76" t="s">
        <v>63</v>
      </c>
      <c r="S77" s="79" t="s">
        <v>65</v>
      </c>
      <c r="T77" s="80">
        <v>0.03</v>
      </c>
      <c r="U77" s="81">
        <f>U78/(BK78-(L78 + P78))</f>
        <v>0.0133757937</v>
      </c>
      <c r="V77" s="76" t="s">
        <v>63</v>
      </c>
      <c r="W77" s="77" t="s">
        <v>65</v>
      </c>
      <c r="X77" s="80">
        <v>0.03</v>
      </c>
      <c r="Y77" s="81">
        <f>Y78/(BK78-(L78+P78))</f>
        <v>0.01387795601</v>
      </c>
      <c r="Z77" s="76"/>
      <c r="AA77" s="76" t="s">
        <v>63</v>
      </c>
      <c r="AB77" s="77" t="s">
        <v>65</v>
      </c>
      <c r="AC77" s="80">
        <v>0.05</v>
      </c>
      <c r="AD77" s="82"/>
      <c r="AE77" s="81">
        <f>AE78/(BK78-(L78+P78))</f>
        <v>0.01283346893</v>
      </c>
      <c r="AF77" s="76" t="s">
        <v>63</v>
      </c>
      <c r="AG77" s="83"/>
      <c r="AH77" s="77" t="s">
        <v>65</v>
      </c>
      <c r="AI77" s="80">
        <v>0.08</v>
      </c>
      <c r="AJ77" s="81">
        <v>0.0074270766128395685</v>
      </c>
      <c r="AK77" s="76" t="s">
        <v>63</v>
      </c>
      <c r="AL77" s="77" t="s">
        <v>65</v>
      </c>
      <c r="AM77" s="80">
        <v>0.1</v>
      </c>
      <c r="AN77" s="81">
        <v>0.004436104746558669</v>
      </c>
      <c r="AO77" s="76" t="s">
        <v>63</v>
      </c>
      <c r="AP77" s="77" t="s">
        <v>65</v>
      </c>
      <c r="AQ77" s="80">
        <v>0.15</v>
      </c>
      <c r="AR77" s="81">
        <f>AR78/(BK78-(L78+P78))</f>
        <v>0</v>
      </c>
      <c r="AS77" s="76" t="s">
        <v>63</v>
      </c>
      <c r="AT77" s="77" t="s">
        <v>65</v>
      </c>
      <c r="AU77" s="80">
        <v>0.15</v>
      </c>
      <c r="AV77" s="81">
        <f>AV78/(BK78-(L78+P78))</f>
        <v>0</v>
      </c>
      <c r="AW77" s="76" t="s">
        <v>63</v>
      </c>
      <c r="AX77" s="77" t="s">
        <v>65</v>
      </c>
      <c r="AY77" s="80">
        <v>0.12</v>
      </c>
      <c r="AZ77" s="81">
        <f>AZ78/(BK78-(L78+P78))</f>
        <v>0</v>
      </c>
      <c r="BA77" s="76" t="s">
        <v>63</v>
      </c>
      <c r="BB77" s="77" t="s">
        <v>65</v>
      </c>
      <c r="BC77" s="80">
        <v>0.16</v>
      </c>
      <c r="BD77" s="81">
        <f>BD78/(BK78-(L78+P78))</f>
        <v>0</v>
      </c>
      <c r="BE77" s="76" t="s">
        <v>63</v>
      </c>
      <c r="BF77" s="77" t="s">
        <v>65</v>
      </c>
      <c r="BG77" s="205">
        <v>0.13</v>
      </c>
      <c r="BH77" s="81">
        <f>BH78/(BK78-(L78+P78))</f>
        <v>0</v>
      </c>
      <c r="BI77" s="76" t="s">
        <v>63</v>
      </c>
      <c r="BJ77" s="79" t="s">
        <v>65</v>
      </c>
      <c r="BK77" s="84">
        <f>SUM(T77,X77,AC77,AI77,AM77,AQ77,AU77,AY77,BC77,BG77)</f>
        <v>1</v>
      </c>
      <c r="BL77" s="85">
        <f>SUM(T77,X77,AC77,AI77)</f>
        <v>0.19</v>
      </c>
      <c r="BM77" s="86">
        <f>SUM(T77,X77,AC77,AI77,AM77)</f>
        <v>0.29</v>
      </c>
      <c r="BN77" s="87">
        <f>SUM(U77,Y77,AE77,AJ77,AN77,AR77,AV77,AZ77,BD77,BH77)</f>
        <v>0.05195039999</v>
      </c>
      <c r="BO77" s="88"/>
      <c r="BP77" s="89" t="s">
        <v>63</v>
      </c>
      <c r="BQ77" s="71"/>
      <c r="BR77" s="3"/>
      <c r="BS77" s="3"/>
      <c r="BT77" s="3"/>
      <c r="BU77" s="3"/>
      <c r="BV77" s="3"/>
      <c r="BW77" s="3"/>
    </row>
    <row r="78" ht="15.75" customHeight="1">
      <c r="A78" s="1"/>
      <c r="B78" s="142"/>
      <c r="C78" s="143"/>
      <c r="D78" s="144"/>
      <c r="E78" s="192"/>
      <c r="F78" s="146"/>
      <c r="G78" s="147"/>
      <c r="H78" s="148"/>
      <c r="I78" s="149"/>
      <c r="J78" s="72" t="s">
        <v>66</v>
      </c>
      <c r="K78" s="73"/>
      <c r="L78" s="167">
        <v>50234.0</v>
      </c>
      <c r="M78" s="91">
        <v>50234.24</v>
      </c>
      <c r="N78" s="92">
        <f t="shared" ref="N78:N81" si="364">IFERROR(M78-L78,"-")</f>
        <v>0.24</v>
      </c>
      <c r="O78" s="93">
        <f t="shared" ref="O78:O81" si="365">IFERROR(M78/L78-1,"-")</f>
        <v>0.000004777640642</v>
      </c>
      <c r="P78" s="167">
        <v>49484.0</v>
      </c>
      <c r="Q78" s="91">
        <v>48919.78</v>
      </c>
      <c r="R78" s="92">
        <f t="shared" ref="R78:R81" si="366">IFERROR(Q78-P78,"-")</f>
        <v>-564.22</v>
      </c>
      <c r="S78" s="95">
        <f t="shared" ref="S78:S81" si="367">IFERROR(Q78/P78-1,"-")</f>
        <v>-0.01140206936</v>
      </c>
      <c r="T78" s="96">
        <f>($BK$78-($L$78+$P$78))*T77</f>
        <v>57008.46</v>
      </c>
      <c r="U78" s="91">
        <v>25417.78</v>
      </c>
      <c r="V78" s="92">
        <f t="shared" ref="V78:V81" si="368">IFERROR(U78-T78,"-")</f>
        <v>-31590.68</v>
      </c>
      <c r="W78" s="93">
        <f t="shared" ref="W78:W81" si="369">IFERROR(U78/T78-1,"-")</f>
        <v>-0.5541402101</v>
      </c>
      <c r="X78" s="96">
        <f>($BK$78-($L$78+$P$78))*X77</f>
        <v>57008.46</v>
      </c>
      <c r="Y78" s="91">
        <v>26372.03</v>
      </c>
      <c r="Z78" s="92"/>
      <c r="AA78" s="92">
        <f t="shared" ref="AA78:AA81" si="370">IFERROR(Y78-X78,"-")</f>
        <v>-30636.43</v>
      </c>
      <c r="AB78" s="93">
        <f t="shared" ref="AB78:AB81" si="371">IFERROR(Y78/X78-1,"-")</f>
        <v>-0.5374014664</v>
      </c>
      <c r="AC78" s="96">
        <f>($BK$78-($L$78+$P$78))*AC77</f>
        <v>95014.1</v>
      </c>
      <c r="AD78" s="98"/>
      <c r="AE78" s="91">
        <v>24387.21</v>
      </c>
      <c r="AF78" s="92">
        <f t="shared" ref="AF78:AF81" si="372">IFERROR(AE78-AC78,"-")</f>
        <v>-70626.89</v>
      </c>
      <c r="AG78" s="99"/>
      <c r="AH78" s="93">
        <f t="shared" ref="AH78:AH81" si="373">IFERROR(AE78/AC78-1,"-")</f>
        <v>-0.7433306215</v>
      </c>
      <c r="AI78" s="96">
        <f>($BK$78-($L$78+$P$78))*AI77</f>
        <v>152022.56</v>
      </c>
      <c r="AJ78" s="100">
        <v>14113.54</v>
      </c>
      <c r="AK78" s="92">
        <f t="shared" ref="AK78:AK81" si="374">IFERROR(AJ78-AI78,"-")</f>
        <v>-137909.02</v>
      </c>
      <c r="AL78" s="93">
        <f t="shared" ref="AL78:AL81" si="375">IFERROR(AJ78/AI78-1,"-")</f>
        <v>-0.9071615423</v>
      </c>
      <c r="AM78" s="96">
        <f>($BK$78-($L$78+$P$78))*AM77</f>
        <v>190028.2</v>
      </c>
      <c r="AN78" s="91">
        <v>8429.85</v>
      </c>
      <c r="AO78" s="92">
        <f t="shared" ref="AO78:AO81" si="376">IFERROR(AN78-AM78,"-")</f>
        <v>-181598.35</v>
      </c>
      <c r="AP78" s="93">
        <f t="shared" ref="AP78:AP81" si="377">IFERROR(AN78/AM78-1,"-")</f>
        <v>-0.9556389525</v>
      </c>
      <c r="AQ78" s="96">
        <f>($BK$78-($L$78+$P$78))*AQ77</f>
        <v>285042.3</v>
      </c>
      <c r="AR78" s="91">
        <v>0.0</v>
      </c>
      <c r="AS78" s="92">
        <f t="shared" ref="AS78:AS81" si="378">IFERROR(AR78-AQ78,"-")</f>
        <v>-285042.3</v>
      </c>
      <c r="AT78" s="93">
        <f t="shared" ref="AT78:AT81" si="379">IFERROR(AR78/AQ78-1,"-")</f>
        <v>-1</v>
      </c>
      <c r="AU78" s="96">
        <f>($BK$78-($L$78+$P$78))*AU77</f>
        <v>285042.3</v>
      </c>
      <c r="AV78" s="227">
        <v>0.0</v>
      </c>
      <c r="AW78" s="92">
        <f t="shared" ref="AW78:AW81" si="380">IFERROR(AV78-AU78,"-")</f>
        <v>-285042.3</v>
      </c>
      <c r="AX78" s="93">
        <f t="shared" ref="AX78:AX81" si="381">IFERROR(AV78/AU78-1,"-")</f>
        <v>-1</v>
      </c>
      <c r="AY78" s="96">
        <f>($BK$78-($L$78+$P$78))*AY77</f>
        <v>228033.84</v>
      </c>
      <c r="AZ78" s="91">
        <v>0.0</v>
      </c>
      <c r="BA78" s="92">
        <f t="shared" ref="BA78:BA81" si="382">IFERROR(AZ78-AY78,"-")</f>
        <v>-228033.84</v>
      </c>
      <c r="BB78" s="93">
        <f t="shared" ref="BB78:BB81" si="383">IFERROR(AZ78/AY78-1,"-")</f>
        <v>-1</v>
      </c>
      <c r="BC78" s="96">
        <f>($BK$78-($L$78+$P$78))*BC77</f>
        <v>304045.12</v>
      </c>
      <c r="BD78" s="91">
        <v>0.0</v>
      </c>
      <c r="BE78" s="92">
        <f t="shared" ref="BE78:BE81" si="384">IFERROR(BD78-BC78,"-")</f>
        <v>-304045.12</v>
      </c>
      <c r="BF78" s="93">
        <f t="shared" ref="BF78:BF81" si="385">IFERROR(BD78/BC78-1,"-")</f>
        <v>-1</v>
      </c>
      <c r="BG78" s="91">
        <f>($BK$78-($L$78+$P$78))*BG77</f>
        <v>247036.66</v>
      </c>
      <c r="BH78" s="91">
        <v>0.0</v>
      </c>
      <c r="BI78" s="92">
        <f t="shared" ref="BI78:BI81" si="386">IFERROR(BH78-BG78,"-")</f>
        <v>-247036.66</v>
      </c>
      <c r="BJ78" s="95">
        <f t="shared" ref="BJ78:BJ81" si="387">IFERROR(BH78/BG78-1,"-")</f>
        <v>-1</v>
      </c>
      <c r="BK78" s="101">
        <v>2000000.0</v>
      </c>
      <c r="BL78" s="169">
        <f t="shared" ref="BL78:BL79" si="388">SUM(L78,P78,T78,X78,AC78,AI78)</f>
        <v>460771.58</v>
      </c>
      <c r="BM78" s="103">
        <f t="shared" ref="BM78:BM79" si="389">SUM(L78,P78,T78,X78,AC78,AI78,AM78)</f>
        <v>650799.78</v>
      </c>
      <c r="BN78" s="102">
        <f t="shared" ref="BN78:BN79" si="390">SUM(M78,Q78,U78,Y78,AE78,AJ78,AN78,AR78,AV78,AZ78,BD78,BH78)</f>
        <v>197874.43</v>
      </c>
      <c r="BO78" s="104">
        <f t="shared" ref="BO78:BO81" si="391">IFERROR(BN78/BK78-1,"-")</f>
        <v>-0.901062785</v>
      </c>
      <c r="BP78" s="105">
        <v>195455.9</v>
      </c>
      <c r="BQ78" s="106">
        <f t="shared" ref="BQ78:BQ79" si="392">BK78/BP78</f>
        <v>10.23248723</v>
      </c>
      <c r="BR78" s="3"/>
      <c r="BS78" s="3"/>
      <c r="BT78" s="3"/>
      <c r="BU78" s="3"/>
      <c r="BV78" s="3"/>
      <c r="BW78" s="3"/>
    </row>
    <row r="79" ht="15.75" customHeight="1">
      <c r="A79" s="1"/>
      <c r="B79" s="142"/>
      <c r="C79" s="143"/>
      <c r="D79" s="144"/>
      <c r="E79" s="192"/>
      <c r="F79" s="146"/>
      <c r="G79" s="147"/>
      <c r="H79" s="148"/>
      <c r="I79" s="149"/>
      <c r="J79" s="72" t="s">
        <v>67</v>
      </c>
      <c r="K79" s="107"/>
      <c r="L79" s="108">
        <f>L78/$K$80</f>
        <v>440.6491228</v>
      </c>
      <c r="M79" s="109">
        <v>430.0</v>
      </c>
      <c r="N79" s="110">
        <f t="shared" si="364"/>
        <v>-10.64912281</v>
      </c>
      <c r="O79" s="93">
        <f t="shared" si="365"/>
        <v>-0.02416689891</v>
      </c>
      <c r="P79" s="108">
        <f>P78/$K$80</f>
        <v>434.0701754</v>
      </c>
      <c r="Q79" s="109">
        <v>424.0</v>
      </c>
      <c r="R79" s="110">
        <f t="shared" si="366"/>
        <v>-10.07017544</v>
      </c>
      <c r="S79" s="95">
        <f t="shared" si="367"/>
        <v>-0.02319941799</v>
      </c>
      <c r="T79" s="112">
        <f>T78/$K$80</f>
        <v>500.0742105</v>
      </c>
      <c r="U79" s="109">
        <v>217.0</v>
      </c>
      <c r="V79" s="110">
        <f t="shared" si="368"/>
        <v>-283.0742105</v>
      </c>
      <c r="W79" s="93">
        <f t="shared" si="369"/>
        <v>-0.5660644052</v>
      </c>
      <c r="X79" s="112">
        <f>X78/$K$80</f>
        <v>500.0742105</v>
      </c>
      <c r="Y79" s="109">
        <v>249.0</v>
      </c>
      <c r="Z79" s="110"/>
      <c r="AA79" s="110">
        <f t="shared" si="370"/>
        <v>-251.0742105</v>
      </c>
      <c r="AB79" s="93">
        <f t="shared" si="371"/>
        <v>-0.5020739027</v>
      </c>
      <c r="AC79" s="112">
        <f>AC78/$K$80</f>
        <v>833.4570175</v>
      </c>
      <c r="AD79" s="113"/>
      <c r="AE79" s="109">
        <v>222.0</v>
      </c>
      <c r="AF79" s="110">
        <f t="shared" si="372"/>
        <v>-611.4570175</v>
      </c>
      <c r="AG79" s="99"/>
      <c r="AH79" s="93">
        <f t="shared" si="373"/>
        <v>-0.7336395335</v>
      </c>
      <c r="AI79" s="112">
        <f>AI78/$K$80</f>
        <v>1333.531228</v>
      </c>
      <c r="AJ79" s="114">
        <v>126.0</v>
      </c>
      <c r="AK79" s="110">
        <f t="shared" si="374"/>
        <v>-1207.531228</v>
      </c>
      <c r="AL79" s="93">
        <f t="shared" si="375"/>
        <v>-0.9055140237</v>
      </c>
      <c r="AM79" s="112">
        <f>AM78/$K$80</f>
        <v>1666.914035</v>
      </c>
      <c r="AN79" s="109">
        <v>68.0</v>
      </c>
      <c r="AO79" s="110">
        <f t="shared" si="376"/>
        <v>-1598.914035</v>
      </c>
      <c r="AP79" s="93">
        <f t="shared" si="377"/>
        <v>-0.9592060547</v>
      </c>
      <c r="AQ79" s="112">
        <f>AQ78/$K$80</f>
        <v>2500.371053</v>
      </c>
      <c r="AR79" s="109">
        <v>0.0</v>
      </c>
      <c r="AS79" s="110">
        <f t="shared" si="378"/>
        <v>-2500.371053</v>
      </c>
      <c r="AT79" s="93">
        <f t="shared" si="379"/>
        <v>-1</v>
      </c>
      <c r="AU79" s="112">
        <f>AU78/$K$80</f>
        <v>2500.371053</v>
      </c>
      <c r="AV79" s="109">
        <v>0.0</v>
      </c>
      <c r="AW79" s="110">
        <f t="shared" si="380"/>
        <v>-2500.371053</v>
      </c>
      <c r="AX79" s="93">
        <f t="shared" si="381"/>
        <v>-1</v>
      </c>
      <c r="AY79" s="112">
        <f>AY78/$K$80</f>
        <v>2000.296842</v>
      </c>
      <c r="AZ79" s="109">
        <v>0.0</v>
      </c>
      <c r="BA79" s="110">
        <f t="shared" si="382"/>
        <v>-2000.296842</v>
      </c>
      <c r="BB79" s="93">
        <f t="shared" si="383"/>
        <v>-1</v>
      </c>
      <c r="BC79" s="112">
        <f>BC78/$K$80</f>
        <v>2667.062456</v>
      </c>
      <c r="BD79" s="109">
        <v>0.0</v>
      </c>
      <c r="BE79" s="110">
        <f t="shared" si="384"/>
        <v>-2667.062456</v>
      </c>
      <c r="BF79" s="93">
        <f t="shared" si="385"/>
        <v>-1</v>
      </c>
      <c r="BG79" s="109">
        <f>BG78/$K$80</f>
        <v>2166.988246</v>
      </c>
      <c r="BH79" s="109">
        <v>0.0</v>
      </c>
      <c r="BI79" s="110">
        <f t="shared" si="386"/>
        <v>-2166.988246</v>
      </c>
      <c r="BJ79" s="95">
        <f t="shared" si="387"/>
        <v>-1</v>
      </c>
      <c r="BK79" s="206">
        <f>SUM(L79,P79,T79,X79,AC79,AI79,AM79,AQ79,AU79,AY79,BC79,BG79)</f>
        <v>17543.85965</v>
      </c>
      <c r="BL79" s="173">
        <f t="shared" si="388"/>
        <v>4041.855965</v>
      </c>
      <c r="BM79" s="117">
        <f t="shared" si="389"/>
        <v>5708.77</v>
      </c>
      <c r="BN79" s="207">
        <f t="shared" si="390"/>
        <v>1736</v>
      </c>
      <c r="BO79" s="104">
        <f t="shared" si="391"/>
        <v>-0.901048</v>
      </c>
      <c r="BP79" s="119">
        <v>1727.0</v>
      </c>
      <c r="BQ79" s="106">
        <f t="shared" si="392"/>
        <v>10.15857536</v>
      </c>
      <c r="BR79" s="3"/>
      <c r="BS79" s="3"/>
      <c r="BT79" s="3"/>
      <c r="BU79" s="3"/>
      <c r="BV79" s="3"/>
      <c r="BW79" s="3"/>
    </row>
    <row r="80" ht="15.75" customHeight="1">
      <c r="A80" s="1"/>
      <c r="B80" s="142"/>
      <c r="C80" s="143"/>
      <c r="D80" s="144"/>
      <c r="E80" s="192"/>
      <c r="F80" s="146"/>
      <c r="G80" s="147"/>
      <c r="H80" s="148"/>
      <c r="I80" s="149"/>
      <c r="J80" s="72" t="s">
        <v>68</v>
      </c>
      <c r="K80" s="107">
        <v>114.0</v>
      </c>
      <c r="L80" s="171">
        <f>L78/L79</f>
        <v>114</v>
      </c>
      <c r="M80" s="91">
        <f>IFERROR(M78/M79,"-")</f>
        <v>116.823814</v>
      </c>
      <c r="N80" s="92">
        <f t="shared" si="364"/>
        <v>2.823813953</v>
      </c>
      <c r="O80" s="93">
        <f t="shared" si="365"/>
        <v>0.02477029784</v>
      </c>
      <c r="P80" s="90">
        <f t="shared" ref="P80:Q80" si="393">IFERROR(P78/P79,"-")</f>
        <v>114</v>
      </c>
      <c r="Q80" s="91">
        <f t="shared" si="393"/>
        <v>115.3768396</v>
      </c>
      <c r="R80" s="92">
        <f t="shared" si="366"/>
        <v>1.376839623</v>
      </c>
      <c r="S80" s="95">
        <f t="shared" si="367"/>
        <v>0.01207754055</v>
      </c>
      <c r="T80" s="112">
        <f>T78/T79</f>
        <v>114</v>
      </c>
      <c r="U80" s="91">
        <f>IFERROR(U78/U79,"-")</f>
        <v>117.1326267</v>
      </c>
      <c r="V80" s="92">
        <f t="shared" si="368"/>
        <v>3.132626728</v>
      </c>
      <c r="W80" s="93">
        <f t="shared" si="369"/>
        <v>0.02747918183</v>
      </c>
      <c r="X80" s="96">
        <f t="shared" ref="X80:Y80" si="394">IFERROR(X78/X79,"-")</f>
        <v>114</v>
      </c>
      <c r="Y80" s="91">
        <f t="shared" si="394"/>
        <v>105.9117671</v>
      </c>
      <c r="Z80" s="92"/>
      <c r="AA80" s="92">
        <f t="shared" si="370"/>
        <v>-8.088232932</v>
      </c>
      <c r="AB80" s="93">
        <f t="shared" si="371"/>
        <v>-0.07094941168</v>
      </c>
      <c r="AC80" s="112">
        <f>AC78/AC79</f>
        <v>114</v>
      </c>
      <c r="AD80" s="98"/>
      <c r="AE80" s="91">
        <f>IFERROR(AE78/AE79,"-")</f>
        <v>109.8522973</v>
      </c>
      <c r="AF80" s="92">
        <f t="shared" si="372"/>
        <v>-4.147702703</v>
      </c>
      <c r="AG80" s="99"/>
      <c r="AH80" s="93">
        <f t="shared" si="373"/>
        <v>-0.03638335704</v>
      </c>
      <c r="AI80" s="112">
        <f>AI78/AI79</f>
        <v>114</v>
      </c>
      <c r="AJ80" s="91">
        <v>112.01222222222223</v>
      </c>
      <c r="AK80" s="92">
        <f t="shared" si="374"/>
        <v>-1.987777778</v>
      </c>
      <c r="AL80" s="93">
        <f t="shared" si="375"/>
        <v>-0.01743664717</v>
      </c>
      <c r="AM80" s="112">
        <f>AM78/AM79</f>
        <v>114</v>
      </c>
      <c r="AN80" s="91">
        <v>123.96838235294118</v>
      </c>
      <c r="AO80" s="92">
        <f t="shared" si="376"/>
        <v>9.968382353</v>
      </c>
      <c r="AP80" s="93">
        <f t="shared" si="377"/>
        <v>0.08744195046</v>
      </c>
      <c r="AQ80" s="112">
        <f>AQ78/AQ79</f>
        <v>114</v>
      </c>
      <c r="AR80" s="91" t="str">
        <f>IFERROR(AR78/AR79,"-")</f>
        <v>-</v>
      </c>
      <c r="AS80" s="92" t="str">
        <f t="shared" si="378"/>
        <v>-</v>
      </c>
      <c r="AT80" s="93" t="str">
        <f t="shared" si="379"/>
        <v>-</v>
      </c>
      <c r="AU80" s="112">
        <f>AU78/AU79</f>
        <v>114</v>
      </c>
      <c r="AV80" s="91" t="str">
        <f>IFERROR(AV78/AV79,"-")</f>
        <v>-</v>
      </c>
      <c r="AW80" s="92" t="str">
        <f t="shared" si="380"/>
        <v>-</v>
      </c>
      <c r="AX80" s="93" t="str">
        <f t="shared" si="381"/>
        <v>-</v>
      </c>
      <c r="AY80" s="112">
        <f>AY78/AY79</f>
        <v>114</v>
      </c>
      <c r="AZ80" s="91" t="str">
        <f>IFERROR(AZ78/AZ79,"-")</f>
        <v>-</v>
      </c>
      <c r="BA80" s="92" t="str">
        <f t="shared" si="382"/>
        <v>-</v>
      </c>
      <c r="BB80" s="93" t="str">
        <f t="shared" si="383"/>
        <v>-</v>
      </c>
      <c r="BC80" s="112">
        <f>BC78/BC79</f>
        <v>114</v>
      </c>
      <c r="BD80" s="91" t="str">
        <f>IFERROR(BD78/BD79,"-")</f>
        <v>-</v>
      </c>
      <c r="BE80" s="92" t="str">
        <f t="shared" si="384"/>
        <v>-</v>
      </c>
      <c r="BF80" s="93" t="str">
        <f t="shared" si="385"/>
        <v>-</v>
      </c>
      <c r="BG80" s="109">
        <f>BG78/BG79</f>
        <v>114</v>
      </c>
      <c r="BH80" s="91" t="str">
        <f>IFERROR(BH78/BH79,"-")</f>
        <v>-</v>
      </c>
      <c r="BI80" s="92" t="str">
        <f t="shared" si="386"/>
        <v>-</v>
      </c>
      <c r="BJ80" s="95" t="str">
        <f t="shared" si="387"/>
        <v>-</v>
      </c>
      <c r="BK80" s="120">
        <f>BK78/BK79</f>
        <v>114</v>
      </c>
      <c r="BL80" s="176">
        <f t="shared" ref="BL80:BM80" si="395">IFERROR(BL78/BL79,"-")</f>
        <v>114</v>
      </c>
      <c r="BM80" s="122">
        <f t="shared" si="395"/>
        <v>114</v>
      </c>
      <c r="BN80" s="209">
        <f>BN78/BN79</f>
        <v>113.9829666</v>
      </c>
      <c r="BO80" s="104">
        <f t="shared" si="391"/>
        <v>-0.0001494158784</v>
      </c>
      <c r="BP80" s="119">
        <f>BP78/BP79</f>
        <v>113.1765489</v>
      </c>
      <c r="BQ80" s="106">
        <f>BK80/BP80-1</f>
        <v>0.007275810042</v>
      </c>
      <c r="BR80" s="3"/>
      <c r="BS80" s="3"/>
      <c r="BT80" s="3"/>
      <c r="BU80" s="3"/>
      <c r="BV80" s="3"/>
      <c r="BW80" s="3"/>
    </row>
    <row r="81" ht="15.75" customHeight="1">
      <c r="A81" s="1"/>
      <c r="B81" s="142"/>
      <c r="C81" s="143"/>
      <c r="D81" s="144"/>
      <c r="E81" s="192"/>
      <c r="F81" s="146"/>
      <c r="G81" s="147"/>
      <c r="H81" s="148"/>
      <c r="I81" s="149"/>
      <c r="J81" s="124" t="s">
        <v>69</v>
      </c>
      <c r="K81" s="125">
        <v>0.039</v>
      </c>
      <c r="L81" s="132">
        <f t="shared" ref="L81:M81" si="396">L78*$K$81</f>
        <v>1959.126</v>
      </c>
      <c r="M81" s="127">
        <f t="shared" si="396"/>
        <v>1959.13536</v>
      </c>
      <c r="N81" s="128">
        <f t="shared" si="364"/>
        <v>0.00936</v>
      </c>
      <c r="O81" s="129">
        <f t="shared" si="365"/>
        <v>0.000004777640642</v>
      </c>
      <c r="P81" s="132">
        <f t="shared" ref="P81:Q81" si="397">P78*$K$81</f>
        <v>1929.876</v>
      </c>
      <c r="Q81" s="127">
        <f t="shared" si="397"/>
        <v>1907.87142</v>
      </c>
      <c r="R81" s="128">
        <f t="shared" si="366"/>
        <v>-22.00458</v>
      </c>
      <c r="S81" s="131">
        <f t="shared" si="367"/>
        <v>-0.01140206936</v>
      </c>
      <c r="T81" s="132">
        <f t="shared" ref="T81:U81" si="398">T78*$K$81</f>
        <v>2223.32994</v>
      </c>
      <c r="U81" s="127">
        <f t="shared" si="398"/>
        <v>991.29342</v>
      </c>
      <c r="V81" s="128">
        <f t="shared" si="368"/>
        <v>-1232.03652</v>
      </c>
      <c r="W81" s="129">
        <f t="shared" si="369"/>
        <v>-0.5541402101</v>
      </c>
      <c r="X81" s="132">
        <f t="shared" ref="X81:Y81" si="399">X78*$K$81</f>
        <v>2223.32994</v>
      </c>
      <c r="Y81" s="127">
        <f t="shared" si="399"/>
        <v>1028.50917</v>
      </c>
      <c r="Z81" s="128"/>
      <c r="AA81" s="128">
        <f t="shared" si="370"/>
        <v>-1194.82077</v>
      </c>
      <c r="AB81" s="129">
        <f t="shared" si="371"/>
        <v>-0.5374014664</v>
      </c>
      <c r="AC81" s="132">
        <f>AC78*$K$81</f>
        <v>3705.5499</v>
      </c>
      <c r="AD81" s="180"/>
      <c r="AE81" s="127">
        <f>AE78*$K$81</f>
        <v>951.10119</v>
      </c>
      <c r="AF81" s="128">
        <f t="shared" si="372"/>
        <v>-2754.44871</v>
      </c>
      <c r="AG81" s="134"/>
      <c r="AH81" s="129">
        <f t="shared" si="373"/>
        <v>-0.7433306215</v>
      </c>
      <c r="AI81" s="132">
        <f>AI78*$K$81</f>
        <v>5928.87984</v>
      </c>
      <c r="AJ81" s="127">
        <v>550.4280600000001</v>
      </c>
      <c r="AK81" s="128">
        <f t="shared" si="374"/>
        <v>-5378.45178</v>
      </c>
      <c r="AL81" s="129">
        <f t="shared" si="375"/>
        <v>-0.9071615423</v>
      </c>
      <c r="AM81" s="132">
        <f>AM78*$K$81</f>
        <v>7411.0998</v>
      </c>
      <c r="AN81" s="127">
        <v>328.76415000000003</v>
      </c>
      <c r="AO81" s="128">
        <f t="shared" si="376"/>
        <v>-7082.33565</v>
      </c>
      <c r="AP81" s="129">
        <f t="shared" si="377"/>
        <v>-0.9556389525</v>
      </c>
      <c r="AQ81" s="132">
        <f t="shared" ref="AQ81:AR81" si="400">AQ78*$K$81</f>
        <v>11116.6497</v>
      </c>
      <c r="AR81" s="127">
        <f t="shared" si="400"/>
        <v>0</v>
      </c>
      <c r="AS81" s="128">
        <f t="shared" si="378"/>
        <v>-11116.6497</v>
      </c>
      <c r="AT81" s="129">
        <f t="shared" si="379"/>
        <v>-1</v>
      </c>
      <c r="AU81" s="132">
        <f t="shared" ref="AU81:AV81" si="401">AU78*$K$81</f>
        <v>11116.6497</v>
      </c>
      <c r="AV81" s="127">
        <f t="shared" si="401"/>
        <v>0</v>
      </c>
      <c r="AW81" s="128">
        <f t="shared" si="380"/>
        <v>-11116.6497</v>
      </c>
      <c r="AX81" s="129">
        <f t="shared" si="381"/>
        <v>-1</v>
      </c>
      <c r="AY81" s="132">
        <f t="shared" ref="AY81:AZ81" si="402">AY78*$K$81</f>
        <v>8893.31976</v>
      </c>
      <c r="AZ81" s="127">
        <f t="shared" si="402"/>
        <v>0</v>
      </c>
      <c r="BA81" s="128">
        <f t="shared" si="382"/>
        <v>-8893.31976</v>
      </c>
      <c r="BB81" s="129">
        <f t="shared" si="383"/>
        <v>-1</v>
      </c>
      <c r="BC81" s="132">
        <f t="shared" ref="BC81:BD81" si="403">BC78*$K$81</f>
        <v>11857.75968</v>
      </c>
      <c r="BD81" s="127">
        <f t="shared" si="403"/>
        <v>0</v>
      </c>
      <c r="BE81" s="128">
        <f t="shared" si="384"/>
        <v>-11857.75968</v>
      </c>
      <c r="BF81" s="129">
        <f t="shared" si="385"/>
        <v>-1</v>
      </c>
      <c r="BG81" s="127">
        <f t="shared" ref="BG81:BH81" si="404">BG78*$K$81</f>
        <v>9634.42974</v>
      </c>
      <c r="BH81" s="127">
        <f t="shared" si="404"/>
        <v>0</v>
      </c>
      <c r="BI81" s="128">
        <f t="shared" si="386"/>
        <v>-9634.42974</v>
      </c>
      <c r="BJ81" s="131">
        <f t="shared" si="387"/>
        <v>-1</v>
      </c>
      <c r="BK81" s="135">
        <f>SUM(L81,P81,T81,X81,AC81,AI81,AM81,AQ81,AU81,AY81,BC81,BG81)</f>
        <v>78000</v>
      </c>
      <c r="BL81" s="182">
        <f>SUM(L81,P81,T81,X81,AC81,AI81)</f>
        <v>17970.09162</v>
      </c>
      <c r="BM81" s="137">
        <f>SUM(L81,P81,T81,X81,AC81,AI81,AM81)</f>
        <v>25381.19142</v>
      </c>
      <c r="BN81" s="213">
        <f>SUM(M81,Q81,U81,Y81,AE81,AJ81,AN81,AR81,AV81,AZ81,BD81,BH81)</f>
        <v>7717.10277</v>
      </c>
      <c r="BO81" s="139">
        <f t="shared" si="391"/>
        <v>-0.901062785</v>
      </c>
      <c r="BP81" s="140">
        <f>BP78*$K$81+8*199</f>
        <v>9214.7801</v>
      </c>
      <c r="BQ81" s="141">
        <f>BK81/BP81</f>
        <v>8.464662114</v>
      </c>
      <c r="BR81" s="3"/>
      <c r="BS81" s="3"/>
      <c r="BT81" s="3"/>
      <c r="BU81" s="3"/>
      <c r="BV81" s="3"/>
      <c r="BW81" s="3"/>
    </row>
    <row r="82" ht="15.75" customHeight="1">
      <c r="A82" s="1"/>
      <c r="B82" s="142"/>
      <c r="C82" s="143"/>
      <c r="D82" s="144"/>
      <c r="E82" s="192"/>
      <c r="F82" s="146"/>
      <c r="G82" s="147"/>
      <c r="H82" s="148"/>
      <c r="I82" s="149"/>
      <c r="J82" s="12"/>
      <c r="K82" s="195"/>
      <c r="L82" s="185"/>
      <c r="M82" s="185"/>
      <c r="N82" s="185"/>
      <c r="O82" s="185"/>
      <c r="P82" s="185"/>
      <c r="Q82" s="214"/>
      <c r="R82" s="185"/>
      <c r="S82" s="185"/>
      <c r="T82" s="185"/>
      <c r="U82" s="185"/>
      <c r="V82" s="185"/>
      <c r="W82" s="185"/>
      <c r="X82" s="186"/>
      <c r="Y82" s="14"/>
      <c r="Z82" s="15"/>
      <c r="AA82" s="15"/>
      <c r="AB82" s="3"/>
      <c r="AC82" s="3"/>
      <c r="AD82" s="3"/>
      <c r="AE82" s="3"/>
      <c r="AF82" s="3"/>
      <c r="AG82" s="3"/>
      <c r="AH82" s="3"/>
      <c r="AI82" s="3"/>
      <c r="AJ82" s="154" t="s">
        <v>70</v>
      </c>
      <c r="AN82" s="154" t="s">
        <v>70</v>
      </c>
      <c r="AY82" s="187"/>
      <c r="AZ82" s="25"/>
      <c r="BA82" s="188"/>
      <c r="BB82" s="25"/>
    </row>
    <row r="83" ht="15.75" customHeight="1">
      <c r="A83" s="1"/>
      <c r="B83" s="142"/>
      <c r="C83" s="143"/>
      <c r="D83" s="144"/>
      <c r="E83" s="192"/>
      <c r="F83" s="146"/>
      <c r="G83" s="147"/>
      <c r="H83" s="148"/>
      <c r="I83" s="149"/>
      <c r="J83" s="34" t="s">
        <v>92</v>
      </c>
      <c r="K83" s="35"/>
      <c r="L83" s="36" t="s">
        <v>10</v>
      </c>
      <c r="M83" s="37" t="s">
        <v>11</v>
      </c>
      <c r="N83" s="38" t="s">
        <v>12</v>
      </c>
      <c r="O83" s="39" t="s">
        <v>13</v>
      </c>
      <c r="P83" s="157" t="s">
        <v>14</v>
      </c>
      <c r="Q83" s="199" t="s">
        <v>15</v>
      </c>
      <c r="R83" s="38" t="s">
        <v>16</v>
      </c>
      <c r="S83" s="42" t="s">
        <v>17</v>
      </c>
      <c r="T83" s="43" t="s">
        <v>18</v>
      </c>
      <c r="U83" s="199" t="s">
        <v>19</v>
      </c>
      <c r="V83" s="38" t="s">
        <v>20</v>
      </c>
      <c r="W83" s="45" t="s">
        <v>21</v>
      </c>
      <c r="X83" s="44" t="s">
        <v>22</v>
      </c>
      <c r="Y83" s="199" t="s">
        <v>23</v>
      </c>
      <c r="Z83" s="38"/>
      <c r="AA83" s="38" t="s">
        <v>24</v>
      </c>
      <c r="AB83" s="45" t="s">
        <v>25</v>
      </c>
      <c r="AC83" s="43" t="s">
        <v>26</v>
      </c>
      <c r="AD83" s="200"/>
      <c r="AE83" s="199" t="s">
        <v>27</v>
      </c>
      <c r="AF83" s="38" t="s">
        <v>28</v>
      </c>
      <c r="AG83" s="47"/>
      <c r="AH83" s="45" t="s">
        <v>29</v>
      </c>
      <c r="AI83" s="44" t="s">
        <v>30</v>
      </c>
      <c r="AJ83" s="199" t="s">
        <v>31</v>
      </c>
      <c r="AK83" s="38" t="s">
        <v>32</v>
      </c>
      <c r="AL83" s="45" t="s">
        <v>33</v>
      </c>
      <c r="AM83" s="43" t="s">
        <v>34</v>
      </c>
      <c r="AN83" s="199" t="s">
        <v>35</v>
      </c>
      <c r="AO83" s="38" t="s">
        <v>36</v>
      </c>
      <c r="AP83" s="45" t="s">
        <v>37</v>
      </c>
      <c r="AQ83" s="44" t="s">
        <v>38</v>
      </c>
      <c r="AR83" s="199" t="s">
        <v>39</v>
      </c>
      <c r="AS83" s="38" t="s">
        <v>40</v>
      </c>
      <c r="AT83" s="45" t="s">
        <v>41</v>
      </c>
      <c r="AU83" s="43" t="s">
        <v>42</v>
      </c>
      <c r="AV83" s="199" t="s">
        <v>43</v>
      </c>
      <c r="AW83" s="38" t="s">
        <v>44</v>
      </c>
      <c r="AX83" s="45" t="s">
        <v>45</v>
      </c>
      <c r="AY83" s="44" t="s">
        <v>46</v>
      </c>
      <c r="AZ83" s="199" t="s">
        <v>47</v>
      </c>
      <c r="BA83" s="38" t="s">
        <v>48</v>
      </c>
      <c r="BB83" s="45" t="s">
        <v>49</v>
      </c>
      <c r="BC83" s="43" t="s">
        <v>50</v>
      </c>
      <c r="BD83" s="199" t="s">
        <v>51</v>
      </c>
      <c r="BE83" s="38" t="s">
        <v>52</v>
      </c>
      <c r="BF83" s="45" t="s">
        <v>53</v>
      </c>
      <c r="BG83" s="201" t="s">
        <v>54</v>
      </c>
      <c r="BH83" s="199" t="s">
        <v>55</v>
      </c>
      <c r="BI83" s="38" t="s">
        <v>56</v>
      </c>
      <c r="BJ83" s="42" t="s">
        <v>57</v>
      </c>
      <c r="BK83" s="48" t="s">
        <v>58</v>
      </c>
      <c r="BL83" s="49" t="s">
        <v>72</v>
      </c>
      <c r="BM83" s="49" t="s">
        <v>60</v>
      </c>
      <c r="BN83" s="37" t="s">
        <v>61</v>
      </c>
      <c r="BO83" s="51" t="s">
        <v>62</v>
      </c>
      <c r="BP83" s="52">
        <v>2025.0</v>
      </c>
      <c r="BQ83" s="53"/>
      <c r="BR83" s="3"/>
      <c r="BS83" s="3"/>
      <c r="BT83" s="3"/>
      <c r="BU83" s="3"/>
      <c r="BV83" s="3"/>
      <c r="BW83" s="3"/>
    </row>
    <row r="84" ht="15.75" customHeight="1">
      <c r="A84" s="1"/>
      <c r="B84" s="142"/>
      <c r="C84" s="143"/>
      <c r="D84" s="144"/>
      <c r="E84" s="192"/>
      <c r="F84" s="146"/>
      <c r="G84" s="228"/>
      <c r="H84" s="229"/>
      <c r="I84" s="230"/>
      <c r="J84" s="54"/>
      <c r="K84" s="55"/>
      <c r="L84" s="56"/>
      <c r="M84" s="57"/>
      <c r="N84" s="58"/>
      <c r="O84" s="59"/>
      <c r="P84" s="56"/>
      <c r="Q84" s="202"/>
      <c r="R84" s="58"/>
      <c r="S84" s="61"/>
      <c r="T84" s="62"/>
      <c r="U84" s="63"/>
      <c r="V84" s="58"/>
      <c r="W84" s="59"/>
      <c r="X84" s="62"/>
      <c r="Y84" s="63"/>
      <c r="Z84" s="58"/>
      <c r="AA84" s="58"/>
      <c r="AB84" s="59"/>
      <c r="AC84" s="62"/>
      <c r="AD84" s="64"/>
      <c r="AE84" s="63"/>
      <c r="AF84" s="58"/>
      <c r="AG84" s="65"/>
      <c r="AH84" s="59"/>
      <c r="AI84" s="62"/>
      <c r="AJ84" s="63" t="s">
        <v>70</v>
      </c>
      <c r="AK84" s="58"/>
      <c r="AL84" s="59"/>
      <c r="AM84" s="62"/>
      <c r="AN84" s="63" t="s">
        <v>70</v>
      </c>
      <c r="AO84" s="58"/>
      <c r="AP84" s="59"/>
      <c r="AQ84" s="62"/>
      <c r="AR84" s="63"/>
      <c r="AS84" s="58"/>
      <c r="AT84" s="59"/>
      <c r="AU84" s="62"/>
      <c r="AV84" s="63"/>
      <c r="AW84" s="58"/>
      <c r="AX84" s="59"/>
      <c r="AY84" s="62"/>
      <c r="AZ84" s="63"/>
      <c r="BA84" s="58"/>
      <c r="BB84" s="59"/>
      <c r="BC84" s="62"/>
      <c r="BD84" s="63"/>
      <c r="BE84" s="58"/>
      <c r="BF84" s="59"/>
      <c r="BG84" s="203"/>
      <c r="BH84" s="63"/>
      <c r="BI84" s="58"/>
      <c r="BJ84" s="61"/>
      <c r="BK84" s="66"/>
      <c r="BL84" s="67"/>
      <c r="BM84" s="67"/>
      <c r="BN84" s="68"/>
      <c r="BO84" s="69"/>
      <c r="BP84" s="70"/>
      <c r="BQ84" s="71"/>
      <c r="BR84" s="3"/>
      <c r="BS84" s="3"/>
      <c r="BT84" s="3"/>
      <c r="BU84" s="3"/>
      <c r="BV84" s="3"/>
      <c r="BW84" s="3"/>
    </row>
    <row r="85" ht="15.75" customHeight="1">
      <c r="A85" s="1"/>
      <c r="B85" s="142">
        <v>12.0</v>
      </c>
      <c r="C85" s="143" t="s">
        <v>93</v>
      </c>
      <c r="D85" s="144"/>
      <c r="E85" s="192"/>
      <c r="F85" s="146"/>
      <c r="G85" s="228">
        <v>1.776575282001109E7</v>
      </c>
      <c r="H85" s="229">
        <v>181714.0</v>
      </c>
      <c r="I85" s="230">
        <v>97.76766138003175</v>
      </c>
      <c r="J85" s="72" t="s">
        <v>64</v>
      </c>
      <c r="K85" s="73"/>
      <c r="L85" s="74" t="s">
        <v>63</v>
      </c>
      <c r="M85" s="75" t="s">
        <v>63</v>
      </c>
      <c r="N85" s="76" t="s">
        <v>63</v>
      </c>
      <c r="O85" s="77" t="s">
        <v>65</v>
      </c>
      <c r="P85" s="74" t="s">
        <v>63</v>
      </c>
      <c r="Q85" s="204" t="s">
        <v>63</v>
      </c>
      <c r="R85" s="76" t="s">
        <v>63</v>
      </c>
      <c r="S85" s="79" t="s">
        <v>65</v>
      </c>
      <c r="T85" s="80">
        <v>0.025</v>
      </c>
      <c r="U85" s="81">
        <f>U86/(BK86-(L86 + P86))</f>
        <v>0.03731173259</v>
      </c>
      <c r="V85" s="76" t="s">
        <v>63</v>
      </c>
      <c r="W85" s="77" t="s">
        <v>65</v>
      </c>
      <c r="X85" s="80">
        <v>0.025</v>
      </c>
      <c r="Y85" s="81">
        <f>Y86/(BK86-(L86+P86))</f>
        <v>0.02815956264</v>
      </c>
      <c r="Z85" s="76"/>
      <c r="AA85" s="76" t="s">
        <v>63</v>
      </c>
      <c r="AB85" s="77" t="s">
        <v>65</v>
      </c>
      <c r="AC85" s="80">
        <v>0.04</v>
      </c>
      <c r="AD85" s="82"/>
      <c r="AE85" s="81">
        <f>AE86/(BK86-(L86+P86))</f>
        <v>0.01618314963</v>
      </c>
      <c r="AF85" s="76" t="s">
        <v>63</v>
      </c>
      <c r="AG85" s="83"/>
      <c r="AH85" s="77" t="s">
        <v>65</v>
      </c>
      <c r="AI85" s="80">
        <v>0.06</v>
      </c>
      <c r="AJ85" s="81">
        <v>0.02300665913890263</v>
      </c>
      <c r="AK85" s="76" t="s">
        <v>63</v>
      </c>
      <c r="AL85" s="77" t="s">
        <v>65</v>
      </c>
      <c r="AM85" s="80">
        <v>0.08</v>
      </c>
      <c r="AN85" s="81">
        <v>0.012821805903862858</v>
      </c>
      <c r="AO85" s="76" t="s">
        <v>63</v>
      </c>
      <c r="AP85" s="77" t="s">
        <v>65</v>
      </c>
      <c r="AQ85" s="80">
        <v>0.13</v>
      </c>
      <c r="AR85" s="81">
        <f>AR86/(BK86-(L86+P86))</f>
        <v>0</v>
      </c>
      <c r="AS85" s="76" t="s">
        <v>63</v>
      </c>
      <c r="AT85" s="77" t="s">
        <v>65</v>
      </c>
      <c r="AU85" s="80">
        <v>0.13</v>
      </c>
      <c r="AV85" s="81">
        <f>AV86/(BK86-(L86+P86))</f>
        <v>0</v>
      </c>
      <c r="AW85" s="76" t="s">
        <v>63</v>
      </c>
      <c r="AX85" s="77" t="s">
        <v>65</v>
      </c>
      <c r="AY85" s="80">
        <v>0.15</v>
      </c>
      <c r="AZ85" s="81">
        <f>AZ86/(BK86-(L86+P86))</f>
        <v>0</v>
      </c>
      <c r="BA85" s="76" t="s">
        <v>63</v>
      </c>
      <c r="BB85" s="77" t="s">
        <v>65</v>
      </c>
      <c r="BC85" s="80">
        <v>0.19</v>
      </c>
      <c r="BD85" s="81">
        <f>BD86/(BK86-(L86+P86))</f>
        <v>0</v>
      </c>
      <c r="BE85" s="76" t="s">
        <v>63</v>
      </c>
      <c r="BF85" s="77" t="s">
        <v>65</v>
      </c>
      <c r="BG85" s="205">
        <v>0.17</v>
      </c>
      <c r="BH85" s="81">
        <f>BH86/(BK86-(L86+P86))</f>
        <v>0</v>
      </c>
      <c r="BI85" s="76" t="s">
        <v>63</v>
      </c>
      <c r="BJ85" s="79" t="s">
        <v>65</v>
      </c>
      <c r="BK85" s="84">
        <f>SUM(T85,X85,AC85,AI85,AM85,AQ85,AU85,AY85,BC85,BG85)</f>
        <v>1</v>
      </c>
      <c r="BL85" s="85">
        <f>SUM(T85,X85,AC85,AI85)</f>
        <v>0.15</v>
      </c>
      <c r="BM85" s="86">
        <f>SUM(T85,X85,AC85,AI85,AM85)</f>
        <v>0.23</v>
      </c>
      <c r="BN85" s="87">
        <f>SUM(U85,Y85,AE85,AJ85,AN85,AR85,AV85,AZ85,BD85,BH85)</f>
        <v>0.1174829099</v>
      </c>
      <c r="BO85" s="88"/>
      <c r="BP85" s="89" t="s">
        <v>63</v>
      </c>
      <c r="BQ85" s="71"/>
      <c r="BR85" s="3"/>
      <c r="BS85" s="3"/>
      <c r="BT85" s="3"/>
      <c r="BU85" s="3"/>
      <c r="BV85" s="3"/>
      <c r="BW85" s="3"/>
    </row>
    <row r="86" ht="15.75" customHeight="1">
      <c r="A86" s="1"/>
      <c r="B86" s="142"/>
      <c r="C86" s="143"/>
      <c r="D86" s="144"/>
      <c r="E86" s="192"/>
      <c r="F86" s="146"/>
      <c r="G86" s="147"/>
      <c r="H86" s="148"/>
      <c r="I86" s="149"/>
      <c r="J86" s="72" t="s">
        <v>66</v>
      </c>
      <c r="K86" s="73"/>
      <c r="L86" s="167">
        <v>59138.0</v>
      </c>
      <c r="M86" s="91">
        <v>59722.48</v>
      </c>
      <c r="N86" s="92">
        <f t="shared" ref="N86:N89" si="405">IFERROR(M86-L86,"-")</f>
        <v>584.48</v>
      </c>
      <c r="O86" s="93">
        <f t="shared" ref="O86:O89" si="406">IFERROR(M86/L86-1,"-")</f>
        <v>0.009883323751</v>
      </c>
      <c r="P86" s="167">
        <v>60563.0</v>
      </c>
      <c r="Q86" s="91">
        <v>58634.48</v>
      </c>
      <c r="R86" s="92">
        <f t="shared" ref="R86:R89" si="407">IFERROR(Q86-P86,"-")</f>
        <v>-1928.52</v>
      </c>
      <c r="S86" s="95">
        <f t="shared" ref="S86:S89" si="408">IFERROR(Q86/P86-1,"-")</f>
        <v>-0.0318432046</v>
      </c>
      <c r="T86" s="96">
        <f>($BK$86-($L$86+$P$86))*T85</f>
        <v>52007.475</v>
      </c>
      <c r="U86" s="91">
        <v>77619.56</v>
      </c>
      <c r="V86" s="92">
        <f t="shared" ref="V86:V89" si="409">IFERROR(U86-T86,"-")</f>
        <v>25612.085</v>
      </c>
      <c r="W86" s="93">
        <f t="shared" ref="W86:W89" si="410">IFERROR(U86/T86-1,"-")</f>
        <v>0.4924693037</v>
      </c>
      <c r="X86" s="96">
        <f>($BK$86-($L$86+$P$86))*X85</f>
        <v>52007.475</v>
      </c>
      <c r="Y86" s="91">
        <v>58580.31</v>
      </c>
      <c r="Z86" s="92"/>
      <c r="AA86" s="92">
        <f t="shared" ref="AA86:AA89" si="412">IFERROR(Y86-X86,"-")</f>
        <v>6572.835</v>
      </c>
      <c r="AB86" s="93">
        <f t="shared" ref="AB86:AB89" si="413">IFERROR(Y86/X86-1,"-")</f>
        <v>0.1263825056</v>
      </c>
      <c r="AC86" s="96">
        <f>($BK$86-($L$86+$P$86))*AC85</f>
        <v>83211.96</v>
      </c>
      <c r="AD86" s="98"/>
      <c r="AE86" s="91">
        <v>33665.79</v>
      </c>
      <c r="AF86" s="92">
        <f t="shared" ref="AF86:AF89" si="414">IFERROR(AE86-AC86,"-")</f>
        <v>-49546.17</v>
      </c>
      <c r="AG86" s="99"/>
      <c r="AH86" s="93">
        <f t="shared" ref="AH86:AH89" si="415">IFERROR(AE86/AC86-1,"-")</f>
        <v>-0.5954212592</v>
      </c>
      <c r="AI86" s="96">
        <f>($BK$86-($L$86+$P$86))*AI85</f>
        <v>124817.94</v>
      </c>
      <c r="AJ86" s="100">
        <v>47860.73</v>
      </c>
      <c r="AK86" s="92">
        <f t="shared" ref="AK86:AK89" si="416">IFERROR(AJ86-AI86,"-")</f>
        <v>-76957.21</v>
      </c>
      <c r="AL86" s="93">
        <f t="shared" ref="AL86:AL89" si="417">IFERROR(AJ86/AI86-1,"-")</f>
        <v>-0.616555681</v>
      </c>
      <c r="AM86" s="96">
        <f>($BK$86-($L$86+$P$86))*AM85</f>
        <v>166423.92</v>
      </c>
      <c r="AN86" s="91">
        <v>26673.190000000002</v>
      </c>
      <c r="AO86" s="92">
        <f t="shared" ref="AO86:AO89" si="418">IFERROR(AN86-AM86,"-")</f>
        <v>-139750.73</v>
      </c>
      <c r="AP86" s="93">
        <f t="shared" ref="AP86:AP89" si="419">IFERROR(AN86/AM86-1,"-")</f>
        <v>-0.8397274262</v>
      </c>
      <c r="AQ86" s="96">
        <f>($BK$86-($L$86+$P$86))*AQ85</f>
        <v>270438.87</v>
      </c>
      <c r="AR86" s="91">
        <v>0.0</v>
      </c>
      <c r="AS86" s="92">
        <f t="shared" ref="AS86:AS89" si="420">IFERROR(AR86-AQ86,"-")</f>
        <v>-270438.87</v>
      </c>
      <c r="AT86" s="93">
        <f t="shared" ref="AT86:AT89" si="421">IFERROR(AR86/AQ86-1,"-")</f>
        <v>-1</v>
      </c>
      <c r="AU86" s="96">
        <f>($BK$86-($L$86+$P$86))*AU85</f>
        <v>270438.87</v>
      </c>
      <c r="AV86" s="91">
        <v>0.0</v>
      </c>
      <c r="AW86" s="92">
        <f t="shared" ref="AW86:AW89" si="422">IFERROR(AV86-AU86,"-")</f>
        <v>-270438.87</v>
      </c>
      <c r="AX86" s="93">
        <f t="shared" ref="AX86:AX89" si="423">IFERROR(AV86/AU86-1,"-")</f>
        <v>-1</v>
      </c>
      <c r="AY86" s="96">
        <f>($BK$86-($L$86+$P$86))*AY85</f>
        <v>312044.85</v>
      </c>
      <c r="AZ86" s="91">
        <v>0.0</v>
      </c>
      <c r="BA86" s="92">
        <f t="shared" ref="BA86:BA89" si="424">IFERROR(AZ86-AY86,"-")</f>
        <v>-312044.85</v>
      </c>
      <c r="BB86" s="93">
        <f t="shared" ref="BB86:BB89" si="425">IFERROR(AZ86/AY86-1,"-")</f>
        <v>-1</v>
      </c>
      <c r="BC86" s="96">
        <f>($BK$86-($L$86+$P$86))*BC85</f>
        <v>395256.81</v>
      </c>
      <c r="BD86" s="91">
        <v>0.0</v>
      </c>
      <c r="BE86" s="92">
        <f t="shared" ref="BE86:BE89" si="426">IFERROR(BD86-BC86,"-")</f>
        <v>-395256.81</v>
      </c>
      <c r="BF86" s="93">
        <f t="shared" ref="BF86:BF89" si="427">IFERROR(BD86/BC86-1,"-")</f>
        <v>-1</v>
      </c>
      <c r="BG86" s="91">
        <f>($BK$86-($L$86+$P$86))*BG85</f>
        <v>353650.83</v>
      </c>
      <c r="BH86" s="91">
        <v>0.0</v>
      </c>
      <c r="BI86" s="92">
        <f t="shared" ref="BI86:BI89" si="428">IFERROR(BH86-BG86,"-")</f>
        <v>-353650.83</v>
      </c>
      <c r="BJ86" s="95">
        <f t="shared" ref="BJ86:BJ89" si="429">IFERROR(BH86/BG86-1,"-")</f>
        <v>-1</v>
      </c>
      <c r="BK86" s="101">
        <v>2200000.0</v>
      </c>
      <c r="BL86" s="169">
        <f t="shared" ref="BL86:BL87" si="430">SUM(L86,P86,T86,X86,AC86,AI86)</f>
        <v>431745.85</v>
      </c>
      <c r="BM86" s="103">
        <f t="shared" ref="BM86:BM87" si="431">SUM(L86,P86,T86,X86,AC86,AI86,AM86)</f>
        <v>598169.77</v>
      </c>
      <c r="BN86" s="102">
        <f t="shared" ref="BN86:BN87" si="432">SUM(M86,Q86,U86,Y86,AE86,AJ86,AN86,AR86,AV86,AZ86,BD86,BH86)</f>
        <v>362756.54</v>
      </c>
      <c r="BO86" s="104">
        <f t="shared" ref="BO86:BO89" si="433">IFERROR(BN86/BK86-1,"-")</f>
        <v>-0.8351106636</v>
      </c>
      <c r="BP86" s="105">
        <v>294165.0</v>
      </c>
      <c r="BQ86" s="106">
        <f t="shared" ref="BQ86:BQ87" si="434">BK86/BP86</f>
        <v>7.478795914</v>
      </c>
      <c r="BR86" s="3"/>
      <c r="BS86" s="3"/>
      <c r="BT86" s="3"/>
      <c r="BU86" s="3"/>
      <c r="BV86" s="3"/>
      <c r="BW86" s="3"/>
    </row>
    <row r="87" ht="15.75" customHeight="1">
      <c r="A87" s="1"/>
      <c r="B87" s="142"/>
      <c r="C87" s="143"/>
      <c r="D87" s="144"/>
      <c r="E87" s="192"/>
      <c r="F87" s="146"/>
      <c r="G87" s="147"/>
      <c r="H87" s="148"/>
      <c r="I87" s="149"/>
      <c r="J87" s="72" t="s">
        <v>67</v>
      </c>
      <c r="K87" s="107"/>
      <c r="L87" s="171">
        <f>L86/$K$88</f>
        <v>2112.071429</v>
      </c>
      <c r="M87" s="109">
        <v>2023.0</v>
      </c>
      <c r="N87" s="110">
        <f t="shared" si="405"/>
        <v>-89.07142857</v>
      </c>
      <c r="O87" s="93">
        <f t="shared" si="406"/>
        <v>-0.04217254557</v>
      </c>
      <c r="P87" s="171">
        <f>P86/$K$88</f>
        <v>2162.964286</v>
      </c>
      <c r="Q87" s="109">
        <v>2126.0</v>
      </c>
      <c r="R87" s="110">
        <f t="shared" si="407"/>
        <v>-36.96428571</v>
      </c>
      <c r="S87" s="95">
        <f t="shared" si="408"/>
        <v>-0.01708964219</v>
      </c>
      <c r="T87" s="112">
        <f>T86/$K$88</f>
        <v>1857.409821</v>
      </c>
      <c r="U87" s="109">
        <v>2656.0</v>
      </c>
      <c r="V87" s="110">
        <f t="shared" si="409"/>
        <v>798.5901786</v>
      </c>
      <c r="W87" s="93">
        <f t="shared" si="410"/>
        <v>0.4299482911</v>
      </c>
      <c r="X87" s="112">
        <f t="shared" ref="X87:Y87" si="411">X86/$K$88</f>
        <v>1857.409821</v>
      </c>
      <c r="Y87" s="109">
        <f t="shared" si="411"/>
        <v>2092.153929</v>
      </c>
      <c r="Z87" s="110"/>
      <c r="AA87" s="110">
        <f t="shared" si="412"/>
        <v>234.7441071</v>
      </c>
      <c r="AB87" s="93">
        <f t="shared" si="413"/>
        <v>0.1263825056</v>
      </c>
      <c r="AC87" s="112">
        <f>AC86/$K$88</f>
        <v>2971.855714</v>
      </c>
      <c r="AD87" s="113"/>
      <c r="AE87" s="109">
        <v>2253.0</v>
      </c>
      <c r="AF87" s="110">
        <f t="shared" si="414"/>
        <v>-718.8557143</v>
      </c>
      <c r="AG87" s="99"/>
      <c r="AH87" s="93">
        <f t="shared" si="415"/>
        <v>-0.2418878248</v>
      </c>
      <c r="AI87" s="112">
        <f>AI86/$K$88</f>
        <v>4457.783571</v>
      </c>
      <c r="AJ87" s="114">
        <v>2388.0</v>
      </c>
      <c r="AK87" s="110">
        <f t="shared" si="416"/>
        <v>-2069.783571</v>
      </c>
      <c r="AL87" s="93">
        <f t="shared" si="417"/>
        <v>-0.464307775</v>
      </c>
      <c r="AM87" s="112">
        <f>AM86/$K$88</f>
        <v>5943.711429</v>
      </c>
      <c r="AN87" s="109">
        <v>1488.0</v>
      </c>
      <c r="AO87" s="110">
        <f t="shared" si="418"/>
        <v>-4455.711429</v>
      </c>
      <c r="AP87" s="93">
        <f t="shared" si="419"/>
        <v>-0.7496513722</v>
      </c>
      <c r="AQ87" s="112">
        <f>AQ86/$K$88</f>
        <v>9658.531071</v>
      </c>
      <c r="AR87" s="109">
        <v>0.0</v>
      </c>
      <c r="AS87" s="110">
        <f t="shared" si="420"/>
        <v>-9658.531071</v>
      </c>
      <c r="AT87" s="93">
        <f t="shared" si="421"/>
        <v>-1</v>
      </c>
      <c r="AU87" s="112">
        <f>AU86/$K$88</f>
        <v>9658.531071</v>
      </c>
      <c r="AV87" s="109">
        <v>0.0</v>
      </c>
      <c r="AW87" s="110">
        <f t="shared" si="422"/>
        <v>-9658.531071</v>
      </c>
      <c r="AX87" s="93">
        <f t="shared" si="423"/>
        <v>-1</v>
      </c>
      <c r="AY87" s="112">
        <f>AY86/$K$88</f>
        <v>11144.45893</v>
      </c>
      <c r="AZ87" s="109">
        <v>0.0</v>
      </c>
      <c r="BA87" s="110">
        <f t="shared" si="424"/>
        <v>-11144.45893</v>
      </c>
      <c r="BB87" s="93">
        <f t="shared" si="425"/>
        <v>-1</v>
      </c>
      <c r="BC87" s="112">
        <f>BC86/$K$88</f>
        <v>14116.31464</v>
      </c>
      <c r="BD87" s="109">
        <v>0.0</v>
      </c>
      <c r="BE87" s="110">
        <f t="shared" si="426"/>
        <v>-14116.31464</v>
      </c>
      <c r="BF87" s="93">
        <f t="shared" si="427"/>
        <v>-1</v>
      </c>
      <c r="BG87" s="109">
        <f>BG86/$K$88</f>
        <v>12630.38679</v>
      </c>
      <c r="BH87" s="109">
        <v>0.0</v>
      </c>
      <c r="BI87" s="110">
        <f t="shared" si="428"/>
        <v>-12630.38679</v>
      </c>
      <c r="BJ87" s="95">
        <f t="shared" si="429"/>
        <v>-1</v>
      </c>
      <c r="BK87" s="206">
        <f>SUM(L87,P87,T87,X87,AC87,AI87,AM87,AQ87,AU87,AY87,BC87,BG87)</f>
        <v>78571.42857</v>
      </c>
      <c r="BL87" s="173">
        <f t="shared" si="430"/>
        <v>15419.49464</v>
      </c>
      <c r="BM87" s="117">
        <f t="shared" si="431"/>
        <v>21363.20607</v>
      </c>
      <c r="BN87" s="207">
        <f t="shared" si="432"/>
        <v>15026.15393</v>
      </c>
      <c r="BO87" s="104">
        <f t="shared" si="433"/>
        <v>-0.8087580409</v>
      </c>
      <c r="BP87" s="119">
        <v>3683.0</v>
      </c>
      <c r="BQ87" s="106">
        <f t="shared" si="434"/>
        <v>21.3335402</v>
      </c>
      <c r="BR87" s="3"/>
      <c r="BS87" s="3"/>
      <c r="BT87" s="3"/>
      <c r="BU87" s="3"/>
      <c r="BV87" s="3"/>
      <c r="BW87" s="3"/>
    </row>
    <row r="88" ht="15.75" customHeight="1">
      <c r="A88" s="1"/>
      <c r="B88" s="142"/>
      <c r="C88" s="143"/>
      <c r="D88" s="144"/>
      <c r="E88" s="192"/>
      <c r="F88" s="146"/>
      <c r="G88" s="147"/>
      <c r="H88" s="148"/>
      <c r="I88" s="149"/>
      <c r="J88" s="72" t="s">
        <v>68</v>
      </c>
      <c r="K88" s="107">
        <v>28.0</v>
      </c>
      <c r="L88" s="171">
        <f>L86/L87</f>
        <v>28</v>
      </c>
      <c r="M88" s="91">
        <f>IFERROR(M86/M87,"-")</f>
        <v>29.52173999</v>
      </c>
      <c r="N88" s="92">
        <f t="shared" si="405"/>
        <v>1.52173999</v>
      </c>
      <c r="O88" s="93">
        <f t="shared" si="406"/>
        <v>0.05434785679</v>
      </c>
      <c r="P88" s="90">
        <f t="shared" ref="P88:Q88" si="435">IFERROR(P86/P87,"-")</f>
        <v>28</v>
      </c>
      <c r="Q88" s="91">
        <f t="shared" si="435"/>
        <v>27.57971778</v>
      </c>
      <c r="R88" s="92">
        <f t="shared" si="407"/>
        <v>-0.4202822201</v>
      </c>
      <c r="S88" s="95">
        <f t="shared" si="408"/>
        <v>-0.01501007929</v>
      </c>
      <c r="T88" s="112">
        <f>T86/T87</f>
        <v>28</v>
      </c>
      <c r="U88" s="91">
        <f>IFERROR(U86/U87,"-")</f>
        <v>29.22423193</v>
      </c>
      <c r="V88" s="92">
        <f t="shared" si="409"/>
        <v>1.224231928</v>
      </c>
      <c r="W88" s="93">
        <f t="shared" si="410"/>
        <v>0.04372256885</v>
      </c>
      <c r="X88" s="96">
        <f t="shared" ref="X88:Y88" si="436">IFERROR(X86/X87,"-")</f>
        <v>28</v>
      </c>
      <c r="Y88" s="91">
        <f t="shared" si="436"/>
        <v>28</v>
      </c>
      <c r="Z88" s="92"/>
      <c r="AA88" s="92">
        <f t="shared" si="412"/>
        <v>0</v>
      </c>
      <c r="AB88" s="93">
        <f t="shared" si="413"/>
        <v>0</v>
      </c>
      <c r="AC88" s="112">
        <f>AC86/AC87</f>
        <v>28</v>
      </c>
      <c r="AD88" s="98"/>
      <c r="AE88" s="91">
        <f>IFERROR(AE86/AE87,"-")</f>
        <v>14.9426498</v>
      </c>
      <c r="AF88" s="92">
        <f t="shared" si="414"/>
        <v>-13.0573502</v>
      </c>
      <c r="AG88" s="99"/>
      <c r="AH88" s="93">
        <f t="shared" si="415"/>
        <v>-0.4663339357</v>
      </c>
      <c r="AI88" s="112">
        <f>AI86/AI87</f>
        <v>28</v>
      </c>
      <c r="AJ88" s="91">
        <v>20.042181742043553</v>
      </c>
      <c r="AK88" s="92">
        <f t="shared" si="416"/>
        <v>-7.957818258</v>
      </c>
      <c r="AL88" s="93">
        <f t="shared" si="417"/>
        <v>-0.2842077949</v>
      </c>
      <c r="AM88" s="112">
        <f>AM86/AM87</f>
        <v>28</v>
      </c>
      <c r="AN88" s="91">
        <v>17.925530913978495</v>
      </c>
      <c r="AO88" s="92">
        <f t="shared" si="418"/>
        <v>-10.07446909</v>
      </c>
      <c r="AP88" s="93">
        <f t="shared" si="419"/>
        <v>-0.3598024674</v>
      </c>
      <c r="AQ88" s="112">
        <f>AQ86/AQ87</f>
        <v>28</v>
      </c>
      <c r="AR88" s="91" t="str">
        <f>IFERROR(AR86/AR87,"-")</f>
        <v>-</v>
      </c>
      <c r="AS88" s="92" t="str">
        <f t="shared" si="420"/>
        <v>-</v>
      </c>
      <c r="AT88" s="93" t="str">
        <f t="shared" si="421"/>
        <v>-</v>
      </c>
      <c r="AU88" s="112">
        <f>AU86/AU87</f>
        <v>28</v>
      </c>
      <c r="AV88" s="91" t="str">
        <f>IFERROR(AV86/AV87,"-")</f>
        <v>-</v>
      </c>
      <c r="AW88" s="92" t="str">
        <f t="shared" si="422"/>
        <v>-</v>
      </c>
      <c r="AX88" s="93" t="str">
        <f t="shared" si="423"/>
        <v>-</v>
      </c>
      <c r="AY88" s="112">
        <f>AY86/AY87</f>
        <v>28</v>
      </c>
      <c r="AZ88" s="91" t="str">
        <f>IFERROR(AZ86/AZ87,"-")</f>
        <v>-</v>
      </c>
      <c r="BA88" s="92" t="str">
        <f t="shared" si="424"/>
        <v>-</v>
      </c>
      <c r="BB88" s="93" t="str">
        <f t="shared" si="425"/>
        <v>-</v>
      </c>
      <c r="BC88" s="112">
        <f>BC86/BC87</f>
        <v>28</v>
      </c>
      <c r="BD88" s="91" t="str">
        <f>IFERROR(BD86/BD87,"-")</f>
        <v>-</v>
      </c>
      <c r="BE88" s="92" t="str">
        <f t="shared" si="426"/>
        <v>-</v>
      </c>
      <c r="BF88" s="93" t="str">
        <f t="shared" si="427"/>
        <v>-</v>
      </c>
      <c r="BG88" s="109">
        <f>BG86/BG87</f>
        <v>28</v>
      </c>
      <c r="BH88" s="91" t="str">
        <f>IFERROR(BH86/BH87,"-")</f>
        <v>-</v>
      </c>
      <c r="BI88" s="92" t="str">
        <f t="shared" si="428"/>
        <v>-</v>
      </c>
      <c r="BJ88" s="95" t="str">
        <f t="shared" si="429"/>
        <v>-</v>
      </c>
      <c r="BK88" s="120">
        <f>BK86/BK87</f>
        <v>28</v>
      </c>
      <c r="BL88" s="176">
        <f t="shared" ref="BL88:BM88" si="437">IFERROR(BL86/BL87,"-")</f>
        <v>28</v>
      </c>
      <c r="BM88" s="122">
        <f t="shared" si="437"/>
        <v>28</v>
      </c>
      <c r="BN88" s="209">
        <f>BN86/BN87</f>
        <v>24.14167602</v>
      </c>
      <c r="BO88" s="104">
        <f t="shared" si="433"/>
        <v>-0.1377972849</v>
      </c>
      <c r="BP88" s="119">
        <f>BP86/BP87</f>
        <v>79.87102905</v>
      </c>
      <c r="BQ88" s="106">
        <f>BK88/BP88-1</f>
        <v>-0.649434841</v>
      </c>
      <c r="BR88" s="3"/>
      <c r="BS88" s="3"/>
      <c r="BT88" s="3"/>
      <c r="BU88" s="3"/>
      <c r="BV88" s="3"/>
      <c r="BW88" s="3"/>
    </row>
    <row r="89" ht="15.75" customHeight="1">
      <c r="A89" s="1"/>
      <c r="B89" s="142"/>
      <c r="C89" s="143"/>
      <c r="D89" s="144"/>
      <c r="E89" s="192"/>
      <c r="F89" s="146"/>
      <c r="G89" s="147"/>
      <c r="H89" s="148"/>
      <c r="I89" s="149"/>
      <c r="J89" s="124" t="s">
        <v>69</v>
      </c>
      <c r="K89" s="125">
        <v>0.03</v>
      </c>
      <c r="L89" s="132">
        <f t="shared" ref="L89:M89" si="438">MIN(L86, 650000) * 0.03 +
 MAX(0, MIN(L86, 2500000) - 650000) * 0.025 +
 MAX(0, MIN(L86, 4500000) - 2500000) * 0.0225 +
 MAX(0, MIN(L86, 7500000) - 4500000) * 0.02 +
 MAX(0, MIN(L86, 11500000) - 7500000) * 0.015 +
 MAX(0, L86 - 11500000) * 0.01</f>
        <v>1774.14</v>
      </c>
      <c r="M89" s="127">
        <f t="shared" si="438"/>
        <v>1791.6744</v>
      </c>
      <c r="N89" s="128">
        <f t="shared" si="405"/>
        <v>17.5344</v>
      </c>
      <c r="O89" s="129">
        <f t="shared" si="406"/>
        <v>0.009883323751</v>
      </c>
      <c r="P89" s="132">
        <f t="shared" ref="P89:Q89" si="439">MIN(P86, 650000) * 0.03 +
 MAX(0, MIN(P86, 2500000) - 650000) * 0.025 +
 MAX(0, MIN(P86, 4500000) - 2500000) * 0.0225 +
 MAX(0, MIN(P86, 7500000) - 4500000) * 0.02 +
 MAX(0, MIN(P86, 11500000) - 7500000) * 0.015 +
 MAX(0, P86 - 11500000) * 0.01</f>
        <v>1816.89</v>
      </c>
      <c r="Q89" s="127">
        <f t="shared" si="439"/>
        <v>1759.0344</v>
      </c>
      <c r="R89" s="128">
        <f t="shared" si="407"/>
        <v>-57.8556</v>
      </c>
      <c r="S89" s="131">
        <f t="shared" si="408"/>
        <v>-0.0318432046</v>
      </c>
      <c r="T89" s="132">
        <f t="shared" ref="T89:U89" si="440">MIN(T86, 650000) * 0.03 +
 MAX(0, MIN(T86, 2500000) - 650000) * 0.025 +
 MAX(0, MIN(T86, 4500000) - 2500000) * 0.0225 +
 MAX(0, MIN(T86, 7500000) - 4500000) * 0.02 +
 MAX(0, MIN(T86, 11500000) - 7500000) * 0.015 +
 MAX(0, T86 - 11500000) * 0.01</f>
        <v>1560.22425</v>
      </c>
      <c r="U89" s="127">
        <f t="shared" si="440"/>
        <v>2328.5868</v>
      </c>
      <c r="V89" s="128">
        <f t="shared" si="409"/>
        <v>768.36255</v>
      </c>
      <c r="W89" s="129">
        <f t="shared" si="410"/>
        <v>0.4924693037</v>
      </c>
      <c r="X89" s="132">
        <f t="shared" ref="X89:Y89" si="441">MIN(X86, 650000) * 0.03 +
 MAX(0, MIN(X86, 2500000) - 650000) * 0.025 +
 MAX(0, MIN(X86, 4500000) - 2500000) * 0.0225 +
 MAX(0, MIN(X86, 7500000) - 4500000) * 0.02 +
 MAX(0, MIN(X86, 11500000) - 7500000) * 0.015 +
 MAX(0, X86 - 11500000) * 0.01</f>
        <v>1560.22425</v>
      </c>
      <c r="Y89" s="127">
        <f t="shared" si="441"/>
        <v>1757.4093</v>
      </c>
      <c r="Z89" s="128"/>
      <c r="AA89" s="128">
        <f t="shared" si="412"/>
        <v>197.18505</v>
      </c>
      <c r="AB89" s="129">
        <f t="shared" si="413"/>
        <v>0.1263825056</v>
      </c>
      <c r="AC89" s="132">
        <f>MIN(AC86, 650000) * 0.03 +
 MAX(0, MIN(AC86, 2500000) - 650000) * 0.025 +
 MAX(0, MIN(AC86, 4500000) - 2500000) * 0.0225 +
 MAX(0, MIN(AC86, 7500000) - 4500000) * 0.02 +
 MAX(0, MIN(AC86, 11500000) - 7500000) * 0.015 +
 MAX(0, AC86 - 11500000) * 0.01</f>
        <v>2496.3588</v>
      </c>
      <c r="AD89" s="180"/>
      <c r="AE89" s="127">
        <f>MIN(AE86, 650000) * 0.03 +
 MAX(0, MIN(AE86, 2500000) - 650000) * 0.025 +
 MAX(0, MIN(AE86, 4500000) - 2500000) * 0.0225 +
 MAX(0, MIN(AE86, 7500000) - 4500000) * 0.02 +
 MAX(0, MIN(AE86, 11500000) - 7500000) * 0.015 +
 MAX(0, AE86 - 11500000) * 0.01</f>
        <v>1009.9737</v>
      </c>
      <c r="AF89" s="128">
        <f t="shared" si="414"/>
        <v>-1486.3851</v>
      </c>
      <c r="AG89" s="134"/>
      <c r="AH89" s="129">
        <f t="shared" si="415"/>
        <v>-0.5954212592</v>
      </c>
      <c r="AI89" s="132">
        <f>MIN(AI86, 650000) * 0.03 +
 MAX(0, MIN(AI86, 2500000) - 650000) * 0.025 +
 MAX(0, MIN(AI86, 4500000) - 2500000) * 0.0225 +
 MAX(0, MIN(AI86, 7500000) - 4500000) * 0.02 +
 MAX(0, MIN(AI86, 11500000) - 7500000) * 0.015 +
 MAX(0, AI86 - 11500000) * 0.01</f>
        <v>3744.5382</v>
      </c>
      <c r="AJ89" s="127">
        <v>1435.8219000000001</v>
      </c>
      <c r="AK89" s="128">
        <f t="shared" si="416"/>
        <v>-2308.7163</v>
      </c>
      <c r="AL89" s="129">
        <f t="shared" si="417"/>
        <v>-0.616555681</v>
      </c>
      <c r="AM89" s="132">
        <f>MIN(AM86, 650000) * 0.03 +
 MAX(0, MIN(AM86, 2500000) - 650000) * 0.025 +
 MAX(0, MIN(AM86, 4500000) - 2500000) * 0.0225 +
 MAX(0, MIN(AM86, 7500000) - 4500000) * 0.02 +
 MAX(0, MIN(AM86, 11500000) - 7500000) * 0.015 +
 MAX(0, AM86 - 11500000) * 0.01</f>
        <v>4992.7176</v>
      </c>
      <c r="AN89" s="127">
        <v>800.1957</v>
      </c>
      <c r="AO89" s="128">
        <f t="shared" si="418"/>
        <v>-4192.5219</v>
      </c>
      <c r="AP89" s="129">
        <f t="shared" si="419"/>
        <v>-0.8397274262</v>
      </c>
      <c r="AQ89" s="132">
        <f t="shared" ref="AQ89:AR89" si="442">MIN(AQ86, 650000) * 0.03 +
 MAX(0, MIN(AQ86, 2500000) - 650000) * 0.025 +
 MAX(0, MIN(AQ86, 4500000) - 2500000) * 0.0225 +
 MAX(0, MIN(AQ86, 7500000) - 4500000) * 0.02 +
 MAX(0, MIN(AQ86, 11500000) - 7500000) * 0.015 +
 MAX(0, AQ86 - 11500000) * 0.01</f>
        <v>8113.1661</v>
      </c>
      <c r="AR89" s="127">
        <f t="shared" si="442"/>
        <v>0</v>
      </c>
      <c r="AS89" s="128">
        <f t="shared" si="420"/>
        <v>-8113.1661</v>
      </c>
      <c r="AT89" s="129">
        <f t="shared" si="421"/>
        <v>-1</v>
      </c>
      <c r="AU89" s="132">
        <f t="shared" ref="AU89:AV89" si="443">MIN(AU86, 650000) * 0.03 +
 MAX(0, MIN(AU86, 2500000) - 650000) * 0.025 +
 MAX(0, MIN(AU86, 4500000) - 2500000) * 0.0225 +
 MAX(0, MIN(AU86, 7500000) - 4500000) * 0.02 +
 MAX(0, MIN(AU86, 11500000) - 7500000) * 0.015 +
 MAX(0, AU86 - 11500000) * 0.01</f>
        <v>8113.1661</v>
      </c>
      <c r="AV89" s="127">
        <f t="shared" si="443"/>
        <v>0</v>
      </c>
      <c r="AW89" s="128">
        <f t="shared" si="422"/>
        <v>-8113.1661</v>
      </c>
      <c r="AX89" s="129">
        <f t="shared" si="423"/>
        <v>-1</v>
      </c>
      <c r="AY89" s="132">
        <f t="shared" ref="AY89:AZ89" si="444">MIN(AY86, 650000) * 0.03 +
 MAX(0, MIN(AY86, 2500000) - 650000) * 0.025 +
 MAX(0, MIN(AY86, 4500000) - 2500000) * 0.0225 +
 MAX(0, MIN(AY86, 7500000) - 4500000) * 0.02 +
 MAX(0, MIN(AY86, 11500000) - 7500000) * 0.015 +
 MAX(0, AY86 - 11500000) * 0.01</f>
        <v>9361.3455</v>
      </c>
      <c r="AZ89" s="127">
        <f t="shared" si="444"/>
        <v>0</v>
      </c>
      <c r="BA89" s="128">
        <f t="shared" si="424"/>
        <v>-9361.3455</v>
      </c>
      <c r="BB89" s="129">
        <f t="shared" si="425"/>
        <v>-1</v>
      </c>
      <c r="BC89" s="132">
        <f t="shared" ref="BC89:BD89" si="445">MIN(BC86, 650000) * 0.03 +
 MAX(0, MIN(BC86, 2500000) - 650000) * 0.025 +
 MAX(0, MIN(BC86, 4500000) - 2500000) * 0.0225 +
 MAX(0, MIN(BC86, 7500000) - 4500000) * 0.02 +
 MAX(0, MIN(BC86, 11500000) - 7500000) * 0.015 +
 MAX(0, BC86 - 11500000) * 0.01</f>
        <v>11857.7043</v>
      </c>
      <c r="BD89" s="127">
        <f t="shared" si="445"/>
        <v>0</v>
      </c>
      <c r="BE89" s="128">
        <f t="shared" si="426"/>
        <v>-11857.7043</v>
      </c>
      <c r="BF89" s="129">
        <f t="shared" si="427"/>
        <v>-1</v>
      </c>
      <c r="BG89" s="127">
        <f t="shared" ref="BG89:BH89" si="446">MIN(BG86, 650000) * 0.03 +
 MAX(0, MIN(BG86, 2500000) - 650000) * 0.025 +
 MAX(0, MIN(BG86, 4500000) - 2500000) * 0.0225 +
 MAX(0, MIN(BG86, 7500000) - 4500000) * 0.02 +
 MAX(0, MIN(BG86, 11500000) - 7500000) * 0.015 +
 MAX(0, BG86 - 11500000) * 0.01</f>
        <v>10609.5249</v>
      </c>
      <c r="BH89" s="127">
        <f t="shared" si="446"/>
        <v>0</v>
      </c>
      <c r="BI89" s="128">
        <f t="shared" si="428"/>
        <v>-10609.5249</v>
      </c>
      <c r="BJ89" s="131">
        <f t="shared" si="429"/>
        <v>-1</v>
      </c>
      <c r="BK89" s="135">
        <f>SUM(L89,P89,T89,X89,AC89,AI89,AM89,AQ89,AU89,AY89,BC89,BG89)</f>
        <v>66000</v>
      </c>
      <c r="BL89" s="182">
        <f>SUM(L89,P89,T89,X89,AC89,AI89)</f>
        <v>12952.3755</v>
      </c>
      <c r="BM89" s="137">
        <f>SUM(L89,P89,T89,X89,AC89,AI89,AM89)</f>
        <v>17945.0931</v>
      </c>
      <c r="BN89" s="213">
        <f>SUM(M89,Q89,U89,Y89,AE89,AJ89,AN89,AR89,AV89,AZ89,BD89,BH89)</f>
        <v>10882.6962</v>
      </c>
      <c r="BO89" s="139">
        <f t="shared" si="433"/>
        <v>-0.8351106636</v>
      </c>
      <c r="BP89" s="140">
        <f>BP86*0.03+10*299</f>
        <v>11814.95</v>
      </c>
      <c r="BQ89" s="141">
        <f>BK89/BP89</f>
        <v>5.58614298</v>
      </c>
      <c r="BR89" s="3"/>
      <c r="BS89" s="3"/>
      <c r="BT89" s="3"/>
      <c r="BU89" s="3"/>
      <c r="BV89" s="3"/>
      <c r="BW89" s="3"/>
    </row>
    <row r="90" ht="15.75" customHeight="1">
      <c r="A90" s="1"/>
      <c r="B90" s="142"/>
      <c r="C90" s="143"/>
      <c r="D90" s="144"/>
      <c r="E90" s="192"/>
      <c r="F90" s="146"/>
      <c r="G90" s="147"/>
      <c r="H90" s="148"/>
      <c r="I90" s="149"/>
      <c r="J90" s="195"/>
      <c r="K90" s="195"/>
      <c r="L90" s="185"/>
      <c r="M90" s="185"/>
      <c r="N90" s="185"/>
      <c r="P90" s="185"/>
      <c r="Q90" s="214"/>
      <c r="R90" s="185"/>
      <c r="S90" s="185"/>
      <c r="T90" s="185"/>
      <c r="U90" s="185"/>
      <c r="V90" s="185"/>
      <c r="W90" s="185"/>
      <c r="X90" s="186"/>
      <c r="Y90" s="14"/>
      <c r="Z90" s="15"/>
      <c r="AA90" s="15"/>
      <c r="AB90" s="3"/>
      <c r="AC90" s="3"/>
      <c r="AD90" s="3"/>
      <c r="AE90" s="3"/>
      <c r="AF90" s="3"/>
      <c r="AG90" s="3"/>
      <c r="AH90" s="3"/>
      <c r="AI90" s="3"/>
      <c r="AJ90" s="154" t="s">
        <v>70</v>
      </c>
      <c r="AN90" s="154" t="s">
        <v>70</v>
      </c>
      <c r="AY90" s="187"/>
      <c r="AZ90" s="25"/>
      <c r="BA90" s="188"/>
      <c r="BB90" s="25"/>
    </row>
    <row r="91" ht="15.75" customHeight="1">
      <c r="A91" s="1"/>
      <c r="B91" s="142"/>
      <c r="C91" s="143"/>
      <c r="D91" s="144"/>
      <c r="E91" s="192"/>
      <c r="F91" s="146"/>
      <c r="G91" s="147"/>
      <c r="H91" s="148"/>
      <c r="I91" s="149"/>
      <c r="J91" s="34" t="s">
        <v>94</v>
      </c>
      <c r="K91" s="35"/>
      <c r="L91" s="36" t="s">
        <v>10</v>
      </c>
      <c r="M91" s="37" t="s">
        <v>11</v>
      </c>
      <c r="N91" s="38" t="s">
        <v>12</v>
      </c>
      <c r="O91" s="39" t="s">
        <v>13</v>
      </c>
      <c r="P91" s="157" t="s">
        <v>14</v>
      </c>
      <c r="Q91" s="199" t="s">
        <v>15</v>
      </c>
      <c r="R91" s="38" t="s">
        <v>16</v>
      </c>
      <c r="S91" s="42" t="s">
        <v>17</v>
      </c>
      <c r="T91" s="43" t="s">
        <v>18</v>
      </c>
      <c r="U91" s="199" t="s">
        <v>95</v>
      </c>
      <c r="V91" s="38" t="s">
        <v>20</v>
      </c>
      <c r="W91" s="45" t="s">
        <v>96</v>
      </c>
      <c r="X91" s="44" t="s">
        <v>22</v>
      </c>
      <c r="Y91" s="199" t="s">
        <v>97</v>
      </c>
      <c r="Z91" s="38"/>
      <c r="AA91" s="38" t="s">
        <v>24</v>
      </c>
      <c r="AB91" s="45" t="s">
        <v>96</v>
      </c>
      <c r="AC91" s="43" t="s">
        <v>26</v>
      </c>
      <c r="AD91" s="200"/>
      <c r="AE91" s="199" t="s">
        <v>27</v>
      </c>
      <c r="AF91" s="38" t="s">
        <v>28</v>
      </c>
      <c r="AG91" s="47"/>
      <c r="AH91" s="45" t="s">
        <v>29</v>
      </c>
      <c r="AI91" s="44" t="s">
        <v>30</v>
      </c>
      <c r="AJ91" s="199" t="s">
        <v>31</v>
      </c>
      <c r="AK91" s="38" t="s">
        <v>32</v>
      </c>
      <c r="AL91" s="45" t="s">
        <v>33</v>
      </c>
      <c r="AM91" s="43" t="s">
        <v>34</v>
      </c>
      <c r="AN91" s="199" t="s">
        <v>35</v>
      </c>
      <c r="AO91" s="38" t="s">
        <v>36</v>
      </c>
      <c r="AP91" s="45" t="s">
        <v>37</v>
      </c>
      <c r="AQ91" s="44" t="s">
        <v>38</v>
      </c>
      <c r="AR91" s="199" t="s">
        <v>39</v>
      </c>
      <c r="AS91" s="38" t="s">
        <v>40</v>
      </c>
      <c r="AT91" s="45" t="s">
        <v>41</v>
      </c>
      <c r="AU91" s="43" t="s">
        <v>42</v>
      </c>
      <c r="AV91" s="199" t="s">
        <v>43</v>
      </c>
      <c r="AW91" s="38" t="s">
        <v>44</v>
      </c>
      <c r="AX91" s="45" t="s">
        <v>45</v>
      </c>
      <c r="AY91" s="44" t="s">
        <v>46</v>
      </c>
      <c r="AZ91" s="199" t="s">
        <v>47</v>
      </c>
      <c r="BA91" s="38" t="s">
        <v>48</v>
      </c>
      <c r="BB91" s="45" t="s">
        <v>49</v>
      </c>
      <c r="BC91" s="43" t="s">
        <v>50</v>
      </c>
      <c r="BD91" s="199" t="s">
        <v>51</v>
      </c>
      <c r="BE91" s="38" t="s">
        <v>52</v>
      </c>
      <c r="BF91" s="45" t="s">
        <v>53</v>
      </c>
      <c r="BG91" s="201" t="s">
        <v>54</v>
      </c>
      <c r="BH91" s="199" t="s">
        <v>55</v>
      </c>
      <c r="BI91" s="38" t="s">
        <v>56</v>
      </c>
      <c r="BJ91" s="42" t="s">
        <v>57</v>
      </c>
      <c r="BK91" s="48" t="s">
        <v>58</v>
      </c>
      <c r="BL91" s="49" t="s">
        <v>72</v>
      </c>
      <c r="BM91" s="49" t="s">
        <v>60</v>
      </c>
      <c r="BN91" s="37" t="s">
        <v>61</v>
      </c>
      <c r="BO91" s="51" t="s">
        <v>62</v>
      </c>
      <c r="BP91" s="52">
        <v>2025.0</v>
      </c>
      <c r="BQ91" s="53"/>
      <c r="BR91" s="3"/>
      <c r="BS91" s="3"/>
      <c r="BT91" s="3"/>
      <c r="BU91" s="3"/>
      <c r="BV91" s="3"/>
      <c r="BW91" s="3"/>
    </row>
    <row r="92" ht="15.75" customHeight="1">
      <c r="A92" s="1"/>
      <c r="B92" s="142"/>
      <c r="C92" s="231"/>
      <c r="D92" s="232"/>
      <c r="E92" s="233"/>
      <c r="F92" s="234"/>
      <c r="G92" s="235"/>
      <c r="H92" s="235"/>
      <c r="I92" s="236"/>
      <c r="J92" s="54"/>
      <c r="K92" s="55"/>
      <c r="L92" s="56"/>
      <c r="M92" s="57"/>
      <c r="N92" s="58"/>
      <c r="O92" s="59"/>
      <c r="P92" s="56"/>
      <c r="Q92" s="202"/>
      <c r="R92" s="58"/>
      <c r="S92" s="61"/>
      <c r="T92" s="62"/>
      <c r="U92" s="63"/>
      <c r="V92" s="58"/>
      <c r="W92" s="59"/>
      <c r="X92" s="62"/>
      <c r="Y92" s="63"/>
      <c r="Z92" s="58"/>
      <c r="AA92" s="58"/>
      <c r="AB92" s="59"/>
      <c r="AC92" s="62"/>
      <c r="AD92" s="64"/>
      <c r="AE92" s="63"/>
      <c r="AF92" s="58"/>
      <c r="AG92" s="65"/>
      <c r="AH92" s="59"/>
      <c r="AI92" s="62"/>
      <c r="AJ92" s="63" t="s">
        <v>70</v>
      </c>
      <c r="AK92" s="58"/>
      <c r="AL92" s="59"/>
      <c r="AM92" s="62"/>
      <c r="AN92" s="63" t="s">
        <v>70</v>
      </c>
      <c r="AO92" s="58"/>
      <c r="AP92" s="59"/>
      <c r="AQ92" s="62"/>
      <c r="AR92" s="63"/>
      <c r="AS92" s="58"/>
      <c r="AT92" s="59"/>
      <c r="AU92" s="62"/>
      <c r="AV92" s="63"/>
      <c r="AW92" s="58"/>
      <c r="AX92" s="59"/>
      <c r="AY92" s="62"/>
      <c r="AZ92" s="63"/>
      <c r="BA92" s="58"/>
      <c r="BB92" s="59"/>
      <c r="BC92" s="62"/>
      <c r="BD92" s="63"/>
      <c r="BE92" s="58"/>
      <c r="BF92" s="59"/>
      <c r="BG92" s="203"/>
      <c r="BH92" s="63"/>
      <c r="BI92" s="58"/>
      <c r="BJ92" s="61"/>
      <c r="BK92" s="66"/>
      <c r="BL92" s="67"/>
      <c r="BM92" s="67"/>
      <c r="BN92" s="68"/>
      <c r="BO92" s="69"/>
      <c r="BP92" s="70"/>
      <c r="BQ92" s="71"/>
      <c r="BR92" s="3"/>
      <c r="BS92" s="3"/>
      <c r="BT92" s="3"/>
      <c r="BU92" s="3"/>
      <c r="BV92" s="3"/>
      <c r="BW92" s="3"/>
    </row>
    <row r="93" ht="15.75" customHeight="1">
      <c r="A93" s="1"/>
      <c r="B93" s="142">
        <v>13.0</v>
      </c>
      <c r="C93" s="231" t="s">
        <v>98</v>
      </c>
      <c r="D93" s="232"/>
      <c r="E93" s="233"/>
      <c r="F93" s="234"/>
      <c r="G93" s="235">
        <v>12323.000000000002</v>
      </c>
      <c r="H93" s="235">
        <v>52.0</v>
      </c>
      <c r="I93" s="236">
        <v>236.98076923076925</v>
      </c>
      <c r="J93" s="72" t="s">
        <v>64</v>
      </c>
      <c r="K93" s="73"/>
      <c r="L93" s="74" t="s">
        <v>63</v>
      </c>
      <c r="M93" s="75" t="s">
        <v>63</v>
      </c>
      <c r="N93" s="76" t="s">
        <v>63</v>
      </c>
      <c r="O93" s="77" t="s">
        <v>65</v>
      </c>
      <c r="P93" s="74" t="s">
        <v>63</v>
      </c>
      <c r="Q93" s="204" t="s">
        <v>63</v>
      </c>
      <c r="R93" s="76" t="s">
        <v>63</v>
      </c>
      <c r="S93" s="79" t="s">
        <v>65</v>
      </c>
      <c r="T93" s="80">
        <v>0.05</v>
      </c>
      <c r="U93" s="81">
        <f>U94/(BK94-(L94 + P94))</f>
        <v>0.08126317218</v>
      </c>
      <c r="V93" s="76" t="s">
        <v>63</v>
      </c>
      <c r="W93" s="77" t="s">
        <v>65</v>
      </c>
      <c r="X93" s="80">
        <v>0.06</v>
      </c>
      <c r="Y93" s="81">
        <f>Y94/(BK94-(L94+P94))</f>
        <v>0.08205400726</v>
      </c>
      <c r="Z93" s="76"/>
      <c r="AA93" s="76" t="s">
        <v>63</v>
      </c>
      <c r="AB93" s="77" t="s">
        <v>65</v>
      </c>
      <c r="AC93" s="80">
        <v>0.08</v>
      </c>
      <c r="AD93" s="82"/>
      <c r="AE93" s="81">
        <f>AE94/(BK94-(L94+P94))</f>
        <v>0.07602764852</v>
      </c>
      <c r="AF93" s="76" t="s">
        <v>63</v>
      </c>
      <c r="AG93" s="83"/>
      <c r="AH93" s="77" t="s">
        <v>65</v>
      </c>
      <c r="AI93" s="80">
        <v>0.08</v>
      </c>
      <c r="AJ93" s="81">
        <v>0.07003529895084076</v>
      </c>
      <c r="AK93" s="76" t="s">
        <v>63</v>
      </c>
      <c r="AL93" s="77" t="s">
        <v>65</v>
      </c>
      <c r="AM93" s="80">
        <v>0.08</v>
      </c>
      <c r="AN93" s="81">
        <v>0.03429153367119442</v>
      </c>
      <c r="AO93" s="76" t="s">
        <v>63</v>
      </c>
      <c r="AP93" s="77" t="s">
        <v>65</v>
      </c>
      <c r="AQ93" s="80">
        <v>0.11</v>
      </c>
      <c r="AR93" s="81">
        <f>AR94/(BK94-(L94+P94))</f>
        <v>0</v>
      </c>
      <c r="AS93" s="76" t="s">
        <v>63</v>
      </c>
      <c r="AT93" s="77" t="s">
        <v>65</v>
      </c>
      <c r="AU93" s="80">
        <v>0.14</v>
      </c>
      <c r="AV93" s="81">
        <f>AV94/(BK94-(L94+P94))</f>
        <v>0</v>
      </c>
      <c r="AW93" s="76" t="s">
        <v>63</v>
      </c>
      <c r="AX93" s="77" t="s">
        <v>65</v>
      </c>
      <c r="AY93" s="80">
        <v>0.14</v>
      </c>
      <c r="AZ93" s="81">
        <f>AZ94/(BK94-(L94+P94))</f>
        <v>0</v>
      </c>
      <c r="BA93" s="76" t="s">
        <v>63</v>
      </c>
      <c r="BB93" s="77" t="s">
        <v>65</v>
      </c>
      <c r="BC93" s="80">
        <v>0.14</v>
      </c>
      <c r="BD93" s="81">
        <f>BD94/(BK94-(L94+P94))</f>
        <v>0</v>
      </c>
      <c r="BE93" s="76" t="s">
        <v>63</v>
      </c>
      <c r="BF93" s="77" t="s">
        <v>65</v>
      </c>
      <c r="BG93" s="205">
        <v>0.12</v>
      </c>
      <c r="BH93" s="81">
        <f>BH94/(BK94-(L94+P94))</f>
        <v>0</v>
      </c>
      <c r="BI93" s="76" t="s">
        <v>63</v>
      </c>
      <c r="BJ93" s="79" t="s">
        <v>65</v>
      </c>
      <c r="BK93" s="84">
        <f>SUM(T93,X93,AC93,AI93,AM93,AQ93,AU93,AY93,BC93,BG93)</f>
        <v>1</v>
      </c>
      <c r="BL93" s="85">
        <f>SUM(T93,X93,AC93,AI93)</f>
        <v>0.27</v>
      </c>
      <c r="BM93" s="86">
        <f>SUM(T93,X93,AC93,AI93,AM93)</f>
        <v>0.35</v>
      </c>
      <c r="BN93" s="87">
        <f>SUM(U93,Y93,AE93,AJ93,AN93,AR93,AV93,AZ93,BD93,BH93)</f>
        <v>0.3436716606</v>
      </c>
      <c r="BO93" s="88"/>
      <c r="BP93" s="89" t="s">
        <v>63</v>
      </c>
      <c r="BQ93" s="71"/>
      <c r="BR93" s="3"/>
      <c r="BS93" s="3"/>
      <c r="BT93" s="3"/>
      <c r="BU93" s="3"/>
      <c r="BV93" s="3"/>
      <c r="BW93" s="3"/>
    </row>
    <row r="94" ht="15.75" customHeight="1">
      <c r="A94" s="1"/>
      <c r="B94" s="142"/>
      <c r="C94" s="143"/>
      <c r="D94" s="144"/>
      <c r="E94" s="192"/>
      <c r="F94" s="146"/>
      <c r="G94" s="147"/>
      <c r="H94" s="148"/>
      <c r="I94" s="149"/>
      <c r="J94" s="72" t="s">
        <v>66</v>
      </c>
      <c r="K94" s="73"/>
      <c r="L94" s="167">
        <v>1433664.0</v>
      </c>
      <c r="M94" s="91">
        <v>1461184.12</v>
      </c>
      <c r="N94" s="92">
        <f t="shared" ref="N94:N97" si="447">IFERROR(M94-L94,"-")</f>
        <v>27520.12</v>
      </c>
      <c r="O94" s="93">
        <f t="shared" ref="O94:O97" si="448">IFERROR(M94/L94-1,"-")</f>
        <v>0.01919565533</v>
      </c>
      <c r="P94" s="167">
        <v>1276587.0</v>
      </c>
      <c r="Q94" s="91">
        <v>1334379.05</v>
      </c>
      <c r="R94" s="92">
        <f t="shared" ref="R94:R97" si="449">IFERROR(Q94-P94,"-")</f>
        <v>57792.05</v>
      </c>
      <c r="S94" s="95">
        <f t="shared" ref="S94:S97" si="450">IFERROR(Q94/P94-1,"-")</f>
        <v>0.04527074927</v>
      </c>
      <c r="T94" s="96">
        <f>($BK$94-($L$94+$P$94))*T93</f>
        <v>864487.45</v>
      </c>
      <c r="U94" s="91">
        <v>1405019.85</v>
      </c>
      <c r="V94" s="92">
        <f t="shared" ref="V94:V97" si="451">IFERROR(U94-T94,"-")</f>
        <v>540532.4</v>
      </c>
      <c r="W94" s="93">
        <f t="shared" ref="W94:W97" si="452">IFERROR(U94/T94-1,"-")</f>
        <v>0.6252634437</v>
      </c>
      <c r="X94" s="96">
        <f>($BK$94-($L$94+$P$94))*X93</f>
        <v>1037384.94</v>
      </c>
      <c r="Y94" s="91">
        <v>1418693.19</v>
      </c>
      <c r="Z94" s="92"/>
      <c r="AA94" s="92">
        <f t="shared" ref="AA94:AA97" si="453">IFERROR(Y94-X94,"-")</f>
        <v>381308.25</v>
      </c>
      <c r="AB94" s="93">
        <f t="shared" ref="AB94:AB97" si="454">IFERROR(Y94/X94-1,"-")</f>
        <v>0.3675667877</v>
      </c>
      <c r="AC94" s="96">
        <f>($BK$94-($L$94+$P$94))*AC93</f>
        <v>1383179.92</v>
      </c>
      <c r="AD94" s="98"/>
      <c r="AE94" s="91">
        <v>1314498.96</v>
      </c>
      <c r="AF94" s="92">
        <f t="shared" ref="AF94:AF97" si="455">IFERROR(AE94-AC94,"-")</f>
        <v>-68680.96</v>
      </c>
      <c r="AG94" s="99"/>
      <c r="AH94" s="93">
        <f t="shared" ref="AH94:AH97" si="456">IFERROR(AE94/AC94-1,"-")</f>
        <v>-0.04965439348</v>
      </c>
      <c r="AI94" s="96">
        <f>($BK$94-($L$94+$P$94))*AI93</f>
        <v>1383179.92</v>
      </c>
      <c r="AJ94" s="100">
        <v>1210892.74</v>
      </c>
      <c r="AK94" s="92">
        <f t="shared" ref="AK94:AK97" si="457">IFERROR(AJ94-AI94,"-")</f>
        <v>-172287.18</v>
      </c>
      <c r="AL94" s="93">
        <f t="shared" ref="AL94:AL97" si="458">IFERROR(AJ94/AI94-1,"-")</f>
        <v>-0.1245587631</v>
      </c>
      <c r="AM94" s="96">
        <f>($BK$94-($L$94+$P$94))*AM93</f>
        <v>1383179.92</v>
      </c>
      <c r="AN94" s="91">
        <v>592892.01</v>
      </c>
      <c r="AO94" s="92">
        <f t="shared" ref="AO94:AO97" si="459">IFERROR(AN94-AM94,"-")</f>
        <v>-790287.91</v>
      </c>
      <c r="AP94" s="93">
        <f t="shared" ref="AP94:AP97" si="460">IFERROR(AN94/AM94-1,"-")</f>
        <v>-0.5713558291</v>
      </c>
      <c r="AQ94" s="96">
        <f>($BK$94-($L$94+$P$94))*AQ93</f>
        <v>1901872.39</v>
      </c>
      <c r="AR94" s="91">
        <v>0.0</v>
      </c>
      <c r="AS94" s="92">
        <f t="shared" ref="AS94:AS97" si="461">IFERROR(AR94-AQ94,"-")</f>
        <v>-1901872.39</v>
      </c>
      <c r="AT94" s="93">
        <f t="shared" ref="AT94:AT97" si="462">IFERROR(AR94/AQ94-1,"-")</f>
        <v>-1</v>
      </c>
      <c r="AU94" s="96">
        <f>($BK$94-($L$94+$P$94))*AU93</f>
        <v>2420564.86</v>
      </c>
      <c r="AV94" s="91">
        <v>0.0</v>
      </c>
      <c r="AW94" s="92">
        <f t="shared" ref="AW94:AW97" si="463">IFERROR(AV94-AU94,"-")</f>
        <v>-2420564.86</v>
      </c>
      <c r="AX94" s="93">
        <f t="shared" ref="AX94:AX97" si="464">IFERROR(AV94/AU94-1,"-")</f>
        <v>-1</v>
      </c>
      <c r="AY94" s="96">
        <f>($BK$94-($L$94+$P$94))*AY93</f>
        <v>2420564.86</v>
      </c>
      <c r="AZ94" s="91">
        <v>0.0</v>
      </c>
      <c r="BA94" s="92">
        <f t="shared" ref="BA94:BA97" si="465">IFERROR(AZ94-AY94,"-")</f>
        <v>-2420564.86</v>
      </c>
      <c r="BB94" s="93">
        <f t="shared" ref="BB94:BB97" si="466">IFERROR(AZ94/AY94-1,"-")</f>
        <v>-1</v>
      </c>
      <c r="BC94" s="96">
        <f>($BK$94-($L$94+$P$94))*BC93</f>
        <v>2420564.86</v>
      </c>
      <c r="BD94" s="91">
        <v>0.0</v>
      </c>
      <c r="BE94" s="92">
        <f t="shared" ref="BE94:BE97" si="467">IFERROR(BD94-BC94,"-")</f>
        <v>-2420564.86</v>
      </c>
      <c r="BF94" s="93">
        <f t="shared" ref="BF94:BF97" si="468">IFERROR(BD94/BC94-1,"-")</f>
        <v>-1</v>
      </c>
      <c r="BG94" s="91">
        <f>($BK$94-($L$94+$P$94))*BG93</f>
        <v>2074769.88</v>
      </c>
      <c r="BH94" s="91">
        <v>0.0</v>
      </c>
      <c r="BI94" s="92">
        <f t="shared" ref="BI94:BI97" si="469">IFERROR(BH94-BG94,"-")</f>
        <v>-2074769.88</v>
      </c>
      <c r="BJ94" s="95">
        <f t="shared" ref="BJ94:BJ97" si="470">IFERROR(BH94/BG94-1,"-")</f>
        <v>-1</v>
      </c>
      <c r="BK94" s="101">
        <v>2.0E7</v>
      </c>
      <c r="BL94" s="169">
        <f t="shared" ref="BL94:BL95" si="471">SUM(L94,P94,T94,X94,AC94,AI94)</f>
        <v>7378483.23</v>
      </c>
      <c r="BM94" s="103">
        <f t="shared" ref="BM94:BM95" si="472">SUM(L94,P94,T94,X94,AC94,AI94,AM94)</f>
        <v>8761663.15</v>
      </c>
      <c r="BN94" s="102">
        <f t="shared" ref="BN94:BN95" si="473">SUM(M94,Q94,U94,Y94,AE94,AJ94,AN94,AR94,AV94,AZ94,BD94,BH94)</f>
        <v>8737559.92</v>
      </c>
      <c r="BO94" s="104">
        <f t="shared" ref="BO94:BO97" si="474">IFERROR(BN94/BK94-1,"-")</f>
        <v>-0.563122004</v>
      </c>
      <c r="BP94" s="237">
        <v>1.7765623E7</v>
      </c>
      <c r="BQ94" s="106">
        <f t="shared" ref="BQ94:BQ95" si="475">BK94/BP94</f>
        <v>1.125769696</v>
      </c>
      <c r="BR94" s="3"/>
      <c r="BS94" s="3"/>
      <c r="BT94" s="3"/>
      <c r="BU94" s="3"/>
      <c r="BV94" s="3"/>
      <c r="BW94" s="3"/>
    </row>
    <row r="95" ht="15.75" customHeight="1">
      <c r="A95" s="1"/>
      <c r="B95" s="142"/>
      <c r="C95" s="143"/>
      <c r="D95" s="144"/>
      <c r="E95" s="192"/>
      <c r="F95" s="146"/>
      <c r="G95" s="147"/>
      <c r="H95" s="148"/>
      <c r="I95" s="149"/>
      <c r="J95" s="72" t="s">
        <v>67</v>
      </c>
      <c r="K95" s="107"/>
      <c r="L95" s="171">
        <f>L94/$K$96</f>
        <v>14336.64</v>
      </c>
      <c r="M95" s="109">
        <v>13489.0</v>
      </c>
      <c r="N95" s="110">
        <f t="shared" si="447"/>
        <v>-847.64</v>
      </c>
      <c r="O95" s="93">
        <f t="shared" si="448"/>
        <v>-0.05912403464</v>
      </c>
      <c r="P95" s="171">
        <f>P94/$K$96</f>
        <v>12765.87</v>
      </c>
      <c r="Q95" s="109">
        <v>12517.0</v>
      </c>
      <c r="R95" s="110">
        <f t="shared" si="449"/>
        <v>-248.87</v>
      </c>
      <c r="S95" s="95">
        <f t="shared" si="450"/>
        <v>-0.01949495021</v>
      </c>
      <c r="T95" s="112">
        <f>T94/$K$96</f>
        <v>8644.8745</v>
      </c>
      <c r="U95" s="109">
        <v>13451.0</v>
      </c>
      <c r="V95" s="110">
        <f t="shared" si="451"/>
        <v>4806.1255</v>
      </c>
      <c r="W95" s="93">
        <f t="shared" si="452"/>
        <v>0.5559508701</v>
      </c>
      <c r="X95" s="112">
        <f>X94/$K$96</f>
        <v>10373.8494</v>
      </c>
      <c r="Y95" s="109">
        <v>13118.0</v>
      </c>
      <c r="Z95" s="110"/>
      <c r="AA95" s="110">
        <f t="shared" si="453"/>
        <v>2744.1506</v>
      </c>
      <c r="AB95" s="93">
        <f t="shared" si="454"/>
        <v>0.2645257796</v>
      </c>
      <c r="AC95" s="112">
        <f>AC94/$K$96</f>
        <v>13831.7992</v>
      </c>
      <c r="AD95" s="113"/>
      <c r="AE95" s="109">
        <v>11622.0</v>
      </c>
      <c r="AF95" s="110">
        <f t="shared" si="455"/>
        <v>-2209.7992</v>
      </c>
      <c r="AG95" s="99"/>
      <c r="AH95" s="93">
        <f t="shared" si="456"/>
        <v>-0.1597622383</v>
      </c>
      <c r="AI95" s="112">
        <f>AI94/$K$96</f>
        <v>13831.7992</v>
      </c>
      <c r="AJ95" s="114">
        <v>10541.0</v>
      </c>
      <c r="AK95" s="110">
        <f t="shared" si="457"/>
        <v>-3290.7992</v>
      </c>
      <c r="AL95" s="93">
        <f t="shared" si="458"/>
        <v>-0.2379154839</v>
      </c>
      <c r="AM95" s="112">
        <f>AM94/$K$96</f>
        <v>13831.7992</v>
      </c>
      <c r="AN95" s="109">
        <v>5255.0</v>
      </c>
      <c r="AO95" s="110">
        <f t="shared" si="459"/>
        <v>-8576.7992</v>
      </c>
      <c r="AP95" s="93">
        <f t="shared" si="460"/>
        <v>-0.6200783482</v>
      </c>
      <c r="AQ95" s="112">
        <f>AQ94/$K$96</f>
        <v>19018.7239</v>
      </c>
      <c r="AR95" s="109">
        <v>0.0</v>
      </c>
      <c r="AS95" s="110">
        <f t="shared" si="461"/>
        <v>-19018.7239</v>
      </c>
      <c r="AT95" s="93">
        <f t="shared" si="462"/>
        <v>-1</v>
      </c>
      <c r="AU95" s="112">
        <f>AU94/$K$96</f>
        <v>24205.6486</v>
      </c>
      <c r="AV95" s="109">
        <v>0.0</v>
      </c>
      <c r="AW95" s="110">
        <f t="shared" si="463"/>
        <v>-24205.6486</v>
      </c>
      <c r="AX95" s="93">
        <f t="shared" si="464"/>
        <v>-1</v>
      </c>
      <c r="AY95" s="112">
        <f>AY94/$K$96</f>
        <v>24205.6486</v>
      </c>
      <c r="AZ95" s="109">
        <v>0.0</v>
      </c>
      <c r="BA95" s="110">
        <f t="shared" si="465"/>
        <v>-24205.6486</v>
      </c>
      <c r="BB95" s="93">
        <f t="shared" si="466"/>
        <v>-1</v>
      </c>
      <c r="BC95" s="112">
        <f>BC94/$K$96</f>
        <v>24205.6486</v>
      </c>
      <c r="BD95" s="109">
        <v>0.0</v>
      </c>
      <c r="BE95" s="110">
        <f t="shared" si="467"/>
        <v>-24205.6486</v>
      </c>
      <c r="BF95" s="93">
        <f t="shared" si="468"/>
        <v>-1</v>
      </c>
      <c r="BG95" s="109">
        <f>BG94/$K$96</f>
        <v>20747.6988</v>
      </c>
      <c r="BH95" s="109">
        <v>0.0</v>
      </c>
      <c r="BI95" s="110">
        <f t="shared" si="469"/>
        <v>-20747.6988</v>
      </c>
      <c r="BJ95" s="95">
        <f t="shared" si="470"/>
        <v>-1</v>
      </c>
      <c r="BK95" s="206">
        <f>SUM(L95,P95,T95,X95,AC95,AI95,AM95,AQ95,AU95,AY95,BC95,BG95)</f>
        <v>200000</v>
      </c>
      <c r="BL95" s="173">
        <f t="shared" si="471"/>
        <v>73784.8323</v>
      </c>
      <c r="BM95" s="117">
        <f t="shared" si="472"/>
        <v>87616.6315</v>
      </c>
      <c r="BN95" s="207">
        <f t="shared" si="473"/>
        <v>79993</v>
      </c>
      <c r="BO95" s="104">
        <f t="shared" si="474"/>
        <v>-0.600035</v>
      </c>
      <c r="BP95" s="119">
        <v>181712.0</v>
      </c>
      <c r="BQ95" s="106">
        <f t="shared" si="475"/>
        <v>1.100642775</v>
      </c>
      <c r="BR95" s="3"/>
      <c r="BS95" s="3"/>
      <c r="BT95" s="3"/>
      <c r="BU95" s="3"/>
      <c r="BV95" s="3"/>
      <c r="BW95" s="3"/>
    </row>
    <row r="96" ht="15.75" customHeight="1">
      <c r="A96" s="1"/>
      <c r="B96" s="142"/>
      <c r="C96" s="143"/>
      <c r="D96" s="144"/>
      <c r="E96" s="192"/>
      <c r="F96" s="146"/>
      <c r="G96" s="147"/>
      <c r="H96" s="148"/>
      <c r="I96" s="149"/>
      <c r="J96" s="72" t="s">
        <v>68</v>
      </c>
      <c r="K96" s="107">
        <v>100.0</v>
      </c>
      <c r="L96" s="171">
        <f>L94/L95</f>
        <v>100</v>
      </c>
      <c r="M96" s="91">
        <f>IFERROR(M94/M95,"-")</f>
        <v>108.3241248</v>
      </c>
      <c r="N96" s="92">
        <f t="shared" si="447"/>
        <v>8.324124842</v>
      </c>
      <c r="O96" s="93">
        <f t="shared" si="448"/>
        <v>0.08324124842</v>
      </c>
      <c r="P96" s="90">
        <f t="shared" ref="P96:Q96" si="476">IFERROR(P94/P95,"-")</f>
        <v>100</v>
      </c>
      <c r="Q96" s="91">
        <f t="shared" si="476"/>
        <v>106.6053407</v>
      </c>
      <c r="R96" s="92">
        <f t="shared" si="449"/>
        <v>6.605340737</v>
      </c>
      <c r="S96" s="95">
        <f t="shared" si="450"/>
        <v>0.06605340737</v>
      </c>
      <c r="T96" s="112">
        <f>T94/T95</f>
        <v>100</v>
      </c>
      <c r="U96" s="91">
        <f>IFERROR(U94/U95,"-")</f>
        <v>104.4546762</v>
      </c>
      <c r="V96" s="92">
        <f t="shared" si="451"/>
        <v>4.454676232</v>
      </c>
      <c r="W96" s="93">
        <f t="shared" si="452"/>
        <v>0.04454676232</v>
      </c>
      <c r="X96" s="96">
        <f t="shared" ref="X96:Y96" si="477">IFERROR(X94/X95,"-")</f>
        <v>100</v>
      </c>
      <c r="Y96" s="91">
        <f t="shared" si="477"/>
        <v>108.148589</v>
      </c>
      <c r="Z96" s="92"/>
      <c r="AA96" s="92">
        <f t="shared" si="453"/>
        <v>8.148588962</v>
      </c>
      <c r="AB96" s="93">
        <f t="shared" si="454"/>
        <v>0.08148588962</v>
      </c>
      <c r="AC96" s="112">
        <f>AC94/AC95</f>
        <v>100</v>
      </c>
      <c r="AD96" s="98"/>
      <c r="AE96" s="91">
        <f>IFERROR(AE94/AE95,"-")</f>
        <v>113.1043676</v>
      </c>
      <c r="AF96" s="92">
        <f t="shared" si="455"/>
        <v>13.10436758</v>
      </c>
      <c r="AG96" s="99"/>
      <c r="AH96" s="93">
        <f t="shared" si="456"/>
        <v>0.1310436758</v>
      </c>
      <c r="AI96" s="112">
        <f>AI94/AI95</f>
        <v>100</v>
      </c>
      <c r="AJ96" s="91">
        <v>114.87456028839769</v>
      </c>
      <c r="AK96" s="92">
        <f t="shared" si="457"/>
        <v>14.87456029</v>
      </c>
      <c r="AL96" s="93">
        <f t="shared" si="458"/>
        <v>0.1487456029</v>
      </c>
      <c r="AM96" s="112">
        <f>AM94/AM95</f>
        <v>100</v>
      </c>
      <c r="AN96" s="91">
        <v>112.82435965746907</v>
      </c>
      <c r="AO96" s="92">
        <f t="shared" si="459"/>
        <v>12.82435966</v>
      </c>
      <c r="AP96" s="93">
        <f t="shared" si="460"/>
        <v>0.1282435966</v>
      </c>
      <c r="AQ96" s="112">
        <f>AQ94/AQ95</f>
        <v>100</v>
      </c>
      <c r="AR96" s="91" t="str">
        <f>IFERROR(AR94/AR95,"-")</f>
        <v>-</v>
      </c>
      <c r="AS96" s="92" t="str">
        <f t="shared" si="461"/>
        <v>-</v>
      </c>
      <c r="AT96" s="93" t="str">
        <f t="shared" si="462"/>
        <v>-</v>
      </c>
      <c r="AU96" s="112">
        <f>AU94/AU95</f>
        <v>100</v>
      </c>
      <c r="AV96" s="91" t="str">
        <f>IFERROR(AV94/AV95,"-")</f>
        <v>-</v>
      </c>
      <c r="AW96" s="92" t="str">
        <f t="shared" si="463"/>
        <v>-</v>
      </c>
      <c r="AX96" s="93" t="str">
        <f t="shared" si="464"/>
        <v>-</v>
      </c>
      <c r="AY96" s="112">
        <f>AY94/AY95</f>
        <v>100</v>
      </c>
      <c r="AZ96" s="91" t="str">
        <f>IFERROR(AZ94/AZ95,"-")</f>
        <v>-</v>
      </c>
      <c r="BA96" s="92" t="str">
        <f t="shared" si="465"/>
        <v>-</v>
      </c>
      <c r="BB96" s="93" t="str">
        <f t="shared" si="466"/>
        <v>-</v>
      </c>
      <c r="BC96" s="112">
        <f>BC94/BC95</f>
        <v>100</v>
      </c>
      <c r="BD96" s="91" t="str">
        <f>IFERROR(BD94/BD95,"-")</f>
        <v>-</v>
      </c>
      <c r="BE96" s="92" t="str">
        <f t="shared" si="467"/>
        <v>-</v>
      </c>
      <c r="BF96" s="93" t="str">
        <f t="shared" si="468"/>
        <v>-</v>
      </c>
      <c r="BG96" s="109">
        <f>BG94/BG95</f>
        <v>100</v>
      </c>
      <c r="BH96" s="91" t="str">
        <f>IFERROR(BH94/BH95,"-")</f>
        <v>-</v>
      </c>
      <c r="BI96" s="92" t="str">
        <f t="shared" si="469"/>
        <v>-</v>
      </c>
      <c r="BJ96" s="95" t="str">
        <f t="shared" si="470"/>
        <v>-</v>
      </c>
      <c r="BK96" s="120">
        <f>BK94/BK95</f>
        <v>100</v>
      </c>
      <c r="BL96" s="176">
        <f t="shared" ref="BL96:BM96" si="478">IFERROR(BL94/BL95,"-")</f>
        <v>100</v>
      </c>
      <c r="BM96" s="122">
        <f t="shared" si="478"/>
        <v>100</v>
      </c>
      <c r="BN96" s="209">
        <f>BN94/BN95</f>
        <v>109.2290565</v>
      </c>
      <c r="BO96" s="104">
        <f t="shared" si="474"/>
        <v>0.09229056542</v>
      </c>
      <c r="BP96" s="119">
        <f>BP94/BP95</f>
        <v>97.76802303</v>
      </c>
      <c r="BQ96" s="106">
        <f>BK96/BP96-1</f>
        <v>0.0228293148</v>
      </c>
      <c r="BR96" s="3"/>
      <c r="BS96" s="3"/>
      <c r="BT96" s="3"/>
      <c r="BU96" s="3"/>
      <c r="BV96" s="3"/>
      <c r="BW96" s="3"/>
    </row>
    <row r="97" ht="15.75" customHeight="1">
      <c r="A97" s="1"/>
      <c r="B97" s="142"/>
      <c r="C97" s="143"/>
      <c r="D97" s="144"/>
      <c r="E97" s="192"/>
      <c r="F97" s="146"/>
      <c r="G97" s="147"/>
      <c r="H97" s="148"/>
      <c r="I97" s="149"/>
      <c r="J97" s="124" t="s">
        <v>69</v>
      </c>
      <c r="K97" s="125">
        <v>0.06</v>
      </c>
      <c r="L97" s="132">
        <v>150000.0</v>
      </c>
      <c r="M97" s="127">
        <v>150000.0</v>
      </c>
      <c r="N97" s="128">
        <f t="shared" si="447"/>
        <v>0</v>
      </c>
      <c r="O97" s="129">
        <f t="shared" si="448"/>
        <v>0</v>
      </c>
      <c r="P97" s="132">
        <v>150000.0</v>
      </c>
      <c r="Q97" s="127">
        <v>150000.0</v>
      </c>
      <c r="R97" s="128">
        <f t="shared" si="449"/>
        <v>0</v>
      </c>
      <c r="S97" s="131">
        <f t="shared" si="450"/>
        <v>0</v>
      </c>
      <c r="T97" s="132">
        <v>150000.0</v>
      </c>
      <c r="U97" s="127">
        <v>150000.0</v>
      </c>
      <c r="V97" s="128">
        <f t="shared" si="451"/>
        <v>0</v>
      </c>
      <c r="W97" s="129">
        <f t="shared" si="452"/>
        <v>0</v>
      </c>
      <c r="X97" s="132">
        <v>91000.0</v>
      </c>
      <c r="Y97" s="127">
        <v>91000.0</v>
      </c>
      <c r="Z97" s="128"/>
      <c r="AA97" s="128">
        <f t="shared" si="453"/>
        <v>0</v>
      </c>
      <c r="AB97" s="129">
        <f t="shared" si="454"/>
        <v>0</v>
      </c>
      <c r="AC97" s="132">
        <v>91000.0</v>
      </c>
      <c r="AD97" s="180"/>
      <c r="AE97" s="127">
        <v>91000.0</v>
      </c>
      <c r="AF97" s="128">
        <f t="shared" si="455"/>
        <v>0</v>
      </c>
      <c r="AG97" s="134"/>
      <c r="AH97" s="129">
        <f t="shared" si="456"/>
        <v>0</v>
      </c>
      <c r="AI97" s="132">
        <v>91000.0</v>
      </c>
      <c r="AJ97" s="127">
        <v>91000.0</v>
      </c>
      <c r="AK97" s="128">
        <f t="shared" si="457"/>
        <v>0</v>
      </c>
      <c r="AL97" s="129">
        <f t="shared" si="458"/>
        <v>0</v>
      </c>
      <c r="AM97" s="132">
        <v>91000.0</v>
      </c>
      <c r="AN97" s="127">
        <v>91000.0</v>
      </c>
      <c r="AO97" s="128">
        <f t="shared" si="459"/>
        <v>0</v>
      </c>
      <c r="AP97" s="129">
        <f t="shared" si="460"/>
        <v>0</v>
      </c>
      <c r="AQ97" s="132">
        <v>91000.0</v>
      </c>
      <c r="AR97" s="127">
        <v>91000.0</v>
      </c>
      <c r="AS97" s="128">
        <f t="shared" si="461"/>
        <v>0</v>
      </c>
      <c r="AT97" s="129">
        <f t="shared" si="462"/>
        <v>0</v>
      </c>
      <c r="AU97" s="132">
        <v>91000.0</v>
      </c>
      <c r="AV97" s="127">
        <v>91000.0</v>
      </c>
      <c r="AW97" s="128">
        <f t="shared" si="463"/>
        <v>0</v>
      </c>
      <c r="AX97" s="129">
        <f t="shared" si="464"/>
        <v>0</v>
      </c>
      <c r="AY97" s="132">
        <v>91000.0</v>
      </c>
      <c r="AZ97" s="127">
        <v>91000.0</v>
      </c>
      <c r="BA97" s="128">
        <f t="shared" si="465"/>
        <v>0</v>
      </c>
      <c r="BB97" s="129">
        <f t="shared" si="466"/>
        <v>0</v>
      </c>
      <c r="BC97" s="132">
        <v>91000.0</v>
      </c>
      <c r="BD97" s="127">
        <v>91000.0</v>
      </c>
      <c r="BE97" s="128">
        <f t="shared" si="467"/>
        <v>0</v>
      </c>
      <c r="BF97" s="129">
        <f t="shared" si="468"/>
        <v>0</v>
      </c>
      <c r="BG97" s="127">
        <v>91000.0</v>
      </c>
      <c r="BH97" s="127">
        <v>91000.0</v>
      </c>
      <c r="BI97" s="128">
        <f t="shared" si="469"/>
        <v>0</v>
      </c>
      <c r="BJ97" s="131">
        <f t="shared" si="470"/>
        <v>0</v>
      </c>
      <c r="BK97" s="135">
        <f>SUM(L97,P97,T97,X97,AC97,AI97,AM97,AQ97,AU97,AY97,BC97,BG97)</f>
        <v>1269000</v>
      </c>
      <c r="BL97" s="182">
        <f>SUM(L97,P97,T97,X97,AC97,AI97)</f>
        <v>723000</v>
      </c>
      <c r="BM97" s="137">
        <f>SUM(L97,P97,T97,X97,AC97,AI97,AM97)</f>
        <v>814000</v>
      </c>
      <c r="BN97" s="213">
        <f>SUM(M97,Q97,U97,Y97,AE97,AJ97,AN97,AR97,AV97,AZ97,BD97,BH97)</f>
        <v>1269000</v>
      </c>
      <c r="BO97" s="139">
        <f t="shared" si="474"/>
        <v>0</v>
      </c>
      <c r="BP97" s="140"/>
      <c r="BQ97" s="141"/>
      <c r="BR97" s="3"/>
      <c r="BS97" s="3"/>
      <c r="BT97" s="3"/>
      <c r="BU97" s="3"/>
      <c r="BV97" s="3"/>
      <c r="BW97" s="3"/>
    </row>
    <row r="98" ht="15.75" customHeight="1">
      <c r="A98" s="1"/>
      <c r="B98" s="142"/>
      <c r="C98" s="143"/>
      <c r="D98" s="144"/>
      <c r="E98" s="192"/>
      <c r="F98" s="146"/>
      <c r="G98" s="147"/>
      <c r="H98" s="148"/>
      <c r="I98" s="149"/>
      <c r="J98" s="3"/>
      <c r="K98" s="238"/>
      <c r="L98" s="3"/>
      <c r="M98" s="3"/>
      <c r="N98" s="3"/>
      <c r="P98" s="3"/>
      <c r="Q98" s="214"/>
      <c r="R98" s="3"/>
      <c r="S98" s="3"/>
      <c r="T98" s="3"/>
      <c r="U98" s="3"/>
      <c r="V98" s="3"/>
      <c r="W98" s="3"/>
      <c r="X98" s="3"/>
      <c r="Y98" s="3"/>
      <c r="Z98" s="3"/>
      <c r="AA98" s="3"/>
      <c r="AB98" s="3"/>
      <c r="AC98" s="3"/>
      <c r="AD98" s="3"/>
      <c r="AE98" s="3"/>
      <c r="AF98" s="3"/>
      <c r="AG98" s="3"/>
      <c r="AH98" s="3"/>
      <c r="AI98" s="3"/>
      <c r="AJ98" s="154" t="s">
        <v>70</v>
      </c>
      <c r="AN98" s="154" t="s">
        <v>70</v>
      </c>
      <c r="AY98" s="187"/>
      <c r="AZ98" s="25"/>
      <c r="BA98" s="188"/>
      <c r="BB98" s="25"/>
    </row>
    <row r="99" ht="15.75" customHeight="1">
      <c r="A99" s="1"/>
      <c r="B99" s="142"/>
      <c r="C99" s="143"/>
      <c r="D99" s="144"/>
      <c r="E99" s="192"/>
      <c r="F99" s="146"/>
      <c r="G99" s="147"/>
      <c r="H99" s="148"/>
      <c r="I99" s="149"/>
      <c r="J99" s="34" t="s">
        <v>98</v>
      </c>
      <c r="K99" s="35"/>
      <c r="L99" s="36" t="s">
        <v>10</v>
      </c>
      <c r="M99" s="37" t="s">
        <v>11</v>
      </c>
      <c r="N99" s="38" t="s">
        <v>12</v>
      </c>
      <c r="O99" s="39" t="s">
        <v>13</v>
      </c>
      <c r="P99" s="157" t="s">
        <v>14</v>
      </c>
      <c r="Q99" s="199" t="s">
        <v>15</v>
      </c>
      <c r="R99" s="38" t="s">
        <v>16</v>
      </c>
      <c r="S99" s="42" t="s">
        <v>17</v>
      </c>
      <c r="T99" s="36" t="s">
        <v>18</v>
      </c>
      <c r="U99" s="199" t="s">
        <v>95</v>
      </c>
      <c r="V99" s="38" t="s">
        <v>20</v>
      </c>
      <c r="W99" s="45" t="s">
        <v>96</v>
      </c>
      <c r="X99" s="157" t="s">
        <v>22</v>
      </c>
      <c r="Y99" s="199" t="s">
        <v>97</v>
      </c>
      <c r="Z99" s="38"/>
      <c r="AA99" s="38" t="s">
        <v>24</v>
      </c>
      <c r="AB99" s="45" t="s">
        <v>96</v>
      </c>
      <c r="AC99" s="43" t="s">
        <v>26</v>
      </c>
      <c r="AD99" s="200"/>
      <c r="AE99" s="199" t="s">
        <v>27</v>
      </c>
      <c r="AF99" s="38" t="s">
        <v>28</v>
      </c>
      <c r="AG99" s="47"/>
      <c r="AH99" s="45" t="s">
        <v>29</v>
      </c>
      <c r="AI99" s="44" t="s">
        <v>30</v>
      </c>
      <c r="AJ99" s="199" t="s">
        <v>31</v>
      </c>
      <c r="AK99" s="38" t="s">
        <v>32</v>
      </c>
      <c r="AL99" s="45" t="s">
        <v>33</v>
      </c>
      <c r="AM99" s="43" t="s">
        <v>34</v>
      </c>
      <c r="AN99" s="199" t="s">
        <v>35</v>
      </c>
      <c r="AO99" s="38" t="s">
        <v>36</v>
      </c>
      <c r="AP99" s="45" t="s">
        <v>37</v>
      </c>
      <c r="AQ99" s="44" t="s">
        <v>38</v>
      </c>
      <c r="AR99" s="199" t="s">
        <v>39</v>
      </c>
      <c r="AS99" s="38" t="s">
        <v>40</v>
      </c>
      <c r="AT99" s="45" t="s">
        <v>41</v>
      </c>
      <c r="AU99" s="43" t="s">
        <v>42</v>
      </c>
      <c r="AV99" s="199" t="s">
        <v>43</v>
      </c>
      <c r="AW99" s="38" t="s">
        <v>44</v>
      </c>
      <c r="AX99" s="45" t="s">
        <v>45</v>
      </c>
      <c r="AY99" s="44" t="s">
        <v>46</v>
      </c>
      <c r="AZ99" s="199" t="s">
        <v>47</v>
      </c>
      <c r="BA99" s="38" t="s">
        <v>48</v>
      </c>
      <c r="BB99" s="45" t="s">
        <v>49</v>
      </c>
      <c r="BC99" s="43" t="s">
        <v>50</v>
      </c>
      <c r="BD99" s="199" t="s">
        <v>51</v>
      </c>
      <c r="BE99" s="38" t="s">
        <v>52</v>
      </c>
      <c r="BF99" s="45" t="s">
        <v>53</v>
      </c>
      <c r="BG99" s="201" t="s">
        <v>54</v>
      </c>
      <c r="BH99" s="199" t="s">
        <v>55</v>
      </c>
      <c r="BI99" s="38" t="s">
        <v>56</v>
      </c>
      <c r="BJ99" s="42" t="s">
        <v>57</v>
      </c>
      <c r="BK99" s="48" t="s">
        <v>58</v>
      </c>
      <c r="BL99" s="49" t="s">
        <v>72</v>
      </c>
      <c r="BM99" s="49" t="s">
        <v>60</v>
      </c>
      <c r="BN99" s="37" t="s">
        <v>61</v>
      </c>
      <c r="BO99" s="51" t="s">
        <v>62</v>
      </c>
      <c r="BP99" s="52">
        <v>2025.0</v>
      </c>
      <c r="BQ99" s="53"/>
      <c r="BR99" s="185"/>
      <c r="BS99" s="185"/>
      <c r="BT99" s="185"/>
      <c r="BU99" s="185"/>
      <c r="BV99" s="3"/>
      <c r="BW99" s="3"/>
    </row>
    <row r="100" ht="15.75" customHeight="1">
      <c r="A100" s="1"/>
      <c r="B100" s="142"/>
      <c r="C100" s="231"/>
      <c r="D100" s="232"/>
      <c r="E100" s="233"/>
      <c r="F100" s="234"/>
      <c r="G100" s="235"/>
      <c r="H100" s="235"/>
      <c r="I100" s="236"/>
      <c r="J100" s="54"/>
      <c r="K100" s="55"/>
      <c r="L100" s="56"/>
      <c r="M100" s="57"/>
      <c r="N100" s="58"/>
      <c r="O100" s="59"/>
      <c r="P100" s="56"/>
      <c r="Q100" s="202"/>
      <c r="R100" s="58"/>
      <c r="S100" s="61"/>
      <c r="T100" s="56"/>
      <c r="U100" s="63"/>
      <c r="V100" s="58"/>
      <c r="W100" s="59"/>
      <c r="X100" s="56"/>
      <c r="Y100" s="63"/>
      <c r="Z100" s="58"/>
      <c r="AA100" s="58"/>
      <c r="AB100" s="59"/>
      <c r="AC100" s="62"/>
      <c r="AD100" s="64"/>
      <c r="AE100" s="63"/>
      <c r="AF100" s="58"/>
      <c r="AG100" s="65"/>
      <c r="AH100" s="59"/>
      <c r="AI100" s="62"/>
      <c r="AJ100" s="63" t="s">
        <v>70</v>
      </c>
      <c r="AK100" s="58"/>
      <c r="AL100" s="59"/>
      <c r="AM100" s="62"/>
      <c r="AN100" s="63" t="s">
        <v>70</v>
      </c>
      <c r="AO100" s="58"/>
      <c r="AP100" s="59"/>
      <c r="AQ100" s="62"/>
      <c r="AR100" s="63"/>
      <c r="AS100" s="58"/>
      <c r="AT100" s="59"/>
      <c r="AU100" s="62"/>
      <c r="AV100" s="63"/>
      <c r="AW100" s="58"/>
      <c r="AX100" s="59"/>
      <c r="AY100" s="62"/>
      <c r="AZ100" s="63"/>
      <c r="BA100" s="58"/>
      <c r="BB100" s="59"/>
      <c r="BC100" s="62"/>
      <c r="BD100" s="63"/>
      <c r="BE100" s="58"/>
      <c r="BF100" s="59"/>
      <c r="BG100" s="203"/>
      <c r="BH100" s="63"/>
      <c r="BI100" s="58"/>
      <c r="BJ100" s="61"/>
      <c r="BK100" s="66"/>
      <c r="BL100" s="67"/>
      <c r="BM100" s="67"/>
      <c r="BN100" s="68"/>
      <c r="BO100" s="69"/>
      <c r="BP100" s="70"/>
      <c r="BQ100" s="71"/>
      <c r="BR100" s="3"/>
      <c r="BS100" s="3"/>
      <c r="BT100" s="3"/>
      <c r="BU100" s="3"/>
      <c r="BV100" s="3"/>
      <c r="BW100" s="3"/>
    </row>
    <row r="101" ht="15.75" customHeight="1">
      <c r="A101" s="1"/>
      <c r="B101" s="142">
        <v>14.0</v>
      </c>
      <c r="C101" s="231" t="s">
        <v>99</v>
      </c>
      <c r="D101" s="232">
        <f>200000*12</f>
        <v>2400000</v>
      </c>
      <c r="E101" s="233">
        <v>50.0</v>
      </c>
      <c r="F101" s="234">
        <f>E101*D101</f>
        <v>120000000</v>
      </c>
      <c r="G101" s="235" t="s">
        <v>63</v>
      </c>
      <c r="H101" s="235" t="s">
        <v>63</v>
      </c>
      <c r="I101" s="236" t="s">
        <v>63</v>
      </c>
      <c r="J101" s="72" t="s">
        <v>64</v>
      </c>
      <c r="K101" s="73"/>
      <c r="L101" s="74" t="s">
        <v>63</v>
      </c>
      <c r="M101" s="75" t="s">
        <v>63</v>
      </c>
      <c r="N101" s="76" t="s">
        <v>63</v>
      </c>
      <c r="O101" s="77" t="s">
        <v>65</v>
      </c>
      <c r="P101" s="74" t="s">
        <v>63</v>
      </c>
      <c r="Q101" s="204" t="s">
        <v>63</v>
      </c>
      <c r="R101" s="76" t="s">
        <v>63</v>
      </c>
      <c r="S101" s="79" t="s">
        <v>65</v>
      </c>
      <c r="T101" s="74" t="s">
        <v>63</v>
      </c>
      <c r="U101" s="81" t="s">
        <v>63</v>
      </c>
      <c r="V101" s="76" t="s">
        <v>63</v>
      </c>
      <c r="W101" s="77" t="s">
        <v>65</v>
      </c>
      <c r="X101" s="74" t="s">
        <v>63</v>
      </c>
      <c r="Y101" s="81" t="s">
        <v>63</v>
      </c>
      <c r="Z101" s="76"/>
      <c r="AA101" s="76" t="s">
        <v>63</v>
      </c>
      <c r="AB101" s="77" t="s">
        <v>65</v>
      </c>
      <c r="AC101" s="80">
        <v>0.07</v>
      </c>
      <c r="AD101" s="82"/>
      <c r="AE101" s="81">
        <f>AE102/(BK102-(L102+P102+T102+X102))</f>
        <v>0</v>
      </c>
      <c r="AF101" s="76" t="s">
        <v>63</v>
      </c>
      <c r="AG101" s="83"/>
      <c r="AH101" s="77" t="s">
        <v>65</v>
      </c>
      <c r="AI101" s="80">
        <v>0.08</v>
      </c>
      <c r="AJ101" s="81">
        <v>0.0042551428571428575</v>
      </c>
      <c r="AK101" s="76" t="s">
        <v>63</v>
      </c>
      <c r="AL101" s="77" t="s">
        <v>65</v>
      </c>
      <c r="AM101" s="80">
        <v>0.09</v>
      </c>
      <c r="AN101" s="81">
        <v>0.003272285714285714</v>
      </c>
      <c r="AO101" s="76" t="s">
        <v>63</v>
      </c>
      <c r="AP101" s="77" t="s">
        <v>65</v>
      </c>
      <c r="AQ101" s="80">
        <v>0.1</v>
      </c>
      <c r="AR101" s="81">
        <f>AR102/(BK102-(L102+P102+T102+X102))</f>
        <v>0</v>
      </c>
      <c r="AS101" s="76" t="s">
        <v>63</v>
      </c>
      <c r="AT101" s="77" t="s">
        <v>65</v>
      </c>
      <c r="AU101" s="80">
        <v>0.11</v>
      </c>
      <c r="AV101" s="81">
        <f>AV102/(BK102-(L102+P102+T102+X102))</f>
        <v>0</v>
      </c>
      <c r="AW101" s="76" t="s">
        <v>63</v>
      </c>
      <c r="AX101" s="77" t="s">
        <v>65</v>
      </c>
      <c r="AY101" s="80">
        <v>0.13</v>
      </c>
      <c r="AZ101" s="81">
        <f>AZ102/(BK102-(L102+P102+T102+X102))</f>
        <v>0</v>
      </c>
      <c r="BA101" s="76" t="s">
        <v>63</v>
      </c>
      <c r="BB101" s="77" t="s">
        <v>65</v>
      </c>
      <c r="BC101" s="80">
        <v>0.15</v>
      </c>
      <c r="BD101" s="81">
        <f>BD102/(BK102-(L102+P102+T102+X102))</f>
        <v>0</v>
      </c>
      <c r="BE101" s="76" t="s">
        <v>63</v>
      </c>
      <c r="BF101" s="77" t="s">
        <v>65</v>
      </c>
      <c r="BG101" s="205">
        <v>0.27</v>
      </c>
      <c r="BH101" s="81">
        <f>BH102/(BK102-(L102+P102+T102+X102))</f>
        <v>0</v>
      </c>
      <c r="BI101" s="76" t="s">
        <v>63</v>
      </c>
      <c r="BJ101" s="79" t="s">
        <v>65</v>
      </c>
      <c r="BK101" s="84">
        <f>SUM(AC101,AI101,AM101,AQ101,AU101,AY101,BC101,BG101)</f>
        <v>1</v>
      </c>
      <c r="BL101" s="85">
        <f>SUM(AC101,AI101)</f>
        <v>0.15</v>
      </c>
      <c r="BM101" s="86">
        <f>SUM(T101,X101,AC101,AI101,AM101)</f>
        <v>0.24</v>
      </c>
      <c r="BN101" s="87">
        <f>SUM(AE101,AJ101,AN101,AR101,AV101,AZ101,BD101,BH101)</f>
        <v>0.007527428571</v>
      </c>
      <c r="BO101" s="88"/>
      <c r="BP101" s="89" t="s">
        <v>63</v>
      </c>
      <c r="BQ101" s="71"/>
      <c r="BR101" s="3"/>
      <c r="BS101" s="3"/>
      <c r="BT101" s="3"/>
      <c r="BU101" s="3"/>
      <c r="BV101" s="3"/>
      <c r="BW101" s="3"/>
    </row>
    <row r="102" ht="15.75" customHeight="1">
      <c r="A102" s="1"/>
      <c r="B102" s="142"/>
      <c r="C102" s="143"/>
      <c r="D102" s="144"/>
      <c r="E102" s="192"/>
      <c r="F102" s="146"/>
      <c r="G102" s="147"/>
      <c r="H102" s="148"/>
      <c r="I102" s="149"/>
      <c r="J102" s="72" t="s">
        <v>66</v>
      </c>
      <c r="K102" s="73"/>
      <c r="L102" s="167">
        <v>0.0</v>
      </c>
      <c r="M102" s="91">
        <v>0.0</v>
      </c>
      <c r="N102" s="92">
        <f t="shared" ref="N102:N105" si="479">IFERROR(M102-L102,"-")</f>
        <v>0</v>
      </c>
      <c r="O102" s="93" t="str">
        <f t="shared" ref="O102:O105" si="480">IFERROR(M102/L102-1,"-")</f>
        <v>-</v>
      </c>
      <c r="P102" s="167">
        <v>0.0</v>
      </c>
      <c r="Q102" s="91">
        <v>0.0</v>
      </c>
      <c r="R102" s="92">
        <f t="shared" ref="R102:R105" si="481">IFERROR(Q102-P102,"-")</f>
        <v>0</v>
      </c>
      <c r="S102" s="95" t="str">
        <f t="shared" ref="S102:S105" si="482">IFERROR(Q102/P102-1,"-")</f>
        <v>-</v>
      </c>
      <c r="T102" s="90">
        <v>0.0</v>
      </c>
      <c r="U102" s="91">
        <v>0.0</v>
      </c>
      <c r="V102" s="92">
        <f t="shared" ref="V102:V105" si="483">IFERROR(U102-T102,"-")</f>
        <v>0</v>
      </c>
      <c r="W102" s="93" t="str">
        <f t="shared" ref="W102:W105" si="484">IFERROR(U102/T102-1,"-")</f>
        <v>-</v>
      </c>
      <c r="X102" s="90">
        <v>0.0</v>
      </c>
      <c r="Y102" s="91">
        <v>0.0</v>
      </c>
      <c r="Z102" s="92"/>
      <c r="AA102" s="92">
        <f t="shared" ref="AA102:AA105" si="485">IFERROR(Y102-X102,"-")</f>
        <v>0</v>
      </c>
      <c r="AB102" s="93" t="str">
        <f t="shared" ref="AB102:AB105" si="486">IFERROR(Y102/X102-1,"-")</f>
        <v>-</v>
      </c>
      <c r="AC102" s="96">
        <f>($BK$102-($L$102+$P$102))*AC101</f>
        <v>2450</v>
      </c>
      <c r="AD102" s="98"/>
      <c r="AE102" s="91">
        <v>0.0</v>
      </c>
      <c r="AF102" s="92">
        <f t="shared" ref="AF102:AF105" si="487">IFERROR(AE102-AC102,"-")</f>
        <v>-2450</v>
      </c>
      <c r="AG102" s="99"/>
      <c r="AH102" s="93">
        <f t="shared" ref="AH102:AH105" si="488">IFERROR(AE102/AC102-1,"-")</f>
        <v>-1</v>
      </c>
      <c r="AI102" s="96">
        <f>($BK$102-($L$102+$P$102))*AI101</f>
        <v>2800</v>
      </c>
      <c r="AJ102" s="100">
        <v>148.93</v>
      </c>
      <c r="AK102" s="92">
        <f t="shared" ref="AK102:AK105" si="489">IFERROR(AJ102-AI102,"-")</f>
        <v>-2651.07</v>
      </c>
      <c r="AL102" s="93">
        <f t="shared" ref="AL102:AL105" si="490">IFERROR(AJ102/AI102-1,"-")</f>
        <v>-0.9468107143</v>
      </c>
      <c r="AM102" s="96">
        <f>($BK$102-($L$102+$P$102))*AM101</f>
        <v>3150</v>
      </c>
      <c r="AN102" s="91">
        <v>114.53</v>
      </c>
      <c r="AO102" s="92">
        <f t="shared" ref="AO102:AO105" si="491">IFERROR(AN102-AM102,"-")</f>
        <v>-3035.47</v>
      </c>
      <c r="AP102" s="93">
        <f t="shared" ref="AP102:AP105" si="492">IFERROR(AN102/AM102-1,"-")</f>
        <v>-0.9636412698</v>
      </c>
      <c r="AQ102" s="96">
        <f>($BK$102-($L$102+$P$102))*AQ101</f>
        <v>3500</v>
      </c>
      <c r="AR102" s="91">
        <v>0.0</v>
      </c>
      <c r="AS102" s="92">
        <f t="shared" ref="AS102:AS105" si="493">IFERROR(AR102-AQ102,"-")</f>
        <v>-3500</v>
      </c>
      <c r="AT102" s="93">
        <f t="shared" ref="AT102:AT105" si="494">IFERROR(AR102/AQ102-1,"-")</f>
        <v>-1</v>
      </c>
      <c r="AU102" s="96">
        <f>($BK$102-($L$102+$P$102))*AU101</f>
        <v>3850</v>
      </c>
      <c r="AV102" s="91">
        <v>0.0</v>
      </c>
      <c r="AW102" s="92">
        <f t="shared" ref="AW102:AW105" si="495">IFERROR(AV102-AU102,"-")</f>
        <v>-3850</v>
      </c>
      <c r="AX102" s="93">
        <f t="shared" ref="AX102:AX105" si="496">IFERROR(AV102/AU102-1,"-")</f>
        <v>-1</v>
      </c>
      <c r="AY102" s="96">
        <f>($BK$102-($L$102+$P$102))*AY101</f>
        <v>4550</v>
      </c>
      <c r="AZ102" s="91">
        <v>0.0</v>
      </c>
      <c r="BA102" s="92">
        <f t="shared" ref="BA102:BA105" si="497">IFERROR(AZ102-AY102,"-")</f>
        <v>-4550</v>
      </c>
      <c r="BB102" s="93">
        <f t="shared" ref="BB102:BB105" si="498">IFERROR(AZ102/AY102-1,"-")</f>
        <v>-1</v>
      </c>
      <c r="BC102" s="96">
        <f>($BK$102-($L$102+$P$102))*BC101</f>
        <v>5250</v>
      </c>
      <c r="BD102" s="91">
        <v>0.0</v>
      </c>
      <c r="BE102" s="92">
        <f t="shared" ref="BE102:BE105" si="499">IFERROR(BD102-BC102,"-")</f>
        <v>-5250</v>
      </c>
      <c r="BF102" s="93">
        <f t="shared" ref="BF102:BF105" si="500">IFERROR(BD102/BC102-1,"-")</f>
        <v>-1</v>
      </c>
      <c r="BG102" s="91">
        <f>($BK$102-($L$102+$P$102))*BG101</f>
        <v>9450</v>
      </c>
      <c r="BH102" s="91">
        <v>0.0</v>
      </c>
      <c r="BI102" s="92">
        <f t="shared" ref="BI102:BI105" si="501">IFERROR(BH102-BG102,"-")</f>
        <v>-9450</v>
      </c>
      <c r="BJ102" s="95">
        <f t="shared" ref="BJ102:BJ105" si="502">IFERROR(BH102/BG102-1,"-")</f>
        <v>-1</v>
      </c>
      <c r="BK102" s="101">
        <v>35000.0</v>
      </c>
      <c r="BL102" s="169">
        <f t="shared" ref="BL102:BL103" si="503">SUM(L102,P102,T102,X102,AC102,AI102)</f>
        <v>5250</v>
      </c>
      <c r="BM102" s="103">
        <f t="shared" ref="BM102:BM103" si="504">SUM(L102,P102,T102,X102,AC102,AI102,AM102)</f>
        <v>8400</v>
      </c>
      <c r="BN102" s="102">
        <f t="shared" ref="BN102:BN103" si="505">SUM(M102,Q102,U102,Y102,AE102,AJ102,AN102,AR102,AV102,AZ102,BD102,BH102)</f>
        <v>263.46</v>
      </c>
      <c r="BO102" s="104">
        <f t="shared" ref="BO102:BO105" si="506">IFERROR(BN102/BK102-1,"-")</f>
        <v>-0.9924725714</v>
      </c>
      <c r="BP102" s="105" t="s">
        <v>63</v>
      </c>
      <c r="BQ102" s="106" t="str">
        <f t="shared" ref="BQ102:BQ103" si="507">IFERROR((BK102/BP102),"-")</f>
        <v>-</v>
      </c>
      <c r="BR102" s="3"/>
      <c r="BS102" s="3"/>
      <c r="BT102" s="3"/>
      <c r="BU102" s="3"/>
      <c r="BV102" s="3"/>
      <c r="BW102" s="3"/>
    </row>
    <row r="103" ht="15.75" customHeight="1">
      <c r="A103" s="1"/>
      <c r="B103" s="142"/>
      <c r="C103" s="143"/>
      <c r="D103" s="144"/>
      <c r="E103" s="192"/>
      <c r="F103" s="146"/>
      <c r="G103" s="147"/>
      <c r="H103" s="148"/>
      <c r="I103" s="149"/>
      <c r="J103" s="72" t="s">
        <v>67</v>
      </c>
      <c r="K103" s="107"/>
      <c r="L103" s="108">
        <f>L102/$K$104</f>
        <v>0</v>
      </c>
      <c r="M103" s="109">
        <v>0.0</v>
      </c>
      <c r="N103" s="110">
        <f t="shared" si="479"/>
        <v>0</v>
      </c>
      <c r="O103" s="93" t="str">
        <f t="shared" si="480"/>
        <v>-</v>
      </c>
      <c r="P103" s="108">
        <v>0.0</v>
      </c>
      <c r="Q103" s="109">
        <v>0.0</v>
      </c>
      <c r="R103" s="110">
        <f t="shared" si="481"/>
        <v>0</v>
      </c>
      <c r="S103" s="95" t="str">
        <f t="shared" si="482"/>
        <v>-</v>
      </c>
      <c r="T103" s="108">
        <f>T102/$K$104</f>
        <v>0</v>
      </c>
      <c r="U103" s="109">
        <v>0.0</v>
      </c>
      <c r="V103" s="110">
        <f t="shared" si="483"/>
        <v>0</v>
      </c>
      <c r="W103" s="93" t="str">
        <f t="shared" si="484"/>
        <v>-</v>
      </c>
      <c r="X103" s="108">
        <f>X102/$K$104</f>
        <v>0</v>
      </c>
      <c r="Y103" s="109">
        <v>0.0</v>
      </c>
      <c r="Z103" s="110"/>
      <c r="AA103" s="110">
        <f t="shared" si="485"/>
        <v>0</v>
      </c>
      <c r="AB103" s="93" t="str">
        <f t="shared" si="486"/>
        <v>-</v>
      </c>
      <c r="AC103" s="112">
        <f>AC102/$K$104</f>
        <v>21.30434783</v>
      </c>
      <c r="AD103" s="113"/>
      <c r="AE103" s="109">
        <v>0.0</v>
      </c>
      <c r="AF103" s="110">
        <f t="shared" si="487"/>
        <v>-21.30434783</v>
      </c>
      <c r="AG103" s="99"/>
      <c r="AH103" s="93">
        <f t="shared" si="488"/>
        <v>-1</v>
      </c>
      <c r="AI103" s="112">
        <f>AI102/$K$104</f>
        <v>24.34782609</v>
      </c>
      <c r="AJ103" s="114">
        <v>1.0</v>
      </c>
      <c r="AK103" s="110">
        <f t="shared" si="489"/>
        <v>-23.34782609</v>
      </c>
      <c r="AL103" s="93">
        <f t="shared" si="490"/>
        <v>-0.9589285714</v>
      </c>
      <c r="AM103" s="112">
        <f>AM102/$K$104</f>
        <v>27.39130435</v>
      </c>
      <c r="AN103" s="109">
        <v>1.0</v>
      </c>
      <c r="AO103" s="110">
        <f t="shared" si="491"/>
        <v>-26.39130435</v>
      </c>
      <c r="AP103" s="93">
        <f t="shared" si="492"/>
        <v>-0.9634920635</v>
      </c>
      <c r="AQ103" s="112">
        <f>AQ102/$K$104</f>
        <v>30.43478261</v>
      </c>
      <c r="AR103" s="109">
        <v>0.0</v>
      </c>
      <c r="AS103" s="110">
        <f t="shared" si="493"/>
        <v>-30.43478261</v>
      </c>
      <c r="AT103" s="93">
        <f t="shared" si="494"/>
        <v>-1</v>
      </c>
      <c r="AU103" s="112">
        <f>AU102/$K$104</f>
        <v>33.47826087</v>
      </c>
      <c r="AV103" s="109">
        <v>0.0</v>
      </c>
      <c r="AW103" s="110">
        <f t="shared" si="495"/>
        <v>-33.47826087</v>
      </c>
      <c r="AX103" s="93">
        <f t="shared" si="496"/>
        <v>-1</v>
      </c>
      <c r="AY103" s="112">
        <f>AY102/$K$104</f>
        <v>39.56521739</v>
      </c>
      <c r="AZ103" s="109">
        <v>0.0</v>
      </c>
      <c r="BA103" s="110">
        <f t="shared" si="497"/>
        <v>-39.56521739</v>
      </c>
      <c r="BB103" s="93">
        <f t="shared" si="498"/>
        <v>-1</v>
      </c>
      <c r="BC103" s="112">
        <f>BC102/$K$104</f>
        <v>45.65217391</v>
      </c>
      <c r="BD103" s="109">
        <v>0.0</v>
      </c>
      <c r="BE103" s="110">
        <f t="shared" si="499"/>
        <v>-45.65217391</v>
      </c>
      <c r="BF103" s="93">
        <f t="shared" si="500"/>
        <v>-1</v>
      </c>
      <c r="BG103" s="109">
        <f>BG102/$K$104</f>
        <v>82.17391304</v>
      </c>
      <c r="BH103" s="109">
        <v>0.0</v>
      </c>
      <c r="BI103" s="110">
        <f t="shared" si="501"/>
        <v>-82.17391304</v>
      </c>
      <c r="BJ103" s="95">
        <f t="shared" si="502"/>
        <v>-1</v>
      </c>
      <c r="BK103" s="206">
        <f>SUM(L103,P103,T103,X103,AC103,AI103,AM103,AQ103,AU103,AY103,BC103,BG103)</f>
        <v>304.3478261</v>
      </c>
      <c r="BL103" s="173">
        <f t="shared" si="503"/>
        <v>45.65217391</v>
      </c>
      <c r="BM103" s="117">
        <f t="shared" si="504"/>
        <v>73.04347826</v>
      </c>
      <c r="BN103" s="207">
        <f t="shared" si="505"/>
        <v>2</v>
      </c>
      <c r="BO103" s="104">
        <f t="shared" si="506"/>
        <v>-0.9934285714</v>
      </c>
      <c r="BP103" s="119" t="s">
        <v>63</v>
      </c>
      <c r="BQ103" s="106" t="str">
        <f t="shared" si="507"/>
        <v>-</v>
      </c>
      <c r="BR103" s="3"/>
      <c r="BS103" s="3"/>
      <c r="BT103" s="3"/>
      <c r="BU103" s="3"/>
      <c r="BV103" s="3"/>
      <c r="BW103" s="3"/>
    </row>
    <row r="104" ht="15.75" customHeight="1">
      <c r="A104" s="1"/>
      <c r="B104" s="142"/>
      <c r="C104" s="143"/>
      <c r="D104" s="144"/>
      <c r="E104" s="192"/>
      <c r="F104" s="146"/>
      <c r="G104" s="147"/>
      <c r="H104" s="148"/>
      <c r="I104" s="149"/>
      <c r="J104" s="72" t="s">
        <v>68</v>
      </c>
      <c r="K104" s="107">
        <v>115.0</v>
      </c>
      <c r="L104" s="90" t="str">
        <f t="shared" ref="L104:M104" si="508">IFERROR(L102/L103,"-")</f>
        <v>-</v>
      </c>
      <c r="M104" s="91" t="str">
        <f t="shared" si="508"/>
        <v>-</v>
      </c>
      <c r="N104" s="92" t="str">
        <f t="shared" si="479"/>
        <v>-</v>
      </c>
      <c r="O104" s="93" t="str">
        <f t="shared" si="480"/>
        <v>-</v>
      </c>
      <c r="P104" s="90" t="str">
        <f t="shared" ref="P104:Q104" si="509">IFERROR(P102/P103,"-")</f>
        <v>-</v>
      </c>
      <c r="Q104" s="91" t="str">
        <f t="shared" si="509"/>
        <v>-</v>
      </c>
      <c r="R104" s="92" t="str">
        <f t="shared" si="481"/>
        <v>-</v>
      </c>
      <c r="S104" s="95" t="str">
        <f t="shared" si="482"/>
        <v>-</v>
      </c>
      <c r="T104" s="90" t="str">
        <f t="shared" ref="T104:U104" si="510">IFERROR(T102/T103,"-")</f>
        <v>-</v>
      </c>
      <c r="U104" s="91" t="str">
        <f t="shared" si="510"/>
        <v>-</v>
      </c>
      <c r="V104" s="92" t="str">
        <f t="shared" si="483"/>
        <v>-</v>
      </c>
      <c r="W104" s="93" t="str">
        <f t="shared" si="484"/>
        <v>-</v>
      </c>
      <c r="X104" s="90" t="str">
        <f t="shared" ref="X104:Y104" si="511">IFERROR(X102/X103,"-")</f>
        <v>-</v>
      </c>
      <c r="Y104" s="91" t="str">
        <f t="shared" si="511"/>
        <v>-</v>
      </c>
      <c r="Z104" s="92"/>
      <c r="AA104" s="92" t="str">
        <f t="shared" si="485"/>
        <v>-</v>
      </c>
      <c r="AB104" s="93" t="str">
        <f t="shared" si="486"/>
        <v>-</v>
      </c>
      <c r="AC104" s="112">
        <f>AC102/AC103</f>
        <v>115</v>
      </c>
      <c r="AD104" s="98"/>
      <c r="AE104" s="91" t="str">
        <f>IFERROR(AE102/AE103,"-")</f>
        <v>-</v>
      </c>
      <c r="AF104" s="92" t="str">
        <f t="shared" si="487"/>
        <v>-</v>
      </c>
      <c r="AG104" s="99"/>
      <c r="AH104" s="93" t="str">
        <f t="shared" si="488"/>
        <v>-</v>
      </c>
      <c r="AI104" s="112">
        <f>AI102/AI103</f>
        <v>115</v>
      </c>
      <c r="AJ104" s="91">
        <v>148.93</v>
      </c>
      <c r="AK104" s="92">
        <f t="shared" si="489"/>
        <v>33.93</v>
      </c>
      <c r="AL104" s="93">
        <f t="shared" si="490"/>
        <v>0.2950434783</v>
      </c>
      <c r="AM104" s="112">
        <f>AM102/AM103</f>
        <v>115</v>
      </c>
      <c r="AN104" s="91">
        <v>114.53</v>
      </c>
      <c r="AO104" s="92">
        <f t="shared" si="491"/>
        <v>-0.47</v>
      </c>
      <c r="AP104" s="93">
        <f t="shared" si="492"/>
        <v>-0.004086956522</v>
      </c>
      <c r="AQ104" s="112">
        <f>AQ102/AQ103</f>
        <v>115</v>
      </c>
      <c r="AR104" s="91" t="str">
        <f>IFERROR(AR102/AR103,"-")</f>
        <v>-</v>
      </c>
      <c r="AS104" s="92" t="str">
        <f t="shared" si="493"/>
        <v>-</v>
      </c>
      <c r="AT104" s="93" t="str">
        <f t="shared" si="494"/>
        <v>-</v>
      </c>
      <c r="AU104" s="112">
        <f>AU102/AU103</f>
        <v>115</v>
      </c>
      <c r="AV104" s="91" t="str">
        <f>IFERROR(AV102/AV103,"-")</f>
        <v>-</v>
      </c>
      <c r="AW104" s="92" t="str">
        <f t="shared" si="495"/>
        <v>-</v>
      </c>
      <c r="AX104" s="93" t="str">
        <f t="shared" si="496"/>
        <v>-</v>
      </c>
      <c r="AY104" s="112">
        <f>AY102/AY103</f>
        <v>115</v>
      </c>
      <c r="AZ104" s="91" t="str">
        <f>IFERROR(AZ102/AZ103,"-")</f>
        <v>-</v>
      </c>
      <c r="BA104" s="92" t="str">
        <f t="shared" si="497"/>
        <v>-</v>
      </c>
      <c r="BB104" s="93" t="str">
        <f t="shared" si="498"/>
        <v>-</v>
      </c>
      <c r="BC104" s="112">
        <f>BC102/BC103</f>
        <v>115</v>
      </c>
      <c r="BD104" s="91" t="str">
        <f>IFERROR(BD102/BD103,"-")</f>
        <v>-</v>
      </c>
      <c r="BE104" s="92" t="str">
        <f t="shared" si="499"/>
        <v>-</v>
      </c>
      <c r="BF104" s="93" t="str">
        <f t="shared" si="500"/>
        <v>-</v>
      </c>
      <c r="BG104" s="109">
        <f>BG102/BG103</f>
        <v>115</v>
      </c>
      <c r="BH104" s="91" t="str">
        <f>IFERROR(BH102/BH103,"-")</f>
        <v>-</v>
      </c>
      <c r="BI104" s="92" t="str">
        <f t="shared" si="501"/>
        <v>-</v>
      </c>
      <c r="BJ104" s="95" t="str">
        <f t="shared" si="502"/>
        <v>-</v>
      </c>
      <c r="BK104" s="120">
        <f>BK102/BK103</f>
        <v>115</v>
      </c>
      <c r="BL104" s="176">
        <f t="shared" ref="BL104:BN104" si="512">IFERROR(BL102/BL103,"-")</f>
        <v>115</v>
      </c>
      <c r="BM104" s="122">
        <f t="shared" si="512"/>
        <v>115</v>
      </c>
      <c r="BN104" s="91">
        <f t="shared" si="512"/>
        <v>131.73</v>
      </c>
      <c r="BO104" s="104">
        <f t="shared" si="506"/>
        <v>0.1454782609</v>
      </c>
      <c r="BP104" s="119"/>
      <c r="BQ104" s="106"/>
      <c r="BR104" s="3"/>
      <c r="BS104" s="3"/>
      <c r="BT104" s="3"/>
      <c r="BU104" s="3"/>
      <c r="BV104" s="3"/>
      <c r="BW104" s="3"/>
    </row>
    <row r="105" ht="15.75" customHeight="1">
      <c r="A105" s="1"/>
      <c r="B105" s="142"/>
      <c r="C105" s="143"/>
      <c r="D105" s="144"/>
      <c r="E105" s="192"/>
      <c r="F105" s="146"/>
      <c r="G105" s="147"/>
      <c r="H105" s="148"/>
      <c r="I105" s="149"/>
      <c r="J105" s="124" t="s">
        <v>69</v>
      </c>
      <c r="K105" s="239">
        <v>199.0</v>
      </c>
      <c r="L105" s="132">
        <f t="shared" ref="L105:M105" si="513">K105*1</f>
        <v>199</v>
      </c>
      <c r="M105" s="127">
        <f t="shared" si="513"/>
        <v>199</v>
      </c>
      <c r="N105" s="128">
        <f t="shared" si="479"/>
        <v>0</v>
      </c>
      <c r="O105" s="129">
        <f t="shared" si="480"/>
        <v>0</v>
      </c>
      <c r="P105" s="132">
        <f t="shared" ref="P105:Q105" si="514">L105*1</f>
        <v>199</v>
      </c>
      <c r="Q105" s="127">
        <f t="shared" si="514"/>
        <v>199</v>
      </c>
      <c r="R105" s="128">
        <f t="shared" si="481"/>
        <v>0</v>
      </c>
      <c r="S105" s="131">
        <f t="shared" si="482"/>
        <v>0</v>
      </c>
      <c r="T105" s="132">
        <f t="shared" ref="T105:U105" si="515">P105*1</f>
        <v>199</v>
      </c>
      <c r="U105" s="127">
        <f t="shared" si="515"/>
        <v>199</v>
      </c>
      <c r="V105" s="128">
        <f t="shared" si="483"/>
        <v>0</v>
      </c>
      <c r="W105" s="129">
        <f t="shared" si="484"/>
        <v>0</v>
      </c>
      <c r="X105" s="132">
        <f t="shared" ref="X105:Y105" si="516">T105*1</f>
        <v>199</v>
      </c>
      <c r="Y105" s="127">
        <f t="shared" si="516"/>
        <v>199</v>
      </c>
      <c r="Z105" s="128"/>
      <c r="AA105" s="128">
        <f t="shared" si="485"/>
        <v>0</v>
      </c>
      <c r="AB105" s="129">
        <f t="shared" si="486"/>
        <v>0</v>
      </c>
      <c r="AC105" s="132">
        <f>X105*1</f>
        <v>199</v>
      </c>
      <c r="AD105" s="180"/>
      <c r="AE105" s="127">
        <f>Y105*1</f>
        <v>199</v>
      </c>
      <c r="AF105" s="128">
        <f t="shared" si="487"/>
        <v>0</v>
      </c>
      <c r="AG105" s="134"/>
      <c r="AH105" s="129">
        <f t="shared" si="488"/>
        <v>0</v>
      </c>
      <c r="AI105" s="132">
        <f>AC105*1</f>
        <v>199</v>
      </c>
      <c r="AJ105" s="127">
        <v>199.0</v>
      </c>
      <c r="AK105" s="128">
        <f t="shared" si="489"/>
        <v>0</v>
      </c>
      <c r="AL105" s="129">
        <f t="shared" si="490"/>
        <v>0</v>
      </c>
      <c r="AM105" s="132">
        <f>AI105*1</f>
        <v>199</v>
      </c>
      <c r="AN105" s="127">
        <v>199.0</v>
      </c>
      <c r="AO105" s="128">
        <f t="shared" si="491"/>
        <v>0</v>
      </c>
      <c r="AP105" s="129">
        <f t="shared" si="492"/>
        <v>0</v>
      </c>
      <c r="AQ105" s="132">
        <f t="shared" ref="AQ105:AR105" si="517">AM105*1</f>
        <v>199</v>
      </c>
      <c r="AR105" s="127">
        <f t="shared" si="517"/>
        <v>199</v>
      </c>
      <c r="AS105" s="128">
        <f t="shared" si="493"/>
        <v>0</v>
      </c>
      <c r="AT105" s="129">
        <f t="shared" si="494"/>
        <v>0</v>
      </c>
      <c r="AU105" s="132">
        <f t="shared" ref="AU105:AV105" si="518">AQ105*1</f>
        <v>199</v>
      </c>
      <c r="AV105" s="127">
        <f t="shared" si="518"/>
        <v>199</v>
      </c>
      <c r="AW105" s="128">
        <f t="shared" si="495"/>
        <v>0</v>
      </c>
      <c r="AX105" s="129">
        <f t="shared" si="496"/>
        <v>0</v>
      </c>
      <c r="AY105" s="132">
        <f t="shared" ref="AY105:AZ105" si="519">AU105*1</f>
        <v>199</v>
      </c>
      <c r="AZ105" s="127">
        <f t="shared" si="519"/>
        <v>199</v>
      </c>
      <c r="BA105" s="128">
        <f t="shared" si="497"/>
        <v>0</v>
      </c>
      <c r="BB105" s="129">
        <f t="shared" si="498"/>
        <v>0</v>
      </c>
      <c r="BC105" s="132">
        <f>AY105*1</f>
        <v>199</v>
      </c>
      <c r="BD105" s="127">
        <f>AY105*1</f>
        <v>199</v>
      </c>
      <c r="BE105" s="128">
        <f t="shared" si="499"/>
        <v>0</v>
      </c>
      <c r="BF105" s="129">
        <f t="shared" si="500"/>
        <v>0</v>
      </c>
      <c r="BG105" s="127">
        <f t="shared" ref="BG105:BH105" si="520">BC105*1</f>
        <v>199</v>
      </c>
      <c r="BH105" s="127">
        <f t="shared" si="520"/>
        <v>199</v>
      </c>
      <c r="BI105" s="128">
        <f t="shared" si="501"/>
        <v>0</v>
      </c>
      <c r="BJ105" s="131">
        <f t="shared" si="502"/>
        <v>0</v>
      </c>
      <c r="BK105" s="135">
        <f>SUM(L105,P105,T105,X105,AC105,AI105,AM105,AQ105,AU105,AY105,BC105,BG105)</f>
        <v>2388</v>
      </c>
      <c r="BL105" s="182">
        <f>SUM(L105,P105,T105,X105,AC105,AI105)</f>
        <v>1194</v>
      </c>
      <c r="BM105" s="137">
        <f>SUM(L105,P105,T105,X105,AC105,AI105,AM105)</f>
        <v>1393</v>
      </c>
      <c r="BN105" s="213">
        <f>SUM(M105,Q105,U105,Y105,AE105,AJ105,AN105,AR105,AV105,AZ105,BD105,BH105)</f>
        <v>2388</v>
      </c>
      <c r="BO105" s="139">
        <f t="shared" si="506"/>
        <v>0</v>
      </c>
      <c r="BP105" s="140" t="s">
        <v>63</v>
      </c>
      <c r="BQ105" s="141" t="str">
        <f>IFERROR((BK105/BP105),"-")</f>
        <v>-</v>
      </c>
      <c r="BR105" s="3"/>
      <c r="BS105" s="3"/>
      <c r="BT105" s="3"/>
      <c r="BU105" s="3"/>
      <c r="BV105" s="3"/>
      <c r="BW105" s="3"/>
    </row>
    <row r="106" ht="15.75" customHeight="1">
      <c r="A106" s="1"/>
      <c r="B106" s="142"/>
      <c r="C106" s="143"/>
      <c r="D106" s="144"/>
      <c r="E106" s="192"/>
      <c r="F106" s="146"/>
      <c r="G106" s="147"/>
      <c r="H106" s="148"/>
      <c r="I106" s="149"/>
      <c r="J106" s="8"/>
      <c r="K106" s="9"/>
      <c r="L106" s="222"/>
      <c r="M106" s="222"/>
      <c r="N106" s="222"/>
      <c r="O106" s="222"/>
      <c r="P106" s="222"/>
      <c r="Q106" s="23"/>
      <c r="R106" s="222">
        <v>15.0</v>
      </c>
      <c r="S106" s="222">
        <v>25.0</v>
      </c>
      <c r="T106" s="222"/>
      <c r="U106" s="222"/>
      <c r="V106" s="222"/>
      <c r="W106" s="222"/>
      <c r="X106" s="222"/>
      <c r="Y106" s="222"/>
      <c r="Z106" s="222"/>
      <c r="AA106" s="222"/>
      <c r="AB106" s="3"/>
      <c r="AC106" s="3"/>
      <c r="AD106" s="3"/>
      <c r="AE106" s="3"/>
      <c r="AF106" s="3"/>
      <c r="AG106" s="3"/>
      <c r="AH106" s="3"/>
      <c r="AI106" s="3"/>
      <c r="AJ106" s="154" t="s">
        <v>70</v>
      </c>
      <c r="AN106" s="154" t="s">
        <v>70</v>
      </c>
      <c r="AY106" s="187"/>
      <c r="AZ106" s="25"/>
      <c r="BA106" s="188"/>
      <c r="BB106" s="25"/>
    </row>
    <row r="107" ht="15.75" customHeight="1">
      <c r="A107" s="1"/>
      <c r="B107" s="142"/>
      <c r="C107" s="143"/>
      <c r="D107" s="144"/>
      <c r="E107" s="192"/>
      <c r="F107" s="146"/>
      <c r="G107" s="147"/>
      <c r="H107" s="148"/>
      <c r="I107" s="149"/>
      <c r="J107" s="34" t="s">
        <v>100</v>
      </c>
      <c r="K107" s="35"/>
      <c r="L107" s="36" t="s">
        <v>10</v>
      </c>
      <c r="M107" s="37" t="s">
        <v>11</v>
      </c>
      <c r="N107" s="38" t="s">
        <v>12</v>
      </c>
      <c r="O107" s="39" t="s">
        <v>13</v>
      </c>
      <c r="P107" s="157" t="s">
        <v>14</v>
      </c>
      <c r="Q107" s="199" t="s">
        <v>15</v>
      </c>
      <c r="R107" s="38" t="s">
        <v>16</v>
      </c>
      <c r="S107" s="42" t="s">
        <v>17</v>
      </c>
      <c r="T107" s="36" t="s">
        <v>18</v>
      </c>
      <c r="U107" s="199" t="s">
        <v>95</v>
      </c>
      <c r="V107" s="38" t="s">
        <v>20</v>
      </c>
      <c r="W107" s="45" t="s">
        <v>96</v>
      </c>
      <c r="X107" s="157" t="s">
        <v>22</v>
      </c>
      <c r="Y107" s="199" t="s">
        <v>97</v>
      </c>
      <c r="Z107" s="38"/>
      <c r="AA107" s="38" t="s">
        <v>24</v>
      </c>
      <c r="AB107" s="45" t="s">
        <v>96</v>
      </c>
      <c r="AC107" s="36" t="s">
        <v>26</v>
      </c>
      <c r="AD107" s="200"/>
      <c r="AE107" s="199" t="s">
        <v>27</v>
      </c>
      <c r="AF107" s="38" t="s">
        <v>28</v>
      </c>
      <c r="AG107" s="47"/>
      <c r="AH107" s="45" t="s">
        <v>29</v>
      </c>
      <c r="AI107" s="44" t="s">
        <v>30</v>
      </c>
      <c r="AJ107" s="199" t="s">
        <v>31</v>
      </c>
      <c r="AK107" s="38" t="s">
        <v>32</v>
      </c>
      <c r="AL107" s="45" t="s">
        <v>33</v>
      </c>
      <c r="AM107" s="43" t="s">
        <v>34</v>
      </c>
      <c r="AN107" s="199" t="s">
        <v>35</v>
      </c>
      <c r="AO107" s="38" t="s">
        <v>36</v>
      </c>
      <c r="AP107" s="45" t="s">
        <v>37</v>
      </c>
      <c r="AQ107" s="44" t="s">
        <v>38</v>
      </c>
      <c r="AR107" s="199" t="s">
        <v>39</v>
      </c>
      <c r="AS107" s="38" t="s">
        <v>40</v>
      </c>
      <c r="AT107" s="45" t="s">
        <v>41</v>
      </c>
      <c r="AU107" s="43" t="s">
        <v>42</v>
      </c>
      <c r="AV107" s="199" t="s">
        <v>43</v>
      </c>
      <c r="AW107" s="38" t="s">
        <v>44</v>
      </c>
      <c r="AX107" s="45" t="s">
        <v>45</v>
      </c>
      <c r="AY107" s="44" t="s">
        <v>46</v>
      </c>
      <c r="AZ107" s="199" t="s">
        <v>47</v>
      </c>
      <c r="BA107" s="38" t="s">
        <v>48</v>
      </c>
      <c r="BB107" s="45" t="s">
        <v>49</v>
      </c>
      <c r="BC107" s="43" t="s">
        <v>50</v>
      </c>
      <c r="BD107" s="199" t="s">
        <v>51</v>
      </c>
      <c r="BE107" s="38" t="s">
        <v>52</v>
      </c>
      <c r="BF107" s="45" t="s">
        <v>53</v>
      </c>
      <c r="BG107" s="201" t="s">
        <v>54</v>
      </c>
      <c r="BH107" s="199" t="s">
        <v>55</v>
      </c>
      <c r="BI107" s="38" t="s">
        <v>56</v>
      </c>
      <c r="BJ107" s="42" t="s">
        <v>57</v>
      </c>
      <c r="BK107" s="48" t="s">
        <v>58</v>
      </c>
      <c r="BL107" s="49" t="s">
        <v>72</v>
      </c>
      <c r="BM107" s="49" t="s">
        <v>60</v>
      </c>
      <c r="BN107" s="37" t="s">
        <v>61</v>
      </c>
      <c r="BO107" s="51" t="s">
        <v>62</v>
      </c>
      <c r="BP107" s="52">
        <v>2025.0</v>
      </c>
      <c r="BQ107" s="53"/>
      <c r="BR107" s="185"/>
      <c r="BS107" s="185"/>
      <c r="BT107" s="185"/>
      <c r="BU107" s="185"/>
      <c r="BV107" s="185"/>
      <c r="BW107" s="185"/>
    </row>
    <row r="108" ht="15.75" customHeight="1">
      <c r="A108" s="1"/>
      <c r="B108" s="142"/>
      <c r="C108" s="143"/>
      <c r="D108" s="144"/>
      <c r="E108" s="192"/>
      <c r="F108" s="146"/>
      <c r="G108" s="147"/>
      <c r="H108" s="148"/>
      <c r="I108" s="149"/>
      <c r="J108" s="54"/>
      <c r="K108" s="55"/>
      <c r="L108" s="56"/>
      <c r="M108" s="57"/>
      <c r="N108" s="58"/>
      <c r="O108" s="59"/>
      <c r="P108" s="56"/>
      <c r="Q108" s="202"/>
      <c r="R108" s="58"/>
      <c r="S108" s="61"/>
      <c r="T108" s="56"/>
      <c r="U108" s="63"/>
      <c r="V108" s="58"/>
      <c r="W108" s="59"/>
      <c r="X108" s="56"/>
      <c r="Y108" s="63"/>
      <c r="Z108" s="58"/>
      <c r="AA108" s="58"/>
      <c r="AB108" s="59"/>
      <c r="AC108" s="56"/>
      <c r="AD108" s="64"/>
      <c r="AE108" s="63"/>
      <c r="AF108" s="58"/>
      <c r="AG108" s="65"/>
      <c r="AH108" s="59"/>
      <c r="AI108" s="62"/>
      <c r="AJ108" s="63" t="s">
        <v>70</v>
      </c>
      <c r="AK108" s="58"/>
      <c r="AL108" s="59"/>
      <c r="AM108" s="62"/>
      <c r="AN108" s="63" t="s">
        <v>70</v>
      </c>
      <c r="AO108" s="58"/>
      <c r="AP108" s="59"/>
      <c r="AQ108" s="62"/>
      <c r="AR108" s="63"/>
      <c r="AS108" s="58"/>
      <c r="AT108" s="59"/>
      <c r="AU108" s="62"/>
      <c r="AV108" s="63"/>
      <c r="AW108" s="58"/>
      <c r="AX108" s="59"/>
      <c r="AY108" s="62"/>
      <c r="AZ108" s="63"/>
      <c r="BA108" s="58"/>
      <c r="BB108" s="59"/>
      <c r="BC108" s="62"/>
      <c r="BD108" s="63"/>
      <c r="BE108" s="58"/>
      <c r="BF108" s="59"/>
      <c r="BG108" s="203"/>
      <c r="BH108" s="63"/>
      <c r="BI108" s="58"/>
      <c r="BJ108" s="61"/>
      <c r="BK108" s="66"/>
      <c r="BL108" s="67"/>
      <c r="BM108" s="67"/>
      <c r="BN108" s="68"/>
      <c r="BO108" s="69"/>
      <c r="BP108" s="70"/>
      <c r="BQ108" s="71"/>
      <c r="BR108" s="3"/>
      <c r="BS108" s="3"/>
      <c r="BT108" s="3"/>
      <c r="BU108" s="3"/>
      <c r="BV108" s="3"/>
      <c r="BW108" s="3"/>
    </row>
    <row r="109" ht="15.75" customHeight="1">
      <c r="A109" s="1"/>
      <c r="B109" s="142">
        <v>15.0</v>
      </c>
      <c r="C109" s="143" t="s">
        <v>101</v>
      </c>
      <c r="D109" s="144">
        <f>3500*4*12</f>
        <v>168000</v>
      </c>
      <c r="E109" s="192">
        <v>40.0</v>
      </c>
      <c r="F109" s="146">
        <f>E109*D109</f>
        <v>6720000</v>
      </c>
      <c r="G109" s="147">
        <v>9704.999999999982</v>
      </c>
      <c r="H109" s="148">
        <v>519.0</v>
      </c>
      <c r="I109" s="149">
        <v>18.699421965317885</v>
      </c>
      <c r="J109" s="72" t="s">
        <v>64</v>
      </c>
      <c r="K109" s="73"/>
      <c r="L109" s="74" t="s">
        <v>63</v>
      </c>
      <c r="M109" s="75" t="s">
        <v>63</v>
      </c>
      <c r="N109" s="76" t="s">
        <v>63</v>
      </c>
      <c r="O109" s="77" t="s">
        <v>65</v>
      </c>
      <c r="P109" s="74" t="s">
        <v>63</v>
      </c>
      <c r="Q109" s="204" t="s">
        <v>63</v>
      </c>
      <c r="R109" s="76" t="s">
        <v>63</v>
      </c>
      <c r="S109" s="79" t="s">
        <v>65</v>
      </c>
      <c r="T109" s="74" t="s">
        <v>63</v>
      </c>
      <c r="U109" s="81" t="s">
        <v>63</v>
      </c>
      <c r="V109" s="76" t="s">
        <v>63</v>
      </c>
      <c r="W109" s="77" t="s">
        <v>65</v>
      </c>
      <c r="X109" s="74" t="s">
        <v>63</v>
      </c>
      <c r="Y109" s="81" t="s">
        <v>63</v>
      </c>
      <c r="Z109" s="76"/>
      <c r="AA109" s="76" t="s">
        <v>63</v>
      </c>
      <c r="AB109" s="77" t="s">
        <v>65</v>
      </c>
      <c r="AC109" s="74" t="s">
        <v>63</v>
      </c>
      <c r="AD109" s="82"/>
      <c r="AE109" s="81" t="s">
        <v>63</v>
      </c>
      <c r="AF109" s="76" t="s">
        <v>63</v>
      </c>
      <c r="AG109" s="83"/>
      <c r="AH109" s="77" t="s">
        <v>65</v>
      </c>
      <c r="AI109" s="80">
        <v>0.02</v>
      </c>
      <c r="AJ109" s="81">
        <v>0.0</v>
      </c>
      <c r="AK109" s="76" t="s">
        <v>63</v>
      </c>
      <c r="AL109" s="77" t="s">
        <v>65</v>
      </c>
      <c r="AM109" s="80">
        <v>0.03</v>
      </c>
      <c r="AN109" s="81">
        <v>0.0</v>
      </c>
      <c r="AO109" s="76" t="s">
        <v>63</v>
      </c>
      <c r="AP109" s="77" t="s">
        <v>65</v>
      </c>
      <c r="AQ109" s="80">
        <v>0.05</v>
      </c>
      <c r="AR109" s="81">
        <f>AR110/(BK110-(L110+P110+T110+X110+AC110))</f>
        <v>0</v>
      </c>
      <c r="AS109" s="76" t="s">
        <v>63</v>
      </c>
      <c r="AT109" s="77" t="s">
        <v>65</v>
      </c>
      <c r="AU109" s="80">
        <v>0.2</v>
      </c>
      <c r="AV109" s="81">
        <f>AV110/(BK110-(L110+P110+T110+X110+AC110))</f>
        <v>0</v>
      </c>
      <c r="AW109" s="76" t="s">
        <v>63</v>
      </c>
      <c r="AX109" s="77" t="s">
        <v>65</v>
      </c>
      <c r="AY109" s="80">
        <v>0.2</v>
      </c>
      <c r="AZ109" s="81">
        <f>AZ110/(BK110-(L110+P110+T110+X110+AC110))</f>
        <v>0</v>
      </c>
      <c r="BA109" s="76" t="s">
        <v>63</v>
      </c>
      <c r="BB109" s="77" t="s">
        <v>65</v>
      </c>
      <c r="BC109" s="80">
        <v>0.25</v>
      </c>
      <c r="BD109" s="81">
        <f>BD110/(BK110-(L110+P110+T110+X110+AC110))</f>
        <v>0</v>
      </c>
      <c r="BE109" s="76" t="s">
        <v>63</v>
      </c>
      <c r="BF109" s="77" t="s">
        <v>65</v>
      </c>
      <c r="BG109" s="205">
        <v>0.25</v>
      </c>
      <c r="BH109" s="81">
        <f>BH110/(BK110-(L110+P110+T110+X110++AC110))</f>
        <v>0</v>
      </c>
      <c r="BI109" s="76" t="s">
        <v>63</v>
      </c>
      <c r="BJ109" s="79" t="s">
        <v>65</v>
      </c>
      <c r="BK109" s="84">
        <f>SUM(AI109,AM109,AQ109,AU109,AY109,BC109,BG109)</f>
        <v>1</v>
      </c>
      <c r="BL109" s="85">
        <f>SUM(AC109,AI109)</f>
        <v>0.02</v>
      </c>
      <c r="BM109" s="86">
        <f>SUM(T109,X109,AC109,AI109,AM109)</f>
        <v>0.05</v>
      </c>
      <c r="BN109" s="87">
        <f>SUM(AJ109,AN109,AR109,AV109,AZ109,BD109,BH109)</f>
        <v>0</v>
      </c>
      <c r="BO109" s="88"/>
      <c r="BP109" s="89" t="s">
        <v>63</v>
      </c>
      <c r="BQ109" s="71"/>
      <c r="BR109" s="3"/>
      <c r="BS109" s="3"/>
      <c r="BT109" s="3"/>
      <c r="BU109" s="3"/>
      <c r="BV109" s="3"/>
      <c r="BW109" s="3"/>
    </row>
    <row r="110" ht="15.75" customHeight="1">
      <c r="A110" s="1"/>
      <c r="B110" s="142"/>
      <c r="C110" s="143"/>
      <c r="D110" s="144"/>
      <c r="E110" s="192"/>
      <c r="F110" s="146"/>
      <c r="G110" s="147"/>
      <c r="H110" s="148"/>
      <c r="I110" s="149"/>
      <c r="J110" s="72" t="s">
        <v>66</v>
      </c>
      <c r="K110" s="73"/>
      <c r="L110" s="167">
        <v>0.0</v>
      </c>
      <c r="M110" s="91">
        <v>0.0</v>
      </c>
      <c r="N110" s="92">
        <f t="shared" ref="N110:N113" si="521">IFERROR(M110-L110,"-")</f>
        <v>0</v>
      </c>
      <c r="O110" s="93" t="str">
        <f t="shared" ref="O110:O113" si="522">IFERROR(M110/L110-1,"-")</f>
        <v>-</v>
      </c>
      <c r="P110" s="167">
        <v>0.0</v>
      </c>
      <c r="Q110" s="91">
        <v>0.0</v>
      </c>
      <c r="R110" s="92">
        <f t="shared" ref="R110:R113" si="523">IFERROR(Q110-P110,"-")</f>
        <v>0</v>
      </c>
      <c r="S110" s="95" t="str">
        <f t="shared" ref="S110:S113" si="524">IFERROR(Q110/P110-1,"-")</f>
        <v>-</v>
      </c>
      <c r="T110" s="90">
        <v>0.0</v>
      </c>
      <c r="U110" s="91">
        <v>3.99</v>
      </c>
      <c r="V110" s="92">
        <f t="shared" ref="V110:V113" si="525">IFERROR(U110-T110,"-")</f>
        <v>3.99</v>
      </c>
      <c r="W110" s="93" t="str">
        <f t="shared" ref="W110:W113" si="526">IFERROR(U110/T110-1,"-")</f>
        <v>-</v>
      </c>
      <c r="X110" s="90">
        <v>0.0</v>
      </c>
      <c r="Y110" s="91">
        <v>3332.19</v>
      </c>
      <c r="Z110" s="92"/>
      <c r="AA110" s="92">
        <f t="shared" ref="AA110:AA113" si="527">IFERROR(Y110-X110,"-")</f>
        <v>3332.19</v>
      </c>
      <c r="AB110" s="93" t="str">
        <f t="shared" ref="AB110:AB113" si="528">IFERROR(Y110/X110-1,"-")</f>
        <v>-</v>
      </c>
      <c r="AC110" s="90">
        <v>0.0</v>
      </c>
      <c r="AD110" s="98"/>
      <c r="AE110" s="91">
        <v>24.95</v>
      </c>
      <c r="AF110" s="92">
        <f t="shared" ref="AF110:AF113" si="529">IFERROR(AE110-AC110,"-")</f>
        <v>24.95</v>
      </c>
      <c r="AG110" s="99"/>
      <c r="AH110" s="93" t="str">
        <f t="shared" ref="AH110:AH113" si="530">IFERROR(AE110/AC110-1,"-")</f>
        <v>-</v>
      </c>
      <c r="AI110" s="96">
        <f>($BK$110-($L$110+$P$110))*AI109</f>
        <v>14000</v>
      </c>
      <c r="AJ110" s="91">
        <v>0.0</v>
      </c>
      <c r="AK110" s="92">
        <f t="shared" ref="AK110:AK113" si="531">IFERROR(AJ110-AI110,"-")</f>
        <v>-14000</v>
      </c>
      <c r="AL110" s="93">
        <f t="shared" ref="AL110:AL113" si="532">IFERROR(AJ110/AI110-1,"-")</f>
        <v>-1</v>
      </c>
      <c r="AM110" s="96">
        <f>($BK$110-($L$110+$P$110))*AM109</f>
        <v>21000</v>
      </c>
      <c r="AN110" s="91">
        <v>0.0</v>
      </c>
      <c r="AO110" s="92">
        <f t="shared" ref="AO110:AO113" si="533">IFERROR(AN110-AM110,"-")</f>
        <v>-21000</v>
      </c>
      <c r="AP110" s="93">
        <f t="shared" ref="AP110:AP113" si="534">IFERROR(AN110/AM110-1,"-")</f>
        <v>-1</v>
      </c>
      <c r="AQ110" s="96">
        <f>($BK$110-($L$110+$P$110))*AQ109</f>
        <v>35000</v>
      </c>
      <c r="AR110" s="91">
        <v>0.0</v>
      </c>
      <c r="AS110" s="92">
        <f t="shared" ref="AS110:AS113" si="535">IFERROR(AR110-AQ110,"-")</f>
        <v>-35000</v>
      </c>
      <c r="AT110" s="93">
        <f t="shared" ref="AT110:AT113" si="536">IFERROR(AR110/AQ110-1,"-")</f>
        <v>-1</v>
      </c>
      <c r="AU110" s="96">
        <f>($BK$110-($L$110+$P$110))*AU109</f>
        <v>140000</v>
      </c>
      <c r="AV110" s="91">
        <v>0.0</v>
      </c>
      <c r="AW110" s="92">
        <f t="shared" ref="AW110:AW113" si="537">IFERROR(AV110-AU110,"-")</f>
        <v>-140000</v>
      </c>
      <c r="AX110" s="93">
        <f t="shared" ref="AX110:AX113" si="538">IFERROR(AV110/AU110-1,"-")</f>
        <v>-1</v>
      </c>
      <c r="AY110" s="96">
        <f>($BK$110-($L$110+$P$110))*AY109</f>
        <v>140000</v>
      </c>
      <c r="AZ110" s="91">
        <v>0.0</v>
      </c>
      <c r="BA110" s="92">
        <f t="shared" ref="BA110:BA113" si="539">IFERROR(AZ110-AY110,"-")</f>
        <v>-140000</v>
      </c>
      <c r="BB110" s="93">
        <f t="shared" ref="BB110:BB113" si="540">IFERROR(AZ110/AY110-1,"-")</f>
        <v>-1</v>
      </c>
      <c r="BC110" s="96">
        <f>($BK$110-($L$110+$P$110))*BC109</f>
        <v>175000</v>
      </c>
      <c r="BD110" s="91">
        <v>0.0</v>
      </c>
      <c r="BE110" s="92">
        <f t="shared" ref="BE110:BE113" si="541">IFERROR(BD110-BC110,"-")</f>
        <v>-175000</v>
      </c>
      <c r="BF110" s="93">
        <f t="shared" ref="BF110:BF113" si="542">IFERROR(BD110/BC110-1,"-")</f>
        <v>-1</v>
      </c>
      <c r="BG110" s="91">
        <f>($BK$110-($L$110+$P$110))*BG109</f>
        <v>175000</v>
      </c>
      <c r="BH110" s="91">
        <v>0.0</v>
      </c>
      <c r="BI110" s="92">
        <f t="shared" ref="BI110:BI113" si="543">IFERROR(BH110-BG110,"-")</f>
        <v>-175000</v>
      </c>
      <c r="BJ110" s="95">
        <f t="shared" ref="BJ110:BJ113" si="544">IFERROR(BH110/BG110-1,"-")</f>
        <v>-1</v>
      </c>
      <c r="BK110" s="101">
        <v>700000.0</v>
      </c>
      <c r="BL110" s="169">
        <f t="shared" ref="BL110:BL111" si="545">SUM(L110,P110,T110,X110,AC110,AI110)</f>
        <v>14000</v>
      </c>
      <c r="BM110" s="103">
        <f t="shared" ref="BM110:BM111" si="546">SUM(L110,P110,T110,X110,AC110,AI110,AM110)</f>
        <v>35000</v>
      </c>
      <c r="BN110" s="102">
        <f t="shared" ref="BN110:BN111" si="547">SUM(M110,Q110,U110,Y110,AE110,AJ110,AN110,AR110,AV110,AZ110,BD110,BH110)</f>
        <v>3361.13</v>
      </c>
      <c r="BO110" s="104">
        <f t="shared" ref="BO110:BO113" si="548">IFERROR(BN110/BK110-1,"-")</f>
        <v>-0.9951983857</v>
      </c>
      <c r="BP110" s="105">
        <v>0.0</v>
      </c>
      <c r="BQ110" s="106" t="str">
        <f t="shared" ref="BQ110:BQ111" si="549">IFERROR((BK110/BP110),"-")</f>
        <v>-</v>
      </c>
      <c r="BR110" s="3"/>
      <c r="BS110" s="3"/>
      <c r="BT110" s="3"/>
      <c r="BU110" s="3"/>
      <c r="BV110" s="3"/>
      <c r="BW110" s="3"/>
    </row>
    <row r="111" ht="15.75" customHeight="1">
      <c r="A111" s="1"/>
      <c r="B111" s="142"/>
      <c r="C111" s="143"/>
      <c r="D111" s="144"/>
      <c r="E111" s="192"/>
      <c r="F111" s="146"/>
      <c r="G111" s="147"/>
      <c r="H111" s="148"/>
      <c r="I111" s="149"/>
      <c r="J111" s="72" t="s">
        <v>67</v>
      </c>
      <c r="K111" s="107"/>
      <c r="L111" s="171">
        <f>L110/$K$112</f>
        <v>0</v>
      </c>
      <c r="M111" s="109">
        <v>0.0</v>
      </c>
      <c r="N111" s="110">
        <f t="shared" si="521"/>
        <v>0</v>
      </c>
      <c r="O111" s="93" t="str">
        <f t="shared" si="522"/>
        <v>-</v>
      </c>
      <c r="P111" s="171">
        <f>P110/$K$112</f>
        <v>0</v>
      </c>
      <c r="Q111" s="109">
        <v>0.0</v>
      </c>
      <c r="R111" s="110">
        <f t="shared" si="523"/>
        <v>0</v>
      </c>
      <c r="S111" s="95" t="str">
        <f t="shared" si="524"/>
        <v>-</v>
      </c>
      <c r="T111" s="171">
        <v>0.0</v>
      </c>
      <c r="U111" s="109">
        <v>1.0</v>
      </c>
      <c r="V111" s="110">
        <f t="shared" si="525"/>
        <v>1</v>
      </c>
      <c r="W111" s="93" t="str">
        <f t="shared" si="526"/>
        <v>-</v>
      </c>
      <c r="X111" s="171">
        <f>X110/$K$112</f>
        <v>0</v>
      </c>
      <c r="Y111" s="109">
        <v>462.0</v>
      </c>
      <c r="Z111" s="110"/>
      <c r="AA111" s="110">
        <f t="shared" si="527"/>
        <v>462</v>
      </c>
      <c r="AB111" s="93" t="str">
        <f t="shared" si="528"/>
        <v>-</v>
      </c>
      <c r="AC111" s="171">
        <f>AC110/$K$112</f>
        <v>0</v>
      </c>
      <c r="AD111" s="240"/>
      <c r="AE111" s="109">
        <v>5.0</v>
      </c>
      <c r="AF111" s="110">
        <f t="shared" si="529"/>
        <v>5</v>
      </c>
      <c r="AG111" s="99"/>
      <c r="AH111" s="93" t="str">
        <f t="shared" si="530"/>
        <v>-</v>
      </c>
      <c r="AI111" s="112">
        <f>AI110/$K$112</f>
        <v>280</v>
      </c>
      <c r="AJ111" s="109">
        <v>0.0</v>
      </c>
      <c r="AK111" s="110">
        <f t="shared" si="531"/>
        <v>-280</v>
      </c>
      <c r="AL111" s="93">
        <f t="shared" si="532"/>
        <v>-1</v>
      </c>
      <c r="AM111" s="112">
        <f>AM110/$K$112</f>
        <v>420</v>
      </c>
      <c r="AN111" s="109">
        <v>0.0</v>
      </c>
      <c r="AO111" s="110">
        <f t="shared" si="533"/>
        <v>-420</v>
      </c>
      <c r="AP111" s="93">
        <f t="shared" si="534"/>
        <v>-1</v>
      </c>
      <c r="AQ111" s="112">
        <f>AQ110/$K$112</f>
        <v>700</v>
      </c>
      <c r="AR111" s="109">
        <v>0.0</v>
      </c>
      <c r="AS111" s="110">
        <f t="shared" si="535"/>
        <v>-700</v>
      </c>
      <c r="AT111" s="93">
        <f t="shared" si="536"/>
        <v>-1</v>
      </c>
      <c r="AU111" s="112">
        <f>AU110/$K$112</f>
        <v>2800</v>
      </c>
      <c r="AV111" s="109">
        <v>0.0</v>
      </c>
      <c r="AW111" s="110">
        <f t="shared" si="537"/>
        <v>-2800</v>
      </c>
      <c r="AX111" s="93">
        <f t="shared" si="538"/>
        <v>-1</v>
      </c>
      <c r="AY111" s="112">
        <f>AY110/$K$112</f>
        <v>2800</v>
      </c>
      <c r="AZ111" s="109">
        <v>0.0</v>
      </c>
      <c r="BA111" s="110">
        <f t="shared" si="539"/>
        <v>-2800</v>
      </c>
      <c r="BB111" s="93">
        <f t="shared" si="540"/>
        <v>-1</v>
      </c>
      <c r="BC111" s="112">
        <f>BC110/$K$112</f>
        <v>3500</v>
      </c>
      <c r="BD111" s="109">
        <v>0.0</v>
      </c>
      <c r="BE111" s="110">
        <f t="shared" si="541"/>
        <v>-3500</v>
      </c>
      <c r="BF111" s="93">
        <f t="shared" si="542"/>
        <v>-1</v>
      </c>
      <c r="BG111" s="109">
        <f>BG110/$K$112</f>
        <v>3500</v>
      </c>
      <c r="BH111" s="109">
        <v>0.0</v>
      </c>
      <c r="BI111" s="110">
        <f t="shared" si="543"/>
        <v>-3500</v>
      </c>
      <c r="BJ111" s="95">
        <f t="shared" si="544"/>
        <v>-1</v>
      </c>
      <c r="BK111" s="206">
        <f>SUM(L111,P111,T111,X111,AC111,AI111,AM111,AQ111,AU111,AY111,BC111,BG111)</f>
        <v>14000</v>
      </c>
      <c r="BL111" s="173">
        <f t="shared" si="545"/>
        <v>280</v>
      </c>
      <c r="BM111" s="117">
        <f t="shared" si="546"/>
        <v>700</v>
      </c>
      <c r="BN111" s="207">
        <f t="shared" si="547"/>
        <v>468</v>
      </c>
      <c r="BO111" s="104">
        <f t="shared" si="548"/>
        <v>-0.9665714286</v>
      </c>
      <c r="BP111" s="119">
        <v>0.0</v>
      </c>
      <c r="BQ111" s="106" t="str">
        <f t="shared" si="549"/>
        <v>-</v>
      </c>
      <c r="BR111" s="3"/>
      <c r="BS111" s="3"/>
      <c r="BT111" s="3"/>
      <c r="BU111" s="3"/>
      <c r="BV111" s="3"/>
      <c r="BW111" s="3"/>
    </row>
    <row r="112" ht="15.75" customHeight="1">
      <c r="A112" s="1"/>
      <c r="B112" s="142"/>
      <c r="C112" s="143"/>
      <c r="D112" s="144"/>
      <c r="E112" s="192"/>
      <c r="F112" s="146"/>
      <c r="G112" s="147"/>
      <c r="H112" s="148"/>
      <c r="I112" s="149"/>
      <c r="J112" s="72" t="s">
        <v>68</v>
      </c>
      <c r="K112" s="107">
        <v>50.0</v>
      </c>
      <c r="L112" s="90" t="str">
        <f t="shared" ref="L112:M112" si="550">IFERROR(L110/L111,"-")</f>
        <v>-</v>
      </c>
      <c r="M112" s="91" t="str">
        <f t="shared" si="550"/>
        <v>-</v>
      </c>
      <c r="N112" s="92" t="str">
        <f t="shared" si="521"/>
        <v>-</v>
      </c>
      <c r="O112" s="93" t="str">
        <f t="shared" si="522"/>
        <v>-</v>
      </c>
      <c r="P112" s="90" t="str">
        <f t="shared" ref="P112:Q112" si="551">IFERROR(P110/P111,"-")</f>
        <v>-</v>
      </c>
      <c r="Q112" s="91" t="str">
        <f t="shared" si="551"/>
        <v>-</v>
      </c>
      <c r="R112" s="92" t="str">
        <f t="shared" si="523"/>
        <v>-</v>
      </c>
      <c r="S112" s="95" t="str">
        <f t="shared" si="524"/>
        <v>-</v>
      </c>
      <c r="T112" s="90" t="str">
        <f t="shared" ref="T112:U112" si="552">IFERROR(T110/T111,"-")</f>
        <v>-</v>
      </c>
      <c r="U112" s="91">
        <f t="shared" si="552"/>
        <v>3.99</v>
      </c>
      <c r="V112" s="92" t="str">
        <f t="shared" si="525"/>
        <v>-</v>
      </c>
      <c r="W112" s="93" t="str">
        <f t="shared" si="526"/>
        <v>-</v>
      </c>
      <c r="X112" s="90" t="str">
        <f t="shared" ref="X112:Y112" si="553">IFERROR(X110/X111,"-")</f>
        <v>-</v>
      </c>
      <c r="Y112" s="91">
        <f t="shared" si="553"/>
        <v>7.212532468</v>
      </c>
      <c r="Z112" s="92"/>
      <c r="AA112" s="92" t="str">
        <f t="shared" si="527"/>
        <v>-</v>
      </c>
      <c r="AB112" s="93" t="str">
        <f t="shared" si="528"/>
        <v>-</v>
      </c>
      <c r="AC112" s="90" t="str">
        <f>IFERROR(AC110/AC111,"-")</f>
        <v>-</v>
      </c>
      <c r="AD112" s="98"/>
      <c r="AE112" s="91">
        <f>IFERROR(AE110/AE111,"-")</f>
        <v>4.99</v>
      </c>
      <c r="AF112" s="92" t="str">
        <f t="shared" si="529"/>
        <v>-</v>
      </c>
      <c r="AG112" s="99"/>
      <c r="AH112" s="93" t="str">
        <f t="shared" si="530"/>
        <v>-</v>
      </c>
      <c r="AI112" s="112">
        <f>AI110/AI111</f>
        <v>50</v>
      </c>
      <c r="AJ112" s="91" t="s">
        <v>63</v>
      </c>
      <c r="AK112" s="92" t="str">
        <f t="shared" si="531"/>
        <v>-</v>
      </c>
      <c r="AL112" s="93" t="str">
        <f t="shared" si="532"/>
        <v>-</v>
      </c>
      <c r="AM112" s="112">
        <f>AM110/AM111</f>
        <v>50</v>
      </c>
      <c r="AN112" s="91" t="s">
        <v>63</v>
      </c>
      <c r="AO112" s="92" t="str">
        <f t="shared" si="533"/>
        <v>-</v>
      </c>
      <c r="AP112" s="93" t="str">
        <f t="shared" si="534"/>
        <v>-</v>
      </c>
      <c r="AQ112" s="112">
        <f>AQ110/AQ111</f>
        <v>50</v>
      </c>
      <c r="AR112" s="91" t="str">
        <f>IFERROR(AR110/AR111,"-")</f>
        <v>-</v>
      </c>
      <c r="AS112" s="92" t="str">
        <f t="shared" si="535"/>
        <v>-</v>
      </c>
      <c r="AT112" s="93" t="str">
        <f t="shared" si="536"/>
        <v>-</v>
      </c>
      <c r="AU112" s="112">
        <f>AU110/AU111</f>
        <v>50</v>
      </c>
      <c r="AV112" s="91" t="str">
        <f>IFERROR(AV110/AV111,"-")</f>
        <v>-</v>
      </c>
      <c r="AW112" s="92" t="str">
        <f t="shared" si="537"/>
        <v>-</v>
      </c>
      <c r="AX112" s="93" t="str">
        <f t="shared" si="538"/>
        <v>-</v>
      </c>
      <c r="AY112" s="112">
        <f>AY110/AY111</f>
        <v>50</v>
      </c>
      <c r="AZ112" s="91" t="str">
        <f>IFERROR(AZ110/AZ111,"-")</f>
        <v>-</v>
      </c>
      <c r="BA112" s="92" t="str">
        <f t="shared" si="539"/>
        <v>-</v>
      </c>
      <c r="BB112" s="93" t="str">
        <f t="shared" si="540"/>
        <v>-</v>
      </c>
      <c r="BC112" s="112">
        <f>BC110/BC111</f>
        <v>50</v>
      </c>
      <c r="BD112" s="91" t="str">
        <f>IFERROR(BD110/BD111,"-")</f>
        <v>-</v>
      </c>
      <c r="BE112" s="92" t="str">
        <f t="shared" si="541"/>
        <v>-</v>
      </c>
      <c r="BF112" s="93" t="str">
        <f t="shared" si="542"/>
        <v>-</v>
      </c>
      <c r="BG112" s="109">
        <f>BG110/BG111</f>
        <v>50</v>
      </c>
      <c r="BH112" s="91" t="str">
        <f>IFERROR(BH110/BH111,"-")</f>
        <v>-</v>
      </c>
      <c r="BI112" s="92" t="str">
        <f t="shared" si="543"/>
        <v>-</v>
      </c>
      <c r="BJ112" s="95" t="str">
        <f t="shared" si="544"/>
        <v>-</v>
      </c>
      <c r="BK112" s="120">
        <f>BK110/BK111</f>
        <v>50</v>
      </c>
      <c r="BL112" s="176">
        <f t="shared" ref="BL112:BM112" si="554">IFERROR(BL110/BL111,"-")</f>
        <v>50</v>
      </c>
      <c r="BM112" s="122">
        <f t="shared" si="554"/>
        <v>50</v>
      </c>
      <c r="BN112" s="209">
        <f>BN110/BN111</f>
        <v>7.181901709</v>
      </c>
      <c r="BO112" s="104">
        <f t="shared" si="548"/>
        <v>-0.8563619658</v>
      </c>
      <c r="BP112" s="119"/>
      <c r="BQ112" s="106"/>
      <c r="BR112" s="3"/>
      <c r="BS112" s="3"/>
      <c r="BT112" s="3"/>
      <c r="BU112" s="3"/>
      <c r="BV112" s="3"/>
      <c r="BW112" s="3"/>
    </row>
    <row r="113" ht="15.75" customHeight="1">
      <c r="A113" s="1"/>
      <c r="B113" s="142"/>
      <c r="C113" s="143"/>
      <c r="D113" s="144"/>
      <c r="E113" s="192"/>
      <c r="F113" s="146"/>
      <c r="G113" s="147"/>
      <c r="H113" s="148"/>
      <c r="I113" s="149"/>
      <c r="J113" s="124" t="s">
        <v>69</v>
      </c>
      <c r="K113" s="125">
        <v>0.02</v>
      </c>
      <c r="L113" s="132">
        <f t="shared" ref="L113:M113" si="555">IF(L111=0, 0, (L110/L111) * (
  MIN(L111, 50000) * 0.02 +
  MAX(0, MIN(L111, 100000) - 50000) * 0.015 +
  MAX(0, L111 - 100000) * 0.01
))</f>
        <v>0</v>
      </c>
      <c r="M113" s="127">
        <f t="shared" si="555"/>
        <v>0</v>
      </c>
      <c r="N113" s="128">
        <f t="shared" si="521"/>
        <v>0</v>
      </c>
      <c r="O113" s="129" t="str">
        <f t="shared" si="522"/>
        <v>-</v>
      </c>
      <c r="P113" s="132">
        <f t="shared" ref="P113:Q113" si="556">IF(P111=0, 0, (P110/P111) * (
  MIN(P111, 50000) * 0.02 +
  MAX(0, MIN(P111, 100000) - 50000) * 0.015 +
  MAX(0, P111 - 100000) * 0.01
))</f>
        <v>0</v>
      </c>
      <c r="Q113" s="127">
        <f t="shared" si="556"/>
        <v>0</v>
      </c>
      <c r="R113" s="128">
        <f t="shared" si="523"/>
        <v>0</v>
      </c>
      <c r="S113" s="131" t="str">
        <f t="shared" si="524"/>
        <v>-</v>
      </c>
      <c r="T113" s="132">
        <f t="shared" ref="T113:U113" si="557">IF(T111=0, 0, (T110/T111) * (
  MIN(T111, 50000) * 0.02 +
  MAX(0, MIN(T111, 100000) - 50000) * 0.015 +
  MAX(0, T111 - 100000) * 0.01
))</f>
        <v>0</v>
      </c>
      <c r="U113" s="127">
        <f t="shared" si="557"/>
        <v>0.0798</v>
      </c>
      <c r="V113" s="128">
        <f t="shared" si="525"/>
        <v>0.0798</v>
      </c>
      <c r="W113" s="129" t="str">
        <f t="shared" si="526"/>
        <v>-</v>
      </c>
      <c r="X113" s="132">
        <f t="shared" ref="X113:Y113" si="558">IF(X111=0, 0, (X110/X111) * (
  MIN(X111, 50000) * 0.02 +
  MAX(0, MIN(X111, 100000) - 50000) * 0.015 +
  MAX(0, X111 - 100000) * 0.01
))</f>
        <v>0</v>
      </c>
      <c r="Y113" s="127">
        <f t="shared" si="558"/>
        <v>66.6438</v>
      </c>
      <c r="Z113" s="128"/>
      <c r="AA113" s="128">
        <f t="shared" si="527"/>
        <v>66.6438</v>
      </c>
      <c r="AB113" s="129" t="str">
        <f t="shared" si="528"/>
        <v>-</v>
      </c>
      <c r="AC113" s="132">
        <f>IF(AC111=0, 0, (AC110/AC111) * (
  MIN(AC111, 50000) * 0.02 +
  MAX(0, MIN(AC111, 100000) - 50000) * 0.015 +
  MAX(0, AC111 - 100000) * 0.01
))</f>
        <v>0</v>
      </c>
      <c r="AD113" s="180"/>
      <c r="AE113" s="127">
        <f>IF(AE111=0, 0, (AE110/AE111) * (
  MIN(AE111, 50000) * 0.02 +
  MAX(0, MIN(AE111, 100000) - 50000) * 0.015 +
  MAX(0, AE111 - 100000) * 0.01
))</f>
        <v>0.499</v>
      </c>
      <c r="AF113" s="128">
        <f t="shared" si="529"/>
        <v>0.499</v>
      </c>
      <c r="AG113" s="134"/>
      <c r="AH113" s="129" t="str">
        <f t="shared" si="530"/>
        <v>-</v>
      </c>
      <c r="AI113" s="132">
        <f>IF(AI111=0, 0, (AI110/AI111) * (
  MIN(AI111, 50000) * 0.02 +
  MAX(0, MIN(AI111, 100000) - 50000) * 0.015 +
  MAX(0, AI111 - 100000) * 0.01
))</f>
        <v>280</v>
      </c>
      <c r="AJ113" s="127">
        <v>0.0</v>
      </c>
      <c r="AK113" s="128">
        <f t="shared" si="531"/>
        <v>-280</v>
      </c>
      <c r="AL113" s="129">
        <f t="shared" si="532"/>
        <v>-1</v>
      </c>
      <c r="AM113" s="132">
        <f>IF(AM111=0, 0, (AM110/AM111) * (
  MIN(AM111, 50000) * 0.02 +
  MAX(0, MIN(AM111, 100000) - 50000) * 0.015 +
  MAX(0, AM111 - 100000) * 0.01
))</f>
        <v>420</v>
      </c>
      <c r="AN113" s="127">
        <v>0.0</v>
      </c>
      <c r="AO113" s="128">
        <f t="shared" si="533"/>
        <v>-420</v>
      </c>
      <c r="AP113" s="129">
        <f t="shared" si="534"/>
        <v>-1</v>
      </c>
      <c r="AQ113" s="132">
        <f t="shared" ref="AQ113:AR113" si="559">IF(AQ111=0, 0, (AQ110/AQ111) * (
  MIN(AQ111, 50000) * 0.02 +
  MAX(0, MIN(AQ111, 100000) - 50000) * 0.015 +
  MAX(0, AQ111 - 100000) * 0.01
))</f>
        <v>700</v>
      </c>
      <c r="AR113" s="127">
        <f t="shared" si="559"/>
        <v>0</v>
      </c>
      <c r="AS113" s="128">
        <f t="shared" si="535"/>
        <v>-700</v>
      </c>
      <c r="AT113" s="129">
        <f t="shared" si="536"/>
        <v>-1</v>
      </c>
      <c r="AU113" s="132">
        <f t="shared" ref="AU113:AV113" si="560">IF(AU111=0, 0, (AU110/AU111) * (
  MIN(AU111, 50000) * 0.02 +
  MAX(0, MIN(AU111, 100000) - 50000) * 0.015 +
  MAX(0, AU111 - 100000) * 0.01
))</f>
        <v>2800</v>
      </c>
      <c r="AV113" s="127">
        <f t="shared" si="560"/>
        <v>0</v>
      </c>
      <c r="AW113" s="128">
        <f t="shared" si="537"/>
        <v>-2800</v>
      </c>
      <c r="AX113" s="129">
        <f t="shared" si="538"/>
        <v>-1</v>
      </c>
      <c r="AY113" s="132">
        <f t="shared" ref="AY113:AZ113" si="561">IF(AY111=0, 0, (AY110/AY111) * (
  MIN(AY111, 50000) * 0.02 +
  MAX(0, MIN(AY111, 100000) - 50000) * 0.015 +
  MAX(0, AY111 - 100000) * 0.01
))</f>
        <v>2800</v>
      </c>
      <c r="AZ113" s="127">
        <f t="shared" si="561"/>
        <v>0</v>
      </c>
      <c r="BA113" s="128">
        <f t="shared" si="539"/>
        <v>-2800</v>
      </c>
      <c r="BB113" s="129">
        <f t="shared" si="540"/>
        <v>-1</v>
      </c>
      <c r="BC113" s="132">
        <f t="shared" ref="BC113:BD113" si="562">IF(BC111=0, 0, (BC110/BC111) * (
  MIN(BC111, 50000) * 0.02 +
  MAX(0, MIN(BC111, 100000) - 50000) * 0.015 +
  MAX(0, BC111 - 100000) * 0.01
))</f>
        <v>3500</v>
      </c>
      <c r="BD113" s="127">
        <f t="shared" si="562"/>
        <v>0</v>
      </c>
      <c r="BE113" s="128">
        <f t="shared" si="541"/>
        <v>-3500</v>
      </c>
      <c r="BF113" s="129">
        <f t="shared" si="542"/>
        <v>-1</v>
      </c>
      <c r="BG113" s="127">
        <f t="shared" ref="BG113:BH113" si="563">IF(BG111=0, 0, (BG110/BG111) * (
  MIN(BG111, 50000) * 0.02 +
  MAX(0, MIN(BG111, 100000) - 50000) * 0.015 +
  MAX(0, BG111 - 100000) * 0.01
))</f>
        <v>3500</v>
      </c>
      <c r="BH113" s="127">
        <f t="shared" si="563"/>
        <v>0</v>
      </c>
      <c r="BI113" s="128">
        <f t="shared" si="543"/>
        <v>-3500</v>
      </c>
      <c r="BJ113" s="131">
        <f t="shared" si="544"/>
        <v>-1</v>
      </c>
      <c r="BK113" s="135">
        <f>SUM(L113,P113,T113,X113,AC113,AI113,AM113,AQ113,AU113,AY113,BC113,BG113)</f>
        <v>14000</v>
      </c>
      <c r="BL113" s="182">
        <f>SUM(L113,P113,T113,X113,AC113,AI113)</f>
        <v>280</v>
      </c>
      <c r="BM113" s="137">
        <f>SUM(L113,P113,T113,X113,AC113,AI113,AM113)</f>
        <v>700</v>
      </c>
      <c r="BN113" s="213">
        <f>SUM(M113,Q113,U113,Y113,AE113,AJ113,AN113,AR113,AV113,AZ113,BD113,BH113)</f>
        <v>67.2226</v>
      </c>
      <c r="BO113" s="139">
        <f t="shared" si="548"/>
        <v>-0.9951983857</v>
      </c>
      <c r="BP113" s="140">
        <v>0.0</v>
      </c>
      <c r="BQ113" s="141" t="str">
        <f>IFERROR((BK113/BP113),"-")</f>
        <v>-</v>
      </c>
      <c r="BR113" s="3"/>
      <c r="BS113" s="3"/>
      <c r="BT113" s="3"/>
      <c r="BU113" s="3"/>
      <c r="BV113" s="3"/>
      <c r="BW113" s="3"/>
    </row>
    <row r="114" ht="15.75" customHeight="1">
      <c r="A114" s="1"/>
      <c r="B114" s="142"/>
      <c r="C114" s="143"/>
      <c r="D114" s="144"/>
      <c r="E114" s="192"/>
      <c r="F114" s="146"/>
      <c r="G114" s="147"/>
      <c r="H114" s="148"/>
      <c r="I114" s="149"/>
      <c r="J114" s="8"/>
      <c r="K114" s="9"/>
      <c r="L114" s="185"/>
      <c r="M114" s="185"/>
      <c r="N114" s="185"/>
      <c r="O114" s="185"/>
      <c r="P114" s="185"/>
      <c r="Q114" s="214"/>
      <c r="R114" s="185"/>
      <c r="S114" s="185"/>
      <c r="T114" s="185"/>
      <c r="U114" s="185"/>
      <c r="V114" s="185"/>
      <c r="W114" s="185"/>
      <c r="X114" s="185"/>
      <c r="Y114" s="185"/>
      <c r="Z114" s="185"/>
      <c r="AA114" s="185"/>
      <c r="AB114" s="3"/>
      <c r="AC114" s="3"/>
      <c r="AD114" s="3"/>
      <c r="AE114" s="3"/>
      <c r="AF114" s="3"/>
      <c r="AG114" s="3"/>
      <c r="AH114" s="3"/>
      <c r="AI114" s="3"/>
      <c r="AJ114" s="154" t="s">
        <v>70</v>
      </c>
      <c r="AN114" s="154" t="s">
        <v>70</v>
      </c>
      <c r="AY114" s="187"/>
      <c r="AZ114" s="25"/>
      <c r="BA114" s="188"/>
      <c r="BB114" s="25"/>
    </row>
    <row r="115" ht="15.75" customHeight="1">
      <c r="A115" s="1"/>
      <c r="B115" s="142"/>
      <c r="C115" s="143"/>
      <c r="D115" s="144"/>
      <c r="E115" s="192"/>
      <c r="F115" s="146"/>
      <c r="G115" s="147"/>
      <c r="H115" s="148"/>
      <c r="I115" s="149"/>
      <c r="J115" s="34" t="s">
        <v>102</v>
      </c>
      <c r="K115" s="35"/>
      <c r="L115" s="36" t="s">
        <v>10</v>
      </c>
      <c r="M115" s="37" t="s">
        <v>11</v>
      </c>
      <c r="N115" s="38" t="s">
        <v>12</v>
      </c>
      <c r="O115" s="39" t="s">
        <v>13</v>
      </c>
      <c r="P115" s="157" t="s">
        <v>14</v>
      </c>
      <c r="Q115" s="199" t="s">
        <v>15</v>
      </c>
      <c r="R115" s="38" t="s">
        <v>16</v>
      </c>
      <c r="S115" s="42" t="s">
        <v>17</v>
      </c>
      <c r="T115" s="43" t="s">
        <v>18</v>
      </c>
      <c r="U115" s="199" t="s">
        <v>95</v>
      </c>
      <c r="V115" s="38" t="s">
        <v>20</v>
      </c>
      <c r="W115" s="45" t="s">
        <v>96</v>
      </c>
      <c r="X115" s="44" t="s">
        <v>22</v>
      </c>
      <c r="Y115" s="199" t="s">
        <v>97</v>
      </c>
      <c r="Z115" s="38"/>
      <c r="AA115" s="38" t="s">
        <v>24</v>
      </c>
      <c r="AB115" s="45" t="s">
        <v>96</v>
      </c>
      <c r="AC115" s="43" t="s">
        <v>26</v>
      </c>
      <c r="AD115" s="200"/>
      <c r="AE115" s="199" t="s">
        <v>27</v>
      </c>
      <c r="AF115" s="38" t="s">
        <v>28</v>
      </c>
      <c r="AG115" s="47"/>
      <c r="AH115" s="45" t="s">
        <v>29</v>
      </c>
      <c r="AI115" s="44" t="s">
        <v>30</v>
      </c>
      <c r="AJ115" s="199" t="s">
        <v>31</v>
      </c>
      <c r="AK115" s="38" t="s">
        <v>32</v>
      </c>
      <c r="AL115" s="45" t="s">
        <v>33</v>
      </c>
      <c r="AM115" s="43" t="s">
        <v>34</v>
      </c>
      <c r="AN115" s="199" t="s">
        <v>35</v>
      </c>
      <c r="AO115" s="38" t="s">
        <v>36</v>
      </c>
      <c r="AP115" s="45" t="s">
        <v>37</v>
      </c>
      <c r="AQ115" s="44" t="s">
        <v>38</v>
      </c>
      <c r="AR115" s="199" t="s">
        <v>39</v>
      </c>
      <c r="AS115" s="38" t="s">
        <v>40</v>
      </c>
      <c r="AT115" s="45" t="s">
        <v>41</v>
      </c>
      <c r="AU115" s="43" t="s">
        <v>42</v>
      </c>
      <c r="AV115" s="199" t="s">
        <v>43</v>
      </c>
      <c r="AW115" s="38" t="s">
        <v>44</v>
      </c>
      <c r="AX115" s="45" t="s">
        <v>45</v>
      </c>
      <c r="AY115" s="44" t="s">
        <v>46</v>
      </c>
      <c r="AZ115" s="199" t="s">
        <v>47</v>
      </c>
      <c r="BA115" s="38" t="s">
        <v>48</v>
      </c>
      <c r="BB115" s="45" t="s">
        <v>49</v>
      </c>
      <c r="BC115" s="43" t="s">
        <v>50</v>
      </c>
      <c r="BD115" s="199" t="s">
        <v>51</v>
      </c>
      <c r="BE115" s="38" t="s">
        <v>52</v>
      </c>
      <c r="BF115" s="45" t="s">
        <v>53</v>
      </c>
      <c r="BG115" s="44" t="s">
        <v>54</v>
      </c>
      <c r="BH115" s="199" t="s">
        <v>55</v>
      </c>
      <c r="BI115" s="38" t="s">
        <v>56</v>
      </c>
      <c r="BJ115" s="42" t="s">
        <v>57</v>
      </c>
      <c r="BK115" s="48" t="s">
        <v>58</v>
      </c>
      <c r="BL115" s="49" t="s">
        <v>72</v>
      </c>
      <c r="BM115" s="49" t="s">
        <v>60</v>
      </c>
      <c r="BN115" s="37" t="s">
        <v>61</v>
      </c>
      <c r="BO115" s="51" t="s">
        <v>62</v>
      </c>
      <c r="BP115" s="52">
        <v>2025.0</v>
      </c>
      <c r="BQ115" s="53"/>
      <c r="BR115" s="3"/>
      <c r="BS115" s="3"/>
      <c r="BT115" s="3"/>
      <c r="BU115" s="3"/>
      <c r="BV115" s="3"/>
      <c r="BW115" s="3"/>
    </row>
    <row r="116" ht="15.75" customHeight="1">
      <c r="A116" s="1"/>
      <c r="B116" s="142"/>
      <c r="C116" s="143"/>
      <c r="D116" s="144"/>
      <c r="E116" s="192"/>
      <c r="F116" s="146"/>
      <c r="G116" s="241"/>
      <c r="H116" s="242"/>
      <c r="I116" s="243"/>
      <c r="J116" s="54"/>
      <c r="K116" s="55"/>
      <c r="L116" s="56"/>
      <c r="M116" s="57"/>
      <c r="N116" s="58"/>
      <c r="O116" s="59"/>
      <c r="P116" s="56"/>
      <c r="Q116" s="202"/>
      <c r="R116" s="58"/>
      <c r="S116" s="61"/>
      <c r="T116" s="62"/>
      <c r="U116" s="63"/>
      <c r="V116" s="58"/>
      <c r="W116" s="59"/>
      <c r="X116" s="62"/>
      <c r="Y116" s="63"/>
      <c r="Z116" s="58"/>
      <c r="AA116" s="58"/>
      <c r="AB116" s="59"/>
      <c r="AC116" s="62"/>
      <c r="AD116" s="64"/>
      <c r="AE116" s="63"/>
      <c r="AF116" s="58"/>
      <c r="AG116" s="65"/>
      <c r="AH116" s="59"/>
      <c r="AI116" s="62"/>
      <c r="AJ116" s="63" t="s">
        <v>70</v>
      </c>
      <c r="AK116" s="58"/>
      <c r="AL116" s="59"/>
      <c r="AM116" s="62"/>
      <c r="AN116" s="63" t="s">
        <v>70</v>
      </c>
      <c r="AO116" s="58"/>
      <c r="AP116" s="59"/>
      <c r="AQ116" s="62"/>
      <c r="AR116" s="63"/>
      <c r="AS116" s="58"/>
      <c r="AT116" s="59"/>
      <c r="AU116" s="62"/>
      <c r="AV116" s="63"/>
      <c r="AW116" s="58"/>
      <c r="AX116" s="59"/>
      <c r="AY116" s="62"/>
      <c r="AZ116" s="63"/>
      <c r="BA116" s="58"/>
      <c r="BB116" s="59"/>
      <c r="BC116" s="62"/>
      <c r="BD116" s="63"/>
      <c r="BE116" s="58"/>
      <c r="BF116" s="59"/>
      <c r="BG116" s="62"/>
      <c r="BH116" s="63"/>
      <c r="BI116" s="58"/>
      <c r="BJ116" s="61"/>
      <c r="BK116" s="66"/>
      <c r="BL116" s="67"/>
      <c r="BM116" s="67"/>
      <c r="BN116" s="68"/>
      <c r="BO116" s="69"/>
      <c r="BP116" s="70"/>
      <c r="BQ116" s="71"/>
      <c r="BR116" s="3"/>
      <c r="BS116" s="3"/>
      <c r="BT116" s="3"/>
      <c r="BU116" s="3"/>
      <c r="BV116" s="3"/>
      <c r="BW116" s="3"/>
    </row>
    <row r="117" ht="15.75" customHeight="1">
      <c r="A117" s="1"/>
      <c r="B117" s="142">
        <v>16.0</v>
      </c>
      <c r="C117" s="143" t="s">
        <v>103</v>
      </c>
      <c r="D117" s="144">
        <f>15000*12</f>
        <v>180000</v>
      </c>
      <c r="E117" s="192">
        <v>32.0</v>
      </c>
      <c r="F117" s="146">
        <f>E117*D117</f>
        <v>5760000</v>
      </c>
      <c r="G117" s="244">
        <v>356599.2800000031</v>
      </c>
      <c r="H117" s="245">
        <v>11282.0</v>
      </c>
      <c r="I117" s="246">
        <v>31.607807126396306</v>
      </c>
      <c r="J117" s="72" t="s">
        <v>64</v>
      </c>
      <c r="K117" s="73"/>
      <c r="L117" s="74" t="s">
        <v>63</v>
      </c>
      <c r="M117" s="75" t="s">
        <v>63</v>
      </c>
      <c r="N117" s="76" t="s">
        <v>63</v>
      </c>
      <c r="O117" s="77" t="s">
        <v>65</v>
      </c>
      <c r="P117" s="74" t="s">
        <v>63</v>
      </c>
      <c r="Q117" s="204" t="s">
        <v>63</v>
      </c>
      <c r="R117" s="76" t="s">
        <v>63</v>
      </c>
      <c r="S117" s="79" t="s">
        <v>65</v>
      </c>
      <c r="T117" s="80">
        <v>0.03</v>
      </c>
      <c r="U117" s="81">
        <f>U118/(BK118-(L118 + P118))</f>
        <v>0.02772611311</v>
      </c>
      <c r="V117" s="76" t="s">
        <v>63</v>
      </c>
      <c r="W117" s="77" t="s">
        <v>65</v>
      </c>
      <c r="X117" s="80">
        <v>0.04</v>
      </c>
      <c r="Y117" s="81">
        <f>Y118/(BK118-(L118+P118))</f>
        <v>0.02501738783</v>
      </c>
      <c r="Z117" s="76"/>
      <c r="AA117" s="76" t="s">
        <v>63</v>
      </c>
      <c r="AB117" s="77" t="s">
        <v>65</v>
      </c>
      <c r="AC117" s="80">
        <v>0.07</v>
      </c>
      <c r="AD117" s="82"/>
      <c r="AE117" s="81">
        <f>AE118/(BK118-(L118+P118))</f>
        <v>0.01824176216</v>
      </c>
      <c r="AF117" s="76" t="s">
        <v>63</v>
      </c>
      <c r="AG117" s="83"/>
      <c r="AH117" s="77" t="s">
        <v>65</v>
      </c>
      <c r="AI117" s="80">
        <v>0.09</v>
      </c>
      <c r="AJ117" s="81">
        <v>0.024034975200957757</v>
      </c>
      <c r="AK117" s="76" t="s">
        <v>63</v>
      </c>
      <c r="AL117" s="77" t="s">
        <v>65</v>
      </c>
      <c r="AM117" s="80">
        <v>0.11</v>
      </c>
      <c r="AN117" s="81">
        <v>0.00944159397981871</v>
      </c>
      <c r="AO117" s="76" t="s">
        <v>63</v>
      </c>
      <c r="AP117" s="77" t="s">
        <v>65</v>
      </c>
      <c r="AQ117" s="80">
        <v>0.12</v>
      </c>
      <c r="AR117" s="81">
        <f>AR118/(BK118-(L118+P118))</f>
        <v>0</v>
      </c>
      <c r="AS117" s="76" t="s">
        <v>63</v>
      </c>
      <c r="AT117" s="77" t="s">
        <v>65</v>
      </c>
      <c r="AU117" s="80">
        <v>0.12</v>
      </c>
      <c r="AV117" s="81">
        <f>AV118/(BK118-(L118+P118))</f>
        <v>0</v>
      </c>
      <c r="AW117" s="76" t="s">
        <v>63</v>
      </c>
      <c r="AX117" s="77" t="s">
        <v>65</v>
      </c>
      <c r="AY117" s="80">
        <v>0.12</v>
      </c>
      <c r="AZ117" s="81">
        <f>AZ118/(BK118-(L118+P118))</f>
        <v>0</v>
      </c>
      <c r="BA117" s="76" t="s">
        <v>63</v>
      </c>
      <c r="BB117" s="77" t="s">
        <v>65</v>
      </c>
      <c r="BC117" s="80">
        <v>0.16</v>
      </c>
      <c r="BD117" s="81">
        <f>BD118/(BK118-(L118+P118))</f>
        <v>0</v>
      </c>
      <c r="BE117" s="76" t="s">
        <v>63</v>
      </c>
      <c r="BF117" s="77" t="s">
        <v>65</v>
      </c>
      <c r="BG117" s="80">
        <v>0.14</v>
      </c>
      <c r="BH117" s="81">
        <f>BH118/(BK118-(L118+P118))</f>
        <v>0</v>
      </c>
      <c r="BI117" s="76" t="s">
        <v>63</v>
      </c>
      <c r="BJ117" s="79" t="s">
        <v>65</v>
      </c>
      <c r="BK117" s="84">
        <f>SUM(T117,X117,AC117,AI117,AM117,AQ117,AU117,AY117,BC117,BG117)</f>
        <v>1</v>
      </c>
      <c r="BL117" s="85">
        <f>SUM(T117,X117,AC117,AI117)</f>
        <v>0.23</v>
      </c>
      <c r="BM117" s="86">
        <f>SUM(T117,X117,AC117,AI117,AM117)</f>
        <v>0.34</v>
      </c>
      <c r="BN117" s="87">
        <f>SUM(U117,Y117,AE117,AJ117,AN117,AR117,AV117,AZ117,BD117,BH117)</f>
        <v>0.1044618323</v>
      </c>
      <c r="BO117" s="88"/>
      <c r="BP117" s="89" t="s">
        <v>63</v>
      </c>
      <c r="BQ117" s="71"/>
      <c r="BR117" s="3"/>
      <c r="BS117" s="3"/>
      <c r="BT117" s="3"/>
      <c r="BU117" s="3"/>
      <c r="BV117" s="3"/>
      <c r="BW117" s="3"/>
    </row>
    <row r="118" ht="15.75" customHeight="1">
      <c r="A118" s="1"/>
      <c r="B118" s="142"/>
      <c r="C118" s="143"/>
      <c r="D118" s="144"/>
      <c r="E118" s="192"/>
      <c r="F118" s="146"/>
      <c r="G118" s="147"/>
      <c r="H118" s="148"/>
      <c r="I118" s="149"/>
      <c r="J118" s="72" t="s">
        <v>66</v>
      </c>
      <c r="K118" s="73"/>
      <c r="L118" s="167">
        <v>5894.0</v>
      </c>
      <c r="M118" s="91">
        <v>6435.6</v>
      </c>
      <c r="N118" s="92">
        <f t="shared" ref="N118:N121" si="564">IFERROR(M118-L118,"-")</f>
        <v>541.6</v>
      </c>
      <c r="O118" s="93">
        <f t="shared" ref="O118:O121" si="565">IFERROR(M118/L118-1,"-")</f>
        <v>0.09189005769</v>
      </c>
      <c r="P118" s="167">
        <v>3778.0</v>
      </c>
      <c r="Q118" s="91">
        <v>4215.7</v>
      </c>
      <c r="R118" s="92">
        <f t="shared" ref="R118:R121" si="566">IFERROR(Q118-P118,"-")</f>
        <v>437.7</v>
      </c>
      <c r="S118" s="95">
        <f t="shared" ref="S118:S121" si="567">IFERROR(Q118/P118-1,"-")</f>
        <v>0.1158549497</v>
      </c>
      <c r="T118" s="96">
        <f>($BK$118-($L$118+$P$118))*T117</f>
        <v>4209.84</v>
      </c>
      <c r="U118" s="91">
        <v>3890.75</v>
      </c>
      <c r="V118" s="92">
        <f t="shared" ref="V118:V121" si="568">IFERROR(U118-T118,"-")</f>
        <v>-319.09</v>
      </c>
      <c r="W118" s="93">
        <f t="shared" ref="W118:W121" si="569">IFERROR(U118/T118-1,"-")</f>
        <v>-0.07579622979</v>
      </c>
      <c r="X118" s="96">
        <f>($BK$118-($L$118+$P$118))*X117</f>
        <v>5613.12</v>
      </c>
      <c r="Y118" s="91">
        <v>3510.64</v>
      </c>
      <c r="Z118" s="92"/>
      <c r="AA118" s="92">
        <f t="shared" ref="AA118:AA121" si="570">IFERROR(Y118-X118,"-")</f>
        <v>-2102.48</v>
      </c>
      <c r="AB118" s="93">
        <f t="shared" ref="AB118:AB121" si="571">IFERROR(Y118/X118-1,"-")</f>
        <v>-0.3745653041</v>
      </c>
      <c r="AC118" s="96">
        <f>($BK$118-($L$118+$P$118))*AC117</f>
        <v>9822.96</v>
      </c>
      <c r="AD118" s="98"/>
      <c r="AE118" s="91">
        <v>2559.83</v>
      </c>
      <c r="AF118" s="92">
        <f t="shared" ref="AF118:AF121" si="572">IFERROR(AE118-AC118,"-")</f>
        <v>-7263.13</v>
      </c>
      <c r="AG118" s="99"/>
      <c r="AH118" s="93">
        <f t="shared" ref="AH118:AH121" si="573">IFERROR(AE118/AC118-1,"-")</f>
        <v>-0.7394033978</v>
      </c>
      <c r="AI118" s="96">
        <f>($BK$118-($L$118+$P$118))*AI117</f>
        <v>12629.52</v>
      </c>
      <c r="AJ118" s="100">
        <v>3372.7799999999997</v>
      </c>
      <c r="AK118" s="92">
        <f t="shared" ref="AK118:AK121" si="574">IFERROR(AJ118-AI118,"-")</f>
        <v>-9256.74</v>
      </c>
      <c r="AL118" s="93">
        <f t="shared" ref="AL118:AL121" si="575">IFERROR(AJ118/AI118-1,"-")</f>
        <v>-0.73294472</v>
      </c>
      <c r="AM118" s="96">
        <f>($BK$118-($L$118+$P$118))*AM117</f>
        <v>15436.08</v>
      </c>
      <c r="AN118" s="91">
        <v>1324.92</v>
      </c>
      <c r="AO118" s="92">
        <f t="shared" ref="AO118:AO121" si="576">IFERROR(AN118-AM118,"-")</f>
        <v>-14111.16</v>
      </c>
      <c r="AP118" s="93">
        <f t="shared" ref="AP118:AP121" si="577">IFERROR(AN118/AM118-1,"-")</f>
        <v>-0.9141673275</v>
      </c>
      <c r="AQ118" s="96">
        <f>($BK$118-($L$118+$P$118))*AQ117</f>
        <v>16839.36</v>
      </c>
      <c r="AR118" s="91">
        <v>0.0</v>
      </c>
      <c r="AS118" s="92">
        <f t="shared" ref="AS118:AS121" si="578">IFERROR(AR118-AQ118,"-")</f>
        <v>-16839.36</v>
      </c>
      <c r="AT118" s="93">
        <f t="shared" ref="AT118:AT121" si="579">IFERROR(AR118/AQ118-1,"-")</f>
        <v>-1</v>
      </c>
      <c r="AU118" s="96">
        <f>($BK$118-($L$118+$P$118))*AU117</f>
        <v>16839.36</v>
      </c>
      <c r="AV118" s="91">
        <v>0.0</v>
      </c>
      <c r="AW118" s="92">
        <f t="shared" ref="AW118:AW121" si="580">IFERROR(AV118-AU118,"-")</f>
        <v>-16839.36</v>
      </c>
      <c r="AX118" s="93">
        <f t="shared" ref="AX118:AX121" si="581">IFERROR(AV118/AU118-1,"-")</f>
        <v>-1</v>
      </c>
      <c r="AY118" s="96">
        <f>($BK$118-($L$118+$P$118))*AY117</f>
        <v>16839.36</v>
      </c>
      <c r="AZ118" s="91">
        <v>0.0</v>
      </c>
      <c r="BA118" s="92">
        <f t="shared" ref="BA118:BA121" si="582">IFERROR(AZ118-AY118,"-")</f>
        <v>-16839.36</v>
      </c>
      <c r="BB118" s="93">
        <f t="shared" ref="BB118:BB121" si="583">IFERROR(AZ118/AY118-1,"-")</f>
        <v>-1</v>
      </c>
      <c r="BC118" s="96">
        <f>($BK$118-($L$118+$P$118))*BC117</f>
        <v>22452.48</v>
      </c>
      <c r="BD118" s="91">
        <v>0.0</v>
      </c>
      <c r="BE118" s="92">
        <f t="shared" ref="BE118:BE121" si="584">IFERROR(BD118-BC118,"-")</f>
        <v>-22452.48</v>
      </c>
      <c r="BF118" s="93">
        <f t="shared" ref="BF118:BF121" si="585">IFERROR(BD118/BC118-1,"-")</f>
        <v>-1</v>
      </c>
      <c r="BG118" s="96">
        <f>($BK$118-($L$118+$P$118))*BG117</f>
        <v>19645.92</v>
      </c>
      <c r="BH118" s="91">
        <v>0.0</v>
      </c>
      <c r="BI118" s="92">
        <f t="shared" ref="BI118:BI121" si="586">IFERROR(BH118-BG118,"-")</f>
        <v>-19645.92</v>
      </c>
      <c r="BJ118" s="95">
        <f t="shared" ref="BJ118:BJ121" si="587">IFERROR(BH118/BG118-1,"-")</f>
        <v>-1</v>
      </c>
      <c r="BK118" s="101">
        <v>150000.0</v>
      </c>
      <c r="BL118" s="169">
        <f t="shared" ref="BL118:BL119" si="588">SUM(L118,P118,T118,X118,AC118,AI118)</f>
        <v>41947.44</v>
      </c>
      <c r="BM118" s="103">
        <f t="shared" ref="BM118:BM119" si="589">SUM(L118,P118,T118,X118,AC118,AI118,AM118)</f>
        <v>57383.52</v>
      </c>
      <c r="BN118" s="102">
        <f t="shared" ref="BN118:BN119" si="590">SUM(M118,Q118,U118,Y118,AE118,AJ118,AN118,AR118,AV118,AZ118,BD118,BH118)</f>
        <v>25310.22</v>
      </c>
      <c r="BO118" s="104">
        <f t="shared" ref="BO118:BO121" si="591">IFERROR(BN118/BK118-1,"-")</f>
        <v>-0.8312652</v>
      </c>
      <c r="BP118" s="105">
        <v>9705.0</v>
      </c>
      <c r="BQ118" s="106">
        <f t="shared" ref="BQ118:BQ119" si="592">BK118/BP118</f>
        <v>15.45595054</v>
      </c>
      <c r="BR118" s="3"/>
      <c r="BS118" s="3"/>
      <c r="BT118" s="3"/>
      <c r="BU118" s="3"/>
      <c r="BV118" s="3"/>
      <c r="BW118" s="3"/>
    </row>
    <row r="119" ht="15.75" customHeight="1">
      <c r="A119" s="1"/>
      <c r="B119" s="142"/>
      <c r="C119" s="143"/>
      <c r="D119" s="144"/>
      <c r="E119" s="192"/>
      <c r="F119" s="146"/>
      <c r="G119" s="147"/>
      <c r="H119" s="148"/>
      <c r="I119" s="149"/>
      <c r="J119" s="72" t="s">
        <v>67</v>
      </c>
      <c r="K119" s="107"/>
      <c r="L119" s="171">
        <f>L118/$K$120</f>
        <v>196.4666667</v>
      </c>
      <c r="M119" s="109">
        <v>234.0</v>
      </c>
      <c r="N119" s="110">
        <f t="shared" si="564"/>
        <v>37.53333333</v>
      </c>
      <c r="O119" s="93">
        <f t="shared" si="565"/>
        <v>0.1910417374</v>
      </c>
      <c r="P119" s="171">
        <f>P118/$K$120</f>
        <v>125.9333333</v>
      </c>
      <c r="Q119" s="109">
        <v>95.0</v>
      </c>
      <c r="R119" s="110">
        <f t="shared" si="566"/>
        <v>-30.93333333</v>
      </c>
      <c r="S119" s="95">
        <f t="shared" si="567"/>
        <v>-0.2456326098</v>
      </c>
      <c r="T119" s="112">
        <f>T118/$K$120</f>
        <v>140.328</v>
      </c>
      <c r="U119" s="109">
        <v>235.0</v>
      </c>
      <c r="V119" s="110">
        <f t="shared" si="568"/>
        <v>94.672</v>
      </c>
      <c r="W119" s="93">
        <f t="shared" si="569"/>
        <v>0.6746479676</v>
      </c>
      <c r="X119" s="112">
        <f>X118/$K$120</f>
        <v>187.104</v>
      </c>
      <c r="Y119" s="109">
        <v>191.0</v>
      </c>
      <c r="Z119" s="110"/>
      <c r="AA119" s="110">
        <f t="shared" si="570"/>
        <v>3.896</v>
      </c>
      <c r="AB119" s="93">
        <f t="shared" si="571"/>
        <v>0.02082264409</v>
      </c>
      <c r="AC119" s="112">
        <f>AC118/$K$120</f>
        <v>327.432</v>
      </c>
      <c r="AD119" s="113"/>
      <c r="AE119" s="109">
        <v>198.0</v>
      </c>
      <c r="AF119" s="110">
        <f t="shared" si="572"/>
        <v>-129.432</v>
      </c>
      <c r="AG119" s="99"/>
      <c r="AH119" s="93">
        <f t="shared" si="573"/>
        <v>-0.3952942901</v>
      </c>
      <c r="AI119" s="112">
        <f>AI118/$K$120</f>
        <v>420.984</v>
      </c>
      <c r="AJ119" s="114">
        <v>155.0</v>
      </c>
      <c r="AK119" s="110">
        <f t="shared" si="574"/>
        <v>-265.984</v>
      </c>
      <c r="AL119" s="93">
        <f t="shared" si="575"/>
        <v>-0.6318149858</v>
      </c>
      <c r="AM119" s="112">
        <f>AM118/$K$120</f>
        <v>514.536</v>
      </c>
      <c r="AN119" s="109">
        <v>61.0</v>
      </c>
      <c r="AO119" s="110">
        <f t="shared" si="576"/>
        <v>-453.536</v>
      </c>
      <c r="AP119" s="93">
        <f t="shared" si="577"/>
        <v>-0.8814465849</v>
      </c>
      <c r="AQ119" s="112">
        <f>AQ118/$K$120</f>
        <v>561.312</v>
      </c>
      <c r="AR119" s="109">
        <v>0.0</v>
      </c>
      <c r="AS119" s="110">
        <f t="shared" si="578"/>
        <v>-561.312</v>
      </c>
      <c r="AT119" s="93">
        <f t="shared" si="579"/>
        <v>-1</v>
      </c>
      <c r="AU119" s="112">
        <f>AU118/$K$120</f>
        <v>561.312</v>
      </c>
      <c r="AV119" s="109">
        <v>0.0</v>
      </c>
      <c r="AW119" s="110">
        <f t="shared" si="580"/>
        <v>-561.312</v>
      </c>
      <c r="AX119" s="93">
        <f t="shared" si="581"/>
        <v>-1</v>
      </c>
      <c r="AY119" s="112">
        <f>AY118/$K$120</f>
        <v>561.312</v>
      </c>
      <c r="AZ119" s="109">
        <v>0.0</v>
      </c>
      <c r="BA119" s="110">
        <f t="shared" si="582"/>
        <v>-561.312</v>
      </c>
      <c r="BB119" s="93">
        <f t="shared" si="583"/>
        <v>-1</v>
      </c>
      <c r="BC119" s="112">
        <f>BC118/$K$120</f>
        <v>748.416</v>
      </c>
      <c r="BD119" s="109">
        <v>0.0</v>
      </c>
      <c r="BE119" s="110">
        <f t="shared" si="584"/>
        <v>-748.416</v>
      </c>
      <c r="BF119" s="93">
        <f t="shared" si="585"/>
        <v>-1</v>
      </c>
      <c r="BG119" s="112">
        <f>BG118/$K$120</f>
        <v>654.864</v>
      </c>
      <c r="BH119" s="109">
        <v>0.0</v>
      </c>
      <c r="BI119" s="110">
        <f t="shared" si="586"/>
        <v>-654.864</v>
      </c>
      <c r="BJ119" s="95">
        <f t="shared" si="587"/>
        <v>-1</v>
      </c>
      <c r="BK119" s="206">
        <f>SUM(L119,P119,T119,X119,AC119,AI119,AM119,AQ119,AU119,AY119,BC119,BG119)</f>
        <v>5000</v>
      </c>
      <c r="BL119" s="173">
        <f t="shared" si="588"/>
        <v>1398.248</v>
      </c>
      <c r="BM119" s="117">
        <f t="shared" si="589"/>
        <v>1912.784</v>
      </c>
      <c r="BN119" s="207">
        <f t="shared" si="590"/>
        <v>1169</v>
      </c>
      <c r="BO119" s="104">
        <f t="shared" si="591"/>
        <v>-0.7662</v>
      </c>
      <c r="BP119" s="119">
        <v>519.0</v>
      </c>
      <c r="BQ119" s="106">
        <f t="shared" si="592"/>
        <v>9.633911368</v>
      </c>
      <c r="BR119" s="3"/>
      <c r="BS119" s="3"/>
      <c r="BT119" s="3"/>
      <c r="BU119" s="3"/>
      <c r="BV119" s="3"/>
      <c r="BW119" s="3"/>
    </row>
    <row r="120" ht="15.75" customHeight="1">
      <c r="A120" s="1"/>
      <c r="B120" s="142"/>
      <c r="C120" s="143"/>
      <c r="D120" s="144"/>
      <c r="E120" s="192"/>
      <c r="F120" s="146"/>
      <c r="G120" s="147"/>
      <c r="H120" s="148"/>
      <c r="I120" s="149"/>
      <c r="J120" s="72" t="s">
        <v>68</v>
      </c>
      <c r="K120" s="107">
        <v>30.0</v>
      </c>
      <c r="L120" s="171">
        <f>L118/L119</f>
        <v>30</v>
      </c>
      <c r="M120" s="91">
        <f>IFERROR(M118/M119,"-")</f>
        <v>27.5025641</v>
      </c>
      <c r="N120" s="92">
        <f t="shared" si="564"/>
        <v>-2.497435897</v>
      </c>
      <c r="O120" s="93">
        <f t="shared" si="565"/>
        <v>-0.08324786325</v>
      </c>
      <c r="P120" s="90">
        <f t="shared" ref="P120:Q120" si="593">IFERROR(P118/P119,"-")</f>
        <v>30</v>
      </c>
      <c r="Q120" s="91">
        <f t="shared" si="593"/>
        <v>44.37578947</v>
      </c>
      <c r="R120" s="92">
        <f t="shared" si="566"/>
        <v>14.37578947</v>
      </c>
      <c r="S120" s="95">
        <f t="shared" si="567"/>
        <v>0.4791929825</v>
      </c>
      <c r="T120" s="112">
        <f>T118/T119</f>
        <v>30</v>
      </c>
      <c r="U120" s="91">
        <f>IFERROR(U118/U119,"-")</f>
        <v>16.55638298</v>
      </c>
      <c r="V120" s="92">
        <f t="shared" si="568"/>
        <v>-13.44361702</v>
      </c>
      <c r="W120" s="93">
        <f t="shared" si="569"/>
        <v>-0.4481205674</v>
      </c>
      <c r="X120" s="96">
        <f t="shared" ref="X120:Y120" si="594">IFERROR(X118/X119,"-")</f>
        <v>30</v>
      </c>
      <c r="Y120" s="91">
        <f t="shared" si="594"/>
        <v>18.38031414</v>
      </c>
      <c r="Z120" s="92"/>
      <c r="AA120" s="92">
        <f t="shared" si="570"/>
        <v>-11.61968586</v>
      </c>
      <c r="AB120" s="93">
        <f t="shared" si="571"/>
        <v>-0.3873228621</v>
      </c>
      <c r="AC120" s="112">
        <f>AC118/AC119</f>
        <v>30</v>
      </c>
      <c r="AD120" s="98"/>
      <c r="AE120" s="91">
        <f>IFERROR(AE118/AE119,"-")</f>
        <v>12.92843434</v>
      </c>
      <c r="AF120" s="92">
        <f t="shared" si="572"/>
        <v>-17.07156566</v>
      </c>
      <c r="AG120" s="99"/>
      <c r="AH120" s="93">
        <f t="shared" si="573"/>
        <v>-0.5690521886</v>
      </c>
      <c r="AI120" s="112">
        <f>AI118/AI119</f>
        <v>30</v>
      </c>
      <c r="AJ120" s="91">
        <v>21.759870967741932</v>
      </c>
      <c r="AK120" s="92">
        <f t="shared" si="574"/>
        <v>-8.240129032</v>
      </c>
      <c r="AL120" s="93">
        <f t="shared" si="575"/>
        <v>-0.2746709677</v>
      </c>
      <c r="AM120" s="112">
        <f>AM118/AM119</f>
        <v>30</v>
      </c>
      <c r="AN120" s="91">
        <v>21.720000000000002</v>
      </c>
      <c r="AO120" s="92">
        <f t="shared" si="576"/>
        <v>-8.28</v>
      </c>
      <c r="AP120" s="93">
        <f t="shared" si="577"/>
        <v>-0.276</v>
      </c>
      <c r="AQ120" s="112">
        <f>AQ118/AQ119</f>
        <v>30</v>
      </c>
      <c r="AR120" s="91" t="str">
        <f>IFERROR(AR118/AR119,"-")</f>
        <v>-</v>
      </c>
      <c r="AS120" s="92" t="str">
        <f t="shared" si="578"/>
        <v>-</v>
      </c>
      <c r="AT120" s="93" t="str">
        <f t="shared" si="579"/>
        <v>-</v>
      </c>
      <c r="AU120" s="112">
        <f>AU118/AU119</f>
        <v>30</v>
      </c>
      <c r="AV120" s="91" t="str">
        <f>IFERROR(AV118/AV119,"-")</f>
        <v>-</v>
      </c>
      <c r="AW120" s="92" t="str">
        <f t="shared" si="580"/>
        <v>-</v>
      </c>
      <c r="AX120" s="93" t="str">
        <f t="shared" si="581"/>
        <v>-</v>
      </c>
      <c r="AY120" s="112">
        <f>AY118/AY119</f>
        <v>30</v>
      </c>
      <c r="AZ120" s="91" t="str">
        <f>IFERROR(AZ118/AZ119,"-")</f>
        <v>-</v>
      </c>
      <c r="BA120" s="92" t="str">
        <f t="shared" si="582"/>
        <v>-</v>
      </c>
      <c r="BB120" s="93" t="str">
        <f t="shared" si="583"/>
        <v>-</v>
      </c>
      <c r="BC120" s="112">
        <f>BC118/BC119</f>
        <v>30</v>
      </c>
      <c r="BD120" s="91" t="str">
        <f>IFERROR(BD118/BD119,"-")</f>
        <v>-</v>
      </c>
      <c r="BE120" s="92" t="str">
        <f t="shared" si="584"/>
        <v>-</v>
      </c>
      <c r="BF120" s="93" t="str">
        <f t="shared" si="585"/>
        <v>-</v>
      </c>
      <c r="BG120" s="112">
        <f>BG118/BG119</f>
        <v>30</v>
      </c>
      <c r="BH120" s="91" t="str">
        <f>IFERROR(BH118/BH119,"-")</f>
        <v>-</v>
      </c>
      <c r="BI120" s="92" t="str">
        <f t="shared" si="586"/>
        <v>-</v>
      </c>
      <c r="BJ120" s="95" t="str">
        <f t="shared" si="587"/>
        <v>-</v>
      </c>
      <c r="BK120" s="115">
        <f>BK118/BK119</f>
        <v>30</v>
      </c>
      <c r="BL120" s="176">
        <f t="shared" ref="BL120:BM120" si="595">IFERROR(BL118/BL119,"-")</f>
        <v>30</v>
      </c>
      <c r="BM120" s="122">
        <f t="shared" si="595"/>
        <v>30</v>
      </c>
      <c r="BN120" s="209">
        <f>BN118/BN119</f>
        <v>21.65117194</v>
      </c>
      <c r="BO120" s="104">
        <f t="shared" si="591"/>
        <v>-0.2782942686</v>
      </c>
      <c r="BP120" s="119">
        <f>BP118/BP119</f>
        <v>18.69942197</v>
      </c>
      <c r="BQ120" s="106">
        <f>BK120/BP120-1</f>
        <v>0.6043276662</v>
      </c>
      <c r="BR120" s="3"/>
      <c r="BS120" s="3"/>
      <c r="BT120" s="3"/>
      <c r="BU120" s="3"/>
      <c r="BV120" s="3"/>
      <c r="BW120" s="3"/>
    </row>
    <row r="121" ht="15.75" customHeight="1">
      <c r="A121" s="1"/>
      <c r="B121" s="142"/>
      <c r="C121" s="143"/>
      <c r="D121" s="144"/>
      <c r="E121" s="192"/>
      <c r="F121" s="146"/>
      <c r="G121" s="147"/>
      <c r="H121" s="148"/>
      <c r="I121" s="149"/>
      <c r="J121" s="124" t="s">
        <v>69</v>
      </c>
      <c r="K121" s="125">
        <v>0.049</v>
      </c>
      <c r="L121" s="132">
        <f t="shared" ref="L121:M121" si="596">L118*$K$121</f>
        <v>288.806</v>
      </c>
      <c r="M121" s="127">
        <f t="shared" si="596"/>
        <v>315.3444</v>
      </c>
      <c r="N121" s="128">
        <f t="shared" si="564"/>
        <v>26.5384</v>
      </c>
      <c r="O121" s="129">
        <f t="shared" si="565"/>
        <v>0.09189005769</v>
      </c>
      <c r="P121" s="132">
        <f t="shared" ref="P121:Q121" si="597">P118*$K$121</f>
        <v>185.122</v>
      </c>
      <c r="Q121" s="127">
        <f t="shared" si="597"/>
        <v>206.5693</v>
      </c>
      <c r="R121" s="128">
        <f t="shared" si="566"/>
        <v>21.4473</v>
      </c>
      <c r="S121" s="131">
        <f t="shared" si="567"/>
        <v>0.1158549497</v>
      </c>
      <c r="T121" s="132">
        <f t="shared" ref="T121:U121" si="598">T118*$K$121</f>
        <v>206.28216</v>
      </c>
      <c r="U121" s="127">
        <f t="shared" si="598"/>
        <v>190.64675</v>
      </c>
      <c r="V121" s="128">
        <f t="shared" si="568"/>
        <v>-15.63541</v>
      </c>
      <c r="W121" s="129">
        <f t="shared" si="569"/>
        <v>-0.07579622979</v>
      </c>
      <c r="X121" s="132">
        <f t="shared" ref="X121:Y121" si="599">X118*$K$121</f>
        <v>275.04288</v>
      </c>
      <c r="Y121" s="127">
        <f t="shared" si="599"/>
        <v>172.02136</v>
      </c>
      <c r="Z121" s="128"/>
      <c r="AA121" s="128">
        <f t="shared" si="570"/>
        <v>-103.02152</v>
      </c>
      <c r="AB121" s="129">
        <f t="shared" si="571"/>
        <v>-0.3745653041</v>
      </c>
      <c r="AC121" s="132">
        <f>AC118*$K$121</f>
        <v>481.32504</v>
      </c>
      <c r="AD121" s="180"/>
      <c r="AE121" s="127">
        <f>AE118*$K$121</f>
        <v>125.43167</v>
      </c>
      <c r="AF121" s="128">
        <f t="shared" si="572"/>
        <v>-355.89337</v>
      </c>
      <c r="AG121" s="134"/>
      <c r="AH121" s="129">
        <f t="shared" si="573"/>
        <v>-0.7394033978</v>
      </c>
      <c r="AI121" s="132">
        <f>AI118*$K$121</f>
        <v>618.84648</v>
      </c>
      <c r="AJ121" s="127">
        <v>165.26622</v>
      </c>
      <c r="AK121" s="128">
        <f t="shared" si="574"/>
        <v>-453.58026</v>
      </c>
      <c r="AL121" s="129">
        <f t="shared" si="575"/>
        <v>-0.73294472</v>
      </c>
      <c r="AM121" s="132">
        <f>AM118*$K$121</f>
        <v>756.36792</v>
      </c>
      <c r="AN121" s="127">
        <v>64.92108</v>
      </c>
      <c r="AO121" s="128">
        <f t="shared" si="576"/>
        <v>-691.44684</v>
      </c>
      <c r="AP121" s="129">
        <f t="shared" si="577"/>
        <v>-0.9141673275</v>
      </c>
      <c r="AQ121" s="132">
        <f t="shared" ref="AQ121:AR121" si="600">AQ118*$K$121</f>
        <v>825.12864</v>
      </c>
      <c r="AR121" s="127">
        <f t="shared" si="600"/>
        <v>0</v>
      </c>
      <c r="AS121" s="128">
        <f t="shared" si="578"/>
        <v>-825.12864</v>
      </c>
      <c r="AT121" s="129">
        <f t="shared" si="579"/>
        <v>-1</v>
      </c>
      <c r="AU121" s="132">
        <f t="shared" ref="AU121:AV121" si="601">AU118*$K$121</f>
        <v>825.12864</v>
      </c>
      <c r="AV121" s="127">
        <f t="shared" si="601"/>
        <v>0</v>
      </c>
      <c r="AW121" s="128">
        <f t="shared" si="580"/>
        <v>-825.12864</v>
      </c>
      <c r="AX121" s="129">
        <f t="shared" si="581"/>
        <v>-1</v>
      </c>
      <c r="AY121" s="132">
        <f t="shared" ref="AY121:AZ121" si="602">AY118*$K$121</f>
        <v>825.12864</v>
      </c>
      <c r="AZ121" s="127">
        <f t="shared" si="602"/>
        <v>0</v>
      </c>
      <c r="BA121" s="128">
        <f t="shared" si="582"/>
        <v>-825.12864</v>
      </c>
      <c r="BB121" s="129">
        <f t="shared" si="583"/>
        <v>-1</v>
      </c>
      <c r="BC121" s="132">
        <f t="shared" ref="BC121:BD121" si="603">BC118*$K$121</f>
        <v>1100.17152</v>
      </c>
      <c r="BD121" s="127">
        <f t="shared" si="603"/>
        <v>0</v>
      </c>
      <c r="BE121" s="128">
        <f t="shared" si="584"/>
        <v>-1100.17152</v>
      </c>
      <c r="BF121" s="129">
        <f t="shared" si="585"/>
        <v>-1</v>
      </c>
      <c r="BG121" s="132">
        <f t="shared" ref="BG121:BH121" si="604">BG118*$K$121</f>
        <v>962.65008</v>
      </c>
      <c r="BH121" s="127">
        <f t="shared" si="604"/>
        <v>0</v>
      </c>
      <c r="BI121" s="128">
        <f t="shared" si="586"/>
        <v>-962.65008</v>
      </c>
      <c r="BJ121" s="131">
        <f t="shared" si="587"/>
        <v>-1</v>
      </c>
      <c r="BK121" s="135">
        <f>SUM(L121,P121,T121,X121,AC121,AI121,AM121,AQ121,AU121,AY121,BC121,BG121)</f>
        <v>7350</v>
      </c>
      <c r="BL121" s="182">
        <f>SUM(L121,P121,T121,X121,AC121,AI121)</f>
        <v>2055.42456</v>
      </c>
      <c r="BM121" s="137">
        <f>SUM(L121,P121,T121,X121,AC121,AI121,AM121)</f>
        <v>2811.79248</v>
      </c>
      <c r="BN121" s="213">
        <f>SUM(M121,Q121,U121,Y121,AE121,AJ121,AN121,AR121,AV121,AZ121,BD121,BH121)</f>
        <v>1240.20078</v>
      </c>
      <c r="BO121" s="139">
        <f t="shared" si="591"/>
        <v>-0.8312652</v>
      </c>
      <c r="BP121" s="140">
        <f>(5 * 399) + MAX(BP118 * 4.9%, 499)</f>
        <v>2494</v>
      </c>
      <c r="BQ121" s="141">
        <f>BK121/BP121</f>
        <v>2.947072975</v>
      </c>
      <c r="BR121" s="3"/>
      <c r="BS121" s="3"/>
      <c r="BT121" s="3"/>
      <c r="BU121" s="3"/>
      <c r="BV121" s="3"/>
      <c r="BW121" s="3"/>
    </row>
    <row r="122" ht="15.75" customHeight="1">
      <c r="A122" s="1"/>
      <c r="B122" s="142"/>
      <c r="C122" s="143"/>
      <c r="D122" s="144"/>
      <c r="E122" s="192"/>
      <c r="F122" s="146"/>
      <c r="G122" s="147"/>
      <c r="H122" s="148"/>
      <c r="I122" s="149"/>
      <c r="J122" s="8"/>
      <c r="K122" s="9"/>
      <c r="L122" s="185"/>
      <c r="M122" s="185"/>
      <c r="N122" s="185"/>
      <c r="O122" s="185"/>
      <c r="P122" s="185"/>
      <c r="Q122" s="23"/>
      <c r="R122" s="185"/>
      <c r="S122" s="185"/>
      <c r="T122" s="185"/>
      <c r="U122" s="185"/>
      <c r="V122" s="185"/>
      <c r="W122" s="185"/>
      <c r="X122" s="185"/>
      <c r="Y122" s="185"/>
      <c r="Z122" s="185"/>
      <c r="AA122" s="185"/>
      <c r="AB122" s="3"/>
      <c r="AC122" s="3"/>
      <c r="AD122" s="3"/>
      <c r="AE122" s="3"/>
      <c r="AF122" s="3"/>
      <c r="AG122" s="3"/>
      <c r="AH122" s="3"/>
      <c r="AI122" s="3"/>
      <c r="AJ122" s="154" t="s">
        <v>70</v>
      </c>
      <c r="AN122" s="154" t="s">
        <v>70</v>
      </c>
      <c r="AY122" s="187"/>
      <c r="AZ122" s="25"/>
      <c r="BA122" s="188"/>
      <c r="BB122" s="25"/>
    </row>
    <row r="123" ht="15.75" customHeight="1">
      <c r="J123" s="34" t="s">
        <v>104</v>
      </c>
      <c r="K123" s="35"/>
      <c r="L123" s="36" t="s">
        <v>10</v>
      </c>
      <c r="M123" s="37" t="s">
        <v>11</v>
      </c>
      <c r="N123" s="38" t="s">
        <v>12</v>
      </c>
      <c r="O123" s="39" t="s">
        <v>13</v>
      </c>
      <c r="P123" s="157" t="s">
        <v>14</v>
      </c>
      <c r="Q123" s="199" t="s">
        <v>15</v>
      </c>
      <c r="R123" s="38" t="s">
        <v>16</v>
      </c>
      <c r="S123" s="42" t="s">
        <v>17</v>
      </c>
      <c r="T123" s="43" t="s">
        <v>18</v>
      </c>
      <c r="U123" s="199" t="s">
        <v>95</v>
      </c>
      <c r="V123" s="38" t="s">
        <v>20</v>
      </c>
      <c r="W123" s="45" t="s">
        <v>96</v>
      </c>
      <c r="X123" s="44" t="s">
        <v>22</v>
      </c>
      <c r="Y123" s="199" t="s">
        <v>97</v>
      </c>
      <c r="Z123" s="38"/>
      <c r="AA123" s="38" t="s">
        <v>24</v>
      </c>
      <c r="AB123" s="45" t="s">
        <v>96</v>
      </c>
      <c r="AC123" s="43" t="s">
        <v>26</v>
      </c>
      <c r="AD123" s="200"/>
      <c r="AE123" s="199" t="s">
        <v>27</v>
      </c>
      <c r="AF123" s="38" t="s">
        <v>28</v>
      </c>
      <c r="AG123" s="47"/>
      <c r="AH123" s="45" t="s">
        <v>29</v>
      </c>
      <c r="AI123" s="44" t="s">
        <v>30</v>
      </c>
      <c r="AJ123" s="199" t="s">
        <v>31</v>
      </c>
      <c r="AK123" s="38" t="s">
        <v>32</v>
      </c>
      <c r="AL123" s="45" t="s">
        <v>33</v>
      </c>
      <c r="AM123" s="43" t="s">
        <v>34</v>
      </c>
      <c r="AN123" s="199" t="s">
        <v>35</v>
      </c>
      <c r="AO123" s="38" t="s">
        <v>36</v>
      </c>
      <c r="AP123" s="45" t="s">
        <v>37</v>
      </c>
      <c r="AQ123" s="44" t="s">
        <v>38</v>
      </c>
      <c r="AR123" s="199" t="s">
        <v>39</v>
      </c>
      <c r="AS123" s="38" t="s">
        <v>40</v>
      </c>
      <c r="AT123" s="45" t="s">
        <v>41</v>
      </c>
      <c r="AU123" s="43" t="s">
        <v>42</v>
      </c>
      <c r="AV123" s="199" t="s">
        <v>43</v>
      </c>
      <c r="AW123" s="38" t="s">
        <v>44</v>
      </c>
      <c r="AX123" s="45" t="s">
        <v>45</v>
      </c>
      <c r="AY123" s="44" t="s">
        <v>46</v>
      </c>
      <c r="AZ123" s="199" t="s">
        <v>47</v>
      </c>
      <c r="BA123" s="38" t="s">
        <v>48</v>
      </c>
      <c r="BB123" s="45" t="s">
        <v>49</v>
      </c>
      <c r="BC123" s="43" t="s">
        <v>50</v>
      </c>
      <c r="BD123" s="199" t="s">
        <v>51</v>
      </c>
      <c r="BE123" s="38" t="s">
        <v>52</v>
      </c>
      <c r="BF123" s="45" t="s">
        <v>53</v>
      </c>
      <c r="BG123" s="201" t="s">
        <v>54</v>
      </c>
      <c r="BH123" s="199" t="s">
        <v>55</v>
      </c>
      <c r="BI123" s="38" t="s">
        <v>56</v>
      </c>
      <c r="BJ123" s="42" t="s">
        <v>57</v>
      </c>
      <c r="BK123" s="48" t="s">
        <v>58</v>
      </c>
      <c r="BL123" s="49" t="s">
        <v>72</v>
      </c>
      <c r="BM123" s="49" t="s">
        <v>60</v>
      </c>
      <c r="BN123" s="37" t="s">
        <v>61</v>
      </c>
      <c r="BO123" s="51" t="s">
        <v>62</v>
      </c>
      <c r="BP123" s="52">
        <v>2025.0</v>
      </c>
      <c r="BQ123" s="53"/>
      <c r="BR123" s="3"/>
      <c r="BS123" s="3"/>
      <c r="BT123" s="3"/>
      <c r="BU123" s="3"/>
      <c r="BV123" s="3"/>
      <c r="BW123" s="3"/>
    </row>
    <row r="124" ht="15.75" customHeight="1">
      <c r="A124" s="1"/>
      <c r="B124" s="247"/>
      <c r="C124" s="248"/>
      <c r="D124" s="249"/>
      <c r="E124" s="250"/>
      <c r="F124" s="251"/>
      <c r="G124" s="252"/>
      <c r="H124" s="253"/>
      <c r="I124" s="252"/>
      <c r="J124" s="54"/>
      <c r="K124" s="55"/>
      <c r="L124" s="56"/>
      <c r="M124" s="57"/>
      <c r="N124" s="58"/>
      <c r="O124" s="59"/>
      <c r="P124" s="56"/>
      <c r="Q124" s="202"/>
      <c r="R124" s="58"/>
      <c r="S124" s="61"/>
      <c r="T124" s="62"/>
      <c r="U124" s="63"/>
      <c r="V124" s="58"/>
      <c r="W124" s="59"/>
      <c r="X124" s="62"/>
      <c r="Y124" s="63"/>
      <c r="Z124" s="58"/>
      <c r="AA124" s="58"/>
      <c r="AB124" s="59"/>
      <c r="AC124" s="62"/>
      <c r="AD124" s="64"/>
      <c r="AE124" s="63"/>
      <c r="AF124" s="58"/>
      <c r="AG124" s="65"/>
      <c r="AH124" s="59"/>
      <c r="AI124" s="62"/>
      <c r="AJ124" s="63" t="s">
        <v>70</v>
      </c>
      <c r="AK124" s="58"/>
      <c r="AL124" s="59"/>
      <c r="AM124" s="62"/>
      <c r="AN124" s="63" t="s">
        <v>70</v>
      </c>
      <c r="AO124" s="58"/>
      <c r="AP124" s="59"/>
      <c r="AQ124" s="62"/>
      <c r="AR124" s="63"/>
      <c r="AS124" s="58"/>
      <c r="AT124" s="59"/>
      <c r="AU124" s="62"/>
      <c r="AV124" s="63"/>
      <c r="AW124" s="58"/>
      <c r="AX124" s="59"/>
      <c r="AY124" s="62"/>
      <c r="AZ124" s="63"/>
      <c r="BA124" s="58"/>
      <c r="BB124" s="59"/>
      <c r="BC124" s="62"/>
      <c r="BD124" s="63"/>
      <c r="BE124" s="58"/>
      <c r="BF124" s="59"/>
      <c r="BG124" s="203"/>
      <c r="BH124" s="63"/>
      <c r="BI124" s="58"/>
      <c r="BJ124" s="61"/>
      <c r="BK124" s="66"/>
      <c r="BL124" s="67"/>
      <c r="BM124" s="67"/>
      <c r="BN124" s="68"/>
      <c r="BO124" s="69"/>
      <c r="BP124" s="70"/>
      <c r="BQ124" s="71"/>
      <c r="BR124" s="3"/>
      <c r="BS124" s="3"/>
      <c r="BT124" s="3"/>
      <c r="BU124" s="3"/>
      <c r="BV124" s="3"/>
      <c r="BW124" s="3"/>
    </row>
    <row r="125" ht="15.75" customHeight="1">
      <c r="A125" s="1"/>
      <c r="B125" s="142">
        <v>17.0</v>
      </c>
      <c r="C125" s="143" t="s">
        <v>103</v>
      </c>
      <c r="D125" s="144">
        <f>15000*12</f>
        <v>180000</v>
      </c>
      <c r="E125" s="192">
        <v>32.0</v>
      </c>
      <c r="F125" s="146">
        <f>E125*D125</f>
        <v>5760000</v>
      </c>
      <c r="G125" s="244">
        <v>356599.2800000031</v>
      </c>
      <c r="H125" s="245">
        <v>11282.0</v>
      </c>
      <c r="I125" s="246">
        <v>31.607807126396306</v>
      </c>
      <c r="J125" s="72" t="s">
        <v>64</v>
      </c>
      <c r="K125" s="73"/>
      <c r="L125" s="74" t="s">
        <v>63</v>
      </c>
      <c r="M125" s="75" t="s">
        <v>63</v>
      </c>
      <c r="N125" s="76" t="s">
        <v>63</v>
      </c>
      <c r="O125" s="77" t="s">
        <v>65</v>
      </c>
      <c r="P125" s="74" t="s">
        <v>63</v>
      </c>
      <c r="Q125" s="204" t="s">
        <v>63</v>
      </c>
      <c r="R125" s="76" t="s">
        <v>63</v>
      </c>
      <c r="S125" s="79" t="s">
        <v>65</v>
      </c>
      <c r="T125" s="80">
        <v>0.04</v>
      </c>
      <c r="U125" s="81">
        <f>U126/(BK126-(L126 + P126))</f>
        <v>0.03748663288</v>
      </c>
      <c r="V125" s="76" t="s">
        <v>63</v>
      </c>
      <c r="W125" s="77" t="s">
        <v>65</v>
      </c>
      <c r="X125" s="80">
        <v>0.04</v>
      </c>
      <c r="Y125" s="81">
        <f>Y126/(BK126-(L126+P126))</f>
        <v>0.03774243338</v>
      </c>
      <c r="Z125" s="76"/>
      <c r="AA125" s="76" t="s">
        <v>63</v>
      </c>
      <c r="AB125" s="77" t="s">
        <v>65</v>
      </c>
      <c r="AC125" s="80">
        <v>0.06</v>
      </c>
      <c r="AD125" s="82"/>
      <c r="AE125" s="81">
        <f>AE126/(BK126-(L126+P126))</f>
        <v>0.02756071627</v>
      </c>
      <c r="AF125" s="76" t="s">
        <v>63</v>
      </c>
      <c r="AG125" s="83"/>
      <c r="AH125" s="77" t="s">
        <v>65</v>
      </c>
      <c r="AI125" s="80">
        <v>0.08</v>
      </c>
      <c r="AJ125" s="81">
        <v>0.028004534975658968</v>
      </c>
      <c r="AK125" s="76" t="s">
        <v>63</v>
      </c>
      <c r="AL125" s="77" t="s">
        <v>65</v>
      </c>
      <c r="AM125" s="80">
        <v>0.1</v>
      </c>
      <c r="AN125" s="81">
        <v>0.0054649637535178625</v>
      </c>
      <c r="AO125" s="76" t="s">
        <v>63</v>
      </c>
      <c r="AP125" s="77" t="s">
        <v>65</v>
      </c>
      <c r="AQ125" s="80">
        <v>0.1</v>
      </c>
      <c r="AR125" s="81">
        <f>AR126/(BK126-(L126+P126))</f>
        <v>0</v>
      </c>
      <c r="AS125" s="76" t="s">
        <v>63</v>
      </c>
      <c r="AT125" s="77" t="s">
        <v>65</v>
      </c>
      <c r="AU125" s="80">
        <v>0.12</v>
      </c>
      <c r="AV125" s="81">
        <f>AV126/(BK126-(L126+P126))</f>
        <v>0</v>
      </c>
      <c r="AW125" s="76" t="s">
        <v>63</v>
      </c>
      <c r="AX125" s="77" t="s">
        <v>65</v>
      </c>
      <c r="AY125" s="80">
        <v>0.12</v>
      </c>
      <c r="AZ125" s="81">
        <f>AZ126/(BK126-(L126+P126))</f>
        <v>0</v>
      </c>
      <c r="BA125" s="76" t="s">
        <v>63</v>
      </c>
      <c r="BB125" s="77" t="s">
        <v>65</v>
      </c>
      <c r="BC125" s="80">
        <v>0.16</v>
      </c>
      <c r="BD125" s="81">
        <f>BD126/(BK126-(L126+P126))</f>
        <v>0</v>
      </c>
      <c r="BE125" s="76" t="s">
        <v>63</v>
      </c>
      <c r="BF125" s="77" t="s">
        <v>65</v>
      </c>
      <c r="BG125" s="205">
        <v>0.18</v>
      </c>
      <c r="BH125" s="81">
        <f>BH126/(BK126-(L126+P126))</f>
        <v>0</v>
      </c>
      <c r="BI125" s="76" t="s">
        <v>63</v>
      </c>
      <c r="BJ125" s="79" t="s">
        <v>65</v>
      </c>
      <c r="BK125" s="84">
        <f>SUM(T125,X125,AC125,AI125,AM125,AQ125,AU125,AY125,BC125,BG125)</f>
        <v>1</v>
      </c>
      <c r="BL125" s="85">
        <f>SUM(T125,X125,AC125,AI125)</f>
        <v>0.22</v>
      </c>
      <c r="BM125" s="86">
        <f>SUM(T125,X125,AC125,AI125,AM125)</f>
        <v>0.32</v>
      </c>
      <c r="BN125" s="87">
        <f>SUM(U125,Y125,AE125,AJ125,AN125,AR125,AV125,AZ125,BD125,BH125)</f>
        <v>0.1362592813</v>
      </c>
      <c r="BO125" s="88"/>
      <c r="BP125" s="89" t="s">
        <v>63</v>
      </c>
      <c r="BQ125" s="71"/>
      <c r="BR125" s="3"/>
      <c r="BS125" s="3"/>
      <c r="BT125" s="3"/>
      <c r="BU125" s="3"/>
      <c r="BV125" s="3"/>
      <c r="BW125" s="3"/>
    </row>
    <row r="126" ht="15.75" customHeight="1">
      <c r="A126" s="1"/>
      <c r="B126" s="142"/>
      <c r="C126" s="143"/>
      <c r="D126" s="144"/>
      <c r="E126" s="192"/>
      <c r="F126" s="146"/>
      <c r="G126" s="147"/>
      <c r="H126" s="148"/>
      <c r="I126" s="149"/>
      <c r="J126" s="72" t="s">
        <v>66</v>
      </c>
      <c r="K126" s="73"/>
      <c r="L126" s="167">
        <v>19995.0</v>
      </c>
      <c r="M126" s="91">
        <v>20652.1</v>
      </c>
      <c r="N126" s="92">
        <f t="shared" ref="N126:N129" si="605">IFERROR(M126-L126,"-")</f>
        <v>657.1</v>
      </c>
      <c r="O126" s="93">
        <f t="shared" ref="O126:O129" si="606">IFERROR(M126/L126-1,"-")</f>
        <v>0.0328632158</v>
      </c>
      <c r="P126" s="167">
        <v>19803.0</v>
      </c>
      <c r="Q126" s="91">
        <v>20764.09</v>
      </c>
      <c r="R126" s="92">
        <f t="shared" ref="R126:R129" si="607">IFERROR(Q126-P126,"-")</f>
        <v>961.09</v>
      </c>
      <c r="S126" s="95">
        <f t="shared" ref="S126:S129" si="608">IFERROR(Q126/P126-1,"-")</f>
        <v>0.04853254557</v>
      </c>
      <c r="T126" s="96">
        <f>($BK$126-($L$126+$P$126))*T125</f>
        <v>26408.08</v>
      </c>
      <c r="U126" s="91">
        <v>24748.75</v>
      </c>
      <c r="V126" s="92">
        <f t="shared" ref="V126:V129" si="609">IFERROR(U126-T126,"-")</f>
        <v>-1659.33</v>
      </c>
      <c r="W126" s="93">
        <f t="shared" ref="W126:W129" si="610">IFERROR(U126/T126-1,"-")</f>
        <v>-0.06283417802</v>
      </c>
      <c r="X126" s="96">
        <f>($BK$126-($L$126+$P$126))*X125</f>
        <v>26408.08</v>
      </c>
      <c r="Y126" s="91">
        <v>24917.63</v>
      </c>
      <c r="Z126" s="92"/>
      <c r="AA126" s="92">
        <f t="shared" ref="AA126:AA129" si="611">IFERROR(Y126-X126,"-")</f>
        <v>-1490.45</v>
      </c>
      <c r="AB126" s="93">
        <f t="shared" ref="AB126:AB129" si="612">IFERROR(Y126/X126-1,"-")</f>
        <v>-0.05643916559</v>
      </c>
      <c r="AC126" s="96">
        <f>($BK$126-($L$126+$P$126))*AC125</f>
        <v>39612.12</v>
      </c>
      <c r="AD126" s="98"/>
      <c r="AE126" s="91">
        <v>18195.64</v>
      </c>
      <c r="AF126" s="92">
        <f t="shared" ref="AF126:AF129" si="613">IFERROR(AE126-AC126,"-")</f>
        <v>-21416.48</v>
      </c>
      <c r="AG126" s="99"/>
      <c r="AH126" s="93">
        <f t="shared" ref="AH126:AH129" si="614">IFERROR(AE126/AC126-1,"-")</f>
        <v>-0.5406547289</v>
      </c>
      <c r="AI126" s="96">
        <f>($BK$126-($L$126+$P$126))*AI125</f>
        <v>52816.16</v>
      </c>
      <c r="AJ126" s="100">
        <v>18488.65</v>
      </c>
      <c r="AK126" s="92">
        <f t="shared" ref="AK126:AK129" si="615">IFERROR(AJ126-AI126,"-")</f>
        <v>-34327.51</v>
      </c>
      <c r="AL126" s="93">
        <f t="shared" ref="AL126:AL129" si="616">IFERROR(AJ126/AI126-1,"-")</f>
        <v>-0.6499433128</v>
      </c>
      <c r="AM126" s="96">
        <f>($BK$126-($L$126+$P$126))*AM125</f>
        <v>66020.2</v>
      </c>
      <c r="AN126" s="91">
        <v>3607.98</v>
      </c>
      <c r="AO126" s="92">
        <f t="shared" ref="AO126:AO129" si="617">IFERROR(AN126-AM126,"-")</f>
        <v>-62412.22</v>
      </c>
      <c r="AP126" s="93">
        <f t="shared" ref="AP126:AP129" si="618">IFERROR(AN126/AM126-1,"-")</f>
        <v>-0.9453503625</v>
      </c>
      <c r="AQ126" s="96">
        <f>($BK$126-($L$126+$P$126))*AQ125</f>
        <v>66020.2</v>
      </c>
      <c r="AR126" s="91">
        <v>0.0</v>
      </c>
      <c r="AS126" s="92">
        <f t="shared" ref="AS126:AS129" si="619">IFERROR(AR126-AQ126,"-")</f>
        <v>-66020.2</v>
      </c>
      <c r="AT126" s="93">
        <f t="shared" ref="AT126:AT129" si="620">IFERROR(AR126/AQ126-1,"-")</f>
        <v>-1</v>
      </c>
      <c r="AU126" s="96">
        <f>($BK$126-($L$126+$P$126))*AU125</f>
        <v>79224.24</v>
      </c>
      <c r="AV126" s="91">
        <v>0.0</v>
      </c>
      <c r="AW126" s="92">
        <f t="shared" ref="AW126:AW129" si="621">IFERROR(AV126-AU126,"-")</f>
        <v>-79224.24</v>
      </c>
      <c r="AX126" s="93">
        <f t="shared" ref="AX126:AX129" si="622">IFERROR(AV126/AU126-1,"-")</f>
        <v>-1</v>
      </c>
      <c r="AY126" s="96">
        <f>($BK$126-($L$126+$P$126))*AY125</f>
        <v>79224.24</v>
      </c>
      <c r="AZ126" s="91">
        <v>0.0</v>
      </c>
      <c r="BA126" s="92">
        <f t="shared" ref="BA126:BA129" si="623">IFERROR(AZ126-AY126,"-")</f>
        <v>-79224.24</v>
      </c>
      <c r="BB126" s="93">
        <f t="shared" ref="BB126:BB129" si="624">IFERROR(AZ126/AY126-1,"-")</f>
        <v>-1</v>
      </c>
      <c r="BC126" s="96">
        <f>($BK$126-($L$126+$P$126))*BC125</f>
        <v>105632.32</v>
      </c>
      <c r="BD126" s="91">
        <v>0.0</v>
      </c>
      <c r="BE126" s="92">
        <f t="shared" ref="BE126:BE129" si="625">IFERROR(BD126-BC126,"-")</f>
        <v>-105632.32</v>
      </c>
      <c r="BF126" s="93">
        <f t="shared" ref="BF126:BF129" si="626">IFERROR(BD126/BC126-1,"-")</f>
        <v>-1</v>
      </c>
      <c r="BG126" s="91">
        <f>($BK$126-($L$126+$P$126))*BG125</f>
        <v>118836.36</v>
      </c>
      <c r="BH126" s="91">
        <v>0.0</v>
      </c>
      <c r="BI126" s="92">
        <f t="shared" ref="BI126:BI129" si="627">IFERROR(BH126-BG126,"-")</f>
        <v>-118836.36</v>
      </c>
      <c r="BJ126" s="95">
        <f t="shared" ref="BJ126:BJ129" si="628">IFERROR(BH126/BG126-1,"-")</f>
        <v>-1</v>
      </c>
      <c r="BK126" s="101">
        <v>700000.0</v>
      </c>
      <c r="BL126" s="169">
        <f t="shared" ref="BL126:BL127" si="629">SUM(L126,P126,T126,X126,AC126,AI126)</f>
        <v>185042.44</v>
      </c>
      <c r="BM126" s="103">
        <f t="shared" ref="BM126:BM127" si="630">SUM(L126,P126,T126,X126,AC126,AI126,AM126)</f>
        <v>251062.64</v>
      </c>
      <c r="BN126" s="102">
        <f t="shared" ref="BN126:BN127" si="631">SUM(M126,Q126,U126,Y126,AE126,AJ126,AN126,AR126,AV126,AZ126,BD126,BH126)</f>
        <v>131374.84</v>
      </c>
      <c r="BO126" s="104">
        <f t="shared" ref="BO126:BO129" si="632">IFERROR(BN126/BK126-1,"-")</f>
        <v>-0.8123216571</v>
      </c>
      <c r="BP126" s="105">
        <v>356599.28</v>
      </c>
      <c r="BQ126" s="106">
        <f t="shared" ref="BQ126:BQ127" si="633">BK126/BP126</f>
        <v>1.962987699</v>
      </c>
      <c r="BR126" s="3"/>
      <c r="BS126" s="3"/>
      <c r="BT126" s="3"/>
      <c r="BU126" s="3"/>
      <c r="BV126" s="3"/>
      <c r="BW126" s="3"/>
    </row>
    <row r="127" ht="15.75" customHeight="1">
      <c r="A127" s="1"/>
      <c r="B127" s="142"/>
      <c r="C127" s="143"/>
      <c r="D127" s="144"/>
      <c r="E127" s="192"/>
      <c r="F127" s="146"/>
      <c r="G127" s="147"/>
      <c r="H127" s="148"/>
      <c r="I127" s="149"/>
      <c r="J127" s="72" t="s">
        <v>67</v>
      </c>
      <c r="K127" s="107"/>
      <c r="L127" s="108">
        <f>L126/$K$128</f>
        <v>666.5</v>
      </c>
      <c r="M127" s="109">
        <v>905.0</v>
      </c>
      <c r="N127" s="110">
        <f t="shared" si="605"/>
        <v>238.5</v>
      </c>
      <c r="O127" s="93">
        <f t="shared" si="606"/>
        <v>0.3578394599</v>
      </c>
      <c r="P127" s="108">
        <f>P126/$K$128</f>
        <v>660.1</v>
      </c>
      <c r="Q127" s="109">
        <v>837.0</v>
      </c>
      <c r="R127" s="110">
        <f t="shared" si="607"/>
        <v>176.9</v>
      </c>
      <c r="S127" s="95">
        <f t="shared" si="608"/>
        <v>0.2679896985</v>
      </c>
      <c r="T127" s="112">
        <f>T126/$K$128</f>
        <v>880.2693333</v>
      </c>
      <c r="U127" s="109">
        <v>1651.0</v>
      </c>
      <c r="V127" s="110">
        <f t="shared" si="609"/>
        <v>770.7306667</v>
      </c>
      <c r="W127" s="93">
        <f t="shared" si="610"/>
        <v>0.8755623279</v>
      </c>
      <c r="X127" s="112">
        <f>X126/$K$128</f>
        <v>880.2693333</v>
      </c>
      <c r="Y127" s="109">
        <v>895.0</v>
      </c>
      <c r="Z127" s="110"/>
      <c r="AA127" s="110">
        <f t="shared" si="611"/>
        <v>14.73066667</v>
      </c>
      <c r="AB127" s="93">
        <f t="shared" si="612"/>
        <v>0.01673427224</v>
      </c>
      <c r="AC127" s="112">
        <f>AC126/$K$128</f>
        <v>1320.404</v>
      </c>
      <c r="AD127" s="113"/>
      <c r="AE127" s="109">
        <v>573.0</v>
      </c>
      <c r="AF127" s="110">
        <f t="shared" si="613"/>
        <v>-747.404</v>
      </c>
      <c r="AG127" s="99"/>
      <c r="AH127" s="93">
        <f t="shared" si="614"/>
        <v>-0.5660419084</v>
      </c>
      <c r="AI127" s="112">
        <f>AI126/$K$128</f>
        <v>1760.538667</v>
      </c>
      <c r="AJ127" s="114">
        <v>572.0</v>
      </c>
      <c r="AK127" s="110">
        <f t="shared" si="615"/>
        <v>-1188.538667</v>
      </c>
      <c r="AL127" s="93">
        <f t="shared" si="616"/>
        <v>-0.6750994393</v>
      </c>
      <c r="AM127" s="112">
        <f>AM126/$K$128</f>
        <v>2200.673333</v>
      </c>
      <c r="AN127" s="109">
        <v>156.0</v>
      </c>
      <c r="AO127" s="110">
        <f t="shared" si="617"/>
        <v>-2044.673333</v>
      </c>
      <c r="AP127" s="93">
        <f t="shared" si="618"/>
        <v>-0.9291126049</v>
      </c>
      <c r="AQ127" s="112">
        <f>AQ126/$K$128</f>
        <v>2200.673333</v>
      </c>
      <c r="AR127" s="109">
        <v>0.0</v>
      </c>
      <c r="AS127" s="110">
        <f t="shared" si="619"/>
        <v>-2200.673333</v>
      </c>
      <c r="AT127" s="93">
        <f t="shared" si="620"/>
        <v>-1</v>
      </c>
      <c r="AU127" s="112">
        <f>AU126/$K$128</f>
        <v>2640.808</v>
      </c>
      <c r="AV127" s="109">
        <v>0.0</v>
      </c>
      <c r="AW127" s="110">
        <f t="shared" si="621"/>
        <v>-2640.808</v>
      </c>
      <c r="AX127" s="93">
        <f t="shared" si="622"/>
        <v>-1</v>
      </c>
      <c r="AY127" s="112">
        <f>AY126/$K$128</f>
        <v>2640.808</v>
      </c>
      <c r="AZ127" s="109">
        <v>0.0</v>
      </c>
      <c r="BA127" s="110">
        <f t="shared" si="623"/>
        <v>-2640.808</v>
      </c>
      <c r="BB127" s="93">
        <f t="shared" si="624"/>
        <v>-1</v>
      </c>
      <c r="BC127" s="112">
        <f>BC126/$K$128</f>
        <v>3521.077333</v>
      </c>
      <c r="BD127" s="109">
        <v>0.0</v>
      </c>
      <c r="BE127" s="110">
        <f t="shared" si="625"/>
        <v>-3521.077333</v>
      </c>
      <c r="BF127" s="93">
        <f t="shared" si="626"/>
        <v>-1</v>
      </c>
      <c r="BG127" s="109">
        <f>BG126/$K$128</f>
        <v>3961.212</v>
      </c>
      <c r="BH127" s="109">
        <v>0.0</v>
      </c>
      <c r="BI127" s="110">
        <f t="shared" si="627"/>
        <v>-3961.212</v>
      </c>
      <c r="BJ127" s="95">
        <f t="shared" si="628"/>
        <v>-1</v>
      </c>
      <c r="BK127" s="206">
        <f>SUM(L127,P127,T127,X127,AC127,AI127,AM127,AQ127,AU127,AY127,BC127,BG127)</f>
        <v>23333.33333</v>
      </c>
      <c r="BL127" s="173">
        <f t="shared" si="629"/>
        <v>6168.081333</v>
      </c>
      <c r="BM127" s="117">
        <f t="shared" si="630"/>
        <v>8368.754667</v>
      </c>
      <c r="BN127" s="207">
        <f t="shared" si="631"/>
        <v>5589</v>
      </c>
      <c r="BO127" s="104">
        <f t="shared" si="632"/>
        <v>-0.7604714286</v>
      </c>
      <c r="BP127" s="119">
        <v>11282.0</v>
      </c>
      <c r="BQ127" s="106">
        <f t="shared" si="633"/>
        <v>2.068191219</v>
      </c>
      <c r="BR127" s="3"/>
      <c r="BS127" s="3"/>
      <c r="BT127" s="3"/>
      <c r="BU127" s="3"/>
      <c r="BV127" s="3"/>
      <c r="BW127" s="3"/>
    </row>
    <row r="128" ht="15.75" customHeight="1">
      <c r="A128" s="1"/>
      <c r="B128" s="142"/>
      <c r="C128" s="143"/>
      <c r="D128" s="144"/>
      <c r="E128" s="192"/>
      <c r="F128" s="146"/>
      <c r="G128" s="147"/>
      <c r="H128" s="148"/>
      <c r="I128" s="149"/>
      <c r="J128" s="72" t="s">
        <v>68</v>
      </c>
      <c r="K128" s="107">
        <v>30.0</v>
      </c>
      <c r="L128" s="108">
        <f>L126/L127</f>
        <v>30</v>
      </c>
      <c r="M128" s="91">
        <f>IFERROR(M126/M127,"-")</f>
        <v>22.82</v>
      </c>
      <c r="N128" s="92">
        <f t="shared" si="605"/>
        <v>-7.18</v>
      </c>
      <c r="O128" s="93">
        <f t="shared" si="606"/>
        <v>-0.2393333333</v>
      </c>
      <c r="P128" s="90">
        <f t="shared" ref="P128:Q128" si="634">IFERROR(P126/P127,"-")</f>
        <v>30</v>
      </c>
      <c r="Q128" s="91">
        <f t="shared" si="634"/>
        <v>24.80775388</v>
      </c>
      <c r="R128" s="92">
        <f t="shared" si="607"/>
        <v>-5.192246117</v>
      </c>
      <c r="S128" s="95">
        <f t="shared" si="608"/>
        <v>-0.1730748706</v>
      </c>
      <c r="T128" s="112">
        <f>T126/T127</f>
        <v>30</v>
      </c>
      <c r="U128" s="91">
        <f>IFERROR(U126/U127,"-")</f>
        <v>14.99015748</v>
      </c>
      <c r="V128" s="92">
        <f t="shared" si="609"/>
        <v>-15.00984252</v>
      </c>
      <c r="W128" s="93">
        <f t="shared" si="610"/>
        <v>-0.500328084</v>
      </c>
      <c r="X128" s="96">
        <f t="shared" ref="X128:Y128" si="635">IFERROR(X126/X127,"-")</f>
        <v>30</v>
      </c>
      <c r="Y128" s="91">
        <f t="shared" si="635"/>
        <v>27.84092737</v>
      </c>
      <c r="Z128" s="92"/>
      <c r="AA128" s="92">
        <f t="shared" si="611"/>
        <v>-2.159072626</v>
      </c>
      <c r="AB128" s="93">
        <f t="shared" si="612"/>
        <v>-0.07196908752</v>
      </c>
      <c r="AC128" s="112">
        <f>AC126/AC127</f>
        <v>30</v>
      </c>
      <c r="AD128" s="98"/>
      <c r="AE128" s="91">
        <f>IFERROR(AE126/AE127,"-")</f>
        <v>31.75504363</v>
      </c>
      <c r="AF128" s="92">
        <f t="shared" si="613"/>
        <v>1.75504363</v>
      </c>
      <c r="AG128" s="99"/>
      <c r="AH128" s="93">
        <f t="shared" si="614"/>
        <v>0.05850145433</v>
      </c>
      <c r="AI128" s="112">
        <f>AI126/AI127</f>
        <v>30</v>
      </c>
      <c r="AJ128" s="91">
        <v>32.32281468531469</v>
      </c>
      <c r="AK128" s="92">
        <f t="shared" si="615"/>
        <v>2.322814685</v>
      </c>
      <c r="AL128" s="93">
        <f t="shared" si="616"/>
        <v>0.07742715618</v>
      </c>
      <c r="AM128" s="112">
        <f>AM126/AM127</f>
        <v>30</v>
      </c>
      <c r="AN128" s="91">
        <v>23.12807692307692</v>
      </c>
      <c r="AO128" s="92">
        <f t="shared" si="617"/>
        <v>-6.871923077</v>
      </c>
      <c r="AP128" s="93">
        <f t="shared" si="618"/>
        <v>-0.2290641026</v>
      </c>
      <c r="AQ128" s="112">
        <f t="shared" ref="AQ128:AR128" si="636">AQ126/AQ127</f>
        <v>30</v>
      </c>
      <c r="AR128" s="109" t="str">
        <f t="shared" si="636"/>
        <v>#DIV/0!</v>
      </c>
      <c r="AS128" s="92" t="str">
        <f t="shared" si="619"/>
        <v>-</v>
      </c>
      <c r="AT128" s="93" t="str">
        <f t="shared" si="620"/>
        <v>-</v>
      </c>
      <c r="AU128" s="112">
        <f>AU126/AU127</f>
        <v>30</v>
      </c>
      <c r="AV128" s="91" t="str">
        <f>IFERROR(AV126/AV127,"-")</f>
        <v>-</v>
      </c>
      <c r="AW128" s="92" t="str">
        <f t="shared" si="621"/>
        <v>-</v>
      </c>
      <c r="AX128" s="93" t="str">
        <f t="shared" si="622"/>
        <v>-</v>
      </c>
      <c r="AY128" s="112">
        <f>AY126/AY127</f>
        <v>30</v>
      </c>
      <c r="AZ128" s="91" t="str">
        <f>IFERROR(AZ126/AZ127,"-")</f>
        <v>-</v>
      </c>
      <c r="BA128" s="92" t="str">
        <f t="shared" si="623"/>
        <v>-</v>
      </c>
      <c r="BB128" s="93" t="str">
        <f t="shared" si="624"/>
        <v>-</v>
      </c>
      <c r="BC128" s="112">
        <f>BC126/BC127</f>
        <v>30</v>
      </c>
      <c r="BD128" s="91" t="str">
        <f>IFERROR(BD126/BD127,"-")</f>
        <v>-</v>
      </c>
      <c r="BE128" s="92" t="str">
        <f t="shared" si="625"/>
        <v>-</v>
      </c>
      <c r="BF128" s="93" t="str">
        <f t="shared" si="626"/>
        <v>-</v>
      </c>
      <c r="BG128" s="109">
        <f>BG126/BG127</f>
        <v>30</v>
      </c>
      <c r="BH128" s="91" t="str">
        <f>IFERROR(BH126/BH127,"-")</f>
        <v>-</v>
      </c>
      <c r="BI128" s="92" t="str">
        <f t="shared" si="627"/>
        <v>-</v>
      </c>
      <c r="BJ128" s="95" t="str">
        <f t="shared" si="628"/>
        <v>-</v>
      </c>
      <c r="BK128" s="115">
        <f>BK126/BK127</f>
        <v>30</v>
      </c>
      <c r="BL128" s="176">
        <f t="shared" ref="BL128:BM128" si="637">IFERROR(BL126/BL127,"-")</f>
        <v>30</v>
      </c>
      <c r="BM128" s="122">
        <f t="shared" si="637"/>
        <v>30</v>
      </c>
      <c r="BN128" s="209">
        <f>BN126/BN127</f>
        <v>23.50596529</v>
      </c>
      <c r="BO128" s="104">
        <f t="shared" si="632"/>
        <v>-0.2164678237</v>
      </c>
      <c r="BP128" s="119">
        <f>BP126/BP127</f>
        <v>31.60780713</v>
      </c>
      <c r="BQ128" s="106">
        <f>BK128/BP128-1</f>
        <v>-0.050867405</v>
      </c>
      <c r="BR128" s="3"/>
      <c r="BS128" s="3"/>
      <c r="BT128" s="3"/>
      <c r="BU128" s="3"/>
      <c r="BV128" s="3"/>
      <c r="BW128" s="3"/>
    </row>
    <row r="129" ht="15.75" customHeight="1">
      <c r="A129" s="1"/>
      <c r="B129" s="142"/>
      <c r="C129" s="143"/>
      <c r="D129" s="144"/>
      <c r="E129" s="192"/>
      <c r="F129" s="146"/>
      <c r="G129" s="147"/>
      <c r="H129" s="148"/>
      <c r="I129" s="149"/>
      <c r="J129" s="124" t="s">
        <v>69</v>
      </c>
      <c r="K129" s="254">
        <v>0.04</v>
      </c>
      <c r="L129" s="132">
        <f t="shared" ref="L129:M129" si="638">L126*$K$129</f>
        <v>799.8</v>
      </c>
      <c r="M129" s="127">
        <f t="shared" si="638"/>
        <v>826.084</v>
      </c>
      <c r="N129" s="128">
        <f t="shared" si="605"/>
        <v>26.284</v>
      </c>
      <c r="O129" s="129">
        <f t="shared" si="606"/>
        <v>0.0328632158</v>
      </c>
      <c r="P129" s="132">
        <f t="shared" ref="P129:Q129" si="639">P126*$K$129</f>
        <v>792.12</v>
      </c>
      <c r="Q129" s="127">
        <f t="shared" si="639"/>
        <v>830.5636</v>
      </c>
      <c r="R129" s="128">
        <f t="shared" si="607"/>
        <v>38.4436</v>
      </c>
      <c r="S129" s="131">
        <f t="shared" si="608"/>
        <v>0.04853254557</v>
      </c>
      <c r="T129" s="132">
        <f t="shared" ref="T129:U129" si="640">T126*$K$129</f>
        <v>1056.3232</v>
      </c>
      <c r="U129" s="127">
        <f t="shared" si="640"/>
        <v>989.95</v>
      </c>
      <c r="V129" s="128">
        <f t="shared" si="609"/>
        <v>-66.3732</v>
      </c>
      <c r="W129" s="129">
        <f t="shared" si="610"/>
        <v>-0.06283417802</v>
      </c>
      <c r="X129" s="132">
        <f t="shared" ref="X129:Y129" si="641">X126*$K$129</f>
        <v>1056.3232</v>
      </c>
      <c r="Y129" s="127">
        <f t="shared" si="641"/>
        <v>996.7052</v>
      </c>
      <c r="Z129" s="128"/>
      <c r="AA129" s="128">
        <f t="shared" si="611"/>
        <v>-59.618</v>
      </c>
      <c r="AB129" s="129">
        <f t="shared" si="612"/>
        <v>-0.05643916559</v>
      </c>
      <c r="AC129" s="132">
        <f>AC126*$K$129</f>
        <v>1584.4848</v>
      </c>
      <c r="AD129" s="180"/>
      <c r="AE129" s="127">
        <f>AE126*$K$129</f>
        <v>727.8256</v>
      </c>
      <c r="AF129" s="128">
        <f t="shared" si="613"/>
        <v>-856.6592</v>
      </c>
      <c r="AG129" s="134"/>
      <c r="AH129" s="129">
        <f t="shared" si="614"/>
        <v>-0.5406547289</v>
      </c>
      <c r="AI129" s="132">
        <f>AI126*$K$129</f>
        <v>2112.6464</v>
      </c>
      <c r="AJ129" s="127">
        <v>739.546</v>
      </c>
      <c r="AK129" s="128">
        <f t="shared" si="615"/>
        <v>-1373.1004</v>
      </c>
      <c r="AL129" s="129">
        <f t="shared" si="616"/>
        <v>-0.6499433128</v>
      </c>
      <c r="AM129" s="132">
        <f>AM126*$K$129</f>
        <v>2640.808</v>
      </c>
      <c r="AN129" s="127">
        <v>144.3192</v>
      </c>
      <c r="AO129" s="128">
        <f t="shared" si="617"/>
        <v>-2496.4888</v>
      </c>
      <c r="AP129" s="129">
        <f t="shared" si="618"/>
        <v>-0.9453503625</v>
      </c>
      <c r="AQ129" s="132">
        <f t="shared" ref="AQ129:AR129" si="642">AQ126*$K$129</f>
        <v>2640.808</v>
      </c>
      <c r="AR129" s="127">
        <f t="shared" si="642"/>
        <v>0</v>
      </c>
      <c r="AS129" s="128">
        <f t="shared" si="619"/>
        <v>-2640.808</v>
      </c>
      <c r="AT129" s="129">
        <f t="shared" si="620"/>
        <v>-1</v>
      </c>
      <c r="AU129" s="132">
        <f t="shared" ref="AU129:AV129" si="643">AU126*$K$129</f>
        <v>3168.9696</v>
      </c>
      <c r="AV129" s="127">
        <f t="shared" si="643"/>
        <v>0</v>
      </c>
      <c r="AW129" s="128">
        <f t="shared" si="621"/>
        <v>-3168.9696</v>
      </c>
      <c r="AX129" s="129">
        <f t="shared" si="622"/>
        <v>-1</v>
      </c>
      <c r="AY129" s="132">
        <f t="shared" ref="AY129:AZ129" si="644">AY126*$K$129</f>
        <v>3168.9696</v>
      </c>
      <c r="AZ129" s="127">
        <f t="shared" si="644"/>
        <v>0</v>
      </c>
      <c r="BA129" s="128">
        <f t="shared" si="623"/>
        <v>-3168.9696</v>
      </c>
      <c r="BB129" s="129">
        <f t="shared" si="624"/>
        <v>-1</v>
      </c>
      <c r="BC129" s="132">
        <f t="shared" ref="BC129:BD129" si="645">BC126*$K$129</f>
        <v>4225.2928</v>
      </c>
      <c r="BD129" s="127">
        <f t="shared" si="645"/>
        <v>0</v>
      </c>
      <c r="BE129" s="128">
        <f t="shared" si="625"/>
        <v>-4225.2928</v>
      </c>
      <c r="BF129" s="129">
        <f t="shared" si="626"/>
        <v>-1</v>
      </c>
      <c r="BG129" s="127">
        <f t="shared" ref="BG129:BH129" si="646">BG126*$K$129</f>
        <v>4753.4544</v>
      </c>
      <c r="BH129" s="127">
        <f t="shared" si="646"/>
        <v>0</v>
      </c>
      <c r="BI129" s="128">
        <f t="shared" si="627"/>
        <v>-4753.4544</v>
      </c>
      <c r="BJ129" s="131">
        <f t="shared" si="628"/>
        <v>-1</v>
      </c>
      <c r="BK129" s="135">
        <f>SUM(L129,P129,T129,X129,AC129,AI129,AM129,AQ129,AU129,AY129,BC129,BG129)</f>
        <v>28000</v>
      </c>
      <c r="BL129" s="182">
        <f>SUM(L129,P129,T129,X129,AC129,AI129)</f>
        <v>7401.6976</v>
      </c>
      <c r="BM129" s="137">
        <f>SUM(L129,P129,T129,X129,AC129,AI129,AM129)</f>
        <v>10042.5056</v>
      </c>
      <c r="BN129" s="213">
        <f>SUM(M129,Q129,U129,Y129,AE129,AJ129,AN129,AR129,AV129,AZ129,BD129,BH129)</f>
        <v>5254.9936</v>
      </c>
      <c r="BO129" s="139">
        <f t="shared" si="632"/>
        <v>-0.8123216571</v>
      </c>
      <c r="BP129" s="140">
        <f>BP126*0.04</f>
        <v>14263.9712</v>
      </c>
      <c r="BQ129" s="141">
        <f>BK129/BP129</f>
        <v>1.962987699</v>
      </c>
      <c r="BR129" s="3"/>
      <c r="BS129" s="3"/>
      <c r="BT129" s="3"/>
      <c r="BU129" s="3"/>
      <c r="BV129" s="3"/>
      <c r="BW129" s="3"/>
    </row>
    <row r="130" ht="15.75" customHeight="1">
      <c r="A130" s="1"/>
      <c r="B130" s="142"/>
      <c r="C130" s="143"/>
      <c r="D130" s="144"/>
      <c r="E130" s="192"/>
      <c r="F130" s="146"/>
      <c r="G130" s="147"/>
      <c r="H130" s="148"/>
      <c r="I130" s="149"/>
      <c r="J130" s="15"/>
      <c r="K130" s="238"/>
      <c r="L130" s="15"/>
      <c r="M130" s="15"/>
      <c r="N130" s="15"/>
      <c r="O130" s="15"/>
      <c r="P130" s="15"/>
      <c r="Q130" s="214"/>
      <c r="R130" s="15"/>
      <c r="S130" s="15"/>
      <c r="T130" s="15"/>
      <c r="U130" s="15"/>
      <c r="V130" s="15"/>
      <c r="W130" s="15"/>
      <c r="X130" s="14"/>
      <c r="Y130" s="14"/>
      <c r="Z130" s="15"/>
      <c r="AA130" s="15"/>
      <c r="AB130" s="3"/>
      <c r="AC130" s="3"/>
      <c r="AD130" s="3"/>
      <c r="AE130" s="3"/>
      <c r="AF130" s="3"/>
      <c r="AG130" s="3"/>
      <c r="AH130" s="3"/>
      <c r="AI130" s="3"/>
      <c r="AJ130" s="154" t="s">
        <v>70</v>
      </c>
      <c r="AN130" s="154" t="s">
        <v>70</v>
      </c>
      <c r="AY130" s="187"/>
      <c r="AZ130" s="25"/>
      <c r="BA130" s="188"/>
      <c r="BB130" s="25"/>
    </row>
    <row r="131" ht="15.75" customHeight="1">
      <c r="A131" s="3"/>
      <c r="B131" s="3"/>
      <c r="C131" s="3"/>
      <c r="D131" s="3"/>
      <c r="E131" s="3"/>
      <c r="F131" s="3"/>
      <c r="G131" s="3"/>
      <c r="H131" s="3"/>
      <c r="I131" s="3"/>
      <c r="J131" s="34" t="s">
        <v>105</v>
      </c>
      <c r="K131" s="35"/>
      <c r="L131" s="36" t="s">
        <v>10</v>
      </c>
      <c r="M131" s="37" t="s">
        <v>11</v>
      </c>
      <c r="N131" s="38" t="s">
        <v>12</v>
      </c>
      <c r="O131" s="39" t="s">
        <v>13</v>
      </c>
      <c r="P131" s="157" t="s">
        <v>14</v>
      </c>
      <c r="Q131" s="199" t="s">
        <v>15</v>
      </c>
      <c r="R131" s="38" t="s">
        <v>16</v>
      </c>
      <c r="S131" s="42" t="s">
        <v>17</v>
      </c>
      <c r="T131" s="36" t="s">
        <v>18</v>
      </c>
      <c r="U131" s="199" t="s">
        <v>95</v>
      </c>
      <c r="V131" s="38" t="s">
        <v>20</v>
      </c>
      <c r="W131" s="45" t="s">
        <v>96</v>
      </c>
      <c r="X131" s="157" t="s">
        <v>22</v>
      </c>
      <c r="Y131" s="199" t="s">
        <v>97</v>
      </c>
      <c r="Z131" s="38"/>
      <c r="AA131" s="38" t="s">
        <v>24</v>
      </c>
      <c r="AB131" s="45" t="s">
        <v>96</v>
      </c>
      <c r="AC131" s="36" t="s">
        <v>26</v>
      </c>
      <c r="AD131" s="200"/>
      <c r="AE131" s="199" t="s">
        <v>27</v>
      </c>
      <c r="AF131" s="38" t="s">
        <v>28</v>
      </c>
      <c r="AG131" s="47"/>
      <c r="AH131" s="45" t="s">
        <v>29</v>
      </c>
      <c r="AI131" s="44" t="s">
        <v>30</v>
      </c>
      <c r="AJ131" s="199" t="s">
        <v>31</v>
      </c>
      <c r="AK131" s="38" t="s">
        <v>32</v>
      </c>
      <c r="AL131" s="45" t="s">
        <v>33</v>
      </c>
      <c r="AM131" s="43" t="s">
        <v>34</v>
      </c>
      <c r="AN131" s="199" t="s">
        <v>35</v>
      </c>
      <c r="AO131" s="38" t="s">
        <v>36</v>
      </c>
      <c r="AP131" s="45" t="s">
        <v>37</v>
      </c>
      <c r="AQ131" s="44" t="s">
        <v>38</v>
      </c>
      <c r="AR131" s="199" t="s">
        <v>39</v>
      </c>
      <c r="AS131" s="38" t="s">
        <v>40</v>
      </c>
      <c r="AT131" s="45" t="s">
        <v>41</v>
      </c>
      <c r="AU131" s="43" t="s">
        <v>42</v>
      </c>
      <c r="AV131" s="199" t="s">
        <v>43</v>
      </c>
      <c r="AW131" s="38" t="s">
        <v>44</v>
      </c>
      <c r="AX131" s="45" t="s">
        <v>45</v>
      </c>
      <c r="AY131" s="44" t="s">
        <v>46</v>
      </c>
      <c r="AZ131" s="199" t="s">
        <v>47</v>
      </c>
      <c r="BA131" s="38" t="s">
        <v>48</v>
      </c>
      <c r="BB131" s="45" t="s">
        <v>49</v>
      </c>
      <c r="BC131" s="43" t="s">
        <v>50</v>
      </c>
      <c r="BD131" s="199" t="s">
        <v>51</v>
      </c>
      <c r="BE131" s="38" t="s">
        <v>52</v>
      </c>
      <c r="BF131" s="45" t="s">
        <v>53</v>
      </c>
      <c r="BG131" s="201" t="s">
        <v>54</v>
      </c>
      <c r="BH131" s="199" t="s">
        <v>55</v>
      </c>
      <c r="BI131" s="38" t="s">
        <v>56</v>
      </c>
      <c r="BJ131" s="42" t="s">
        <v>57</v>
      </c>
      <c r="BK131" s="48" t="s">
        <v>58</v>
      </c>
      <c r="BL131" s="49" t="s">
        <v>72</v>
      </c>
      <c r="BM131" s="49" t="s">
        <v>60</v>
      </c>
      <c r="BN131" s="37" t="s">
        <v>61</v>
      </c>
      <c r="BO131" s="51" t="s">
        <v>62</v>
      </c>
      <c r="BP131" s="52">
        <v>2025.0</v>
      </c>
      <c r="BQ131" s="53"/>
      <c r="BR131" s="3"/>
      <c r="BS131" s="3"/>
      <c r="BT131" s="3"/>
      <c r="BU131" s="3"/>
      <c r="BV131" s="3"/>
      <c r="BW131" s="3"/>
    </row>
    <row r="132" ht="15.75" customHeight="1">
      <c r="A132" s="25"/>
      <c r="B132" s="255"/>
      <c r="C132" s="256"/>
      <c r="D132" s="257"/>
      <c r="E132" s="258"/>
      <c r="F132" s="259"/>
      <c r="G132" s="260"/>
      <c r="H132" s="261"/>
      <c r="I132" s="260"/>
      <c r="J132" s="54"/>
      <c r="K132" s="55"/>
      <c r="L132" s="56"/>
      <c r="M132" s="57"/>
      <c r="N132" s="58"/>
      <c r="O132" s="59"/>
      <c r="P132" s="56"/>
      <c r="Q132" s="202"/>
      <c r="R132" s="58"/>
      <c r="S132" s="61"/>
      <c r="T132" s="56"/>
      <c r="U132" s="63"/>
      <c r="V132" s="58"/>
      <c r="W132" s="59"/>
      <c r="X132" s="56"/>
      <c r="Y132" s="63"/>
      <c r="Z132" s="58"/>
      <c r="AA132" s="58"/>
      <c r="AB132" s="59"/>
      <c r="AC132" s="56"/>
      <c r="AD132" s="64"/>
      <c r="AE132" s="63"/>
      <c r="AF132" s="58"/>
      <c r="AG132" s="65"/>
      <c r="AH132" s="59"/>
      <c r="AI132" s="62"/>
      <c r="AJ132" s="63" t="s">
        <v>70</v>
      </c>
      <c r="AK132" s="58"/>
      <c r="AL132" s="59"/>
      <c r="AM132" s="62"/>
      <c r="AN132" s="63" t="s">
        <v>70</v>
      </c>
      <c r="AO132" s="58"/>
      <c r="AP132" s="59"/>
      <c r="AQ132" s="62"/>
      <c r="AR132" s="63"/>
      <c r="AS132" s="58"/>
      <c r="AT132" s="59"/>
      <c r="AU132" s="62"/>
      <c r="AV132" s="63"/>
      <c r="AW132" s="58"/>
      <c r="AX132" s="59"/>
      <c r="AY132" s="62"/>
      <c r="AZ132" s="63"/>
      <c r="BA132" s="58"/>
      <c r="BB132" s="59"/>
      <c r="BC132" s="62"/>
      <c r="BD132" s="63"/>
      <c r="BE132" s="58"/>
      <c r="BF132" s="59"/>
      <c r="BG132" s="203"/>
      <c r="BH132" s="63"/>
      <c r="BI132" s="58"/>
      <c r="BJ132" s="61"/>
      <c r="BK132" s="66"/>
      <c r="BL132" s="67"/>
      <c r="BM132" s="67"/>
      <c r="BN132" s="68"/>
      <c r="BO132" s="69"/>
      <c r="BP132" s="70"/>
      <c r="BQ132" s="71"/>
      <c r="BR132" s="262"/>
      <c r="BS132" s="25"/>
      <c r="BT132" s="25"/>
      <c r="BU132" s="25"/>
      <c r="BV132" s="25"/>
      <c r="BW132" s="25"/>
    </row>
    <row r="133" ht="15.75" customHeight="1">
      <c r="A133" s="25"/>
      <c r="B133" s="263">
        <v>17.0</v>
      </c>
      <c r="C133" s="264" t="s">
        <v>103</v>
      </c>
      <c r="D133" s="265">
        <f>15000*12</f>
        <v>180000</v>
      </c>
      <c r="E133" s="266">
        <v>32.0</v>
      </c>
      <c r="F133" s="267">
        <f>E133*D133</f>
        <v>5760000</v>
      </c>
      <c r="G133" s="268">
        <v>356599.2800000031</v>
      </c>
      <c r="H133" s="269">
        <v>11282.0</v>
      </c>
      <c r="I133" s="270">
        <v>31.607807126396306</v>
      </c>
      <c r="J133" s="72" t="s">
        <v>64</v>
      </c>
      <c r="K133" s="73"/>
      <c r="L133" s="74" t="s">
        <v>63</v>
      </c>
      <c r="M133" s="75" t="s">
        <v>63</v>
      </c>
      <c r="N133" s="76" t="s">
        <v>63</v>
      </c>
      <c r="O133" s="77" t="s">
        <v>65</v>
      </c>
      <c r="P133" s="74" t="s">
        <v>63</v>
      </c>
      <c r="Q133" s="204" t="s">
        <v>63</v>
      </c>
      <c r="R133" s="76" t="s">
        <v>63</v>
      </c>
      <c r="S133" s="79" t="s">
        <v>65</v>
      </c>
      <c r="T133" s="74" t="s">
        <v>63</v>
      </c>
      <c r="U133" s="81" t="s">
        <v>63</v>
      </c>
      <c r="V133" s="76" t="s">
        <v>63</v>
      </c>
      <c r="W133" s="77" t="s">
        <v>65</v>
      </c>
      <c r="X133" s="74" t="s">
        <v>63</v>
      </c>
      <c r="Y133" s="81" t="s">
        <v>63</v>
      </c>
      <c r="Z133" s="76"/>
      <c r="AA133" s="76" t="s">
        <v>63</v>
      </c>
      <c r="AB133" s="77" t="s">
        <v>65</v>
      </c>
      <c r="AC133" s="74" t="s">
        <v>63</v>
      </c>
      <c r="AD133" s="82"/>
      <c r="AE133" s="81" t="s">
        <v>63</v>
      </c>
      <c r="AF133" s="76" t="s">
        <v>63</v>
      </c>
      <c r="AG133" s="83"/>
      <c r="AH133" s="77" t="s">
        <v>65</v>
      </c>
      <c r="AI133" s="80">
        <v>0.05</v>
      </c>
      <c r="AJ133" s="81">
        <v>0.048050927083333334</v>
      </c>
      <c r="AK133" s="76" t="s">
        <v>63</v>
      </c>
      <c r="AL133" s="77" t="s">
        <v>65</v>
      </c>
      <c r="AM133" s="80">
        <v>0.08</v>
      </c>
      <c r="AN133" s="81">
        <v>0.024339152500000003</v>
      </c>
      <c r="AO133" s="76" t="s">
        <v>63</v>
      </c>
      <c r="AP133" s="77" t="s">
        <v>65</v>
      </c>
      <c r="AQ133" s="80">
        <v>0.1</v>
      </c>
      <c r="AR133" s="81">
        <f>AR134/(BK134-(L134+P134+T134+X134+AC134))</f>
        <v>0</v>
      </c>
      <c r="AS133" s="76" t="s">
        <v>63</v>
      </c>
      <c r="AT133" s="77" t="s">
        <v>65</v>
      </c>
      <c r="AU133" s="80">
        <v>0.16</v>
      </c>
      <c r="AV133" s="81">
        <f>AV134/(BK134-(L134+P134+T134+X134+AC134))</f>
        <v>0</v>
      </c>
      <c r="AW133" s="76" t="s">
        <v>63</v>
      </c>
      <c r="AX133" s="77" t="s">
        <v>65</v>
      </c>
      <c r="AY133" s="80">
        <v>0.2</v>
      </c>
      <c r="AZ133" s="81">
        <f>AZ134/(BK134-(L134+P134+T134+X134+AC134))</f>
        <v>0</v>
      </c>
      <c r="BA133" s="76" t="s">
        <v>63</v>
      </c>
      <c r="BB133" s="77" t="s">
        <v>65</v>
      </c>
      <c r="BC133" s="80">
        <v>0.21</v>
      </c>
      <c r="BD133" s="81">
        <f>BD134/(BK134-(L134+P134+T134+X134+AC134))</f>
        <v>0</v>
      </c>
      <c r="BE133" s="76" t="s">
        <v>63</v>
      </c>
      <c r="BF133" s="77" t="s">
        <v>65</v>
      </c>
      <c r="BG133" s="205">
        <v>0.2</v>
      </c>
      <c r="BH133" s="81">
        <f>BH134/(BK134-(L134+P134+T134+X134++AC134))</f>
        <v>0</v>
      </c>
      <c r="BI133" s="76" t="s">
        <v>63</v>
      </c>
      <c r="BJ133" s="79" t="s">
        <v>65</v>
      </c>
      <c r="BK133" s="84">
        <f>SUM(AI133,AM133,AQ133,AU133,AY133,BC133,BG133)</f>
        <v>1</v>
      </c>
      <c r="BL133" s="85">
        <f>SUM(AC133,AI133)</f>
        <v>0.05</v>
      </c>
      <c r="BM133" s="86">
        <f>SUM(T133,X133,AC133,AI133,AM133)</f>
        <v>0.13</v>
      </c>
      <c r="BN133" s="87">
        <f>SUM(AJ133,AN133,AR133,AV133,AZ133,BD133,BH133)</f>
        <v>0.07239007958</v>
      </c>
      <c r="BO133" s="88"/>
      <c r="BP133" s="89" t="s">
        <v>63</v>
      </c>
      <c r="BQ133" s="71"/>
      <c r="BR133" s="271"/>
      <c r="BS133" s="25"/>
      <c r="BT133" s="25"/>
      <c r="BU133" s="25"/>
      <c r="BV133" s="25"/>
      <c r="BW133" s="25"/>
    </row>
    <row r="134" ht="15.75" customHeight="1">
      <c r="A134" s="25"/>
      <c r="B134" s="272"/>
      <c r="C134" s="264"/>
      <c r="D134" s="273"/>
      <c r="E134" s="274"/>
      <c r="F134" s="275"/>
      <c r="G134" s="276"/>
      <c r="H134" s="277"/>
      <c r="I134" s="278"/>
      <c r="J134" s="72" t="s">
        <v>66</v>
      </c>
      <c r="K134" s="73"/>
      <c r="L134" s="167">
        <v>0.0</v>
      </c>
      <c r="M134" s="91">
        <v>0.0</v>
      </c>
      <c r="N134" s="92">
        <f t="shared" ref="N134:N137" si="647">IFERROR(M134-L134,"-")</f>
        <v>0</v>
      </c>
      <c r="O134" s="93" t="str">
        <f t="shared" ref="O134:O137" si="648">IFERROR(M134/L134-1,"-")</f>
        <v>-</v>
      </c>
      <c r="P134" s="167">
        <v>0.0</v>
      </c>
      <c r="Q134" s="91">
        <v>0.0</v>
      </c>
      <c r="R134" s="92">
        <f t="shared" ref="R134:R137" si="649">IFERROR(Q134-P134,"-")</f>
        <v>0</v>
      </c>
      <c r="S134" s="95" t="str">
        <f t="shared" ref="S134:S137" si="650">IFERROR(Q134/P134-1,"-")</f>
        <v>-</v>
      </c>
      <c r="T134" s="90">
        <v>0.0</v>
      </c>
      <c r="U134" s="91">
        <v>0.0</v>
      </c>
      <c r="V134" s="92">
        <f t="shared" ref="V134:V137" si="651">IFERROR(U134-T134,"-")</f>
        <v>0</v>
      </c>
      <c r="W134" s="93" t="str">
        <f t="shared" ref="W134:W137" si="652">IFERROR(U134/T134-1,"-")</f>
        <v>-</v>
      </c>
      <c r="X134" s="90">
        <v>0.0</v>
      </c>
      <c r="Y134" s="91">
        <v>0.0</v>
      </c>
      <c r="Z134" s="92"/>
      <c r="AA134" s="92">
        <f t="shared" ref="AA134:AA137" si="653">IFERROR(Y134-X134,"-")</f>
        <v>0</v>
      </c>
      <c r="AB134" s="93" t="str">
        <f t="shared" ref="AB134:AB137" si="654">IFERROR(Y134/X134-1,"-")</f>
        <v>-</v>
      </c>
      <c r="AC134" s="90">
        <v>0.0</v>
      </c>
      <c r="AD134" s="98"/>
      <c r="AE134" s="91">
        <v>4133.38</v>
      </c>
      <c r="AF134" s="92">
        <f t="shared" ref="AF134:AF137" si="655">IFERROR(AE134-AC134,"-")</f>
        <v>4133.38</v>
      </c>
      <c r="AG134" s="99"/>
      <c r="AH134" s="93" t="str">
        <f t="shared" ref="AH134:AH137" si="656">IFERROR(AE134/AC134-1,"-")</f>
        <v>-</v>
      </c>
      <c r="AI134" s="96">
        <f>($BK$134-($L$134+$P$134))*AI133</f>
        <v>1200000</v>
      </c>
      <c r="AJ134" s="100">
        <v>1153222.25</v>
      </c>
      <c r="AK134" s="92">
        <f t="shared" ref="AK134:AK137" si="657">IFERROR(AJ134-AI134,"-")</f>
        <v>-46777.75</v>
      </c>
      <c r="AL134" s="93">
        <f t="shared" ref="AL134:AL137" si="658">IFERROR(AJ134/AI134-1,"-")</f>
        <v>-0.03898145833</v>
      </c>
      <c r="AM134" s="96">
        <f>($BK$134-($L$134+$P$134))*AM133</f>
        <v>1920000</v>
      </c>
      <c r="AN134" s="91">
        <v>584139.66</v>
      </c>
      <c r="AO134" s="92">
        <f t="shared" ref="AO134:AO137" si="659">IFERROR(AN134-AM134,"-")</f>
        <v>-1335860.34</v>
      </c>
      <c r="AP134" s="93">
        <f t="shared" ref="AP134:AP137" si="660">IFERROR(AN134/AM134-1,"-")</f>
        <v>-0.6957605938</v>
      </c>
      <c r="AQ134" s="96">
        <f>($BK$134-($L$134+$P$134))*AQ133</f>
        <v>2400000</v>
      </c>
      <c r="AR134" s="91">
        <v>0.0</v>
      </c>
      <c r="AS134" s="92">
        <f t="shared" ref="AS134:AS137" si="661">IFERROR(AR134-AQ134,"-")</f>
        <v>-2400000</v>
      </c>
      <c r="AT134" s="93">
        <f t="shared" ref="AT134:AT137" si="662">IFERROR(AR134/AQ134-1,"-")</f>
        <v>-1</v>
      </c>
      <c r="AU134" s="96">
        <f>($BK$134-($L$134+$P$134))*AU133</f>
        <v>3840000</v>
      </c>
      <c r="AV134" s="91">
        <v>0.0</v>
      </c>
      <c r="AW134" s="92">
        <f t="shared" ref="AW134:AW137" si="663">IFERROR(AV134-AU134,"-")</f>
        <v>-3840000</v>
      </c>
      <c r="AX134" s="93">
        <f t="shared" ref="AX134:AX137" si="664">IFERROR(AV134/AU134-1,"-")</f>
        <v>-1</v>
      </c>
      <c r="AY134" s="96">
        <f>($BK$134-($L$134+$P$134))*AY133</f>
        <v>4800000</v>
      </c>
      <c r="AZ134" s="91">
        <v>0.0</v>
      </c>
      <c r="BA134" s="92">
        <f t="shared" ref="BA134:BA137" si="665">IFERROR(AZ134-AY134,"-")</f>
        <v>-4800000</v>
      </c>
      <c r="BB134" s="93">
        <f t="shared" ref="BB134:BB137" si="666">IFERROR(AZ134/AY134-1,"-")</f>
        <v>-1</v>
      </c>
      <c r="BC134" s="96">
        <f>($BK$134-($L$134+$P$134))*BC133</f>
        <v>5040000</v>
      </c>
      <c r="BD134" s="91">
        <v>0.0</v>
      </c>
      <c r="BE134" s="92">
        <f t="shared" ref="BE134:BE137" si="667">IFERROR(BD134-BC134,"-")</f>
        <v>-5040000</v>
      </c>
      <c r="BF134" s="93">
        <f t="shared" ref="BF134:BF137" si="668">IFERROR(BD134/BC134-1,"-")</f>
        <v>-1</v>
      </c>
      <c r="BG134" s="91">
        <f>($BK$134-($L$134+$P$134))*BG133</f>
        <v>4800000</v>
      </c>
      <c r="BH134" s="91">
        <v>0.0</v>
      </c>
      <c r="BI134" s="92">
        <f t="shared" ref="BI134:BI137" si="669">IFERROR(BH134-BG134,"-")</f>
        <v>-4800000</v>
      </c>
      <c r="BJ134" s="95">
        <f t="shared" ref="BJ134:BJ137" si="670">IFERROR(BH134/BG134-1,"-")</f>
        <v>-1</v>
      </c>
      <c r="BK134" s="101">
        <v>2.4E7</v>
      </c>
      <c r="BL134" s="169">
        <f t="shared" ref="BL134:BL135" si="671">SUM(L134,P134,T134,X134,AC134,AI134)</f>
        <v>1200000</v>
      </c>
      <c r="BM134" s="103">
        <f t="shared" ref="BM134:BM135" si="672">SUM(L134,P134,T134,X134,AC134,AI134,AM134)</f>
        <v>3120000</v>
      </c>
      <c r="BN134" s="102">
        <f t="shared" ref="BN134:BN135" si="673">SUM(M134,Q134,U134,Y134,AE134,AJ134,AN134,AR134,AV134,AZ134,BD134,BH134)</f>
        <v>1741495.29</v>
      </c>
      <c r="BO134" s="104">
        <f t="shared" ref="BO134:BO137" si="674">IFERROR(BN134/BK134-1,"-")</f>
        <v>-0.9274376963</v>
      </c>
      <c r="BP134" s="105"/>
      <c r="BQ134" s="106"/>
      <c r="BR134" s="279"/>
      <c r="BS134" s="25"/>
      <c r="BT134" s="25"/>
      <c r="BU134" s="25"/>
      <c r="BV134" s="25"/>
      <c r="BW134" s="25"/>
    </row>
    <row r="135" ht="15.75" customHeight="1">
      <c r="A135" s="25"/>
      <c r="B135" s="272"/>
      <c r="C135" s="264"/>
      <c r="D135" s="273"/>
      <c r="E135" s="274"/>
      <c r="F135" s="275"/>
      <c r="G135" s="276"/>
      <c r="H135" s="277"/>
      <c r="I135" s="278"/>
      <c r="J135" s="72" t="s">
        <v>67</v>
      </c>
      <c r="K135" s="107"/>
      <c r="L135" s="171">
        <f>L134/$K$136</f>
        <v>0</v>
      </c>
      <c r="M135" s="109">
        <v>0.0</v>
      </c>
      <c r="N135" s="110">
        <f t="shared" si="647"/>
        <v>0</v>
      </c>
      <c r="O135" s="93" t="str">
        <f t="shared" si="648"/>
        <v>-</v>
      </c>
      <c r="P135" s="171">
        <f>P134/$K$136</f>
        <v>0</v>
      </c>
      <c r="Q135" s="109">
        <v>0.0</v>
      </c>
      <c r="R135" s="110">
        <f t="shared" si="649"/>
        <v>0</v>
      </c>
      <c r="S135" s="95" t="str">
        <f t="shared" si="650"/>
        <v>-</v>
      </c>
      <c r="T135" s="171">
        <f>T134/$K$136</f>
        <v>0</v>
      </c>
      <c r="U135" s="109">
        <v>0.0</v>
      </c>
      <c r="V135" s="110">
        <f t="shared" si="651"/>
        <v>0</v>
      </c>
      <c r="W135" s="93" t="str">
        <f t="shared" si="652"/>
        <v>-</v>
      </c>
      <c r="X135" s="171">
        <f>X134/$K$136</f>
        <v>0</v>
      </c>
      <c r="Y135" s="109">
        <v>0.0</v>
      </c>
      <c r="Z135" s="110"/>
      <c r="AA135" s="110">
        <f t="shared" si="653"/>
        <v>0</v>
      </c>
      <c r="AB135" s="93" t="str">
        <f t="shared" si="654"/>
        <v>-</v>
      </c>
      <c r="AC135" s="108">
        <f>AC134/$K$136</f>
        <v>0</v>
      </c>
      <c r="AD135" s="113"/>
      <c r="AE135" s="109">
        <v>57.0</v>
      </c>
      <c r="AF135" s="110">
        <f t="shared" si="655"/>
        <v>57</v>
      </c>
      <c r="AG135" s="99"/>
      <c r="AH135" s="93" t="str">
        <f t="shared" si="656"/>
        <v>-</v>
      </c>
      <c r="AI135" s="112">
        <f>AI134/$K$136</f>
        <v>11881.18812</v>
      </c>
      <c r="AJ135" s="114">
        <v>7479.0</v>
      </c>
      <c r="AK135" s="110">
        <f t="shared" si="657"/>
        <v>-4402.188119</v>
      </c>
      <c r="AL135" s="93">
        <f t="shared" si="658"/>
        <v>-0.3705175</v>
      </c>
      <c r="AM135" s="112">
        <f>AM134/$K$136</f>
        <v>19009.90099</v>
      </c>
      <c r="AN135" s="109">
        <v>4380.0</v>
      </c>
      <c r="AO135" s="110">
        <f t="shared" si="659"/>
        <v>-14629.90099</v>
      </c>
      <c r="AP135" s="93">
        <f t="shared" si="660"/>
        <v>-0.76959375</v>
      </c>
      <c r="AQ135" s="112">
        <f>AQ134/$K$136</f>
        <v>23762.37624</v>
      </c>
      <c r="AR135" s="109">
        <v>0.0</v>
      </c>
      <c r="AS135" s="110">
        <f t="shared" si="661"/>
        <v>-23762.37624</v>
      </c>
      <c r="AT135" s="93">
        <f t="shared" si="662"/>
        <v>-1</v>
      </c>
      <c r="AU135" s="112">
        <f>AU134/$K$136</f>
        <v>38019.80198</v>
      </c>
      <c r="AV135" s="109">
        <v>0.0</v>
      </c>
      <c r="AW135" s="110">
        <f t="shared" si="663"/>
        <v>-38019.80198</v>
      </c>
      <c r="AX135" s="93">
        <f t="shared" si="664"/>
        <v>-1</v>
      </c>
      <c r="AY135" s="112">
        <f>AY134/$K$136</f>
        <v>47524.75248</v>
      </c>
      <c r="AZ135" s="109">
        <v>0.0</v>
      </c>
      <c r="BA135" s="110">
        <f t="shared" si="665"/>
        <v>-47524.75248</v>
      </c>
      <c r="BB135" s="93">
        <f t="shared" si="666"/>
        <v>-1</v>
      </c>
      <c r="BC135" s="112">
        <f>BC134/$K$136</f>
        <v>49900.9901</v>
      </c>
      <c r="BD135" s="109">
        <v>0.0</v>
      </c>
      <c r="BE135" s="110">
        <f t="shared" si="667"/>
        <v>-49900.9901</v>
      </c>
      <c r="BF135" s="93">
        <f t="shared" si="668"/>
        <v>-1</v>
      </c>
      <c r="BG135" s="109">
        <f>BG134/$K$136</f>
        <v>47524.75248</v>
      </c>
      <c r="BH135" s="109">
        <v>0.0</v>
      </c>
      <c r="BI135" s="110">
        <f t="shared" si="669"/>
        <v>-47524.75248</v>
      </c>
      <c r="BJ135" s="95">
        <f t="shared" si="670"/>
        <v>-1</v>
      </c>
      <c r="BK135" s="206">
        <f>SUM(L135,T135,X135,AC135,AI135,AM135,AQ135,AU135,AY135,BC135,BG135)</f>
        <v>237623.7624</v>
      </c>
      <c r="BL135" s="173">
        <f t="shared" si="671"/>
        <v>11881.18812</v>
      </c>
      <c r="BM135" s="117">
        <f t="shared" si="672"/>
        <v>30891.08911</v>
      </c>
      <c r="BN135" s="207">
        <f t="shared" si="673"/>
        <v>11916</v>
      </c>
      <c r="BO135" s="104">
        <f t="shared" si="674"/>
        <v>-0.9498535</v>
      </c>
      <c r="BP135" s="119"/>
      <c r="BQ135" s="106"/>
      <c r="BR135" s="280"/>
      <c r="BS135" s="25"/>
      <c r="BT135" s="281"/>
      <c r="BU135" s="25"/>
      <c r="BV135" s="25"/>
      <c r="BW135" s="25"/>
    </row>
    <row r="136" ht="15.75" customHeight="1">
      <c r="A136" s="25"/>
      <c r="B136" s="272"/>
      <c r="C136" s="264"/>
      <c r="D136" s="273"/>
      <c r="E136" s="274"/>
      <c r="F136" s="275"/>
      <c r="G136" s="276"/>
      <c r="H136" s="277"/>
      <c r="I136" s="278"/>
      <c r="J136" s="72" t="s">
        <v>68</v>
      </c>
      <c r="K136" s="107">
        <v>101.0</v>
      </c>
      <c r="L136" s="90" t="str">
        <f t="shared" ref="L136:M136" si="675">IFERROR(L134/L135,"-")</f>
        <v>-</v>
      </c>
      <c r="M136" s="91" t="str">
        <f t="shared" si="675"/>
        <v>-</v>
      </c>
      <c r="N136" s="92" t="str">
        <f t="shared" si="647"/>
        <v>-</v>
      </c>
      <c r="O136" s="93" t="str">
        <f t="shared" si="648"/>
        <v>-</v>
      </c>
      <c r="P136" s="90" t="str">
        <f t="shared" ref="P136:Q136" si="676">IFERROR(P134/P135,"-")</f>
        <v>-</v>
      </c>
      <c r="Q136" s="91" t="str">
        <f t="shared" si="676"/>
        <v>-</v>
      </c>
      <c r="R136" s="92" t="str">
        <f t="shared" si="649"/>
        <v>-</v>
      </c>
      <c r="S136" s="95" t="str">
        <f t="shared" si="650"/>
        <v>-</v>
      </c>
      <c r="T136" s="90" t="str">
        <f t="shared" ref="T136:U136" si="677">IFERROR(T134/T135,"-")</f>
        <v>-</v>
      </c>
      <c r="U136" s="91" t="str">
        <f t="shared" si="677"/>
        <v>-</v>
      </c>
      <c r="V136" s="92" t="str">
        <f t="shared" si="651"/>
        <v>-</v>
      </c>
      <c r="W136" s="93" t="str">
        <f t="shared" si="652"/>
        <v>-</v>
      </c>
      <c r="X136" s="90" t="str">
        <f t="shared" ref="X136:Y136" si="678">IFERROR(X134/X135,"-")</f>
        <v>-</v>
      </c>
      <c r="Y136" s="91" t="str">
        <f t="shared" si="678"/>
        <v>-</v>
      </c>
      <c r="Z136" s="92"/>
      <c r="AA136" s="92" t="str">
        <f t="shared" si="653"/>
        <v>-</v>
      </c>
      <c r="AB136" s="93" t="str">
        <f t="shared" si="654"/>
        <v>-</v>
      </c>
      <c r="AC136" s="90" t="str">
        <f>IFERROR(AC134/AC135,"-")</f>
        <v>-</v>
      </c>
      <c r="AD136" s="98"/>
      <c r="AE136" s="91">
        <f>IFERROR(AE134/AE135,"-")</f>
        <v>72.5154386</v>
      </c>
      <c r="AF136" s="92" t="str">
        <f t="shared" si="655"/>
        <v>-</v>
      </c>
      <c r="AG136" s="99"/>
      <c r="AH136" s="93" t="str">
        <f t="shared" si="656"/>
        <v>-</v>
      </c>
      <c r="AI136" s="112">
        <f>AI134/AI135</f>
        <v>101</v>
      </c>
      <c r="AJ136" s="91">
        <v>154.1947118598743</v>
      </c>
      <c r="AK136" s="92">
        <f t="shared" si="657"/>
        <v>53.19471186</v>
      </c>
      <c r="AL136" s="93">
        <f t="shared" si="658"/>
        <v>0.5266803154</v>
      </c>
      <c r="AM136" s="112">
        <f>AM134/AM135</f>
        <v>101</v>
      </c>
      <c r="AN136" s="91">
        <v>133.36521917808219</v>
      </c>
      <c r="AO136" s="92">
        <f t="shared" si="659"/>
        <v>32.36521918</v>
      </c>
      <c r="AP136" s="93">
        <f t="shared" si="660"/>
        <v>0.3204477146</v>
      </c>
      <c r="AQ136" s="112">
        <f>AQ134/AQ135</f>
        <v>101</v>
      </c>
      <c r="AR136" s="91" t="str">
        <f>IFERROR(AR134/AR135,"-")</f>
        <v>-</v>
      </c>
      <c r="AS136" s="92" t="str">
        <f t="shared" si="661"/>
        <v>-</v>
      </c>
      <c r="AT136" s="93" t="str">
        <f t="shared" si="662"/>
        <v>-</v>
      </c>
      <c r="AU136" s="112">
        <f>AU134/AU135</f>
        <v>101</v>
      </c>
      <c r="AV136" s="91" t="str">
        <f>IFERROR(AV134/AV135,"-")</f>
        <v>-</v>
      </c>
      <c r="AW136" s="92" t="str">
        <f t="shared" si="663"/>
        <v>-</v>
      </c>
      <c r="AX136" s="93" t="str">
        <f t="shared" si="664"/>
        <v>-</v>
      </c>
      <c r="AY136" s="112">
        <f>AY134/AY135</f>
        <v>101</v>
      </c>
      <c r="AZ136" s="91" t="str">
        <f>IFERROR(AZ134/AZ135,"-")</f>
        <v>-</v>
      </c>
      <c r="BA136" s="92" t="str">
        <f t="shared" si="665"/>
        <v>-</v>
      </c>
      <c r="BB136" s="93" t="str">
        <f t="shared" si="666"/>
        <v>-</v>
      </c>
      <c r="BC136" s="112">
        <f>BC134/BC135</f>
        <v>101</v>
      </c>
      <c r="BD136" s="91" t="str">
        <f>IFERROR(BD134/BD135,"-")</f>
        <v>-</v>
      </c>
      <c r="BE136" s="92" t="str">
        <f t="shared" si="667"/>
        <v>-</v>
      </c>
      <c r="BF136" s="93" t="str">
        <f t="shared" si="668"/>
        <v>-</v>
      </c>
      <c r="BG136" s="109">
        <f>BG134/BG135</f>
        <v>101</v>
      </c>
      <c r="BH136" s="91" t="str">
        <f>IFERROR(BH134/BH135,"-")</f>
        <v>-</v>
      </c>
      <c r="BI136" s="92" t="str">
        <f t="shared" si="669"/>
        <v>-</v>
      </c>
      <c r="BJ136" s="95" t="str">
        <f t="shared" si="670"/>
        <v>-</v>
      </c>
      <c r="BK136" s="115">
        <f>BK134/BK135</f>
        <v>101</v>
      </c>
      <c r="BL136" s="176">
        <f t="shared" ref="BL136:BN136" si="679">IFERROR(BL134/BL135,"-")</f>
        <v>101</v>
      </c>
      <c r="BM136" s="122">
        <f t="shared" si="679"/>
        <v>101</v>
      </c>
      <c r="BN136" s="282">
        <f t="shared" si="679"/>
        <v>146.147641</v>
      </c>
      <c r="BO136" s="104">
        <f t="shared" si="674"/>
        <v>0.4470063464</v>
      </c>
      <c r="BP136" s="119"/>
      <c r="BQ136" s="106"/>
      <c r="BR136" s="280"/>
      <c r="BS136" s="25"/>
      <c r="BT136" s="281"/>
      <c r="BU136" s="25"/>
      <c r="BV136" s="25"/>
      <c r="BW136" s="25"/>
    </row>
    <row r="137" ht="16.5" customHeight="1">
      <c r="A137" s="25"/>
      <c r="B137" s="272"/>
      <c r="C137" s="264"/>
      <c r="D137" s="273"/>
      <c r="E137" s="274"/>
      <c r="F137" s="275"/>
      <c r="G137" s="276"/>
      <c r="H137" s="277"/>
      <c r="I137" s="278"/>
      <c r="J137" s="124" t="s">
        <v>69</v>
      </c>
      <c r="K137" s="283">
        <v>4.0</v>
      </c>
      <c r="L137" s="132">
        <f t="shared" ref="L137:M137" si="680">IF(L135=0, 0,
  MIN(L135, 10000) * 4 +
  MAX(0, MIN(L135, 20000) - 10000) * 3 +
  MAX(0, MIN(L135, 40000) - 20000) * 2 +
  MAX(0, MIN(L135, 80000) - 40000) * 1 +
  MAX(0, MIN(L135, 100000) - 80000) * 0.5 +
  MAX(0, L135 - 100000) * 0.25
)</f>
        <v>0</v>
      </c>
      <c r="M137" s="127">
        <f t="shared" si="680"/>
        <v>0</v>
      </c>
      <c r="N137" s="128">
        <f t="shared" si="647"/>
        <v>0</v>
      </c>
      <c r="O137" s="129" t="str">
        <f t="shared" si="648"/>
        <v>-</v>
      </c>
      <c r="P137" s="132">
        <f t="shared" ref="P137:Q137" si="681">IF(P135=0, 0,
  MIN(P135, 10000) * 4 +
  MAX(0, MIN(P135, 20000) - 10000) * 3 +
  MAX(0, MIN(P135, 40000) - 20000) * 2 +
  MAX(0, MIN(P135, 80000) - 40000) * 1 +
  MAX(0, MIN(P135, 100000) - 80000) * 0.5 +
  MAX(0, P135 - 100000) * 0.25
)</f>
        <v>0</v>
      </c>
      <c r="Q137" s="127">
        <f t="shared" si="681"/>
        <v>0</v>
      </c>
      <c r="R137" s="128">
        <f t="shared" si="649"/>
        <v>0</v>
      </c>
      <c r="S137" s="131" t="str">
        <f t="shared" si="650"/>
        <v>-</v>
      </c>
      <c r="T137" s="132">
        <f t="shared" ref="T137:U137" si="682">IF(T135=0, 0,
  MIN(T135, 10000) * 4 +
  MAX(0, MIN(T135, 20000) - 10000) * 3 +
  MAX(0, MIN(T135, 40000) - 20000) * 2 +
  MAX(0, MIN(T135, 80000) - 40000) * 1 +
  MAX(0, MIN(T135, 100000) - 80000) * 0.5 +
  MAX(0, T135 - 100000) * 0.25
)</f>
        <v>0</v>
      </c>
      <c r="U137" s="127">
        <f t="shared" si="682"/>
        <v>0</v>
      </c>
      <c r="V137" s="128">
        <f t="shared" si="651"/>
        <v>0</v>
      </c>
      <c r="W137" s="129" t="str">
        <f t="shared" si="652"/>
        <v>-</v>
      </c>
      <c r="X137" s="132">
        <f t="shared" ref="X137:Y137" si="683">IF(X135=0, 0,
  MIN(X135, 10000) * 4 +
  MAX(0, MIN(X135, 20000) - 10000) * 3 +
  MAX(0, MIN(X135, 40000) - 20000) * 2 +
  MAX(0, MIN(X135, 80000) - 40000) * 1 +
  MAX(0, MIN(X135, 100000) - 80000) * 0.5 +
  MAX(0, X135 - 100000) * 0.25
)</f>
        <v>0</v>
      </c>
      <c r="Y137" s="127">
        <f t="shared" si="683"/>
        <v>0</v>
      </c>
      <c r="Z137" s="128"/>
      <c r="AA137" s="128">
        <f t="shared" si="653"/>
        <v>0</v>
      </c>
      <c r="AB137" s="129" t="str">
        <f t="shared" si="654"/>
        <v>-</v>
      </c>
      <c r="AC137" s="132">
        <f>IF(AC135=0, 0,
  MIN(AC135, 10000) * 4 +
  MAX(0, MIN(AC135, 20000) - 10000) * 3 +
  MAX(0, MIN(AC135, 40000) - 20000) * 2 +
  MAX(0, MIN(AC135, 80000) - 40000) * 1 +
  MAX(0, MIN(AC135, 100000) - 80000) * 0.5 +
  MAX(0, AC135 - 100000) * 0.25
)</f>
        <v>0</v>
      </c>
      <c r="AD137" s="180"/>
      <c r="AE137" s="127">
        <f>IF(AE135=0, 0,
  MIN(AE135, 10000) * 4 +
  MAX(0, MIN(AE135, 20000) - 10000) * 3 +
  MAX(0, MIN(AE135, 40000) - 20000) * 2 +
  MAX(0, MIN(AE135, 80000) - 40000) * 1 +
  MAX(0, MIN(AE135, 100000) - 80000) * 0.5 +
  MAX(0, AE135 - 100000) * 0.25
)</f>
        <v>228</v>
      </c>
      <c r="AF137" s="128">
        <f t="shared" si="655"/>
        <v>228</v>
      </c>
      <c r="AG137" s="134"/>
      <c r="AH137" s="129" t="str">
        <f t="shared" si="656"/>
        <v>-</v>
      </c>
      <c r="AI137" s="132">
        <f>IF(AI135=0, 0,
  MIN(AI135, 10000) * 4 +
  MAX(0, MIN(AI135, 20000) - 10000) * 3 +
  MAX(0, MIN(AI135, 40000) - 20000) * 2 +
  MAX(0, MIN(AI135, 80000) - 40000) * 1 +
  MAX(0, MIN(AI135, 100000) - 80000) * 0.5 +
  MAX(0, AI135 - 100000) * 0.25
)</f>
        <v>45643.56436</v>
      </c>
      <c r="AJ137" s="127">
        <v>29916.0</v>
      </c>
      <c r="AK137" s="128">
        <f t="shared" si="657"/>
        <v>-15727.56436</v>
      </c>
      <c r="AL137" s="129">
        <f t="shared" si="658"/>
        <v>-0.3445735358</v>
      </c>
      <c r="AM137" s="132">
        <f>IF(AM135=0, 0,
  MIN(AM135, 10000) * 4 +
  MAX(0, MIN(AM135, 20000) - 10000) * 3 +
  MAX(0, MIN(AM135, 40000) - 20000) * 2 +
  MAX(0, MIN(AM135, 80000) - 40000) * 1 +
  MAX(0, MIN(AM135, 100000) - 80000) * 0.5 +
  MAX(0, AM135 - 100000) * 0.25
)</f>
        <v>67029.70297</v>
      </c>
      <c r="AN137" s="127">
        <v>17520.0</v>
      </c>
      <c r="AO137" s="128">
        <f t="shared" si="659"/>
        <v>-49509.70297</v>
      </c>
      <c r="AP137" s="129">
        <f t="shared" si="660"/>
        <v>-0.7386233383</v>
      </c>
      <c r="AQ137" s="132">
        <f t="shared" ref="AQ137:AR137" si="684">IF(AQ135=0, 0,
  MIN(AQ135, 10000) * 4 +
  MAX(0, MIN(AQ135, 20000) - 10000) * 3 +
  MAX(0, MIN(AQ135, 40000) - 20000) * 2 +
  MAX(0, MIN(AQ135, 80000) - 40000) * 1 +
  MAX(0, MIN(AQ135, 100000) - 80000) * 0.5 +
  MAX(0, AQ135 - 100000) * 0.25
)</f>
        <v>77524.75248</v>
      </c>
      <c r="AR137" s="127">
        <f t="shared" si="684"/>
        <v>0</v>
      </c>
      <c r="AS137" s="128">
        <f t="shared" si="661"/>
        <v>-77524.75248</v>
      </c>
      <c r="AT137" s="129">
        <f t="shared" si="662"/>
        <v>-1</v>
      </c>
      <c r="AU137" s="132">
        <f t="shared" ref="AU137:AV137" si="685">IF(AU135=0, 0,
  MIN(AU135, 10000) * 4 +
  MAX(0, MIN(AU135, 20000) - 10000) * 3 +
  MAX(0, MIN(AU135, 40000) - 20000) * 2 +
  MAX(0, MIN(AU135, 80000) - 40000) * 1 +
  MAX(0, MIN(AU135, 100000) - 80000) * 0.5 +
  MAX(0, AU135 - 100000) * 0.25
)</f>
        <v>106039.604</v>
      </c>
      <c r="AV137" s="127">
        <f t="shared" si="685"/>
        <v>0</v>
      </c>
      <c r="AW137" s="128">
        <f t="shared" si="663"/>
        <v>-106039.604</v>
      </c>
      <c r="AX137" s="129">
        <f t="shared" si="664"/>
        <v>-1</v>
      </c>
      <c r="AY137" s="132">
        <f t="shared" ref="AY137:AZ137" si="686">IF(AY135=0, 0,
  MIN(AY135, 10000) * 4 +
  MAX(0, MIN(AY135, 20000) - 10000) * 3 +
  MAX(0, MIN(AY135, 40000) - 20000) * 2 +
  MAX(0, MIN(AY135, 80000) - 40000) * 1 +
  MAX(0, MIN(AY135, 100000) - 80000) * 0.5 +
  MAX(0, AY135 - 100000) * 0.25
)</f>
        <v>117524.7525</v>
      </c>
      <c r="AZ137" s="127">
        <f t="shared" si="686"/>
        <v>0</v>
      </c>
      <c r="BA137" s="128">
        <f t="shared" si="665"/>
        <v>-117524.7525</v>
      </c>
      <c r="BB137" s="129">
        <f t="shared" si="666"/>
        <v>-1</v>
      </c>
      <c r="BC137" s="132">
        <f t="shared" ref="BC137:BD137" si="687">IF(BC135=0, 0,
  MIN(BC135, 10000) * 4 +
  MAX(0, MIN(BC135, 20000) - 10000) * 3 +
  MAX(0, MIN(BC135, 40000) - 20000) * 2 +
  MAX(0, MIN(BC135, 80000) - 40000) * 1 +
  MAX(0, MIN(BC135, 100000) - 80000) * 0.5 +
  MAX(0, BC135 - 100000) * 0.25
)</f>
        <v>119900.9901</v>
      </c>
      <c r="BD137" s="127">
        <f t="shared" si="687"/>
        <v>0</v>
      </c>
      <c r="BE137" s="128">
        <f t="shared" si="667"/>
        <v>-119900.9901</v>
      </c>
      <c r="BF137" s="129">
        <f t="shared" si="668"/>
        <v>-1</v>
      </c>
      <c r="BG137" s="127">
        <f t="shared" ref="BG137:BH137" si="688">IF(BG135=0, 0,
  MIN(BG135, 10000) * 4 +
  MAX(0, MIN(BG135, 20000) - 10000) * 3 +
  MAX(0, MIN(BG135, 40000) - 20000) * 2 +
  MAX(0, MIN(BG135, 80000) - 40000) * 1 +
  MAX(0, MIN(BG135, 100000) - 80000) * 0.5 +
  MAX(0, BG135 - 100000) * 0.25
)</f>
        <v>117524.7525</v>
      </c>
      <c r="BH137" s="127">
        <f t="shared" si="688"/>
        <v>0</v>
      </c>
      <c r="BI137" s="128">
        <f t="shared" si="669"/>
        <v>-117524.7525</v>
      </c>
      <c r="BJ137" s="131">
        <f t="shared" si="670"/>
        <v>-1</v>
      </c>
      <c r="BK137" s="135">
        <f>SUM(L137,P137,T137,X137,AC137,AI137,AM137,AQ137,AU137,AY137,BC137,BG137)</f>
        <v>651188.1188</v>
      </c>
      <c r="BL137" s="182">
        <f>SUM(L137,P137,T137,X137,AC137,AI137)</f>
        <v>45643.56436</v>
      </c>
      <c r="BM137" s="137">
        <f>SUM(L137,P137,T137,X137,AC137,AI137,AM137)</f>
        <v>112673.2673</v>
      </c>
      <c r="BN137" s="213">
        <f>SUM(M137,Q137,U137,Y137,AE137,AJ137,AN137,AR137,AV137,AZ137,BD137,BH137)</f>
        <v>47664</v>
      </c>
      <c r="BO137" s="139">
        <f t="shared" si="674"/>
        <v>-0.9268045614</v>
      </c>
      <c r="BP137" s="140"/>
      <c r="BQ137" s="141"/>
      <c r="BR137" s="284"/>
      <c r="BS137" s="25"/>
      <c r="BT137" s="25"/>
      <c r="BU137" s="25"/>
      <c r="BV137" s="25"/>
      <c r="BW137" s="25"/>
    </row>
    <row r="138" ht="15.75" customHeight="1">
      <c r="A138" s="25"/>
      <c r="B138" s="272"/>
      <c r="C138" s="264"/>
      <c r="D138" s="273"/>
      <c r="E138" s="274"/>
      <c r="F138" s="275"/>
      <c r="G138" s="276"/>
      <c r="H138" s="277"/>
      <c r="I138" s="278"/>
      <c r="J138" s="3"/>
      <c r="K138" s="3"/>
      <c r="L138" s="3"/>
      <c r="M138" s="3"/>
      <c r="N138" s="3"/>
      <c r="O138" s="3"/>
      <c r="P138" s="3"/>
      <c r="Q138" s="3"/>
      <c r="R138" s="3"/>
      <c r="S138" s="3"/>
      <c r="T138" s="3"/>
      <c r="U138" s="3"/>
      <c r="V138" s="3"/>
      <c r="W138" s="3"/>
      <c r="X138" s="3"/>
      <c r="Y138" s="3"/>
      <c r="Z138" s="3"/>
      <c r="AA138" s="3"/>
      <c r="AB138" s="285"/>
      <c r="AC138" s="25"/>
      <c r="AD138" s="25"/>
      <c r="AE138" s="25"/>
      <c r="AF138" s="25"/>
      <c r="AG138" s="25"/>
      <c r="AH138" s="25"/>
      <c r="AI138" s="25"/>
      <c r="AJ138" s="25" t="s">
        <v>70</v>
      </c>
      <c r="AK138" s="25"/>
      <c r="AL138" s="25"/>
      <c r="AM138" s="25"/>
      <c r="AN138" s="25" t="s">
        <v>70</v>
      </c>
      <c r="AO138" s="25"/>
      <c r="AP138" s="25"/>
      <c r="AQ138" s="25"/>
      <c r="AR138" s="25"/>
      <c r="AS138" s="25"/>
      <c r="AT138" s="25"/>
      <c r="AU138" s="25"/>
      <c r="AY138" s="187"/>
      <c r="AZ138" s="25"/>
      <c r="BA138" s="188"/>
      <c r="BB138" s="25"/>
    </row>
    <row r="139" ht="15.75" customHeight="1">
      <c r="A139" s="3"/>
      <c r="B139" s="3"/>
      <c r="C139" s="3"/>
      <c r="D139" s="3"/>
      <c r="E139" s="3"/>
      <c r="F139" s="3"/>
      <c r="G139" s="3"/>
      <c r="H139" s="3"/>
      <c r="I139" s="3"/>
      <c r="J139" s="286" t="s">
        <v>106</v>
      </c>
      <c r="K139" s="287"/>
      <c r="L139" s="191" t="s">
        <v>10</v>
      </c>
      <c r="M139" s="37" t="s">
        <v>11</v>
      </c>
      <c r="N139" s="38" t="s">
        <v>12</v>
      </c>
      <c r="O139" s="39" t="s">
        <v>13</v>
      </c>
      <c r="P139" s="190" t="s">
        <v>14</v>
      </c>
      <c r="Q139" s="199" t="s">
        <v>15</v>
      </c>
      <c r="R139" s="38" t="s">
        <v>16</v>
      </c>
      <c r="S139" s="42" t="s">
        <v>17</v>
      </c>
      <c r="T139" s="191" t="s">
        <v>18</v>
      </c>
      <c r="U139" s="199" t="s">
        <v>95</v>
      </c>
      <c r="V139" s="38" t="s">
        <v>20</v>
      </c>
      <c r="W139" s="45" t="s">
        <v>96</v>
      </c>
      <c r="X139" s="190" t="s">
        <v>22</v>
      </c>
      <c r="Y139" s="199" t="s">
        <v>97</v>
      </c>
      <c r="Z139" s="38"/>
      <c r="AA139" s="38" t="s">
        <v>24</v>
      </c>
      <c r="AB139" s="45" t="s">
        <v>96</v>
      </c>
      <c r="AC139" s="191" t="s">
        <v>26</v>
      </c>
      <c r="AD139" s="200"/>
      <c r="AE139" s="199" t="s">
        <v>27</v>
      </c>
      <c r="AF139" s="38" t="s">
        <v>28</v>
      </c>
      <c r="AG139" s="47"/>
      <c r="AH139" s="45" t="s">
        <v>29</v>
      </c>
      <c r="AI139" s="190" t="s">
        <v>30</v>
      </c>
      <c r="AJ139" s="199" t="s">
        <v>31</v>
      </c>
      <c r="AK139" s="38" t="s">
        <v>32</v>
      </c>
      <c r="AL139" s="45" t="s">
        <v>33</v>
      </c>
      <c r="AM139" s="191" t="s">
        <v>34</v>
      </c>
      <c r="AN139" s="199" t="s">
        <v>35</v>
      </c>
      <c r="AO139" s="38" t="s">
        <v>36</v>
      </c>
      <c r="AP139" s="45" t="s">
        <v>37</v>
      </c>
      <c r="AQ139" s="190" t="s">
        <v>38</v>
      </c>
      <c r="AR139" s="199" t="s">
        <v>39</v>
      </c>
      <c r="AS139" s="38" t="s">
        <v>40</v>
      </c>
      <c r="AT139" s="45" t="s">
        <v>41</v>
      </c>
      <c r="AU139" s="191" t="s">
        <v>42</v>
      </c>
      <c r="AV139" s="199" t="s">
        <v>43</v>
      </c>
      <c r="AW139" s="38" t="s">
        <v>44</v>
      </c>
      <c r="AX139" s="45" t="s">
        <v>45</v>
      </c>
      <c r="AY139" s="288" t="s">
        <v>46</v>
      </c>
      <c r="AZ139" s="199" t="s">
        <v>47</v>
      </c>
      <c r="BA139" s="38" t="s">
        <v>48</v>
      </c>
      <c r="BB139" s="45" t="s">
        <v>49</v>
      </c>
      <c r="BC139" s="217" t="s">
        <v>50</v>
      </c>
      <c r="BD139" s="199" t="s">
        <v>51</v>
      </c>
      <c r="BE139" s="38" t="s">
        <v>52</v>
      </c>
      <c r="BF139" s="45" t="s">
        <v>53</v>
      </c>
      <c r="BG139" s="289" t="s">
        <v>54</v>
      </c>
      <c r="BH139" s="199" t="s">
        <v>55</v>
      </c>
      <c r="BI139" s="38" t="s">
        <v>56</v>
      </c>
      <c r="BJ139" s="42" t="s">
        <v>57</v>
      </c>
      <c r="BK139" s="48" t="s">
        <v>58</v>
      </c>
      <c r="BL139" s="49" t="s">
        <v>72</v>
      </c>
      <c r="BM139" s="49" t="s">
        <v>60</v>
      </c>
      <c r="BN139" s="37" t="s">
        <v>61</v>
      </c>
      <c r="BO139" s="51" t="s">
        <v>62</v>
      </c>
      <c r="BP139" s="52">
        <v>2025.0</v>
      </c>
      <c r="BQ139" s="290"/>
      <c r="BR139" s="3"/>
      <c r="BS139" s="3"/>
      <c r="BT139" s="3"/>
      <c r="BU139" s="3"/>
      <c r="BV139" s="3"/>
      <c r="BW139" s="3"/>
    </row>
    <row r="140" ht="15.75" customHeight="1">
      <c r="A140" s="3"/>
      <c r="B140" s="3"/>
      <c r="C140" s="3"/>
      <c r="D140" s="3"/>
      <c r="E140" s="3"/>
      <c r="F140" s="3"/>
      <c r="G140" s="3"/>
      <c r="H140" s="3"/>
      <c r="I140" s="3"/>
      <c r="J140" s="291"/>
      <c r="K140" s="292"/>
      <c r="L140" s="56"/>
      <c r="M140" s="57"/>
      <c r="N140" s="58"/>
      <c r="O140" s="59"/>
      <c r="P140" s="56"/>
      <c r="Q140" s="202"/>
      <c r="R140" s="58"/>
      <c r="S140" s="61"/>
      <c r="T140" s="56"/>
      <c r="U140" s="63"/>
      <c r="V140" s="58"/>
      <c r="W140" s="59"/>
      <c r="X140" s="56"/>
      <c r="Y140" s="63"/>
      <c r="Z140" s="58"/>
      <c r="AA140" s="58"/>
      <c r="AB140" s="59"/>
      <c r="AC140" s="56"/>
      <c r="AD140" s="64"/>
      <c r="AE140" s="63"/>
      <c r="AF140" s="58"/>
      <c r="AG140" s="65"/>
      <c r="AH140" s="59"/>
      <c r="AI140" s="56"/>
      <c r="AJ140" s="63" t="s">
        <v>70</v>
      </c>
      <c r="AK140" s="58"/>
      <c r="AL140" s="59"/>
      <c r="AM140" s="56"/>
      <c r="AN140" s="63" t="s">
        <v>70</v>
      </c>
      <c r="AO140" s="58"/>
      <c r="AP140" s="59"/>
      <c r="AQ140" s="56"/>
      <c r="AR140" s="63"/>
      <c r="AS140" s="58"/>
      <c r="AT140" s="59"/>
      <c r="AU140" s="56"/>
      <c r="AV140" s="63"/>
      <c r="AW140" s="58"/>
      <c r="AX140" s="59"/>
      <c r="AY140" s="62"/>
      <c r="AZ140" s="63"/>
      <c r="BA140" s="58"/>
      <c r="BB140" s="59"/>
      <c r="BC140" s="62"/>
      <c r="BD140" s="63"/>
      <c r="BE140" s="58"/>
      <c r="BF140" s="59"/>
      <c r="BG140" s="203"/>
      <c r="BH140" s="63"/>
      <c r="BI140" s="58"/>
      <c r="BJ140" s="61"/>
      <c r="BK140" s="66"/>
      <c r="BL140" s="67"/>
      <c r="BM140" s="67"/>
      <c r="BN140" s="68"/>
      <c r="BO140" s="69"/>
      <c r="BP140" s="70"/>
      <c r="BQ140" s="293"/>
      <c r="BR140" s="3"/>
      <c r="BS140" s="3"/>
      <c r="BT140" s="3"/>
      <c r="BU140" s="3"/>
      <c r="BV140" s="3"/>
      <c r="BW140" s="3"/>
    </row>
    <row r="141" ht="15.75" customHeight="1">
      <c r="A141" s="3"/>
      <c r="B141" s="3"/>
      <c r="C141" s="3"/>
      <c r="D141" s="3"/>
      <c r="E141" s="3"/>
      <c r="F141" s="3"/>
      <c r="G141" s="3"/>
      <c r="H141" s="3"/>
      <c r="I141" s="3"/>
      <c r="J141" s="294" t="s">
        <v>64</v>
      </c>
      <c r="K141" s="295"/>
      <c r="L141" s="74" t="s">
        <v>63</v>
      </c>
      <c r="M141" s="75" t="s">
        <v>63</v>
      </c>
      <c r="N141" s="76" t="s">
        <v>63</v>
      </c>
      <c r="O141" s="77" t="s">
        <v>65</v>
      </c>
      <c r="P141" s="74" t="s">
        <v>63</v>
      </c>
      <c r="Q141" s="204" t="s">
        <v>63</v>
      </c>
      <c r="R141" s="76" t="s">
        <v>63</v>
      </c>
      <c r="S141" s="79" t="s">
        <v>65</v>
      </c>
      <c r="T141" s="74" t="s">
        <v>63</v>
      </c>
      <c r="U141" s="81" t="s">
        <v>63</v>
      </c>
      <c r="V141" s="76" t="s">
        <v>63</v>
      </c>
      <c r="W141" s="77" t="s">
        <v>65</v>
      </c>
      <c r="X141" s="74" t="s">
        <v>63</v>
      </c>
      <c r="Y141" s="81" t="s">
        <v>63</v>
      </c>
      <c r="Z141" s="76"/>
      <c r="AA141" s="76" t="s">
        <v>63</v>
      </c>
      <c r="AB141" s="77" t="s">
        <v>65</v>
      </c>
      <c r="AC141" s="74" t="s">
        <v>63</v>
      </c>
      <c r="AD141" s="82"/>
      <c r="AE141" s="81" t="s">
        <v>63</v>
      </c>
      <c r="AF141" s="76" t="s">
        <v>63</v>
      </c>
      <c r="AG141" s="83"/>
      <c r="AH141" s="77" t="s">
        <v>65</v>
      </c>
      <c r="AI141" s="74" t="s">
        <v>63</v>
      </c>
      <c r="AJ141" s="81">
        <v>0.0</v>
      </c>
      <c r="AK141" s="76" t="s">
        <v>63</v>
      </c>
      <c r="AL141" s="77" t="s">
        <v>65</v>
      </c>
      <c r="AM141" s="74" t="s">
        <v>63</v>
      </c>
      <c r="AN141" s="81" t="s">
        <v>63</v>
      </c>
      <c r="AO141" s="76" t="s">
        <v>63</v>
      </c>
      <c r="AP141" s="77" t="s">
        <v>65</v>
      </c>
      <c r="AQ141" s="74" t="s">
        <v>63</v>
      </c>
      <c r="AR141" s="81" t="s">
        <v>63</v>
      </c>
      <c r="AS141" s="76" t="s">
        <v>63</v>
      </c>
      <c r="AT141" s="77" t="s">
        <v>65</v>
      </c>
      <c r="AU141" s="74" t="s">
        <v>63</v>
      </c>
      <c r="AV141" s="81" t="s">
        <v>63</v>
      </c>
      <c r="AW141" s="76" t="s">
        <v>63</v>
      </c>
      <c r="AX141" s="77" t="s">
        <v>65</v>
      </c>
      <c r="AY141" s="80">
        <v>0.2</v>
      </c>
      <c r="AZ141" s="81">
        <f>AZ142/(BK142-(L142+P142+T142+X142+AC142+AI142+AM142+AQ142+AU142))</f>
        <v>0</v>
      </c>
      <c r="BA141" s="76" t="s">
        <v>63</v>
      </c>
      <c r="BB141" s="77" t="s">
        <v>65</v>
      </c>
      <c r="BC141" s="80">
        <v>0.3</v>
      </c>
      <c r="BD141" s="81">
        <f>BD142/(BK142-(L142+P142+T142+X142+AC142+AI142+AM142+AQ142+AU142))</f>
        <v>0</v>
      </c>
      <c r="BE141" s="76" t="s">
        <v>63</v>
      </c>
      <c r="BF141" s="77" t="s">
        <v>65</v>
      </c>
      <c r="BG141" s="205">
        <v>0.5</v>
      </c>
      <c r="BH141" s="81">
        <f>BH142/(BK142-(L142+P142+T142+X142++AC142+AI142+AM142+AQ142+AU142))</f>
        <v>0</v>
      </c>
      <c r="BI141" s="76" t="s">
        <v>63</v>
      </c>
      <c r="BJ141" s="79" t="s">
        <v>65</v>
      </c>
      <c r="BK141" s="84">
        <f>SUM(AY141,BC141,BG141)</f>
        <v>1</v>
      </c>
      <c r="BL141" s="85">
        <f>SUM(AC141,AI141)</f>
        <v>0</v>
      </c>
      <c r="BM141" s="86">
        <f>SUM(T141,X141,AC141,AI141,AM141)</f>
        <v>0</v>
      </c>
      <c r="BN141" s="87">
        <f>SUM(AJ141,AN141,AR141,AV141,AZ141,BD141,BH141)</f>
        <v>0</v>
      </c>
      <c r="BO141" s="88"/>
      <c r="BP141" s="89" t="s">
        <v>63</v>
      </c>
      <c r="BQ141" s="293"/>
      <c r="BR141" s="3"/>
      <c r="BS141" s="3"/>
      <c r="BT141" s="3"/>
      <c r="BU141" s="3"/>
      <c r="BV141" s="3"/>
      <c r="BW141" s="3"/>
    </row>
    <row r="142" ht="15.75" customHeight="1">
      <c r="J142" s="294" t="s">
        <v>66</v>
      </c>
      <c r="K142" s="295"/>
      <c r="L142" s="296">
        <v>0.0</v>
      </c>
      <c r="M142" s="91">
        <v>0.0</v>
      </c>
      <c r="N142" s="92">
        <f t="shared" ref="N142:N145" si="689">IFERROR(M142-L142,"-")</f>
        <v>0</v>
      </c>
      <c r="O142" s="93" t="str">
        <f t="shared" ref="O142:O145" si="690">IFERROR(M142/L142-1,"-")</f>
        <v>-</v>
      </c>
      <c r="P142" s="296">
        <v>0.0</v>
      </c>
      <c r="Q142" s="91">
        <v>0.0</v>
      </c>
      <c r="R142" s="92">
        <f t="shared" ref="R142:R145" si="691">IFERROR(Q142-P142,"-")</f>
        <v>0</v>
      </c>
      <c r="S142" s="95" t="str">
        <f t="shared" ref="S142:S145" si="692">IFERROR(Q142/P142-1,"-")</f>
        <v>-</v>
      </c>
      <c r="T142" s="297">
        <v>0.0</v>
      </c>
      <c r="U142" s="91">
        <v>0.0</v>
      </c>
      <c r="V142" s="92">
        <f t="shared" ref="V142:V145" si="693">IFERROR(U142-T142,"-")</f>
        <v>0</v>
      </c>
      <c r="W142" s="93" t="str">
        <f t="shared" ref="W142:W145" si="694">IFERROR(U142/T142-1,"-")</f>
        <v>-</v>
      </c>
      <c r="X142" s="297">
        <v>0.0</v>
      </c>
      <c r="Y142" s="91">
        <v>0.0</v>
      </c>
      <c r="Z142" s="92"/>
      <c r="AA142" s="92">
        <f t="shared" ref="AA142:AA145" si="695">IFERROR(Y142-X142,"-")</f>
        <v>0</v>
      </c>
      <c r="AB142" s="93" t="str">
        <f t="shared" ref="AB142:AB145" si="696">IFERROR(Y142/X142-1,"-")</f>
        <v>-</v>
      </c>
      <c r="AC142" s="297">
        <v>0.0</v>
      </c>
      <c r="AD142" s="98"/>
      <c r="AE142" s="91">
        <v>0.0</v>
      </c>
      <c r="AF142" s="92">
        <f t="shared" ref="AF142:AF145" si="697">IFERROR(AE142-AC142,"-")</f>
        <v>0</v>
      </c>
      <c r="AG142" s="99"/>
      <c r="AH142" s="93" t="str">
        <f t="shared" ref="AH142:AH145" si="698">IFERROR(AE142/AC142-1,"-")</f>
        <v>-</v>
      </c>
      <c r="AI142" s="297">
        <v>0.0</v>
      </c>
      <c r="AJ142" s="91">
        <v>0.0</v>
      </c>
      <c r="AK142" s="92">
        <f t="shared" ref="AK142:AK145" si="699">IFERROR(AJ142-AI142,"-")</f>
        <v>0</v>
      </c>
      <c r="AL142" s="93" t="str">
        <f t="shared" ref="AL142:AL145" si="700">IFERROR(AJ142/AI142-1,"-")</f>
        <v>-</v>
      </c>
      <c r="AM142" s="297">
        <v>0.0</v>
      </c>
      <c r="AN142" s="91">
        <v>0.0</v>
      </c>
      <c r="AO142" s="92">
        <f t="shared" ref="AO142:AO145" si="701">IFERROR(AN142-AM142,"-")</f>
        <v>0</v>
      </c>
      <c r="AP142" s="93" t="str">
        <f t="shared" ref="AP142:AP145" si="702">IFERROR(AN142/AM142-1,"-")</f>
        <v>-</v>
      </c>
      <c r="AQ142" s="297">
        <v>0.0</v>
      </c>
      <c r="AR142" s="91">
        <v>0.0</v>
      </c>
      <c r="AS142" s="92">
        <f t="shared" ref="AS142:AS145" si="703">IFERROR(AR142-AQ142,"-")</f>
        <v>0</v>
      </c>
      <c r="AT142" s="93" t="str">
        <f t="shared" ref="AT142:AT145" si="704">IFERROR(AR142/AQ142-1,"-")</f>
        <v>-</v>
      </c>
      <c r="AU142" s="297">
        <v>0.0</v>
      </c>
      <c r="AV142" s="91">
        <v>0.0</v>
      </c>
      <c r="AW142" s="92">
        <f t="shared" ref="AW142:AW145" si="705">IFERROR(AV142-AU142,"-")</f>
        <v>0</v>
      </c>
      <c r="AX142" s="93" t="str">
        <f t="shared" ref="AX142:AX145" si="706">IFERROR(AV142/AU142-1,"-")</f>
        <v>-</v>
      </c>
      <c r="AY142" s="298">
        <f>AY141*BK142</f>
        <v>18000</v>
      </c>
      <c r="AZ142" s="91">
        <v>0.0</v>
      </c>
      <c r="BA142" s="92">
        <f t="shared" ref="BA142:BA145" si="707">IFERROR(AZ142-AY142,"-")</f>
        <v>-18000</v>
      </c>
      <c r="BB142" s="93">
        <f t="shared" ref="BB142:BB145" si="708">IFERROR(AZ142/AY142-1,"-")</f>
        <v>-1</v>
      </c>
      <c r="BC142" s="298">
        <f>BC141*BP142</f>
        <v>106979.784</v>
      </c>
      <c r="BD142" s="91">
        <v>0.0</v>
      </c>
      <c r="BE142" s="92">
        <f t="shared" ref="BE142:BE145" si="709">IFERROR(BD142-BC142,"-")</f>
        <v>-106979.784</v>
      </c>
      <c r="BF142" s="93">
        <f t="shared" ref="BF142:BF145" si="710">IFERROR(BD142/BC142-1,"-")</f>
        <v>-1</v>
      </c>
      <c r="BG142" s="299">
        <f>BG141*BK142</f>
        <v>45000</v>
      </c>
      <c r="BH142" s="91">
        <v>0.0</v>
      </c>
      <c r="BI142" s="92">
        <f t="shared" ref="BI142:BI145" si="711">IFERROR(BH142-BG142,"-")</f>
        <v>-45000</v>
      </c>
      <c r="BJ142" s="95">
        <f t="shared" ref="BJ142:BJ145" si="712">IFERROR(BH142/BG142-1,"-")</f>
        <v>-1</v>
      </c>
      <c r="BK142" s="300">
        <v>90000.0</v>
      </c>
      <c r="BL142" s="169">
        <f t="shared" ref="BL142:BL143" si="713">SUM(L142,P142,T142,X142,AC142,AI142)</f>
        <v>0</v>
      </c>
      <c r="BM142" s="103">
        <f t="shared" ref="BM142:BM143" si="714">SUM(L142,P142,T142,X142,AC142,AI142,AM142)</f>
        <v>0</v>
      </c>
      <c r="BN142" s="102">
        <f t="shared" ref="BN142:BN143" si="715">SUM(M142,Q142,U142,Y142,AE142,AJ142,AN142,AR142,AV142,AZ142,BD142,BH142)</f>
        <v>0</v>
      </c>
      <c r="BO142" s="104">
        <f t="shared" ref="BO142:BO145" si="716">IFERROR(BN142/BK142-1,"-")</f>
        <v>-1</v>
      </c>
      <c r="BP142" s="105">
        <v>356599.28</v>
      </c>
      <c r="BQ142" s="106">
        <f t="shared" ref="BQ142:BQ143" si="717">BK142/BP142</f>
        <v>0.2523841327</v>
      </c>
      <c r="BR142" s="3"/>
      <c r="BS142" s="3"/>
      <c r="BT142" s="3"/>
      <c r="BU142" s="3"/>
      <c r="BV142" s="3"/>
    </row>
    <row r="143" ht="15.75" customHeight="1">
      <c r="J143" s="294" t="s">
        <v>67</v>
      </c>
      <c r="K143" s="301"/>
      <c r="L143" s="302">
        <f>L142/$K$144</f>
        <v>0</v>
      </c>
      <c r="M143" s="109">
        <v>0.0</v>
      </c>
      <c r="N143" s="110">
        <f t="shared" si="689"/>
        <v>0</v>
      </c>
      <c r="O143" s="93" t="str">
        <f t="shared" si="690"/>
        <v>-</v>
      </c>
      <c r="P143" s="302">
        <f>P142/$K$144</f>
        <v>0</v>
      </c>
      <c r="Q143" s="109">
        <v>0.0</v>
      </c>
      <c r="R143" s="110">
        <f t="shared" si="691"/>
        <v>0</v>
      </c>
      <c r="S143" s="95" t="str">
        <f t="shared" si="692"/>
        <v>-</v>
      </c>
      <c r="T143" s="302">
        <f>T142/$K$144</f>
        <v>0</v>
      </c>
      <c r="U143" s="109">
        <v>0.0</v>
      </c>
      <c r="V143" s="110">
        <f t="shared" si="693"/>
        <v>0</v>
      </c>
      <c r="W143" s="93" t="str">
        <f t="shared" si="694"/>
        <v>-</v>
      </c>
      <c r="X143" s="302">
        <f>X142/$K$144</f>
        <v>0</v>
      </c>
      <c r="Y143" s="109">
        <v>0.0</v>
      </c>
      <c r="Z143" s="110"/>
      <c r="AA143" s="110">
        <f t="shared" si="695"/>
        <v>0</v>
      </c>
      <c r="AB143" s="93" t="str">
        <f t="shared" si="696"/>
        <v>-</v>
      </c>
      <c r="AC143" s="302">
        <f>AC142/$K$144</f>
        <v>0</v>
      </c>
      <c r="AD143" s="240"/>
      <c r="AE143" s="109">
        <v>0.0</v>
      </c>
      <c r="AF143" s="110">
        <f t="shared" si="697"/>
        <v>0</v>
      </c>
      <c r="AG143" s="99"/>
      <c r="AH143" s="93" t="str">
        <f t="shared" si="698"/>
        <v>-</v>
      </c>
      <c r="AI143" s="302">
        <f>AI142/$K$144</f>
        <v>0</v>
      </c>
      <c r="AJ143" s="109">
        <v>0.0</v>
      </c>
      <c r="AK143" s="110">
        <f t="shared" si="699"/>
        <v>0</v>
      </c>
      <c r="AL143" s="93" t="str">
        <f t="shared" si="700"/>
        <v>-</v>
      </c>
      <c r="AM143" s="302">
        <f>AM142/$K$144</f>
        <v>0</v>
      </c>
      <c r="AN143" s="109">
        <v>0.0</v>
      </c>
      <c r="AO143" s="110">
        <f t="shared" si="701"/>
        <v>0</v>
      </c>
      <c r="AP143" s="93" t="str">
        <f t="shared" si="702"/>
        <v>-</v>
      </c>
      <c r="AQ143" s="302">
        <f>AQ142/$K$144</f>
        <v>0</v>
      </c>
      <c r="AR143" s="109">
        <v>0.0</v>
      </c>
      <c r="AS143" s="110">
        <f t="shared" si="703"/>
        <v>0</v>
      </c>
      <c r="AT143" s="93" t="str">
        <f t="shared" si="704"/>
        <v>-</v>
      </c>
      <c r="AU143" s="302">
        <f>AU142/$K$144</f>
        <v>0</v>
      </c>
      <c r="AV143" s="109">
        <v>0.0</v>
      </c>
      <c r="AW143" s="110">
        <f t="shared" si="705"/>
        <v>0</v>
      </c>
      <c r="AX143" s="93" t="str">
        <f t="shared" si="706"/>
        <v>-</v>
      </c>
      <c r="AY143" s="303">
        <f>AY142/'planej.OPS-OTIMISTA_26'!$K$102</f>
        <v>178.2178218</v>
      </c>
      <c r="AZ143" s="109">
        <v>0.0</v>
      </c>
      <c r="BA143" s="110">
        <f t="shared" si="707"/>
        <v>-178.2178218</v>
      </c>
      <c r="BB143" s="93">
        <f t="shared" si="708"/>
        <v>-1</v>
      </c>
      <c r="BC143" s="303">
        <f>BC142/'planej.OPS-OTIMISTA_26'!$K$102</f>
        <v>1059.205782</v>
      </c>
      <c r="BD143" s="109">
        <v>0.0</v>
      </c>
      <c r="BE143" s="110">
        <f t="shared" si="709"/>
        <v>-1059.205782</v>
      </c>
      <c r="BF143" s="93">
        <f t="shared" si="710"/>
        <v>-1</v>
      </c>
      <c r="BG143" s="304">
        <f>BG142/'planej.OPS-OTIMISTA_26'!$K$102</f>
        <v>445.5445545</v>
      </c>
      <c r="BH143" s="109">
        <v>0.0</v>
      </c>
      <c r="BI143" s="110">
        <f t="shared" si="711"/>
        <v>-445.5445545</v>
      </c>
      <c r="BJ143" s="95">
        <f t="shared" si="712"/>
        <v>-1</v>
      </c>
      <c r="BK143" s="206">
        <f>SUM(L143,T143,X143,AC143,AI143,AM143,AQ143,AU143,AY143,BC143,BG143)</f>
        <v>1682.968158</v>
      </c>
      <c r="BL143" s="173">
        <f t="shared" si="713"/>
        <v>0</v>
      </c>
      <c r="BM143" s="117">
        <f t="shared" si="714"/>
        <v>0</v>
      </c>
      <c r="BN143" s="207">
        <f t="shared" si="715"/>
        <v>0</v>
      </c>
      <c r="BO143" s="104">
        <f t="shared" si="716"/>
        <v>-1</v>
      </c>
      <c r="BP143" s="119">
        <v>11282.0</v>
      </c>
      <c r="BQ143" s="106">
        <f t="shared" si="717"/>
        <v>0.1491728557</v>
      </c>
      <c r="BR143" s="3"/>
      <c r="BS143" s="3"/>
      <c r="BT143" s="3"/>
      <c r="BU143" s="3"/>
      <c r="BV143" s="3"/>
    </row>
    <row r="144" ht="15.75" customHeight="1">
      <c r="J144" s="72" t="s">
        <v>68</v>
      </c>
      <c r="K144" s="301">
        <v>120.0</v>
      </c>
      <c r="L144" s="90" t="str">
        <f t="shared" ref="L144:M144" si="718">IFERROR(L142/L143,"-")</f>
        <v>-</v>
      </c>
      <c r="M144" s="91" t="str">
        <f t="shared" si="718"/>
        <v>-</v>
      </c>
      <c r="N144" s="92" t="str">
        <f t="shared" si="689"/>
        <v>-</v>
      </c>
      <c r="O144" s="93" t="str">
        <f t="shared" si="690"/>
        <v>-</v>
      </c>
      <c r="P144" s="90" t="str">
        <f t="shared" ref="P144:Q144" si="719">IFERROR(P142/P143,"-")</f>
        <v>-</v>
      </c>
      <c r="Q144" s="91" t="str">
        <f t="shared" si="719"/>
        <v>-</v>
      </c>
      <c r="R144" s="92" t="str">
        <f t="shared" si="691"/>
        <v>-</v>
      </c>
      <c r="S144" s="95" t="str">
        <f t="shared" si="692"/>
        <v>-</v>
      </c>
      <c r="T144" s="90" t="str">
        <f t="shared" ref="T144:U144" si="720">IFERROR(T142/T143,"-")</f>
        <v>-</v>
      </c>
      <c r="U144" s="91" t="str">
        <f t="shared" si="720"/>
        <v>-</v>
      </c>
      <c r="V144" s="92" t="str">
        <f t="shared" si="693"/>
        <v>-</v>
      </c>
      <c r="W144" s="93" t="str">
        <f t="shared" si="694"/>
        <v>-</v>
      </c>
      <c r="X144" s="90" t="str">
        <f t="shared" ref="X144:Y144" si="721">IFERROR(X142/X143,"-")</f>
        <v>-</v>
      </c>
      <c r="Y144" s="91" t="str">
        <f t="shared" si="721"/>
        <v>-</v>
      </c>
      <c r="Z144" s="92"/>
      <c r="AA144" s="92" t="str">
        <f t="shared" si="695"/>
        <v>-</v>
      </c>
      <c r="AB144" s="93" t="str">
        <f t="shared" si="696"/>
        <v>-</v>
      </c>
      <c r="AC144" s="90" t="str">
        <f>IFERROR(AC142/AC143,"-")</f>
        <v>-</v>
      </c>
      <c r="AD144" s="98"/>
      <c r="AE144" s="91" t="str">
        <f>IFERROR(AE142/AE143,"-")</f>
        <v>-</v>
      </c>
      <c r="AF144" s="92" t="str">
        <f t="shared" si="697"/>
        <v>-</v>
      </c>
      <c r="AG144" s="99"/>
      <c r="AH144" s="93" t="str">
        <f t="shared" si="698"/>
        <v>-</v>
      </c>
      <c r="AI144" s="90" t="str">
        <f>IFERROR(AI142/AI143,"-")</f>
        <v>-</v>
      </c>
      <c r="AJ144" s="91" t="s">
        <v>63</v>
      </c>
      <c r="AK144" s="92" t="str">
        <f t="shared" si="699"/>
        <v>-</v>
      </c>
      <c r="AL144" s="93" t="str">
        <f t="shared" si="700"/>
        <v>-</v>
      </c>
      <c r="AM144" s="90" t="str">
        <f>IFERROR(AM142/AM143,"-")</f>
        <v>-</v>
      </c>
      <c r="AN144" s="91" t="s">
        <v>63</v>
      </c>
      <c r="AO144" s="92" t="str">
        <f t="shared" si="701"/>
        <v>-</v>
      </c>
      <c r="AP144" s="93" t="str">
        <f t="shared" si="702"/>
        <v>-</v>
      </c>
      <c r="AQ144" s="90" t="str">
        <f t="shared" ref="AQ144:AR144" si="722">IFERROR(AQ142/AQ143,"-")</f>
        <v>-</v>
      </c>
      <c r="AR144" s="91" t="str">
        <f t="shared" si="722"/>
        <v>-</v>
      </c>
      <c r="AS144" s="92" t="str">
        <f t="shared" si="703"/>
        <v>-</v>
      </c>
      <c r="AT144" s="93" t="str">
        <f t="shared" si="704"/>
        <v>-</v>
      </c>
      <c r="AU144" s="90" t="str">
        <f t="shared" ref="AU144:AV144" si="723">IFERROR(AU142/AU143,"-")</f>
        <v>-</v>
      </c>
      <c r="AV144" s="91" t="str">
        <f t="shared" si="723"/>
        <v>-</v>
      </c>
      <c r="AW144" s="92" t="str">
        <f t="shared" si="705"/>
        <v>-</v>
      </c>
      <c r="AX144" s="93" t="str">
        <f t="shared" si="706"/>
        <v>-</v>
      </c>
      <c r="AY144" s="303">
        <f>AY142/AY143</f>
        <v>101</v>
      </c>
      <c r="AZ144" s="91" t="str">
        <f>IFERROR(AZ142/AZ143,"-")</f>
        <v>-</v>
      </c>
      <c r="BA144" s="92" t="str">
        <f t="shared" si="707"/>
        <v>-</v>
      </c>
      <c r="BB144" s="93" t="str">
        <f t="shared" si="708"/>
        <v>-</v>
      </c>
      <c r="BC144" s="303">
        <f>BC142/BC143</f>
        <v>101</v>
      </c>
      <c r="BD144" s="91" t="str">
        <f>IFERROR(BD142/BD143,"-")</f>
        <v>-</v>
      </c>
      <c r="BE144" s="92" t="str">
        <f t="shared" si="709"/>
        <v>-</v>
      </c>
      <c r="BF144" s="93" t="str">
        <f t="shared" si="710"/>
        <v>-</v>
      </c>
      <c r="BG144" s="304">
        <f>BG142/BG143</f>
        <v>101</v>
      </c>
      <c r="BH144" s="91" t="str">
        <f>IFERROR(BH142/BH143,"-")</f>
        <v>-</v>
      </c>
      <c r="BI144" s="92" t="str">
        <f t="shared" si="711"/>
        <v>-</v>
      </c>
      <c r="BJ144" s="95" t="str">
        <f t="shared" si="712"/>
        <v>-</v>
      </c>
      <c r="BK144" s="115">
        <f>BK142/BK143</f>
        <v>53.47694759</v>
      </c>
      <c r="BL144" s="176" t="str">
        <f t="shared" ref="BL144:BN144" si="724">IFERROR(BL142/BL143,"-")</f>
        <v>-</v>
      </c>
      <c r="BM144" s="122" t="str">
        <f t="shared" si="724"/>
        <v>-</v>
      </c>
      <c r="BN144" s="91" t="str">
        <f t="shared" si="724"/>
        <v>-</v>
      </c>
      <c r="BO144" s="104" t="str">
        <f t="shared" si="716"/>
        <v>-</v>
      </c>
      <c r="BP144" s="119">
        <f>BP142/BP143</f>
        <v>31.60780713</v>
      </c>
      <c r="BQ144" s="106"/>
      <c r="BR144" s="3"/>
      <c r="BS144" s="3"/>
      <c r="BT144" s="3"/>
      <c r="BU144" s="3"/>
      <c r="BV144" s="3"/>
    </row>
    <row r="145" ht="15.75" customHeight="1">
      <c r="J145" s="305" t="s">
        <v>69</v>
      </c>
      <c r="K145" s="306" t="s">
        <v>63</v>
      </c>
      <c r="L145" s="307">
        <f t="shared" ref="L145:M145" si="725">IF(L143=0, 0,
  MIN(L143, 10000) * 4 +
  MAX(0, MIN(L143, 20000) - 10000) * 3 +
  MAX(0, MIN(L143, 40000) - 20000) * 2 +
  MAX(0, MIN(L143, 80000) - 40000) * 1 +
  MAX(0, MIN(L143, 100000) - 80000) * 0.5 +
  MAX(0, L143 - 100000) * 0.25
)</f>
        <v>0</v>
      </c>
      <c r="M145" s="308">
        <f t="shared" si="725"/>
        <v>0</v>
      </c>
      <c r="N145" s="128">
        <f t="shared" si="689"/>
        <v>0</v>
      </c>
      <c r="O145" s="129" t="str">
        <f t="shared" si="690"/>
        <v>-</v>
      </c>
      <c r="P145" s="307">
        <f t="shared" ref="P145:Q145" si="726">IF(P143=0, 0,
  MIN(P143, 10000) * 4 +
  MAX(0, MIN(P143, 20000) - 10000) * 3 +
  MAX(0, MIN(P143, 40000) - 20000) * 2 +
  MAX(0, MIN(P143, 80000) - 40000) * 1 +
  MAX(0, MIN(P143, 100000) - 80000) * 0.5 +
  MAX(0, P143 - 100000) * 0.25
)</f>
        <v>0</v>
      </c>
      <c r="Q145" s="308">
        <f t="shared" si="726"/>
        <v>0</v>
      </c>
      <c r="R145" s="128">
        <f t="shared" si="691"/>
        <v>0</v>
      </c>
      <c r="S145" s="131" t="str">
        <f t="shared" si="692"/>
        <v>-</v>
      </c>
      <c r="T145" s="307">
        <f t="shared" ref="T145:U145" si="727">IF(T143=0, 0,
  MIN(T143, 10000) * 4 +
  MAX(0, MIN(T143, 20000) - 10000) * 3 +
  MAX(0, MIN(T143, 40000) - 20000) * 2 +
  MAX(0, MIN(T143, 80000) - 40000) * 1 +
  MAX(0, MIN(T143, 100000) - 80000) * 0.5 +
  MAX(0, T143 - 100000) * 0.25
)</f>
        <v>0</v>
      </c>
      <c r="U145" s="308">
        <f t="shared" si="727"/>
        <v>0</v>
      </c>
      <c r="V145" s="128">
        <f t="shared" si="693"/>
        <v>0</v>
      </c>
      <c r="W145" s="129" t="str">
        <f t="shared" si="694"/>
        <v>-</v>
      </c>
      <c r="X145" s="307">
        <f t="shared" ref="X145:Y145" si="728">IF(X143=0, 0,
  MIN(X143, 10000) * 4 +
  MAX(0, MIN(X143, 20000) - 10000) * 3 +
  MAX(0, MIN(X143, 40000) - 20000) * 2 +
  MAX(0, MIN(X143, 80000) - 40000) * 1 +
  MAX(0, MIN(X143, 100000) - 80000) * 0.5 +
  MAX(0, X143 - 100000) * 0.25
)</f>
        <v>0</v>
      </c>
      <c r="Y145" s="308">
        <f t="shared" si="728"/>
        <v>0</v>
      </c>
      <c r="Z145" s="128"/>
      <c r="AA145" s="128">
        <f t="shared" si="695"/>
        <v>0</v>
      </c>
      <c r="AB145" s="129" t="str">
        <f t="shared" si="696"/>
        <v>-</v>
      </c>
      <c r="AC145" s="307">
        <f>IF(AC143=0, 0,
  MIN(AC143, 10000) * 4 +
  MAX(0, MIN(AC143, 20000) - 10000) * 3 +
  MAX(0, MIN(AC143, 40000) - 20000) * 2 +
  MAX(0, MIN(AC143, 80000) - 40000) * 1 +
  MAX(0, MIN(AC143, 100000) - 80000) * 0.5 +
  MAX(0, AC143 - 100000) * 0.25
)</f>
        <v>0</v>
      </c>
      <c r="AD145" s="309"/>
      <c r="AE145" s="308">
        <f>IF(AE143=0, 0,
  MIN(AE143, 10000) * 4 +
  MAX(0, MIN(AE143, 20000) - 10000) * 3 +
  MAX(0, MIN(AE143, 40000) - 20000) * 2 +
  MAX(0, MIN(AE143, 80000) - 40000) * 1 +
  MAX(0, MIN(AE143, 100000) - 80000) * 0.5 +
  MAX(0, AE143 - 100000) * 0.25
)</f>
        <v>0</v>
      </c>
      <c r="AF145" s="128">
        <f t="shared" si="697"/>
        <v>0</v>
      </c>
      <c r="AG145" s="134"/>
      <c r="AH145" s="129" t="str">
        <f t="shared" si="698"/>
        <v>-</v>
      </c>
      <c r="AI145" s="307">
        <f>IF(AI143=0, 0,
  MIN(AI143, 10000) * 4 +
  MAX(0, MIN(AI143, 20000) - 10000) * 3 +
  MAX(0, MIN(AI143, 40000) - 20000) * 2 +
  MAX(0, MIN(AI143, 80000) - 40000) * 1 +
  MAX(0, MIN(AI143, 100000) - 80000) * 0.5 +
  MAX(0, AI143 - 100000) * 0.25
)</f>
        <v>0</v>
      </c>
      <c r="AJ145" s="127">
        <v>0.0</v>
      </c>
      <c r="AK145" s="128">
        <f t="shared" si="699"/>
        <v>0</v>
      </c>
      <c r="AL145" s="129" t="str">
        <f t="shared" si="700"/>
        <v>-</v>
      </c>
      <c r="AM145" s="307">
        <f>IF(AM143=0, 0,
  MIN(AM143, 10000) * 4 +
  MAX(0, MIN(AM143, 20000) - 10000) * 3 +
  MAX(0, MIN(AM143, 40000) - 20000) * 2 +
  MAX(0, MIN(AM143, 80000) - 40000) * 1 +
  MAX(0, MIN(AM143, 100000) - 80000) * 0.5 +
  MAX(0, AM143 - 100000) * 0.25
)</f>
        <v>0</v>
      </c>
      <c r="AN145" s="127">
        <v>0.0</v>
      </c>
      <c r="AO145" s="128">
        <f t="shared" si="701"/>
        <v>0</v>
      </c>
      <c r="AP145" s="129" t="str">
        <f t="shared" si="702"/>
        <v>-</v>
      </c>
      <c r="AQ145" s="307">
        <f t="shared" ref="AQ145:AR145" si="729">IF(AQ143=0, 0,
  MIN(AQ143, 10000) * 4 +
  MAX(0, MIN(AQ143, 20000) - 10000) * 3 +
  MAX(0, MIN(AQ143, 40000) - 20000) * 2 +
  MAX(0, MIN(AQ143, 80000) - 40000) * 1 +
  MAX(0, MIN(AQ143, 100000) - 80000) * 0.5 +
  MAX(0, AQ143 - 100000) * 0.25
)</f>
        <v>0</v>
      </c>
      <c r="AR145" s="127">
        <f t="shared" si="729"/>
        <v>0</v>
      </c>
      <c r="AS145" s="128">
        <f t="shared" si="703"/>
        <v>0</v>
      </c>
      <c r="AT145" s="129" t="str">
        <f t="shared" si="704"/>
        <v>-</v>
      </c>
      <c r="AU145" s="307">
        <f t="shared" ref="AU145:AV145" si="730">IF(AU143=0, 0,
  MIN(AU143, 10000) * 4 +
  MAX(0, MIN(AU143, 20000) - 10000) * 3 +
  MAX(0, MIN(AU143, 40000) - 20000) * 2 +
  MAX(0, MIN(AU143, 80000) - 40000) * 1 +
  MAX(0, MIN(AU143, 100000) - 80000) * 0.5 +
  MAX(0, AU143 - 100000) * 0.25
)</f>
        <v>0</v>
      </c>
      <c r="AV145" s="308">
        <f t="shared" si="730"/>
        <v>0</v>
      </c>
      <c r="AW145" s="128">
        <f t="shared" si="705"/>
        <v>0</v>
      </c>
      <c r="AX145" s="129" t="str">
        <f t="shared" si="706"/>
        <v>-</v>
      </c>
      <c r="AY145" s="307">
        <f t="shared" ref="AY145:AZ145" si="731">IF(AY143=0, 0,
  MIN(AY143, 10000) * 4 +
  MAX(0, MIN(AY143, 20000) - 10000) * 3 +
  MAX(0, MIN(AY143, 40000) - 20000) * 2 +
  MAX(0, MIN(AY143, 80000) - 40000) * 1 +
  MAX(0, MIN(AY143, 100000) - 80000) * 0.5 +
  MAX(0, AY143 - 100000) * 0.25
)</f>
        <v>712.8712871</v>
      </c>
      <c r="AZ145" s="127">
        <f t="shared" si="731"/>
        <v>0</v>
      </c>
      <c r="BA145" s="128">
        <f t="shared" si="707"/>
        <v>-712.8712871</v>
      </c>
      <c r="BB145" s="129">
        <f t="shared" si="708"/>
        <v>-1</v>
      </c>
      <c r="BC145" s="307">
        <f t="shared" ref="BC145:BD145" si="732">IF(BC143=0, 0,
  MIN(BC143, 10000) * 4 +
  MAX(0, MIN(BC143, 20000) - 10000) * 3 +
  MAX(0, MIN(BC143, 40000) - 20000) * 2 +
  MAX(0, MIN(BC143, 80000) - 40000) * 1 +
  MAX(0, MIN(BC143, 100000) - 80000) * 0.5 +
  MAX(0, BC143 - 100000) * 0.25
)</f>
        <v>4236.823129</v>
      </c>
      <c r="BD145" s="127">
        <f t="shared" si="732"/>
        <v>0</v>
      </c>
      <c r="BE145" s="128">
        <f t="shared" si="709"/>
        <v>-4236.823129</v>
      </c>
      <c r="BF145" s="129">
        <f t="shared" si="710"/>
        <v>-1</v>
      </c>
      <c r="BG145" s="308">
        <f t="shared" ref="BG145:BH145" si="733">IF(BG143=0, 0,
  MIN(BG143, 10000) * 4 +
  MAX(0, MIN(BG143, 20000) - 10000) * 3 +
  MAX(0, MIN(BG143, 40000) - 20000) * 2 +
  MAX(0, MIN(BG143, 80000) - 40000) * 1 +
  MAX(0, MIN(BG143, 100000) - 80000) * 0.5 +
  MAX(0, BG143 - 100000) * 0.25
)</f>
        <v>1782.178218</v>
      </c>
      <c r="BH145" s="127">
        <f t="shared" si="733"/>
        <v>0</v>
      </c>
      <c r="BI145" s="128">
        <f t="shared" si="711"/>
        <v>-1782.178218</v>
      </c>
      <c r="BJ145" s="131">
        <f t="shared" si="712"/>
        <v>-1</v>
      </c>
      <c r="BK145" s="135">
        <f>SUM(L145,P145,T145,X145,AC145,AI145,AM145,AQ145,AU145,AY145,BC145,BG145)</f>
        <v>6731.872634</v>
      </c>
      <c r="BL145" s="182">
        <f>SUM(L145,P145,T145,X145,AC145,AI145)</f>
        <v>0</v>
      </c>
      <c r="BM145" s="137">
        <f>SUM(L145,P145,T145,X145,AC145,AI145,AM145)</f>
        <v>0</v>
      </c>
      <c r="BN145" s="213">
        <f>SUM(M145,Q145,U145,Y145,AE145,AJ145,AN145,AR145,AV145,AZ145,BD145,BH145)</f>
        <v>0</v>
      </c>
      <c r="BO145" s="139">
        <f t="shared" si="716"/>
        <v>-1</v>
      </c>
      <c r="BP145" s="140">
        <f>BP142*0.04</f>
        <v>14263.9712</v>
      </c>
      <c r="BQ145" s="141">
        <f>BK145/BP145</f>
        <v>0.4719493989</v>
      </c>
      <c r="BR145" s="3"/>
      <c r="BS145" s="3"/>
      <c r="BT145" s="3"/>
      <c r="BU145" s="3"/>
      <c r="BV145" s="3"/>
    </row>
    <row r="146" ht="15.75" customHeight="1">
      <c r="J146" s="3"/>
      <c r="K146" s="3"/>
      <c r="L146" s="3"/>
      <c r="M146" s="3"/>
      <c r="N146" s="3"/>
      <c r="O146" s="3"/>
      <c r="P146" s="3"/>
      <c r="Q146" s="3"/>
      <c r="R146" s="3"/>
      <c r="S146" s="3"/>
      <c r="T146" s="3"/>
      <c r="U146" s="3"/>
      <c r="V146" s="3"/>
      <c r="W146" s="3"/>
      <c r="X146" s="3"/>
      <c r="Y146" s="3"/>
      <c r="Z146" s="3"/>
      <c r="AA146" s="3"/>
      <c r="AB146" s="3"/>
      <c r="AC146" s="3"/>
      <c r="AD146" s="3"/>
      <c r="AE146" s="3"/>
      <c r="AF146" s="3"/>
      <c r="AG146" s="3"/>
      <c r="AH146" s="3"/>
      <c r="AJ146" s="154" t="s">
        <v>70</v>
      </c>
      <c r="AN146" s="154" t="s">
        <v>70</v>
      </c>
    </row>
    <row r="147" ht="15.75" customHeight="1">
      <c r="J147" s="3"/>
      <c r="K147" s="3"/>
      <c r="L147" s="3"/>
      <c r="M147" s="3"/>
      <c r="N147" s="3"/>
      <c r="O147" s="3"/>
      <c r="P147" s="3"/>
      <c r="Q147" s="3"/>
      <c r="R147" s="3"/>
      <c r="S147" s="3"/>
      <c r="T147" s="3"/>
      <c r="U147" s="3"/>
      <c r="V147" s="3"/>
      <c r="W147" s="3"/>
      <c r="X147" s="3"/>
      <c r="Y147" s="3"/>
      <c r="Z147" s="3"/>
      <c r="AA147" s="3"/>
      <c r="AB147" s="3"/>
      <c r="AC147" s="3"/>
      <c r="AD147" s="3"/>
      <c r="AE147" s="3"/>
      <c r="AF147" s="3"/>
      <c r="AG147" s="3"/>
      <c r="AH147" s="3"/>
      <c r="AI147" s="3"/>
      <c r="AJ147" s="154" t="s">
        <v>70</v>
      </c>
      <c r="AN147" s="154" t="s">
        <v>70</v>
      </c>
    </row>
    <row r="148" ht="15.75" customHeight="1">
      <c r="J148" s="15"/>
      <c r="K148" s="238"/>
      <c r="L148" s="151"/>
      <c r="M148" s="15"/>
      <c r="N148" s="15"/>
      <c r="O148" s="15"/>
      <c r="P148" s="15"/>
      <c r="Q148" s="15"/>
      <c r="R148" s="15"/>
      <c r="S148" s="15"/>
      <c r="T148" s="15"/>
      <c r="U148" s="15"/>
      <c r="V148" s="15"/>
      <c r="W148" s="310" t="s">
        <v>107</v>
      </c>
      <c r="X148" s="311" t="s">
        <v>58</v>
      </c>
      <c r="Y148" s="312" t="s">
        <v>108</v>
      </c>
      <c r="Z148" s="312" t="s">
        <v>109</v>
      </c>
      <c r="AA148" s="313" t="s">
        <v>110</v>
      </c>
      <c r="AB148" s="314">
        <v>2025.0</v>
      </c>
      <c r="AC148" s="315" t="s">
        <v>111</v>
      </c>
      <c r="AD148" s="315" t="s">
        <v>112</v>
      </c>
      <c r="AE148" s="315" t="s">
        <v>113</v>
      </c>
      <c r="AF148" s="316" t="s">
        <v>114</v>
      </c>
      <c r="AG148" s="315" t="s">
        <v>115</v>
      </c>
      <c r="AH148" s="315" t="s">
        <v>116</v>
      </c>
      <c r="AI148" s="315" t="s">
        <v>117</v>
      </c>
      <c r="AJ148" s="154" t="s">
        <v>70</v>
      </c>
      <c r="AK148" s="3"/>
      <c r="AL148" s="3"/>
      <c r="AM148" s="3"/>
      <c r="AN148" s="3" t="s">
        <v>70</v>
      </c>
      <c r="AO148" s="3"/>
    </row>
    <row r="149" ht="15.75" customHeight="1">
      <c r="J149" s="15"/>
      <c r="K149" s="238"/>
      <c r="L149" s="15"/>
      <c r="M149" s="15"/>
      <c r="N149" s="15"/>
      <c r="O149" s="15"/>
      <c r="P149" s="15"/>
      <c r="Q149" s="317"/>
      <c r="R149" s="15"/>
      <c r="S149" s="15"/>
      <c r="T149" s="15"/>
      <c r="U149" s="15"/>
      <c r="V149" s="15"/>
      <c r="W149" s="318" t="s">
        <v>118</v>
      </c>
      <c r="X149" s="319">
        <v>1.0</v>
      </c>
      <c r="Y149" s="320">
        <f>IFERROR(Y150/X150,"-")</f>
        <v>0.2259436465</v>
      </c>
      <c r="Z149" s="320">
        <f>IFERROR(Z150/X150,"-")</f>
        <v>0.307343325</v>
      </c>
      <c r="AA149" s="320">
        <f>IFERROR(AA150/X150,"-")</f>
        <v>0.2701931687</v>
      </c>
      <c r="AB149" s="321" t="s">
        <v>119</v>
      </c>
      <c r="AC149" s="322">
        <f t="shared" ref="AC149:AC153" si="734">IFERROR(AA149-Y149,"-")</f>
        <v>0.04424952215</v>
      </c>
      <c r="AD149" s="322">
        <f t="shared" ref="AD149:AD153" si="735">IFERROR(AA149-Z149,"-")</f>
        <v>-0.03715015631</v>
      </c>
      <c r="AE149" s="322">
        <f t="shared" ref="AE149:AE153" si="736">IFERROR(AA149-X149,"-")</f>
        <v>-0.7298068313</v>
      </c>
      <c r="AF149" s="323" t="s">
        <v>63</v>
      </c>
      <c r="AG149" s="324"/>
      <c r="AH149" s="325" t="s">
        <v>63</v>
      </c>
      <c r="AI149" s="325" t="s">
        <v>63</v>
      </c>
      <c r="AJ149" s="154" t="s">
        <v>70</v>
      </c>
      <c r="AK149" s="3"/>
      <c r="AL149" s="3"/>
      <c r="AM149" s="3"/>
      <c r="AN149" s="3" t="s">
        <v>70</v>
      </c>
      <c r="AO149" s="3"/>
    </row>
    <row r="150" ht="15.75" customHeight="1">
      <c r="J150" s="15"/>
      <c r="K150" s="238"/>
      <c r="L150" s="15"/>
      <c r="M150" s="15"/>
      <c r="N150" s="15"/>
      <c r="O150" s="15"/>
      <c r="P150" s="15"/>
      <c r="Q150" s="317"/>
      <c r="R150" s="15"/>
      <c r="S150" s="15"/>
      <c r="T150" s="15"/>
      <c r="U150" s="15"/>
      <c r="V150" s="15"/>
      <c r="W150" s="326" t="s">
        <v>66</v>
      </c>
      <c r="X150" s="327">
        <f>SUMIF(J6:J145, "gmv", BK6:BK145)</f>
        <v>136053076.2</v>
      </c>
      <c r="Y150" s="327">
        <f>SUMIF(J6:J145, "gmv", BL6:BL145)</f>
        <v>30740328.16</v>
      </c>
      <c r="Z150" s="327">
        <f>SUMIF(J6:J145, "gmv", BM6:BM145)</f>
        <v>41815004.82</v>
      </c>
      <c r="AA150" s="327">
        <f>SUMIF(J6:J145, "gmv", BN6:BN145)</f>
        <v>36760611.77</v>
      </c>
      <c r="AB150" s="328">
        <f>SUMIF(J6:J145, "gmv", BP6:BP145)</f>
        <v>57499735.7</v>
      </c>
      <c r="AC150" s="329">
        <f t="shared" si="734"/>
        <v>6020283.609</v>
      </c>
      <c r="AD150" s="329">
        <f t="shared" si="735"/>
        <v>-5054393.048</v>
      </c>
      <c r="AE150" s="329">
        <f t="shared" si="736"/>
        <v>-99292464.43</v>
      </c>
      <c r="AF150" s="330">
        <f t="shared" ref="AF150:AF153" si="737">IFERROR(X150/AB150-1,"-")</f>
        <v>1.366151332</v>
      </c>
      <c r="AG150" s="331">
        <f t="shared" ref="AG150:AG153" si="738">IFERROR(AA150/Y150-1,"-")</f>
        <v>0.1958431796</v>
      </c>
      <c r="AH150" s="331">
        <f t="shared" ref="AH150:AH153" si="739">IFERROR(AA150/Z150-1,"-")</f>
        <v>-0.1208751038</v>
      </c>
      <c r="AI150" s="331">
        <f t="shared" ref="AI150:AI153" si="740">IFERROR(AA150/X150-1,"-")</f>
        <v>-0.7298068313</v>
      </c>
      <c r="AJ150" s="154" t="s">
        <v>70</v>
      </c>
      <c r="AK150" s="3"/>
      <c r="AL150" s="3"/>
      <c r="AM150" s="3"/>
      <c r="AN150" s="3" t="s">
        <v>70</v>
      </c>
      <c r="AO150" s="3"/>
    </row>
    <row r="151" ht="15.75" customHeight="1">
      <c r="J151" s="15"/>
      <c r="K151" s="238"/>
      <c r="L151" s="15"/>
      <c r="M151" s="15"/>
      <c r="N151" s="15"/>
      <c r="O151" s="15"/>
      <c r="P151" s="15"/>
      <c r="Q151" s="332"/>
      <c r="R151" s="15"/>
      <c r="S151" s="15"/>
      <c r="T151" s="15"/>
      <c r="U151" s="15"/>
      <c r="V151" s="15"/>
      <c r="W151" s="333" t="s">
        <v>67</v>
      </c>
      <c r="X151" s="334">
        <f>SUMIF(J6:J145,"Pedidos",BK6:BK145)</f>
        <v>1858535.541</v>
      </c>
      <c r="Y151" s="334">
        <f>SUMIF(J6:J145,"Pedidos",BL6:BL145)</f>
        <v>381702.4127</v>
      </c>
      <c r="Z151" s="334">
        <f>SUMIF(J6:J145,"Pedidos",BM6:BM145)</f>
        <v>523310.5943</v>
      </c>
      <c r="AA151" s="334">
        <f>SUMIF(J7:J145, "Pedidos", BN7:BN145)</f>
        <v>399851.1539</v>
      </c>
      <c r="AB151" s="335">
        <f>SUMIF(J7:J145,"pedidos", BP7:BP145)</f>
        <v>629966</v>
      </c>
      <c r="AC151" s="336">
        <f t="shared" si="734"/>
        <v>18148.74127</v>
      </c>
      <c r="AD151" s="336">
        <f t="shared" si="735"/>
        <v>-123459.4404</v>
      </c>
      <c r="AE151" s="336">
        <f t="shared" si="736"/>
        <v>-1458684.387</v>
      </c>
      <c r="AF151" s="330">
        <f t="shared" si="737"/>
        <v>1.950215632</v>
      </c>
      <c r="AG151" s="331">
        <f t="shared" si="738"/>
        <v>0.04754683405</v>
      </c>
      <c r="AH151" s="331">
        <f t="shared" si="739"/>
        <v>-0.2359200095</v>
      </c>
      <c r="AI151" s="331">
        <f t="shared" si="740"/>
        <v>-0.7848568698</v>
      </c>
      <c r="AJ151" s="154" t="s">
        <v>70</v>
      </c>
      <c r="AK151" s="3"/>
      <c r="AL151" s="3"/>
      <c r="AM151" s="3"/>
      <c r="AN151" s="3" t="s">
        <v>70</v>
      </c>
      <c r="AO151" s="3"/>
    </row>
    <row r="152" ht="15.75" customHeight="1">
      <c r="J152" s="15"/>
      <c r="K152" s="238"/>
      <c r="L152" s="15"/>
      <c r="M152" s="15"/>
      <c r="N152" s="15"/>
      <c r="O152" s="15"/>
      <c r="P152" s="15"/>
      <c r="Q152" s="332"/>
      <c r="R152" s="15"/>
      <c r="S152" s="15"/>
      <c r="T152" s="15"/>
      <c r="U152" s="15"/>
      <c r="V152" s="15"/>
      <c r="W152" s="333" t="s">
        <v>68</v>
      </c>
      <c r="X152" s="337">
        <f t="shared" ref="X152:AB152" si="741">IFERROR(X150/X151,"-")</f>
        <v>73.20445222</v>
      </c>
      <c r="Y152" s="337">
        <f t="shared" si="741"/>
        <v>80.53480183</v>
      </c>
      <c r="Z152" s="337">
        <f t="shared" si="741"/>
        <v>79.90475498</v>
      </c>
      <c r="AA152" s="338">
        <f t="shared" si="741"/>
        <v>91.93574011</v>
      </c>
      <c r="AB152" s="339">
        <f t="shared" si="741"/>
        <v>91.27434766</v>
      </c>
      <c r="AC152" s="329">
        <f t="shared" si="734"/>
        <v>11.40093828</v>
      </c>
      <c r="AD152" s="329">
        <f t="shared" si="735"/>
        <v>12.03098513</v>
      </c>
      <c r="AE152" s="329">
        <f t="shared" si="736"/>
        <v>18.73128789</v>
      </c>
      <c r="AF152" s="330">
        <f t="shared" si="737"/>
        <v>-0.1979734274</v>
      </c>
      <c r="AG152" s="331">
        <f t="shared" si="738"/>
        <v>0.1415653608</v>
      </c>
      <c r="AH152" s="331">
        <f t="shared" si="739"/>
        <v>0.1505665731</v>
      </c>
      <c r="AI152" s="331">
        <f t="shared" si="740"/>
        <v>0.255876348</v>
      </c>
      <c r="AJ152" s="154" t="s">
        <v>70</v>
      </c>
      <c r="AK152" s="3"/>
      <c r="AL152" s="3"/>
      <c r="AM152" s="3"/>
      <c r="AN152" s="3" t="s">
        <v>70</v>
      </c>
      <c r="AO152" s="3"/>
    </row>
    <row r="153" ht="15.75" customHeight="1">
      <c r="J153" s="15"/>
      <c r="K153" s="238"/>
      <c r="L153" s="15"/>
      <c r="M153" s="15"/>
      <c r="N153" s="15"/>
      <c r="O153" s="15"/>
      <c r="P153" s="15"/>
      <c r="Q153" s="332"/>
      <c r="R153" s="15"/>
      <c r="S153" s="15"/>
      <c r="T153" s="15"/>
      <c r="U153" s="15"/>
      <c r="V153" s="15"/>
      <c r="W153" s="340" t="s">
        <v>69</v>
      </c>
      <c r="X153" s="341">
        <f>SUMIF(J6:J145, "Receita Hanzo", BK6:BK145)</f>
        <v>5775051.392</v>
      </c>
      <c r="Y153" s="341">
        <f>SUMIF(J6:J145, "Receita Hanzo", BL6:BL145)</f>
        <v>1738003.04</v>
      </c>
      <c r="Z153" s="341">
        <f>SUMIF(J6:J145, "Receita Hanzo", BM6:BM145)</f>
        <v>2197636.681</v>
      </c>
      <c r="AA153" s="341">
        <f>SUMIF(J6:J145, "Receita Hanzo", BN6:BN145)</f>
        <v>2527829.824</v>
      </c>
      <c r="AB153" s="342">
        <f>SUMIF(J6:J145, "Receita Hanzo", BP6:BP145)</f>
        <v>2474003.6</v>
      </c>
      <c r="AC153" s="329">
        <f t="shared" si="734"/>
        <v>789826.7843</v>
      </c>
      <c r="AD153" s="329">
        <f t="shared" si="735"/>
        <v>330193.1429</v>
      </c>
      <c r="AE153" s="329">
        <f t="shared" si="736"/>
        <v>-3247221.567</v>
      </c>
      <c r="AF153" s="330">
        <f t="shared" si="737"/>
        <v>1.334293851</v>
      </c>
      <c r="AG153" s="331">
        <f t="shared" si="738"/>
        <v>0.4544449958</v>
      </c>
      <c r="AH153" s="331">
        <f t="shared" si="739"/>
        <v>0.1502491953</v>
      </c>
      <c r="AI153" s="331">
        <f t="shared" si="740"/>
        <v>-0.5622844451</v>
      </c>
      <c r="AJ153" s="154" t="s">
        <v>70</v>
      </c>
      <c r="AK153" s="3"/>
      <c r="AL153" s="3"/>
      <c r="AM153" s="3"/>
      <c r="AN153" s="3" t="s">
        <v>70</v>
      </c>
      <c r="AO153" s="3"/>
    </row>
    <row r="154" ht="15.75" customHeight="1">
      <c r="J154" s="15"/>
      <c r="K154" s="238"/>
      <c r="L154" s="15"/>
      <c r="M154" s="15"/>
      <c r="N154" s="15"/>
      <c r="O154" s="15"/>
      <c r="P154" s="15"/>
      <c r="Q154" s="15"/>
      <c r="R154" s="15"/>
      <c r="S154" s="15"/>
      <c r="T154" s="15"/>
      <c r="U154" s="15"/>
      <c r="V154" s="15"/>
      <c r="W154" s="15"/>
      <c r="X154" s="14"/>
      <c r="Y154" s="14"/>
      <c r="Z154" s="15"/>
      <c r="AA154" s="15"/>
      <c r="AB154" s="3"/>
      <c r="AC154" s="3"/>
      <c r="AD154" s="3"/>
      <c r="AE154" s="3"/>
      <c r="AF154" s="3"/>
      <c r="AG154" s="3"/>
      <c r="AH154" s="3"/>
      <c r="AI154" s="3"/>
      <c r="AJ154" s="154" t="s">
        <v>70</v>
      </c>
      <c r="AN154" s="154" t="s">
        <v>70</v>
      </c>
    </row>
    <row r="155" ht="15.75" customHeight="1">
      <c r="J155" s="15"/>
      <c r="K155" s="238"/>
      <c r="L155" s="15"/>
      <c r="M155" s="15"/>
      <c r="N155" s="15"/>
      <c r="O155" s="15"/>
      <c r="P155" s="15"/>
      <c r="Q155" s="15"/>
      <c r="R155" s="15"/>
      <c r="S155" s="15"/>
      <c r="T155" s="15"/>
      <c r="U155" s="15"/>
      <c r="V155" s="15"/>
      <c r="W155" s="15"/>
      <c r="X155" s="25"/>
      <c r="Y155" s="14"/>
      <c r="Z155" s="15"/>
      <c r="AA155" s="15"/>
      <c r="AB155" s="3"/>
      <c r="AC155" s="3"/>
      <c r="AD155" s="3"/>
      <c r="AE155" s="3"/>
      <c r="AF155" s="3"/>
      <c r="AG155" s="3"/>
      <c r="AH155" s="3"/>
      <c r="AI155" s="3"/>
      <c r="AJ155" s="154" t="s">
        <v>70</v>
      </c>
      <c r="AN155" s="154" t="s">
        <v>70</v>
      </c>
    </row>
    <row r="156" ht="15.75" customHeight="1">
      <c r="J156" s="15"/>
      <c r="K156" s="238"/>
      <c r="L156" s="15"/>
      <c r="M156" s="15"/>
      <c r="N156" s="15"/>
      <c r="O156" s="15"/>
      <c r="P156" s="15"/>
      <c r="Q156" s="15"/>
      <c r="R156" s="15"/>
      <c r="S156" s="15"/>
      <c r="T156" s="15"/>
      <c r="U156" s="15"/>
      <c r="V156" s="15"/>
      <c r="W156" s="15"/>
      <c r="X156" s="14"/>
      <c r="Y156" s="14"/>
      <c r="Z156" s="15"/>
      <c r="AA156" s="15"/>
      <c r="AB156" s="3"/>
      <c r="AC156" s="3"/>
      <c r="AD156" s="3"/>
      <c r="AE156" s="3"/>
      <c r="AF156" s="3"/>
      <c r="AG156" s="3"/>
      <c r="AH156" s="3"/>
      <c r="AI156" s="3"/>
      <c r="AJ156" s="154" t="s">
        <v>70</v>
      </c>
      <c r="AN156" s="154" t="s">
        <v>70</v>
      </c>
    </row>
    <row r="157" ht="15.75" customHeight="1">
      <c r="J157" s="15"/>
      <c r="K157" s="238"/>
      <c r="L157" s="15"/>
      <c r="M157" s="15"/>
      <c r="N157" s="15"/>
      <c r="O157" s="15"/>
      <c r="P157" s="15"/>
      <c r="Q157" s="15"/>
      <c r="R157" s="15"/>
      <c r="S157" s="15"/>
      <c r="T157" s="15"/>
      <c r="U157" s="15"/>
      <c r="V157" s="15"/>
      <c r="W157" s="15"/>
      <c r="X157" s="14"/>
      <c r="Y157" s="14"/>
      <c r="Z157" s="15"/>
      <c r="AA157" s="15"/>
      <c r="AB157" s="3"/>
      <c r="AC157" s="3"/>
      <c r="AD157" s="3"/>
      <c r="AE157" s="3"/>
      <c r="AF157" s="3"/>
      <c r="AG157" s="3"/>
      <c r="AH157" s="3"/>
      <c r="AI157" s="3"/>
      <c r="AJ157" s="154" t="s">
        <v>70</v>
      </c>
      <c r="AN157" s="154" t="s">
        <v>70</v>
      </c>
    </row>
    <row r="158" ht="15.75" customHeight="1">
      <c r="J158" s="15"/>
      <c r="K158" s="238"/>
      <c r="L158" s="15"/>
      <c r="M158" s="15"/>
      <c r="N158" s="15"/>
      <c r="O158" s="15"/>
      <c r="P158" s="15"/>
      <c r="Q158" s="15"/>
      <c r="R158" s="15"/>
      <c r="S158" s="15"/>
      <c r="T158" s="15"/>
      <c r="U158" s="15"/>
      <c r="V158" s="15"/>
      <c r="W158" s="15"/>
      <c r="X158" s="14"/>
      <c r="Y158" s="14"/>
      <c r="Z158" s="15"/>
      <c r="AA158" s="15"/>
      <c r="AB158" s="3"/>
      <c r="AC158" s="3"/>
      <c r="AD158" s="3"/>
      <c r="AE158" s="3"/>
      <c r="AF158" s="3"/>
      <c r="AG158" s="3"/>
      <c r="AH158" s="3"/>
      <c r="AI158" s="3"/>
      <c r="AJ158" s="154" t="s">
        <v>70</v>
      </c>
      <c r="AN158" s="154" t="s">
        <v>70</v>
      </c>
    </row>
    <row r="159" ht="15.75" customHeight="1">
      <c r="J159" s="15"/>
      <c r="K159" s="238"/>
      <c r="L159" s="15"/>
      <c r="M159" s="15"/>
      <c r="N159" s="15"/>
      <c r="O159" s="15"/>
      <c r="P159" s="15"/>
      <c r="Q159" s="15"/>
      <c r="R159" s="15"/>
      <c r="S159" s="15"/>
      <c r="T159" s="15"/>
      <c r="U159" s="15"/>
      <c r="V159" s="15"/>
      <c r="W159" s="15"/>
      <c r="X159" s="14"/>
      <c r="Y159" s="14"/>
      <c r="Z159" s="15"/>
      <c r="AA159" s="15"/>
      <c r="AB159" s="3"/>
      <c r="AC159" s="3"/>
      <c r="AD159" s="3"/>
      <c r="AE159" s="3"/>
      <c r="AF159" s="3"/>
      <c r="AG159" s="3"/>
      <c r="AH159" s="3"/>
      <c r="AI159" s="3"/>
      <c r="AJ159" s="154" t="s">
        <v>70</v>
      </c>
      <c r="AN159" s="154" t="s">
        <v>70</v>
      </c>
    </row>
    <row r="160" ht="15.75" customHeight="1">
      <c r="J160" s="15"/>
      <c r="K160" s="238"/>
      <c r="L160" s="15"/>
      <c r="M160" s="15"/>
      <c r="N160" s="15"/>
      <c r="O160" s="15"/>
      <c r="P160" s="15"/>
      <c r="Q160" s="15"/>
      <c r="R160" s="15"/>
      <c r="S160" s="15"/>
      <c r="T160" s="15"/>
      <c r="U160" s="15"/>
      <c r="V160" s="15"/>
      <c r="W160" s="15"/>
      <c r="X160" s="14"/>
      <c r="Y160" s="14"/>
      <c r="Z160" s="15"/>
      <c r="AA160" s="15"/>
      <c r="AB160" s="3"/>
      <c r="AC160" s="3"/>
      <c r="AD160" s="3"/>
      <c r="AE160" s="3"/>
      <c r="AF160" s="3"/>
      <c r="AG160" s="3"/>
      <c r="AH160" s="3"/>
      <c r="AI160" s="3"/>
      <c r="AJ160" s="154" t="s">
        <v>70</v>
      </c>
      <c r="AN160" s="154" t="s">
        <v>70</v>
      </c>
    </row>
    <row r="161" ht="15.75" customHeight="1">
      <c r="J161" s="15"/>
      <c r="K161" s="238"/>
      <c r="L161" s="15"/>
      <c r="M161" s="15"/>
      <c r="N161" s="15"/>
      <c r="O161" s="15"/>
      <c r="P161" s="15"/>
      <c r="Q161" s="15"/>
      <c r="R161" s="15"/>
      <c r="S161" s="15"/>
      <c r="T161" s="15"/>
      <c r="U161" s="15"/>
      <c r="V161" s="15"/>
      <c r="W161" s="15"/>
      <c r="X161" s="14"/>
      <c r="Y161" s="14"/>
      <c r="Z161" s="15"/>
      <c r="AA161" s="15"/>
      <c r="AB161" s="3"/>
      <c r="AC161" s="3"/>
      <c r="AD161" s="3"/>
      <c r="AE161" s="3"/>
      <c r="AF161" s="3"/>
      <c r="AG161" s="3"/>
      <c r="AH161" s="3"/>
      <c r="AI161" s="3"/>
      <c r="AJ161" s="154" t="s">
        <v>70</v>
      </c>
      <c r="AN161" s="154" t="s">
        <v>70</v>
      </c>
    </row>
    <row r="162" ht="15.75" customHeight="1">
      <c r="J162" s="15"/>
      <c r="K162" s="238"/>
      <c r="L162" s="15"/>
      <c r="M162" s="15"/>
      <c r="N162" s="15"/>
      <c r="O162" s="15"/>
      <c r="P162" s="15"/>
      <c r="Q162" s="15"/>
      <c r="R162" s="15"/>
      <c r="S162" s="15"/>
      <c r="T162" s="15"/>
      <c r="U162" s="15"/>
      <c r="V162" s="15"/>
      <c r="W162" s="15"/>
      <c r="X162" s="14"/>
      <c r="Y162" s="14"/>
      <c r="Z162" s="15"/>
      <c r="AA162" s="15"/>
      <c r="AB162" s="3"/>
      <c r="AC162" s="3"/>
      <c r="AD162" s="3"/>
      <c r="AE162" s="3"/>
      <c r="AF162" s="3"/>
      <c r="AG162" s="3"/>
      <c r="AH162" s="3"/>
      <c r="AI162" s="3"/>
      <c r="AJ162" s="154" t="s">
        <v>70</v>
      </c>
      <c r="AN162" s="154" t="s">
        <v>70</v>
      </c>
    </row>
    <row r="163" ht="15.75" customHeight="1">
      <c r="J163" s="15"/>
      <c r="K163" s="238"/>
      <c r="L163" s="15"/>
      <c r="M163" s="15"/>
      <c r="N163" s="15"/>
      <c r="O163" s="15"/>
      <c r="P163" s="15"/>
      <c r="Q163" s="15"/>
      <c r="R163" s="15"/>
      <c r="S163" s="15"/>
      <c r="T163" s="15"/>
      <c r="U163" s="15"/>
      <c r="V163" s="15"/>
      <c r="W163" s="15"/>
      <c r="X163" s="14"/>
      <c r="Y163" s="14"/>
      <c r="Z163" s="15"/>
      <c r="AA163" s="15"/>
      <c r="AB163" s="3"/>
      <c r="AC163" s="3"/>
      <c r="AD163" s="3"/>
      <c r="AE163" s="3"/>
      <c r="AF163" s="3"/>
      <c r="AG163" s="3"/>
      <c r="AH163" s="3"/>
      <c r="AI163" s="3"/>
      <c r="AJ163" s="154" t="s">
        <v>70</v>
      </c>
      <c r="AN163" s="154" t="s">
        <v>70</v>
      </c>
    </row>
    <row r="164" ht="15.75" customHeight="1">
      <c r="J164" s="15"/>
      <c r="K164" s="238"/>
      <c r="L164" s="15"/>
      <c r="M164" s="15"/>
      <c r="N164" s="15"/>
      <c r="O164" s="15"/>
      <c r="P164" s="15"/>
      <c r="Q164" s="15"/>
      <c r="R164" s="15"/>
      <c r="S164" s="15"/>
      <c r="T164" s="15"/>
      <c r="U164" s="15"/>
      <c r="V164" s="15"/>
      <c r="W164" s="15"/>
      <c r="X164" s="14"/>
      <c r="Y164" s="14"/>
      <c r="Z164" s="15"/>
      <c r="AA164" s="15"/>
      <c r="AB164" s="3"/>
      <c r="AC164" s="3"/>
      <c r="AD164" s="3"/>
      <c r="AE164" s="3"/>
      <c r="AF164" s="3"/>
      <c r="AG164" s="3"/>
      <c r="AH164" s="3"/>
      <c r="AI164" s="3"/>
      <c r="AJ164" s="154" t="s">
        <v>70</v>
      </c>
      <c r="AN164" s="154" t="s">
        <v>70</v>
      </c>
    </row>
    <row r="165" ht="15.75" customHeight="1">
      <c r="J165" s="15"/>
      <c r="K165" s="238"/>
      <c r="L165" s="15"/>
      <c r="M165" s="15"/>
      <c r="N165" s="15"/>
      <c r="O165" s="15"/>
      <c r="P165" s="15"/>
      <c r="Q165" s="15"/>
      <c r="R165" s="15"/>
      <c r="S165" s="15"/>
      <c r="T165" s="15"/>
      <c r="U165" s="15"/>
      <c r="V165" s="15"/>
      <c r="W165" s="15"/>
      <c r="X165" s="14"/>
      <c r="Y165" s="14"/>
      <c r="Z165" s="15"/>
      <c r="AA165" s="15"/>
      <c r="AB165" s="3"/>
      <c r="AC165" s="3"/>
      <c r="AD165" s="3"/>
      <c r="AE165" s="3"/>
      <c r="AF165" s="3"/>
      <c r="AG165" s="3"/>
      <c r="AH165" s="3"/>
      <c r="AI165" s="3"/>
      <c r="AJ165" s="154" t="s">
        <v>70</v>
      </c>
      <c r="AN165" s="154" t="s">
        <v>70</v>
      </c>
    </row>
    <row r="166" ht="15.75" customHeight="1">
      <c r="J166" s="15"/>
      <c r="K166" s="238"/>
      <c r="L166" s="15"/>
      <c r="M166" s="15"/>
      <c r="N166" s="15"/>
      <c r="O166" s="15"/>
      <c r="P166" s="15"/>
      <c r="Q166" s="15"/>
      <c r="R166" s="15"/>
      <c r="S166" s="15"/>
      <c r="T166" s="15"/>
      <c r="U166" s="15"/>
      <c r="V166" s="15"/>
      <c r="W166" s="15"/>
      <c r="X166" s="14"/>
      <c r="Y166" s="14"/>
      <c r="Z166" s="15"/>
      <c r="AA166" s="15"/>
      <c r="AB166" s="3"/>
      <c r="AC166" s="3"/>
      <c r="AD166" s="3"/>
      <c r="AE166" s="3"/>
      <c r="AF166" s="3"/>
      <c r="AG166" s="3"/>
      <c r="AH166" s="3"/>
      <c r="AI166" s="3"/>
      <c r="AJ166" s="154" t="s">
        <v>70</v>
      </c>
      <c r="AN166" s="154" t="s">
        <v>70</v>
      </c>
    </row>
    <row r="167" ht="15.75" customHeight="1">
      <c r="J167" s="15"/>
      <c r="K167" s="238"/>
      <c r="L167" s="15"/>
      <c r="M167" s="15"/>
      <c r="N167" s="15"/>
      <c r="O167" s="15"/>
      <c r="P167" s="15"/>
      <c r="Q167" s="15"/>
      <c r="R167" s="15"/>
      <c r="S167" s="15"/>
      <c r="T167" s="15"/>
      <c r="U167" s="15"/>
      <c r="V167" s="15"/>
      <c r="W167" s="15"/>
      <c r="X167" s="14"/>
      <c r="Y167" s="14"/>
      <c r="Z167" s="15"/>
      <c r="AA167" s="15"/>
      <c r="AB167" s="3"/>
      <c r="AC167" s="3"/>
      <c r="AD167" s="3"/>
      <c r="AE167" s="3"/>
      <c r="AF167" s="3"/>
      <c r="AG167" s="3"/>
      <c r="AH167" s="3"/>
      <c r="AI167" s="3"/>
      <c r="AJ167" s="154" t="s">
        <v>70</v>
      </c>
      <c r="AN167" s="154" t="s">
        <v>70</v>
      </c>
    </row>
    <row r="168" ht="15.75" customHeight="1">
      <c r="J168" s="15"/>
      <c r="K168" s="238"/>
      <c r="L168" s="15"/>
      <c r="M168" s="15"/>
      <c r="N168" s="15"/>
      <c r="O168" s="15"/>
      <c r="P168" s="15"/>
      <c r="Q168" s="15"/>
      <c r="R168" s="15"/>
      <c r="S168" s="15"/>
      <c r="T168" s="15"/>
      <c r="U168" s="15"/>
      <c r="V168" s="15"/>
      <c r="W168" s="15"/>
      <c r="X168" s="14"/>
      <c r="Y168" s="14"/>
      <c r="Z168" s="15"/>
      <c r="AA168" s="15"/>
      <c r="AB168" s="3"/>
      <c r="AC168" s="3"/>
      <c r="AD168" s="3"/>
      <c r="AE168" s="3"/>
      <c r="AF168" s="3"/>
      <c r="AG168" s="3"/>
      <c r="AH168" s="3"/>
      <c r="AI168" s="3"/>
      <c r="AJ168" s="154" t="s">
        <v>70</v>
      </c>
      <c r="AN168" s="154" t="s">
        <v>70</v>
      </c>
    </row>
    <row r="169" ht="15.75" customHeight="1">
      <c r="J169" s="15"/>
      <c r="K169" s="238"/>
      <c r="L169" s="15"/>
      <c r="M169" s="15"/>
      <c r="N169" s="15"/>
      <c r="O169" s="15"/>
      <c r="P169" s="15"/>
      <c r="Q169" s="15"/>
      <c r="R169" s="15"/>
      <c r="S169" s="15"/>
      <c r="T169" s="15"/>
      <c r="U169" s="15"/>
      <c r="V169" s="15"/>
      <c r="W169" s="15"/>
      <c r="X169" s="14"/>
      <c r="Y169" s="14"/>
      <c r="Z169" s="15"/>
      <c r="AA169" s="15"/>
      <c r="AB169" s="3"/>
      <c r="AC169" s="3"/>
      <c r="AD169" s="3"/>
      <c r="AE169" s="3"/>
      <c r="AF169" s="3"/>
      <c r="AG169" s="3"/>
      <c r="AH169" s="3"/>
      <c r="AI169" s="3"/>
      <c r="AJ169" s="154" t="s">
        <v>70</v>
      </c>
      <c r="AN169" s="154" t="s">
        <v>70</v>
      </c>
    </row>
    <row r="170" ht="15.75" customHeight="1">
      <c r="J170" s="15"/>
      <c r="K170" s="238"/>
      <c r="L170" s="15"/>
      <c r="M170" s="15"/>
      <c r="N170" s="15"/>
      <c r="O170" s="15"/>
      <c r="P170" s="15"/>
      <c r="Q170" s="15"/>
      <c r="R170" s="15"/>
      <c r="S170" s="15"/>
      <c r="T170" s="15"/>
      <c r="U170" s="15"/>
      <c r="V170" s="15"/>
      <c r="W170" s="15"/>
      <c r="X170" s="14"/>
      <c r="Y170" s="14"/>
      <c r="Z170" s="15"/>
      <c r="AA170" s="15"/>
      <c r="AB170" s="3"/>
      <c r="AC170" s="3"/>
      <c r="AD170" s="3"/>
      <c r="AE170" s="3"/>
      <c r="AF170" s="3"/>
      <c r="AG170" s="3"/>
      <c r="AH170" s="3"/>
      <c r="AI170" s="3"/>
      <c r="AJ170" s="154" t="s">
        <v>70</v>
      </c>
      <c r="AN170" s="154" t="s">
        <v>70</v>
      </c>
    </row>
    <row r="171" ht="15.75" customHeight="1">
      <c r="J171" s="15"/>
      <c r="K171" s="238"/>
      <c r="L171" s="15"/>
      <c r="M171" s="15"/>
      <c r="N171" s="15"/>
      <c r="O171" s="15"/>
      <c r="P171" s="15"/>
      <c r="Q171" s="15"/>
      <c r="R171" s="15"/>
      <c r="S171" s="15"/>
      <c r="T171" s="15"/>
      <c r="U171" s="15"/>
      <c r="V171" s="15"/>
      <c r="W171" s="15"/>
      <c r="X171" s="14"/>
      <c r="Y171" s="14"/>
      <c r="Z171" s="15"/>
      <c r="AA171" s="15"/>
      <c r="AB171" s="3"/>
      <c r="AC171" s="3"/>
      <c r="AD171" s="3"/>
      <c r="AE171" s="3"/>
      <c r="AF171" s="3"/>
      <c r="AG171" s="3"/>
      <c r="AH171" s="3"/>
      <c r="AI171" s="3"/>
      <c r="AJ171" s="154" t="s">
        <v>70</v>
      </c>
      <c r="AN171" s="154" t="s">
        <v>70</v>
      </c>
    </row>
    <row r="172" ht="15.75" customHeight="1">
      <c r="J172" s="15"/>
      <c r="K172" s="238"/>
      <c r="L172" s="15"/>
      <c r="M172" s="15"/>
      <c r="N172" s="15"/>
      <c r="O172" s="15"/>
      <c r="P172" s="15"/>
      <c r="Q172" s="15"/>
      <c r="R172" s="15"/>
      <c r="S172" s="15"/>
      <c r="T172" s="15"/>
      <c r="U172" s="15"/>
      <c r="V172" s="15"/>
      <c r="W172" s="15"/>
      <c r="X172" s="14"/>
      <c r="Y172" s="14"/>
      <c r="Z172" s="15"/>
      <c r="AA172" s="15"/>
      <c r="AB172" s="3"/>
      <c r="AC172" s="3"/>
      <c r="AD172" s="3"/>
      <c r="AE172" s="3"/>
      <c r="AF172" s="3"/>
      <c r="AG172" s="3"/>
      <c r="AH172" s="3"/>
      <c r="AI172" s="3"/>
      <c r="AJ172" s="154" t="s">
        <v>70</v>
      </c>
      <c r="AN172" s="154" t="s">
        <v>70</v>
      </c>
    </row>
    <row r="173" ht="15.75" customHeight="1">
      <c r="J173" s="15"/>
      <c r="K173" s="238"/>
      <c r="L173" s="15"/>
      <c r="M173" s="15"/>
      <c r="N173" s="15"/>
      <c r="O173" s="15"/>
      <c r="P173" s="15"/>
      <c r="Q173" s="15"/>
      <c r="R173" s="15"/>
      <c r="S173" s="15"/>
      <c r="T173" s="15"/>
      <c r="U173" s="15"/>
      <c r="V173" s="15"/>
      <c r="W173" s="15"/>
      <c r="X173" s="14"/>
      <c r="Y173" s="14"/>
      <c r="Z173" s="15"/>
      <c r="AA173" s="15"/>
      <c r="AB173" s="3"/>
      <c r="AC173" s="3"/>
      <c r="AD173" s="3"/>
      <c r="AE173" s="3"/>
      <c r="AF173" s="3"/>
      <c r="AG173" s="3"/>
      <c r="AH173" s="3"/>
      <c r="AI173" s="3"/>
      <c r="AJ173" s="154" t="s">
        <v>70</v>
      </c>
      <c r="AN173" s="154" t="s">
        <v>70</v>
      </c>
    </row>
    <row r="174" ht="15.75" customHeight="1">
      <c r="J174" s="15"/>
      <c r="K174" s="238"/>
      <c r="L174" s="15"/>
      <c r="M174" s="15"/>
      <c r="N174" s="15"/>
      <c r="O174" s="15"/>
      <c r="P174" s="15"/>
      <c r="Q174" s="15"/>
      <c r="R174" s="15"/>
      <c r="S174" s="15"/>
      <c r="T174" s="15"/>
      <c r="U174" s="15"/>
      <c r="V174" s="15"/>
      <c r="W174" s="15"/>
      <c r="X174" s="14"/>
      <c r="Y174" s="14"/>
      <c r="Z174" s="15"/>
      <c r="AA174" s="15"/>
      <c r="AB174" s="3"/>
      <c r="AC174" s="3"/>
      <c r="AD174" s="3"/>
      <c r="AE174" s="3"/>
      <c r="AF174" s="3"/>
      <c r="AG174" s="3"/>
      <c r="AH174" s="3"/>
      <c r="AI174" s="3"/>
      <c r="AJ174" s="154" t="s">
        <v>70</v>
      </c>
      <c r="AN174" s="154" t="s">
        <v>70</v>
      </c>
    </row>
    <row r="175" ht="15.75" customHeight="1">
      <c r="J175" s="15"/>
      <c r="K175" s="238"/>
      <c r="L175" s="15"/>
      <c r="M175" s="15"/>
      <c r="N175" s="15"/>
      <c r="O175" s="15"/>
      <c r="P175" s="15"/>
      <c r="Q175" s="15"/>
      <c r="R175" s="15"/>
      <c r="S175" s="15"/>
      <c r="T175" s="15"/>
      <c r="U175" s="15"/>
      <c r="V175" s="15"/>
      <c r="W175" s="15"/>
      <c r="X175" s="14"/>
      <c r="Y175" s="14"/>
      <c r="Z175" s="15"/>
      <c r="AA175" s="15"/>
      <c r="AB175" s="3"/>
      <c r="AC175" s="3"/>
      <c r="AD175" s="3"/>
      <c r="AE175" s="3"/>
      <c r="AF175" s="3"/>
      <c r="AG175" s="3"/>
      <c r="AH175" s="3"/>
      <c r="AI175" s="3"/>
      <c r="AJ175" s="154" t="s">
        <v>70</v>
      </c>
      <c r="AN175" s="154" t="s">
        <v>70</v>
      </c>
    </row>
    <row r="176" ht="15.75" customHeight="1">
      <c r="J176" s="15"/>
      <c r="K176" s="238"/>
      <c r="L176" s="15"/>
      <c r="M176" s="15"/>
      <c r="N176" s="15"/>
      <c r="O176" s="15"/>
      <c r="P176" s="15"/>
      <c r="Q176" s="15"/>
      <c r="R176" s="15"/>
      <c r="S176" s="15"/>
      <c r="T176" s="15"/>
      <c r="U176" s="15"/>
      <c r="V176" s="15"/>
      <c r="W176" s="15"/>
      <c r="X176" s="14"/>
      <c r="Y176" s="14"/>
      <c r="Z176" s="15"/>
      <c r="AA176" s="15"/>
      <c r="AB176" s="3"/>
      <c r="AC176" s="3"/>
      <c r="AD176" s="3"/>
      <c r="AE176" s="3"/>
      <c r="AF176" s="3"/>
      <c r="AG176" s="3"/>
      <c r="AH176" s="3"/>
      <c r="AI176" s="3"/>
      <c r="AJ176" s="154" t="s">
        <v>70</v>
      </c>
      <c r="AN176" s="154" t="s">
        <v>70</v>
      </c>
    </row>
    <row r="177" ht="15.75" customHeight="1">
      <c r="J177" s="15"/>
      <c r="K177" s="238"/>
      <c r="L177" s="15"/>
      <c r="M177" s="15"/>
      <c r="N177" s="15"/>
      <c r="O177" s="15"/>
      <c r="P177" s="15"/>
      <c r="Q177" s="15"/>
      <c r="R177" s="15"/>
      <c r="S177" s="15"/>
      <c r="T177" s="15"/>
      <c r="U177" s="15"/>
      <c r="V177" s="15"/>
      <c r="W177" s="15"/>
      <c r="X177" s="14"/>
      <c r="Y177" s="14"/>
      <c r="Z177" s="15"/>
      <c r="AA177" s="15"/>
      <c r="AB177" s="3"/>
      <c r="AC177" s="3"/>
      <c r="AD177" s="3"/>
      <c r="AE177" s="3"/>
      <c r="AF177" s="3"/>
      <c r="AG177" s="3"/>
      <c r="AH177" s="3"/>
      <c r="AI177" s="3"/>
      <c r="AJ177" s="154" t="s">
        <v>70</v>
      </c>
      <c r="AN177" s="154" t="s">
        <v>70</v>
      </c>
    </row>
    <row r="178" ht="15.75" customHeight="1">
      <c r="J178" s="15"/>
      <c r="K178" s="238"/>
      <c r="L178" s="15"/>
      <c r="M178" s="15"/>
      <c r="N178" s="15"/>
      <c r="O178" s="15"/>
      <c r="P178" s="15"/>
      <c r="Q178" s="15"/>
      <c r="R178" s="15"/>
      <c r="S178" s="15"/>
      <c r="T178" s="15"/>
      <c r="U178" s="15"/>
      <c r="V178" s="15"/>
      <c r="W178" s="15"/>
      <c r="X178" s="14"/>
      <c r="Y178" s="14"/>
      <c r="Z178" s="15"/>
      <c r="AA178" s="15"/>
      <c r="AB178" s="3"/>
      <c r="AC178" s="3"/>
      <c r="AD178" s="3"/>
      <c r="AE178" s="3"/>
      <c r="AF178" s="3"/>
      <c r="AG178" s="3"/>
      <c r="AH178" s="3"/>
      <c r="AI178" s="3"/>
      <c r="AJ178" s="154" t="s">
        <v>70</v>
      </c>
      <c r="AN178" s="154" t="s">
        <v>70</v>
      </c>
    </row>
    <row r="179" ht="15.75" customHeight="1">
      <c r="J179" s="15"/>
      <c r="K179" s="238"/>
      <c r="L179" s="15"/>
      <c r="M179" s="15"/>
      <c r="N179" s="15"/>
      <c r="O179" s="15"/>
      <c r="P179" s="15"/>
      <c r="Q179" s="15"/>
      <c r="R179" s="15"/>
      <c r="S179" s="15"/>
      <c r="T179" s="15"/>
      <c r="U179" s="15"/>
      <c r="V179" s="15"/>
      <c r="W179" s="15"/>
      <c r="X179" s="14"/>
      <c r="Y179" s="14"/>
      <c r="Z179" s="15"/>
      <c r="AA179" s="15"/>
      <c r="AB179" s="3"/>
      <c r="AC179" s="3"/>
      <c r="AD179" s="3"/>
      <c r="AE179" s="3"/>
      <c r="AF179" s="3"/>
      <c r="AG179" s="3"/>
      <c r="AH179" s="3"/>
      <c r="AI179" s="3"/>
      <c r="AJ179" s="154" t="s">
        <v>70</v>
      </c>
      <c r="AN179" s="154" t="s">
        <v>70</v>
      </c>
    </row>
    <row r="180" ht="15.75" customHeight="1">
      <c r="J180" s="15"/>
      <c r="K180" s="238"/>
      <c r="L180" s="15"/>
      <c r="M180" s="15"/>
      <c r="N180" s="15"/>
      <c r="O180" s="15"/>
      <c r="P180" s="15"/>
      <c r="Q180" s="15"/>
      <c r="R180" s="15"/>
      <c r="S180" s="15"/>
      <c r="T180" s="15"/>
      <c r="U180" s="15"/>
      <c r="V180" s="15"/>
      <c r="W180" s="15"/>
      <c r="X180" s="14"/>
      <c r="Y180" s="14"/>
      <c r="Z180" s="15"/>
      <c r="AA180" s="15"/>
      <c r="AB180" s="3"/>
      <c r="AC180" s="3"/>
      <c r="AD180" s="3"/>
      <c r="AE180" s="3"/>
      <c r="AF180" s="3"/>
      <c r="AG180" s="3"/>
      <c r="AH180" s="3"/>
      <c r="AI180" s="3"/>
      <c r="AJ180" s="154" t="s">
        <v>70</v>
      </c>
      <c r="AN180" s="154" t="s">
        <v>70</v>
      </c>
    </row>
    <row r="181" ht="15.75" customHeight="1">
      <c r="J181" s="15"/>
      <c r="K181" s="238"/>
      <c r="L181" s="15"/>
      <c r="M181" s="15"/>
      <c r="N181" s="15"/>
      <c r="O181" s="15"/>
      <c r="P181" s="15"/>
      <c r="Q181" s="15"/>
      <c r="R181" s="15"/>
      <c r="S181" s="15"/>
      <c r="T181" s="15"/>
      <c r="U181" s="15"/>
      <c r="V181" s="15"/>
      <c r="W181" s="15"/>
      <c r="X181" s="14"/>
      <c r="Y181" s="14"/>
      <c r="Z181" s="15"/>
      <c r="AA181" s="15"/>
      <c r="AB181" s="3"/>
      <c r="AC181" s="3"/>
      <c r="AD181" s="3"/>
      <c r="AE181" s="3"/>
      <c r="AF181" s="3"/>
      <c r="AG181" s="3"/>
      <c r="AH181" s="3"/>
      <c r="AI181" s="3"/>
      <c r="AJ181" s="154" t="s">
        <v>70</v>
      </c>
      <c r="AN181" s="154" t="s">
        <v>70</v>
      </c>
    </row>
    <row r="182" ht="15.75" customHeight="1">
      <c r="J182" s="15"/>
      <c r="K182" s="238"/>
      <c r="L182" s="15"/>
      <c r="M182" s="15"/>
      <c r="N182" s="15"/>
      <c r="O182" s="15"/>
      <c r="P182" s="15"/>
      <c r="Q182" s="15"/>
      <c r="R182" s="15"/>
      <c r="S182" s="15"/>
      <c r="T182" s="15"/>
      <c r="U182" s="15"/>
      <c r="V182" s="15"/>
      <c r="W182" s="15"/>
      <c r="X182" s="14"/>
      <c r="Y182" s="14"/>
      <c r="Z182" s="15"/>
      <c r="AA182" s="15"/>
      <c r="AB182" s="3"/>
      <c r="AC182" s="3"/>
      <c r="AD182" s="3"/>
      <c r="AE182" s="3"/>
      <c r="AF182" s="3"/>
      <c r="AG182" s="3"/>
      <c r="AH182" s="3"/>
      <c r="AI182" s="3"/>
      <c r="AJ182" s="154" t="s">
        <v>70</v>
      </c>
      <c r="AN182" s="154" t="s">
        <v>70</v>
      </c>
    </row>
    <row r="183" ht="15.75" customHeight="1">
      <c r="J183" s="15"/>
      <c r="K183" s="238"/>
      <c r="L183" s="15"/>
      <c r="M183" s="15"/>
      <c r="N183" s="15"/>
      <c r="O183" s="15"/>
      <c r="P183" s="15"/>
      <c r="Q183" s="15"/>
      <c r="R183" s="15"/>
      <c r="S183" s="15"/>
      <c r="T183" s="15"/>
      <c r="U183" s="15"/>
      <c r="V183" s="15"/>
      <c r="W183" s="15"/>
      <c r="X183" s="14"/>
      <c r="Y183" s="14"/>
      <c r="Z183" s="15"/>
      <c r="AA183" s="15"/>
      <c r="AB183" s="3"/>
      <c r="AC183" s="3"/>
      <c r="AD183" s="3"/>
      <c r="AE183" s="3"/>
      <c r="AF183" s="3"/>
      <c r="AG183" s="3"/>
      <c r="AH183" s="3"/>
      <c r="AI183" s="3"/>
      <c r="AJ183" s="154" t="s">
        <v>70</v>
      </c>
      <c r="AN183" s="154" t="s">
        <v>70</v>
      </c>
    </row>
    <row r="184" ht="15.75" customHeight="1">
      <c r="J184" s="15"/>
      <c r="K184" s="238"/>
      <c r="L184" s="15"/>
      <c r="M184" s="15"/>
      <c r="N184" s="15"/>
      <c r="O184" s="15"/>
      <c r="P184" s="15"/>
      <c r="Q184" s="15"/>
      <c r="R184" s="15"/>
      <c r="S184" s="15"/>
      <c r="T184" s="15"/>
      <c r="U184" s="15"/>
      <c r="V184" s="15"/>
      <c r="W184" s="15"/>
      <c r="X184" s="14"/>
      <c r="Y184" s="14"/>
      <c r="Z184" s="15"/>
      <c r="AA184" s="15"/>
      <c r="AB184" s="3"/>
      <c r="AC184" s="3"/>
      <c r="AD184" s="3"/>
      <c r="AE184" s="3"/>
      <c r="AF184" s="3"/>
      <c r="AG184" s="3"/>
      <c r="AH184" s="3"/>
      <c r="AI184" s="3"/>
      <c r="AJ184" s="154" t="s">
        <v>70</v>
      </c>
      <c r="AN184" s="154" t="s">
        <v>70</v>
      </c>
    </row>
    <row r="185" ht="15.75" customHeight="1">
      <c r="J185" s="15"/>
      <c r="K185" s="238"/>
      <c r="L185" s="15"/>
      <c r="M185" s="15"/>
      <c r="N185" s="15"/>
      <c r="O185" s="15"/>
      <c r="P185" s="15"/>
      <c r="Q185" s="15"/>
      <c r="R185" s="15"/>
      <c r="S185" s="15"/>
      <c r="T185" s="15"/>
      <c r="U185" s="15"/>
      <c r="V185" s="15"/>
      <c r="W185" s="15"/>
      <c r="X185" s="14"/>
      <c r="Y185" s="14"/>
      <c r="Z185" s="15"/>
      <c r="AA185" s="15"/>
      <c r="AB185" s="3"/>
      <c r="AC185" s="3"/>
      <c r="AD185" s="3"/>
      <c r="AE185" s="3"/>
      <c r="AF185" s="3"/>
      <c r="AG185" s="3"/>
      <c r="AH185" s="3"/>
      <c r="AI185" s="3"/>
      <c r="AJ185" s="154" t="s">
        <v>70</v>
      </c>
      <c r="AN185" s="154" t="s">
        <v>70</v>
      </c>
    </row>
    <row r="186" ht="15.75" customHeight="1">
      <c r="J186" s="15"/>
      <c r="K186" s="238"/>
      <c r="L186" s="15"/>
      <c r="M186" s="15"/>
      <c r="N186" s="15"/>
      <c r="O186" s="15"/>
      <c r="P186" s="15"/>
      <c r="Q186" s="15"/>
      <c r="R186" s="15"/>
      <c r="S186" s="15"/>
      <c r="T186" s="15"/>
      <c r="U186" s="15"/>
      <c r="V186" s="15"/>
      <c r="W186" s="15"/>
      <c r="X186" s="14"/>
      <c r="Y186" s="14"/>
      <c r="Z186" s="15"/>
      <c r="AA186" s="15"/>
      <c r="AB186" s="3"/>
      <c r="AC186" s="3"/>
      <c r="AD186" s="3"/>
      <c r="AE186" s="3"/>
      <c r="AF186" s="3"/>
      <c r="AG186" s="3"/>
      <c r="AH186" s="3"/>
      <c r="AI186" s="3"/>
      <c r="AJ186" s="154" t="s">
        <v>70</v>
      </c>
      <c r="AN186" s="154" t="s">
        <v>70</v>
      </c>
    </row>
    <row r="187" ht="15.75" customHeight="1">
      <c r="J187" s="15"/>
      <c r="K187" s="238"/>
      <c r="L187" s="15"/>
      <c r="M187" s="15"/>
      <c r="N187" s="15"/>
      <c r="O187" s="15"/>
      <c r="P187" s="15"/>
      <c r="Q187" s="15"/>
      <c r="R187" s="15"/>
      <c r="S187" s="15"/>
      <c r="T187" s="15"/>
      <c r="U187" s="15"/>
      <c r="V187" s="15"/>
      <c r="W187" s="15"/>
      <c r="X187" s="14"/>
      <c r="Y187" s="14"/>
      <c r="Z187" s="15"/>
      <c r="AA187" s="15"/>
      <c r="AB187" s="3"/>
      <c r="AC187" s="3"/>
      <c r="AD187" s="3"/>
      <c r="AE187" s="3"/>
      <c r="AF187" s="3"/>
      <c r="AG187" s="3"/>
      <c r="AH187" s="3"/>
      <c r="AI187" s="3"/>
      <c r="AJ187" s="154" t="s">
        <v>70</v>
      </c>
      <c r="AN187" s="154" t="s">
        <v>70</v>
      </c>
    </row>
    <row r="188" ht="15.75" customHeight="1">
      <c r="J188" s="15"/>
      <c r="K188" s="238"/>
      <c r="L188" s="15"/>
      <c r="M188" s="15"/>
      <c r="N188" s="15"/>
      <c r="O188" s="15"/>
      <c r="P188" s="15"/>
      <c r="Q188" s="15"/>
      <c r="R188" s="15"/>
      <c r="S188" s="15"/>
      <c r="T188" s="15"/>
      <c r="U188" s="15"/>
      <c r="V188" s="15"/>
      <c r="W188" s="15"/>
      <c r="X188" s="14"/>
      <c r="Y188" s="14"/>
      <c r="Z188" s="15"/>
      <c r="AA188" s="15"/>
      <c r="AB188" s="3"/>
      <c r="AC188" s="3"/>
      <c r="AD188" s="3"/>
      <c r="AE188" s="3"/>
      <c r="AF188" s="3"/>
      <c r="AG188" s="3"/>
      <c r="AH188" s="3"/>
      <c r="AI188" s="3"/>
      <c r="AJ188" s="154" t="s">
        <v>70</v>
      </c>
      <c r="AN188" s="154" t="s">
        <v>70</v>
      </c>
    </row>
    <row r="189" ht="15.75" customHeight="1">
      <c r="J189" s="15"/>
      <c r="K189" s="238"/>
      <c r="L189" s="15"/>
      <c r="M189" s="15"/>
      <c r="N189" s="15"/>
      <c r="O189" s="15"/>
      <c r="P189" s="15"/>
      <c r="Q189" s="15"/>
      <c r="R189" s="15"/>
      <c r="S189" s="15"/>
      <c r="T189" s="15"/>
      <c r="U189" s="15"/>
      <c r="V189" s="15"/>
      <c r="W189" s="15"/>
      <c r="X189" s="14"/>
      <c r="Y189" s="14"/>
      <c r="Z189" s="15"/>
      <c r="AA189" s="15"/>
      <c r="AB189" s="3"/>
      <c r="AC189" s="3"/>
      <c r="AD189" s="3"/>
      <c r="AE189" s="3"/>
      <c r="AF189" s="3"/>
      <c r="AG189" s="3"/>
      <c r="AH189" s="3"/>
      <c r="AI189" s="3"/>
      <c r="AJ189" s="154" t="s">
        <v>70</v>
      </c>
      <c r="AN189" s="154" t="s">
        <v>70</v>
      </c>
    </row>
    <row r="190" ht="15.75" customHeight="1">
      <c r="J190" s="15"/>
      <c r="K190" s="238"/>
      <c r="L190" s="15"/>
      <c r="M190" s="15"/>
      <c r="N190" s="15"/>
      <c r="O190" s="15"/>
      <c r="P190" s="15"/>
      <c r="Q190" s="15"/>
      <c r="R190" s="15"/>
      <c r="S190" s="15"/>
      <c r="T190" s="15"/>
      <c r="U190" s="15"/>
      <c r="V190" s="15"/>
      <c r="W190" s="15"/>
      <c r="X190" s="14"/>
      <c r="Y190" s="14"/>
      <c r="Z190" s="15"/>
      <c r="AA190" s="15"/>
      <c r="AB190" s="3"/>
      <c r="AC190" s="3"/>
      <c r="AD190" s="3"/>
      <c r="AE190" s="3"/>
      <c r="AF190" s="3"/>
      <c r="AG190" s="3"/>
      <c r="AH190" s="3"/>
      <c r="AI190" s="3"/>
      <c r="AJ190" s="154" t="s">
        <v>70</v>
      </c>
      <c r="AN190" s="154" t="s">
        <v>70</v>
      </c>
    </row>
    <row r="191" ht="15.75" customHeight="1">
      <c r="J191" s="15"/>
      <c r="K191" s="238"/>
      <c r="L191" s="15"/>
      <c r="M191" s="15"/>
      <c r="N191" s="15"/>
      <c r="O191" s="15"/>
      <c r="P191" s="15"/>
      <c r="Q191" s="15"/>
      <c r="R191" s="15"/>
      <c r="S191" s="15"/>
      <c r="T191" s="15"/>
      <c r="U191" s="15"/>
      <c r="V191" s="15"/>
      <c r="W191" s="15"/>
      <c r="X191" s="14"/>
      <c r="Y191" s="14"/>
      <c r="Z191" s="15"/>
      <c r="AA191" s="15"/>
      <c r="AB191" s="3"/>
      <c r="AC191" s="3"/>
      <c r="AD191" s="3"/>
      <c r="AE191" s="3"/>
      <c r="AF191" s="3"/>
      <c r="AG191" s="3"/>
      <c r="AH191" s="3"/>
      <c r="AI191" s="3"/>
      <c r="AJ191" s="154" t="s">
        <v>70</v>
      </c>
      <c r="AN191" s="154" t="s">
        <v>70</v>
      </c>
    </row>
    <row r="192" ht="15.75" customHeight="1">
      <c r="J192" s="15"/>
      <c r="K192" s="238"/>
      <c r="L192" s="15"/>
      <c r="M192" s="15"/>
      <c r="N192" s="15"/>
      <c r="O192" s="15"/>
      <c r="P192" s="15"/>
      <c r="Q192" s="15"/>
      <c r="R192" s="15"/>
      <c r="S192" s="15"/>
      <c r="T192" s="15"/>
      <c r="U192" s="15"/>
      <c r="V192" s="15"/>
      <c r="W192" s="15"/>
      <c r="X192" s="14"/>
      <c r="Y192" s="14"/>
      <c r="Z192" s="15"/>
      <c r="AA192" s="15"/>
      <c r="AB192" s="3"/>
      <c r="AC192" s="3"/>
      <c r="AD192" s="3"/>
      <c r="AE192" s="3"/>
      <c r="AF192" s="3"/>
      <c r="AG192" s="3"/>
      <c r="AH192" s="3"/>
      <c r="AI192" s="3"/>
      <c r="AJ192" s="154" t="s">
        <v>70</v>
      </c>
      <c r="AN192" s="154" t="s">
        <v>70</v>
      </c>
    </row>
    <row r="193" ht="15.75" customHeight="1">
      <c r="J193" s="15"/>
      <c r="K193" s="238"/>
      <c r="L193" s="15"/>
      <c r="M193" s="15"/>
      <c r="N193" s="15"/>
      <c r="O193" s="15"/>
      <c r="P193" s="15"/>
      <c r="Q193" s="15"/>
      <c r="R193" s="15"/>
      <c r="S193" s="15"/>
      <c r="T193" s="15"/>
      <c r="U193" s="15"/>
      <c r="V193" s="15"/>
      <c r="W193" s="15"/>
      <c r="X193" s="14"/>
      <c r="Y193" s="14"/>
      <c r="Z193" s="15"/>
      <c r="AA193" s="15"/>
      <c r="AB193" s="3"/>
      <c r="AC193" s="3"/>
      <c r="AD193" s="3"/>
      <c r="AE193" s="3"/>
      <c r="AF193" s="3"/>
      <c r="AG193" s="3"/>
      <c r="AH193" s="3"/>
      <c r="AI193" s="3"/>
      <c r="AJ193" s="154" t="s">
        <v>70</v>
      </c>
      <c r="AN193" s="154" t="s">
        <v>70</v>
      </c>
    </row>
    <row r="194" ht="15.75" customHeight="1">
      <c r="J194" s="15"/>
      <c r="K194" s="238"/>
      <c r="L194" s="15"/>
      <c r="M194" s="15"/>
      <c r="N194" s="15"/>
      <c r="O194" s="15"/>
      <c r="P194" s="15"/>
      <c r="Q194" s="15"/>
      <c r="R194" s="15"/>
      <c r="S194" s="15"/>
      <c r="T194" s="15"/>
      <c r="U194" s="15"/>
      <c r="V194" s="15"/>
      <c r="W194" s="15"/>
      <c r="X194" s="14"/>
      <c r="Y194" s="14"/>
      <c r="Z194" s="15"/>
      <c r="AA194" s="15"/>
      <c r="AB194" s="3"/>
      <c r="AC194" s="3"/>
      <c r="AD194" s="3"/>
      <c r="AE194" s="3"/>
      <c r="AF194" s="3"/>
      <c r="AG194" s="3"/>
      <c r="AH194" s="3"/>
      <c r="AI194" s="3"/>
      <c r="AJ194" s="154" t="s">
        <v>70</v>
      </c>
      <c r="AN194" s="154" t="s">
        <v>70</v>
      </c>
    </row>
    <row r="195" ht="15.75" customHeight="1">
      <c r="J195" s="15"/>
      <c r="K195" s="238"/>
      <c r="L195" s="15"/>
      <c r="M195" s="15"/>
      <c r="N195" s="15"/>
      <c r="O195" s="15"/>
      <c r="P195" s="15"/>
      <c r="Q195" s="15"/>
      <c r="R195" s="15"/>
      <c r="S195" s="15"/>
      <c r="T195" s="15"/>
      <c r="U195" s="15"/>
      <c r="V195" s="15"/>
      <c r="W195" s="15"/>
      <c r="X195" s="14"/>
      <c r="Y195" s="14"/>
      <c r="Z195" s="15"/>
      <c r="AA195" s="15"/>
      <c r="AB195" s="3"/>
      <c r="AC195" s="3"/>
      <c r="AD195" s="3"/>
      <c r="AE195" s="3"/>
      <c r="AF195" s="3"/>
      <c r="AG195" s="3"/>
      <c r="AH195" s="3"/>
      <c r="AI195" s="3"/>
      <c r="AJ195" s="154" t="s">
        <v>70</v>
      </c>
      <c r="AN195" s="154" t="s">
        <v>70</v>
      </c>
    </row>
    <row r="196" ht="15.75" customHeight="1">
      <c r="J196" s="15"/>
      <c r="K196" s="238"/>
      <c r="L196" s="15"/>
      <c r="M196" s="15"/>
      <c r="N196" s="15"/>
      <c r="O196" s="15"/>
      <c r="P196" s="15"/>
      <c r="Q196" s="15"/>
      <c r="R196" s="15"/>
      <c r="S196" s="15"/>
      <c r="T196" s="15"/>
      <c r="U196" s="15"/>
      <c r="V196" s="15"/>
      <c r="W196" s="15"/>
      <c r="X196" s="14"/>
      <c r="Y196" s="14"/>
      <c r="Z196" s="15"/>
      <c r="AA196" s="15"/>
      <c r="AB196" s="3"/>
      <c r="AC196" s="3"/>
      <c r="AD196" s="3"/>
      <c r="AE196" s="3"/>
      <c r="AF196" s="3"/>
      <c r="AG196" s="3"/>
      <c r="AH196" s="3"/>
      <c r="AI196" s="3"/>
      <c r="AJ196" s="154" t="s">
        <v>70</v>
      </c>
      <c r="AN196" s="154" t="s">
        <v>70</v>
      </c>
    </row>
    <row r="197" ht="15.75" customHeight="1">
      <c r="J197" s="15"/>
      <c r="K197" s="238"/>
      <c r="L197" s="15"/>
      <c r="M197" s="15"/>
      <c r="N197" s="15"/>
      <c r="O197" s="15"/>
      <c r="P197" s="15"/>
      <c r="Q197" s="15"/>
      <c r="R197" s="15"/>
      <c r="S197" s="15"/>
      <c r="T197" s="15"/>
      <c r="U197" s="15"/>
      <c r="V197" s="15"/>
      <c r="W197" s="15"/>
      <c r="X197" s="14"/>
      <c r="Y197" s="14"/>
      <c r="Z197" s="15"/>
      <c r="AA197" s="15"/>
      <c r="AB197" s="3"/>
      <c r="AC197" s="3"/>
      <c r="AD197" s="3"/>
      <c r="AE197" s="3"/>
      <c r="AF197" s="3"/>
      <c r="AG197" s="3"/>
      <c r="AH197" s="3"/>
      <c r="AI197" s="3"/>
      <c r="AJ197" s="154" t="s">
        <v>70</v>
      </c>
      <c r="AN197" s="154" t="s">
        <v>70</v>
      </c>
    </row>
    <row r="198" ht="15.75" customHeight="1">
      <c r="J198" s="15"/>
      <c r="K198" s="238"/>
      <c r="L198" s="15"/>
      <c r="M198" s="15"/>
      <c r="N198" s="15"/>
      <c r="O198" s="15"/>
      <c r="P198" s="15"/>
      <c r="Q198" s="15"/>
      <c r="R198" s="15"/>
      <c r="S198" s="15"/>
      <c r="T198" s="15"/>
      <c r="U198" s="15"/>
      <c r="V198" s="15"/>
      <c r="W198" s="15"/>
      <c r="X198" s="14"/>
      <c r="Y198" s="14"/>
      <c r="Z198" s="15"/>
      <c r="AA198" s="15"/>
      <c r="AB198" s="3"/>
      <c r="AC198" s="3"/>
      <c r="AD198" s="3"/>
      <c r="AE198" s="3"/>
      <c r="AF198" s="3"/>
      <c r="AG198" s="3"/>
      <c r="AH198" s="3"/>
      <c r="AI198" s="3"/>
      <c r="AJ198" s="154" t="s">
        <v>70</v>
      </c>
      <c r="AN198" s="154" t="s">
        <v>70</v>
      </c>
    </row>
    <row r="199" ht="15.75" customHeight="1">
      <c r="J199" s="15"/>
      <c r="K199" s="238"/>
      <c r="L199" s="15"/>
      <c r="M199" s="15"/>
      <c r="N199" s="15"/>
      <c r="O199" s="15"/>
      <c r="P199" s="15"/>
      <c r="Q199" s="15"/>
      <c r="R199" s="15"/>
      <c r="S199" s="15"/>
      <c r="T199" s="15"/>
      <c r="U199" s="15"/>
      <c r="V199" s="15"/>
      <c r="W199" s="15"/>
      <c r="X199" s="14"/>
      <c r="Y199" s="14"/>
      <c r="Z199" s="15"/>
      <c r="AA199" s="15"/>
      <c r="AB199" s="3"/>
      <c r="AC199" s="3"/>
      <c r="AD199" s="3"/>
      <c r="AE199" s="3"/>
      <c r="AF199" s="3"/>
      <c r="AG199" s="3"/>
      <c r="AH199" s="3"/>
      <c r="AI199" s="3"/>
      <c r="AJ199" s="154" t="s">
        <v>70</v>
      </c>
      <c r="AN199" s="154" t="s">
        <v>70</v>
      </c>
    </row>
    <row r="200" ht="15.75" customHeight="1">
      <c r="J200" s="15"/>
      <c r="K200" s="238"/>
      <c r="L200" s="15"/>
      <c r="M200" s="15"/>
      <c r="N200" s="15"/>
      <c r="O200" s="15"/>
      <c r="P200" s="15"/>
      <c r="Q200" s="15"/>
      <c r="R200" s="15"/>
      <c r="S200" s="15"/>
      <c r="T200" s="15"/>
      <c r="U200" s="15"/>
      <c r="V200" s="15"/>
      <c r="W200" s="15"/>
      <c r="X200" s="14"/>
      <c r="Y200" s="14"/>
      <c r="Z200" s="15"/>
      <c r="AA200" s="15"/>
      <c r="AB200" s="3"/>
      <c r="AC200" s="3"/>
      <c r="AD200" s="3"/>
      <c r="AE200" s="3"/>
      <c r="AF200" s="3"/>
      <c r="AG200" s="3"/>
      <c r="AH200" s="3"/>
      <c r="AI200" s="3"/>
      <c r="AJ200" s="154" t="s">
        <v>70</v>
      </c>
      <c r="AN200" s="154" t="s">
        <v>70</v>
      </c>
    </row>
    <row r="201" ht="15.75" customHeight="1">
      <c r="J201" s="15"/>
      <c r="K201" s="238"/>
      <c r="L201" s="15"/>
      <c r="M201" s="15"/>
      <c r="N201" s="15"/>
      <c r="O201" s="15"/>
      <c r="P201" s="15"/>
      <c r="Q201" s="15"/>
      <c r="R201" s="15"/>
      <c r="S201" s="15"/>
      <c r="T201" s="15"/>
      <c r="U201" s="15"/>
      <c r="V201" s="15"/>
      <c r="W201" s="15"/>
      <c r="X201" s="14"/>
      <c r="Y201" s="14"/>
      <c r="Z201" s="15"/>
      <c r="AA201" s="15"/>
      <c r="AB201" s="3"/>
      <c r="AC201" s="3"/>
      <c r="AD201" s="3"/>
      <c r="AE201" s="3"/>
      <c r="AF201" s="3"/>
      <c r="AG201" s="3"/>
      <c r="AH201" s="3"/>
      <c r="AI201" s="3"/>
      <c r="AJ201" s="154" t="s">
        <v>70</v>
      </c>
      <c r="AN201" s="154" t="s">
        <v>70</v>
      </c>
    </row>
    <row r="202" ht="15.75" customHeight="1">
      <c r="J202" s="15"/>
      <c r="K202" s="238"/>
      <c r="L202" s="15"/>
      <c r="M202" s="15"/>
      <c r="N202" s="15"/>
      <c r="O202" s="15"/>
      <c r="P202" s="15"/>
      <c r="Q202" s="15"/>
      <c r="R202" s="15"/>
      <c r="S202" s="15"/>
      <c r="T202" s="15"/>
      <c r="U202" s="15"/>
      <c r="V202" s="15"/>
      <c r="W202" s="15"/>
      <c r="X202" s="14"/>
      <c r="Y202" s="14"/>
      <c r="Z202" s="15"/>
      <c r="AA202" s="15"/>
      <c r="AB202" s="3"/>
      <c r="AC202" s="3"/>
      <c r="AD202" s="3"/>
      <c r="AE202" s="3"/>
      <c r="AF202" s="3"/>
      <c r="AG202" s="3"/>
      <c r="AH202" s="3"/>
      <c r="AI202" s="3"/>
      <c r="AJ202" s="154" t="s">
        <v>70</v>
      </c>
      <c r="AN202" s="154" t="s">
        <v>70</v>
      </c>
    </row>
    <row r="203" ht="15.75" customHeight="1">
      <c r="J203" s="15"/>
      <c r="K203" s="238"/>
      <c r="L203" s="15"/>
      <c r="M203" s="15"/>
      <c r="N203" s="15"/>
      <c r="O203" s="15"/>
      <c r="P203" s="15"/>
      <c r="Q203" s="15"/>
      <c r="R203" s="15"/>
      <c r="S203" s="15"/>
      <c r="T203" s="15"/>
      <c r="U203" s="15"/>
      <c r="V203" s="15"/>
      <c r="W203" s="15"/>
      <c r="X203" s="14"/>
      <c r="Y203" s="14"/>
      <c r="Z203" s="15"/>
      <c r="AA203" s="15"/>
      <c r="AB203" s="3"/>
      <c r="AC203" s="3"/>
      <c r="AD203" s="3"/>
      <c r="AE203" s="3"/>
      <c r="AF203" s="3"/>
      <c r="AG203" s="3"/>
      <c r="AH203" s="3"/>
      <c r="AI203" s="3"/>
      <c r="AJ203" s="154" t="s">
        <v>70</v>
      </c>
      <c r="AN203" s="154" t="s">
        <v>70</v>
      </c>
    </row>
    <row r="204" ht="15.75" customHeight="1">
      <c r="J204" s="15"/>
      <c r="K204" s="238"/>
      <c r="L204" s="15"/>
      <c r="M204" s="15"/>
      <c r="N204" s="15"/>
      <c r="O204" s="15"/>
      <c r="P204" s="15"/>
      <c r="Q204" s="15"/>
      <c r="R204" s="15"/>
      <c r="S204" s="15"/>
      <c r="T204" s="15"/>
      <c r="U204" s="15"/>
      <c r="V204" s="15"/>
      <c r="W204" s="15"/>
      <c r="X204" s="14"/>
      <c r="Y204" s="14"/>
      <c r="Z204" s="15"/>
      <c r="AA204" s="15"/>
      <c r="AB204" s="3"/>
      <c r="AC204" s="3"/>
      <c r="AD204" s="3"/>
      <c r="AE204" s="3"/>
      <c r="AF204" s="3"/>
      <c r="AG204" s="3"/>
      <c r="AH204" s="3"/>
      <c r="AI204" s="3"/>
      <c r="AJ204" s="154" t="s">
        <v>70</v>
      </c>
      <c r="AN204" s="154" t="s">
        <v>70</v>
      </c>
    </row>
    <row r="205" ht="15.75" customHeight="1">
      <c r="J205" s="15"/>
      <c r="K205" s="238"/>
      <c r="L205" s="15"/>
      <c r="M205" s="15"/>
      <c r="N205" s="15"/>
      <c r="O205" s="15"/>
      <c r="P205" s="15"/>
      <c r="Q205" s="15"/>
      <c r="R205" s="15"/>
      <c r="S205" s="15"/>
      <c r="T205" s="15"/>
      <c r="U205" s="15"/>
      <c r="V205" s="15"/>
      <c r="W205" s="15"/>
      <c r="X205" s="14"/>
      <c r="Y205" s="14"/>
      <c r="Z205" s="15"/>
      <c r="AA205" s="15"/>
      <c r="AB205" s="3"/>
      <c r="AC205" s="3"/>
      <c r="AD205" s="3"/>
      <c r="AE205" s="3"/>
      <c r="AF205" s="3"/>
      <c r="AG205" s="3"/>
      <c r="AH205" s="3"/>
      <c r="AI205" s="3"/>
      <c r="AJ205" s="154" t="s">
        <v>70</v>
      </c>
      <c r="AN205" s="154" t="s">
        <v>70</v>
      </c>
    </row>
    <row r="206" ht="15.75" customHeight="1">
      <c r="J206" s="15"/>
      <c r="K206" s="238"/>
      <c r="L206" s="15"/>
      <c r="M206" s="15"/>
      <c r="N206" s="15"/>
      <c r="O206" s="15"/>
      <c r="P206" s="15"/>
      <c r="Q206" s="15"/>
      <c r="R206" s="15"/>
      <c r="S206" s="15"/>
      <c r="T206" s="15"/>
      <c r="U206" s="15"/>
      <c r="V206" s="15"/>
      <c r="W206" s="15"/>
      <c r="X206" s="14"/>
      <c r="Y206" s="14"/>
      <c r="Z206" s="15"/>
      <c r="AA206" s="15"/>
      <c r="AB206" s="3"/>
      <c r="AC206" s="3"/>
      <c r="AD206" s="3"/>
      <c r="AE206" s="3"/>
      <c r="AF206" s="3"/>
      <c r="AG206" s="3"/>
      <c r="AH206" s="3"/>
      <c r="AI206" s="3"/>
      <c r="AJ206" s="154" t="s">
        <v>70</v>
      </c>
      <c r="AN206" s="154" t="s">
        <v>70</v>
      </c>
    </row>
    <row r="207" ht="15.75" customHeight="1">
      <c r="J207" s="15"/>
      <c r="K207" s="238"/>
      <c r="L207" s="15"/>
      <c r="M207" s="15"/>
      <c r="N207" s="15"/>
      <c r="O207" s="15"/>
      <c r="P207" s="15"/>
      <c r="Q207" s="15"/>
      <c r="R207" s="15"/>
      <c r="S207" s="15"/>
      <c r="T207" s="15"/>
      <c r="U207" s="15"/>
      <c r="V207" s="15"/>
      <c r="W207" s="15"/>
      <c r="X207" s="14"/>
      <c r="Y207" s="14"/>
      <c r="Z207" s="15"/>
      <c r="AA207" s="15"/>
      <c r="AB207" s="3"/>
      <c r="AC207" s="3"/>
      <c r="AD207" s="3"/>
      <c r="AE207" s="3"/>
      <c r="AF207" s="3"/>
      <c r="AG207" s="3"/>
      <c r="AH207" s="3"/>
      <c r="AI207" s="3"/>
      <c r="AJ207" s="154" t="s">
        <v>70</v>
      </c>
      <c r="AN207" s="154" t="s">
        <v>70</v>
      </c>
    </row>
    <row r="208" ht="15.75" customHeight="1">
      <c r="J208" s="15"/>
      <c r="K208" s="238"/>
      <c r="L208" s="15"/>
      <c r="M208" s="15"/>
      <c r="N208" s="15"/>
      <c r="O208" s="15"/>
      <c r="P208" s="15"/>
      <c r="Q208" s="15"/>
      <c r="R208" s="15"/>
      <c r="S208" s="15"/>
      <c r="T208" s="15"/>
      <c r="U208" s="15"/>
      <c r="V208" s="15"/>
      <c r="W208" s="15"/>
      <c r="X208" s="14"/>
      <c r="Y208" s="14"/>
      <c r="Z208" s="15"/>
      <c r="AA208" s="15"/>
      <c r="AB208" s="3"/>
      <c r="AC208" s="3"/>
      <c r="AD208" s="3"/>
      <c r="AE208" s="3"/>
      <c r="AF208" s="3"/>
      <c r="AG208" s="3"/>
      <c r="AH208" s="3"/>
      <c r="AI208" s="3"/>
      <c r="AJ208" s="154" t="s">
        <v>70</v>
      </c>
      <c r="AN208" s="154" t="s">
        <v>70</v>
      </c>
    </row>
    <row r="209" ht="15.75" customHeight="1">
      <c r="J209" s="15"/>
      <c r="K209" s="238"/>
      <c r="L209" s="15"/>
      <c r="M209" s="15"/>
      <c r="N209" s="15"/>
      <c r="O209" s="15"/>
      <c r="P209" s="15"/>
      <c r="Q209" s="15"/>
      <c r="R209" s="15"/>
      <c r="S209" s="15"/>
      <c r="T209" s="15"/>
      <c r="U209" s="15"/>
      <c r="V209" s="15"/>
      <c r="W209" s="15"/>
      <c r="X209" s="14"/>
      <c r="Y209" s="14"/>
      <c r="Z209" s="15"/>
      <c r="AA209" s="15"/>
      <c r="AB209" s="3"/>
      <c r="AC209" s="3"/>
      <c r="AD209" s="3"/>
      <c r="AE209" s="3"/>
      <c r="AF209" s="3"/>
      <c r="AG209" s="3"/>
      <c r="AH209" s="3"/>
      <c r="AI209" s="3"/>
      <c r="AJ209" s="154" t="s">
        <v>70</v>
      </c>
      <c r="AN209" s="154" t="s">
        <v>70</v>
      </c>
    </row>
    <row r="210" ht="15.75" customHeight="1">
      <c r="J210" s="15"/>
      <c r="K210" s="238"/>
      <c r="L210" s="15"/>
      <c r="M210" s="15"/>
      <c r="N210" s="15"/>
      <c r="O210" s="15"/>
      <c r="P210" s="15"/>
      <c r="Q210" s="15"/>
      <c r="R210" s="15"/>
      <c r="S210" s="15"/>
      <c r="T210" s="15"/>
      <c r="U210" s="15"/>
      <c r="V210" s="15"/>
      <c r="W210" s="15"/>
      <c r="X210" s="14"/>
      <c r="Y210" s="14"/>
      <c r="Z210" s="15"/>
      <c r="AA210" s="15"/>
      <c r="AB210" s="3"/>
      <c r="AC210" s="3"/>
      <c r="AD210" s="3"/>
      <c r="AE210" s="3"/>
      <c r="AF210" s="3"/>
      <c r="AG210" s="3"/>
      <c r="AH210" s="3"/>
      <c r="AI210" s="3"/>
      <c r="AJ210" s="154" t="s">
        <v>70</v>
      </c>
      <c r="AN210" s="154" t="s">
        <v>70</v>
      </c>
    </row>
    <row r="211" ht="15.75" customHeight="1">
      <c r="J211" s="15"/>
      <c r="K211" s="238"/>
      <c r="L211" s="15"/>
      <c r="M211" s="15"/>
      <c r="N211" s="15"/>
      <c r="O211" s="15"/>
      <c r="P211" s="15"/>
      <c r="Q211" s="15"/>
      <c r="R211" s="15"/>
      <c r="S211" s="15"/>
      <c r="T211" s="15"/>
      <c r="U211" s="15"/>
      <c r="V211" s="15"/>
      <c r="W211" s="15"/>
      <c r="X211" s="14"/>
      <c r="Y211" s="14"/>
      <c r="Z211" s="15"/>
      <c r="AA211" s="15"/>
      <c r="AB211" s="3"/>
      <c r="AC211" s="3"/>
      <c r="AD211" s="3"/>
      <c r="AE211" s="3"/>
      <c r="AF211" s="3"/>
      <c r="AG211" s="3"/>
      <c r="AH211" s="3"/>
      <c r="AI211" s="3"/>
      <c r="AJ211" s="154" t="s">
        <v>70</v>
      </c>
      <c r="AN211" s="154" t="s">
        <v>70</v>
      </c>
    </row>
    <row r="212" ht="15.75" customHeight="1">
      <c r="J212" s="15"/>
      <c r="K212" s="238"/>
      <c r="L212" s="15"/>
      <c r="M212" s="15"/>
      <c r="N212" s="15"/>
      <c r="O212" s="15"/>
      <c r="P212" s="15"/>
      <c r="Q212" s="15"/>
      <c r="R212" s="15"/>
      <c r="S212" s="15"/>
      <c r="T212" s="15"/>
      <c r="U212" s="15"/>
      <c r="V212" s="15"/>
      <c r="W212" s="15"/>
      <c r="X212" s="14"/>
      <c r="Y212" s="14"/>
      <c r="Z212" s="15"/>
      <c r="AA212" s="15"/>
      <c r="AB212" s="3"/>
      <c r="AC212" s="3"/>
      <c r="AD212" s="3"/>
      <c r="AE212" s="3"/>
      <c r="AF212" s="3"/>
      <c r="AG212" s="3"/>
      <c r="AH212" s="3"/>
      <c r="AI212" s="3"/>
      <c r="AJ212" s="154" t="s">
        <v>70</v>
      </c>
      <c r="AN212" s="154" t="s">
        <v>70</v>
      </c>
    </row>
    <row r="213" ht="15.75" customHeight="1">
      <c r="J213" s="15"/>
      <c r="K213" s="238"/>
      <c r="L213" s="15"/>
      <c r="M213" s="15"/>
      <c r="N213" s="15"/>
      <c r="O213" s="15"/>
      <c r="P213" s="15"/>
      <c r="Q213" s="15"/>
      <c r="R213" s="15"/>
      <c r="S213" s="15"/>
      <c r="T213" s="15"/>
      <c r="U213" s="15"/>
      <c r="V213" s="15"/>
      <c r="W213" s="15"/>
      <c r="X213" s="14"/>
      <c r="Y213" s="14"/>
      <c r="Z213" s="15"/>
      <c r="AA213" s="15"/>
      <c r="AB213" s="3"/>
      <c r="AC213" s="3"/>
      <c r="AD213" s="3"/>
      <c r="AE213" s="3"/>
      <c r="AF213" s="3"/>
      <c r="AG213" s="3"/>
      <c r="AH213" s="3"/>
      <c r="AI213" s="3"/>
      <c r="AJ213" s="154" t="s">
        <v>70</v>
      </c>
      <c r="AN213" s="154" t="s">
        <v>70</v>
      </c>
    </row>
    <row r="214" ht="15.75" customHeight="1">
      <c r="J214" s="15"/>
      <c r="K214" s="238"/>
      <c r="L214" s="15"/>
      <c r="M214" s="15"/>
      <c r="N214" s="15"/>
      <c r="O214" s="15"/>
      <c r="P214" s="15"/>
      <c r="Q214" s="15"/>
      <c r="R214" s="15"/>
      <c r="S214" s="15"/>
      <c r="T214" s="15"/>
      <c r="U214" s="15"/>
      <c r="V214" s="15"/>
      <c r="W214" s="15"/>
      <c r="X214" s="14"/>
      <c r="Y214" s="14"/>
      <c r="Z214" s="15"/>
      <c r="AA214" s="15"/>
      <c r="AB214" s="3"/>
      <c r="AC214" s="3"/>
      <c r="AD214" s="3"/>
      <c r="AE214" s="3"/>
      <c r="AF214" s="3"/>
      <c r="AG214" s="3"/>
      <c r="AH214" s="3"/>
      <c r="AI214" s="3"/>
      <c r="AJ214" s="154" t="s">
        <v>70</v>
      </c>
      <c r="AN214" s="154" t="s">
        <v>70</v>
      </c>
    </row>
    <row r="215" ht="15.75" customHeight="1">
      <c r="J215" s="15"/>
      <c r="K215" s="238"/>
      <c r="L215" s="15"/>
      <c r="M215" s="15"/>
      <c r="N215" s="15"/>
      <c r="O215" s="15"/>
      <c r="P215" s="15"/>
      <c r="Q215" s="15"/>
      <c r="R215" s="15"/>
      <c r="S215" s="15"/>
      <c r="T215" s="15"/>
      <c r="U215" s="15"/>
      <c r="V215" s="15"/>
      <c r="W215" s="15"/>
      <c r="X215" s="14"/>
      <c r="Y215" s="14"/>
      <c r="Z215" s="15"/>
      <c r="AA215" s="15"/>
      <c r="AB215" s="3"/>
      <c r="AC215" s="3"/>
      <c r="AD215" s="3"/>
      <c r="AE215" s="3"/>
      <c r="AF215" s="3"/>
      <c r="AG215" s="3"/>
      <c r="AH215" s="3"/>
      <c r="AI215" s="3"/>
      <c r="AJ215" s="154" t="s">
        <v>70</v>
      </c>
      <c r="AN215" s="154" t="s">
        <v>70</v>
      </c>
    </row>
    <row r="216" ht="15.75" customHeight="1">
      <c r="J216" s="15"/>
      <c r="K216" s="238"/>
      <c r="L216" s="15"/>
      <c r="M216" s="15"/>
      <c r="N216" s="15"/>
      <c r="O216" s="15"/>
      <c r="P216" s="15"/>
      <c r="Q216" s="15"/>
      <c r="R216" s="15"/>
      <c r="S216" s="15"/>
      <c r="T216" s="15"/>
      <c r="U216" s="15"/>
      <c r="V216" s="15"/>
      <c r="W216" s="15"/>
      <c r="X216" s="14"/>
      <c r="Y216" s="14"/>
      <c r="Z216" s="15"/>
      <c r="AA216" s="15"/>
      <c r="AB216" s="3"/>
      <c r="AC216" s="3"/>
      <c r="AD216" s="3"/>
      <c r="AE216" s="3"/>
      <c r="AF216" s="3"/>
      <c r="AG216" s="3"/>
      <c r="AH216" s="3"/>
      <c r="AI216" s="3"/>
      <c r="AJ216" s="154" t="s">
        <v>70</v>
      </c>
      <c r="AN216" s="154" t="s">
        <v>70</v>
      </c>
    </row>
    <row r="217" ht="15.75" customHeight="1">
      <c r="J217" s="15"/>
      <c r="K217" s="238"/>
      <c r="L217" s="15"/>
      <c r="M217" s="15"/>
      <c r="N217" s="15"/>
      <c r="O217" s="15"/>
      <c r="P217" s="15"/>
      <c r="Q217" s="15"/>
      <c r="R217" s="15"/>
      <c r="S217" s="15"/>
      <c r="T217" s="15"/>
      <c r="U217" s="15"/>
      <c r="V217" s="15"/>
      <c r="W217" s="15"/>
      <c r="X217" s="14"/>
      <c r="Y217" s="14"/>
      <c r="Z217" s="15"/>
      <c r="AA217" s="15"/>
      <c r="AB217" s="3"/>
      <c r="AC217" s="3"/>
      <c r="AD217" s="3"/>
      <c r="AE217" s="3"/>
      <c r="AF217" s="3"/>
      <c r="AG217" s="3"/>
      <c r="AH217" s="3"/>
      <c r="AI217" s="3"/>
      <c r="AJ217" s="154" t="s">
        <v>70</v>
      </c>
      <c r="AN217" s="154" t="s">
        <v>70</v>
      </c>
    </row>
    <row r="218" ht="15.75" customHeight="1">
      <c r="J218" s="15"/>
      <c r="K218" s="238"/>
      <c r="L218" s="15"/>
      <c r="M218" s="15"/>
      <c r="N218" s="15"/>
      <c r="O218" s="15"/>
      <c r="P218" s="15"/>
      <c r="Q218" s="15"/>
      <c r="R218" s="15"/>
      <c r="S218" s="15"/>
      <c r="T218" s="15"/>
      <c r="U218" s="15"/>
      <c r="V218" s="15"/>
      <c r="W218" s="15"/>
      <c r="X218" s="14"/>
      <c r="Y218" s="14"/>
      <c r="Z218" s="15"/>
      <c r="AA218" s="15"/>
      <c r="AB218" s="3"/>
      <c r="AC218" s="3"/>
      <c r="AD218" s="3"/>
      <c r="AE218" s="3"/>
      <c r="AF218" s="3"/>
      <c r="AG218" s="3"/>
      <c r="AH218" s="3"/>
      <c r="AI218" s="3"/>
      <c r="AJ218" s="154" t="s">
        <v>70</v>
      </c>
      <c r="AN218" s="154" t="s">
        <v>70</v>
      </c>
    </row>
    <row r="219" ht="15.75" customHeight="1">
      <c r="J219" s="15"/>
      <c r="K219" s="238"/>
      <c r="L219" s="15"/>
      <c r="M219" s="15"/>
      <c r="N219" s="15"/>
      <c r="O219" s="15"/>
      <c r="P219" s="15"/>
      <c r="Q219" s="15"/>
      <c r="R219" s="15"/>
      <c r="S219" s="15"/>
      <c r="T219" s="15"/>
      <c r="U219" s="15"/>
      <c r="V219" s="15"/>
      <c r="W219" s="15"/>
      <c r="X219" s="14"/>
      <c r="Y219" s="14"/>
      <c r="Z219" s="15"/>
      <c r="AA219" s="15"/>
      <c r="AB219" s="3"/>
      <c r="AC219" s="3"/>
      <c r="AD219" s="3"/>
      <c r="AE219" s="3"/>
      <c r="AF219" s="3"/>
      <c r="AG219" s="3"/>
      <c r="AH219" s="3"/>
      <c r="AI219" s="3"/>
      <c r="AJ219" s="154" t="s">
        <v>70</v>
      </c>
      <c r="AN219" s="154" t="s">
        <v>70</v>
      </c>
    </row>
    <row r="220" ht="15.75" customHeight="1">
      <c r="J220" s="15"/>
      <c r="K220" s="238"/>
      <c r="L220" s="15"/>
      <c r="M220" s="15"/>
      <c r="N220" s="15"/>
      <c r="O220" s="15"/>
      <c r="P220" s="15"/>
      <c r="Q220" s="15"/>
      <c r="R220" s="15"/>
      <c r="S220" s="15"/>
      <c r="T220" s="15"/>
      <c r="U220" s="15"/>
      <c r="V220" s="15"/>
      <c r="W220" s="15"/>
      <c r="X220" s="14"/>
      <c r="Y220" s="14"/>
      <c r="Z220" s="15"/>
      <c r="AA220" s="15"/>
      <c r="AB220" s="3"/>
      <c r="AC220" s="3"/>
      <c r="AD220" s="3"/>
      <c r="AE220" s="3"/>
      <c r="AF220" s="3"/>
      <c r="AG220" s="3"/>
      <c r="AH220" s="3"/>
      <c r="AI220" s="3"/>
      <c r="AJ220" s="154" t="s">
        <v>70</v>
      </c>
      <c r="AN220" s="154" t="s">
        <v>70</v>
      </c>
    </row>
    <row r="221" ht="15.75" customHeight="1">
      <c r="J221" s="15"/>
      <c r="K221" s="238"/>
      <c r="L221" s="15"/>
      <c r="M221" s="15"/>
      <c r="N221" s="15"/>
      <c r="O221" s="15"/>
      <c r="P221" s="15"/>
      <c r="Q221" s="15"/>
      <c r="R221" s="15"/>
      <c r="S221" s="15"/>
      <c r="T221" s="15"/>
      <c r="U221" s="15"/>
      <c r="V221" s="15"/>
      <c r="W221" s="15"/>
      <c r="X221" s="14"/>
      <c r="Y221" s="14"/>
      <c r="Z221" s="15"/>
      <c r="AA221" s="15"/>
      <c r="AB221" s="3"/>
      <c r="AC221" s="3"/>
      <c r="AD221" s="3"/>
      <c r="AE221" s="3"/>
      <c r="AF221" s="3"/>
      <c r="AG221" s="3"/>
      <c r="AH221" s="3"/>
      <c r="AI221" s="3"/>
      <c r="AJ221" s="154" t="s">
        <v>70</v>
      </c>
      <c r="AN221" s="154" t="s">
        <v>70</v>
      </c>
    </row>
    <row r="222" ht="15.75" customHeight="1">
      <c r="J222" s="15"/>
      <c r="K222" s="238"/>
      <c r="L222" s="15"/>
      <c r="M222" s="15"/>
      <c r="N222" s="15"/>
      <c r="O222" s="15"/>
      <c r="P222" s="15"/>
      <c r="Q222" s="15"/>
      <c r="R222" s="15"/>
      <c r="S222" s="15"/>
      <c r="T222" s="15"/>
      <c r="U222" s="15"/>
      <c r="V222" s="15"/>
      <c r="W222" s="15"/>
      <c r="X222" s="14"/>
      <c r="Y222" s="14"/>
      <c r="Z222" s="15"/>
      <c r="AA222" s="15"/>
      <c r="AB222" s="3"/>
      <c r="AC222" s="3"/>
      <c r="AD222" s="3"/>
      <c r="AE222" s="3"/>
      <c r="AF222" s="3"/>
      <c r="AG222" s="3"/>
      <c r="AH222" s="3"/>
      <c r="AI222" s="3"/>
      <c r="AJ222" s="154" t="s">
        <v>70</v>
      </c>
      <c r="AN222" s="154" t="s">
        <v>70</v>
      </c>
    </row>
    <row r="223" ht="15.75" customHeight="1">
      <c r="J223" s="15"/>
      <c r="K223" s="238"/>
      <c r="L223" s="15"/>
      <c r="M223" s="15"/>
      <c r="N223" s="15"/>
      <c r="O223" s="15"/>
      <c r="P223" s="15"/>
      <c r="Q223" s="15"/>
      <c r="R223" s="15"/>
      <c r="S223" s="15"/>
      <c r="T223" s="15"/>
      <c r="U223" s="15"/>
      <c r="V223" s="15"/>
      <c r="W223" s="15"/>
      <c r="X223" s="14"/>
      <c r="Y223" s="14"/>
      <c r="Z223" s="15"/>
      <c r="AA223" s="15"/>
      <c r="AB223" s="3"/>
      <c r="AC223" s="3"/>
      <c r="AD223" s="3"/>
      <c r="AE223" s="3"/>
      <c r="AF223" s="3"/>
      <c r="AG223" s="3"/>
      <c r="AH223" s="3"/>
      <c r="AI223" s="3"/>
      <c r="AJ223" s="154" t="s">
        <v>70</v>
      </c>
      <c r="AN223" s="154" t="s">
        <v>70</v>
      </c>
    </row>
    <row r="224" ht="15.75" customHeight="1">
      <c r="J224" s="15"/>
      <c r="K224" s="238"/>
      <c r="L224" s="15"/>
      <c r="M224" s="15"/>
      <c r="N224" s="15"/>
      <c r="O224" s="15"/>
      <c r="P224" s="15"/>
      <c r="Q224" s="15"/>
      <c r="R224" s="15"/>
      <c r="S224" s="15"/>
      <c r="T224" s="15"/>
      <c r="U224" s="15"/>
      <c r="V224" s="15"/>
      <c r="W224" s="15"/>
      <c r="X224" s="14"/>
      <c r="Y224" s="14"/>
      <c r="Z224" s="15"/>
      <c r="AA224" s="15"/>
      <c r="AB224" s="3"/>
      <c r="AC224" s="3"/>
      <c r="AD224" s="3"/>
      <c r="AE224" s="3"/>
      <c r="AF224" s="3"/>
      <c r="AG224" s="3"/>
      <c r="AH224" s="3"/>
      <c r="AI224" s="3"/>
      <c r="AJ224" s="154" t="s">
        <v>70</v>
      </c>
      <c r="AN224" s="154" t="s">
        <v>70</v>
      </c>
    </row>
    <row r="225" ht="15.75" customHeight="1">
      <c r="J225" s="15"/>
      <c r="K225" s="238"/>
      <c r="L225" s="15"/>
      <c r="M225" s="15"/>
      <c r="N225" s="15"/>
      <c r="O225" s="15"/>
      <c r="P225" s="15"/>
      <c r="Q225" s="15"/>
      <c r="R225" s="15"/>
      <c r="S225" s="15"/>
      <c r="T225" s="15"/>
      <c r="U225" s="15"/>
      <c r="V225" s="15"/>
      <c r="W225" s="15"/>
      <c r="X225" s="14"/>
      <c r="Y225" s="14"/>
      <c r="Z225" s="15"/>
      <c r="AA225" s="15"/>
      <c r="AB225" s="3"/>
      <c r="AC225" s="3"/>
      <c r="AD225" s="3"/>
      <c r="AE225" s="3"/>
      <c r="AF225" s="3"/>
      <c r="AG225" s="3"/>
      <c r="AH225" s="3"/>
      <c r="AI225" s="3"/>
      <c r="AJ225" s="154" t="s">
        <v>70</v>
      </c>
      <c r="AN225" s="154" t="s">
        <v>70</v>
      </c>
    </row>
    <row r="226" ht="15.75" customHeight="1">
      <c r="J226" s="15"/>
      <c r="K226" s="238"/>
      <c r="L226" s="15"/>
      <c r="M226" s="15"/>
      <c r="N226" s="15"/>
      <c r="O226" s="15"/>
      <c r="P226" s="15"/>
      <c r="Q226" s="15"/>
      <c r="R226" s="15"/>
      <c r="S226" s="15"/>
      <c r="T226" s="15"/>
      <c r="U226" s="15"/>
      <c r="V226" s="15"/>
      <c r="W226" s="15"/>
      <c r="X226" s="14"/>
      <c r="Y226" s="14"/>
      <c r="Z226" s="15"/>
      <c r="AA226" s="15"/>
      <c r="AB226" s="3"/>
      <c r="AC226" s="3"/>
      <c r="AD226" s="3"/>
      <c r="AE226" s="3"/>
      <c r="AF226" s="3"/>
      <c r="AG226" s="3"/>
      <c r="AH226" s="3"/>
      <c r="AI226" s="3"/>
      <c r="AJ226" s="154" t="s">
        <v>70</v>
      </c>
      <c r="AN226" s="154" t="s">
        <v>70</v>
      </c>
    </row>
    <row r="227" ht="15.75" customHeight="1">
      <c r="J227" s="15"/>
      <c r="K227" s="238"/>
      <c r="L227" s="15"/>
      <c r="M227" s="15"/>
      <c r="N227" s="15"/>
      <c r="O227" s="15"/>
      <c r="P227" s="15"/>
      <c r="Q227" s="15"/>
      <c r="R227" s="15"/>
      <c r="S227" s="15"/>
      <c r="T227" s="15"/>
      <c r="U227" s="15"/>
      <c r="V227" s="15"/>
      <c r="W227" s="15"/>
      <c r="X227" s="14"/>
      <c r="Y227" s="14"/>
      <c r="Z227" s="15"/>
      <c r="AA227" s="15"/>
      <c r="AB227" s="3"/>
      <c r="AC227" s="3"/>
      <c r="AD227" s="3"/>
      <c r="AE227" s="3"/>
      <c r="AF227" s="3"/>
      <c r="AG227" s="3"/>
      <c r="AH227" s="3"/>
      <c r="AI227" s="3"/>
      <c r="AJ227" s="154" t="s">
        <v>70</v>
      </c>
      <c r="AN227" s="154" t="s">
        <v>70</v>
      </c>
    </row>
    <row r="228" ht="15.75" customHeight="1">
      <c r="J228" s="15"/>
      <c r="K228" s="238"/>
      <c r="L228" s="15"/>
      <c r="M228" s="15"/>
      <c r="N228" s="15"/>
      <c r="O228" s="15"/>
      <c r="P228" s="15"/>
      <c r="Q228" s="15"/>
      <c r="R228" s="15"/>
      <c r="S228" s="15"/>
      <c r="T228" s="15"/>
      <c r="U228" s="15"/>
      <c r="V228" s="15"/>
      <c r="W228" s="15"/>
      <c r="X228" s="14"/>
      <c r="Y228" s="14"/>
      <c r="Z228" s="15"/>
      <c r="AA228" s="15"/>
      <c r="AB228" s="3"/>
      <c r="AC228" s="3"/>
      <c r="AD228" s="3"/>
      <c r="AE228" s="3"/>
      <c r="AF228" s="3"/>
      <c r="AG228" s="3"/>
      <c r="AH228" s="3"/>
      <c r="AI228" s="3"/>
      <c r="AJ228" s="154" t="s">
        <v>70</v>
      </c>
      <c r="AN228" s="154" t="s">
        <v>70</v>
      </c>
    </row>
    <row r="229" ht="15.75" customHeight="1">
      <c r="J229" s="15"/>
      <c r="K229" s="238"/>
      <c r="L229" s="15"/>
      <c r="M229" s="15"/>
      <c r="N229" s="15"/>
      <c r="O229" s="15"/>
      <c r="P229" s="15"/>
      <c r="Q229" s="15"/>
      <c r="R229" s="15"/>
      <c r="S229" s="15"/>
      <c r="T229" s="15"/>
      <c r="U229" s="15"/>
      <c r="V229" s="15"/>
      <c r="W229" s="15"/>
      <c r="X229" s="14"/>
      <c r="Y229" s="14"/>
      <c r="Z229" s="15"/>
      <c r="AA229" s="15"/>
      <c r="AB229" s="3"/>
      <c r="AC229" s="3"/>
      <c r="AD229" s="3"/>
      <c r="AE229" s="3"/>
      <c r="AF229" s="3"/>
      <c r="AG229" s="3"/>
      <c r="AH229" s="3"/>
      <c r="AI229" s="3"/>
      <c r="AJ229" s="154" t="s">
        <v>70</v>
      </c>
      <c r="AN229" s="154" t="s">
        <v>70</v>
      </c>
    </row>
    <row r="230" ht="15.75" customHeight="1">
      <c r="J230" s="15"/>
      <c r="K230" s="238"/>
      <c r="L230" s="15"/>
      <c r="M230" s="15"/>
      <c r="N230" s="15"/>
      <c r="O230" s="15"/>
      <c r="P230" s="15"/>
      <c r="Q230" s="15"/>
      <c r="R230" s="15"/>
      <c r="S230" s="15"/>
      <c r="T230" s="15"/>
      <c r="U230" s="15"/>
      <c r="V230" s="15"/>
      <c r="W230" s="15"/>
      <c r="X230" s="14"/>
      <c r="Y230" s="14"/>
      <c r="Z230" s="15"/>
      <c r="AA230" s="15"/>
      <c r="AB230" s="3"/>
      <c r="AC230" s="3"/>
      <c r="AD230" s="3"/>
      <c r="AE230" s="3"/>
      <c r="AF230" s="3"/>
      <c r="AG230" s="3"/>
      <c r="AH230" s="3"/>
      <c r="AI230" s="3"/>
      <c r="AJ230" s="154" t="s">
        <v>70</v>
      </c>
      <c r="AN230" s="154" t="s">
        <v>70</v>
      </c>
    </row>
    <row r="231" ht="15.75" customHeight="1">
      <c r="J231" s="15"/>
      <c r="K231" s="238"/>
      <c r="L231" s="15"/>
      <c r="M231" s="15"/>
      <c r="N231" s="15"/>
      <c r="O231" s="15"/>
      <c r="P231" s="15"/>
      <c r="Q231" s="15"/>
      <c r="R231" s="15"/>
      <c r="S231" s="15"/>
      <c r="T231" s="15"/>
      <c r="U231" s="15"/>
      <c r="V231" s="15"/>
      <c r="W231" s="15"/>
      <c r="X231" s="14"/>
      <c r="Y231" s="14"/>
      <c r="Z231" s="15"/>
      <c r="AA231" s="15"/>
      <c r="AB231" s="3"/>
      <c r="AC231" s="3"/>
      <c r="AD231" s="3"/>
      <c r="AE231" s="3"/>
      <c r="AF231" s="3"/>
      <c r="AG231" s="3"/>
      <c r="AH231" s="3"/>
      <c r="AI231" s="3"/>
      <c r="AJ231" s="154" t="s">
        <v>70</v>
      </c>
      <c r="AN231" s="154" t="s">
        <v>70</v>
      </c>
    </row>
    <row r="232" ht="15.75" customHeight="1">
      <c r="J232" s="15"/>
      <c r="K232" s="238"/>
      <c r="L232" s="15"/>
      <c r="M232" s="15"/>
      <c r="N232" s="15"/>
      <c r="O232" s="15"/>
      <c r="P232" s="15"/>
      <c r="Q232" s="15"/>
      <c r="R232" s="15"/>
      <c r="S232" s="15"/>
      <c r="T232" s="15"/>
      <c r="U232" s="15"/>
      <c r="V232" s="15"/>
      <c r="W232" s="15"/>
      <c r="X232" s="14"/>
      <c r="Y232" s="14"/>
      <c r="Z232" s="15"/>
      <c r="AA232" s="15"/>
      <c r="AB232" s="3"/>
      <c r="AC232" s="3"/>
      <c r="AD232" s="3"/>
      <c r="AE232" s="3"/>
      <c r="AF232" s="3"/>
      <c r="AG232" s="3"/>
      <c r="AH232" s="3"/>
      <c r="AI232" s="3"/>
      <c r="AJ232" s="154" t="s">
        <v>70</v>
      </c>
      <c r="AN232" s="154" t="s">
        <v>70</v>
      </c>
    </row>
    <row r="233" ht="15.75" customHeight="1">
      <c r="J233" s="15"/>
      <c r="K233" s="238"/>
      <c r="L233" s="15"/>
      <c r="M233" s="15"/>
      <c r="N233" s="15"/>
      <c r="O233" s="15"/>
      <c r="P233" s="15"/>
      <c r="Q233" s="15"/>
      <c r="R233" s="15"/>
      <c r="S233" s="15"/>
      <c r="T233" s="15"/>
      <c r="U233" s="15"/>
      <c r="V233" s="15"/>
      <c r="W233" s="15"/>
      <c r="X233" s="14"/>
      <c r="Y233" s="14"/>
      <c r="Z233" s="15"/>
      <c r="AA233" s="15"/>
      <c r="AB233" s="3"/>
      <c r="AC233" s="3"/>
      <c r="AD233" s="3"/>
      <c r="AE233" s="3"/>
      <c r="AF233" s="3"/>
      <c r="AG233" s="3"/>
      <c r="AH233" s="3"/>
      <c r="AI233" s="3"/>
      <c r="AJ233" s="154" t="s">
        <v>70</v>
      </c>
      <c r="AN233" s="154" t="s">
        <v>70</v>
      </c>
    </row>
    <row r="234" ht="15.75" customHeight="1">
      <c r="J234" s="15"/>
      <c r="K234" s="238"/>
      <c r="L234" s="15"/>
      <c r="M234" s="15"/>
      <c r="N234" s="15"/>
      <c r="O234" s="15"/>
      <c r="P234" s="15"/>
      <c r="Q234" s="15"/>
      <c r="R234" s="15"/>
      <c r="S234" s="15"/>
      <c r="T234" s="15"/>
      <c r="U234" s="15"/>
      <c r="V234" s="15"/>
      <c r="W234" s="15"/>
      <c r="X234" s="14"/>
      <c r="Y234" s="14"/>
      <c r="Z234" s="15"/>
      <c r="AA234" s="15"/>
      <c r="AB234" s="3"/>
      <c r="AC234" s="3"/>
      <c r="AD234" s="3"/>
      <c r="AE234" s="3"/>
      <c r="AF234" s="3"/>
      <c r="AG234" s="3"/>
      <c r="AH234" s="3"/>
      <c r="AI234" s="3"/>
      <c r="AJ234" s="154" t="s">
        <v>70</v>
      </c>
      <c r="AN234" s="154" t="s">
        <v>70</v>
      </c>
    </row>
    <row r="235" ht="15.75" customHeight="1">
      <c r="J235" s="15"/>
      <c r="K235" s="238"/>
      <c r="L235" s="15"/>
      <c r="M235" s="15"/>
      <c r="N235" s="15"/>
      <c r="O235" s="15"/>
      <c r="P235" s="15"/>
      <c r="Q235" s="15"/>
      <c r="R235" s="15"/>
      <c r="S235" s="15"/>
      <c r="T235" s="15"/>
      <c r="U235" s="15"/>
      <c r="V235" s="15"/>
      <c r="W235" s="15"/>
      <c r="X235" s="14"/>
      <c r="Y235" s="14"/>
      <c r="Z235" s="15"/>
      <c r="AA235" s="15"/>
      <c r="AB235" s="3"/>
      <c r="AC235" s="3"/>
      <c r="AD235" s="3"/>
      <c r="AE235" s="3"/>
      <c r="AF235" s="3"/>
      <c r="AG235" s="3"/>
      <c r="AH235" s="3"/>
      <c r="AI235" s="3"/>
      <c r="AJ235" s="154" t="s">
        <v>70</v>
      </c>
      <c r="AN235" s="154" t="s">
        <v>70</v>
      </c>
    </row>
    <row r="236" ht="15.75" customHeight="1">
      <c r="J236" s="15"/>
      <c r="K236" s="238"/>
      <c r="L236" s="15"/>
      <c r="M236" s="15"/>
      <c r="N236" s="15"/>
      <c r="O236" s="15"/>
      <c r="P236" s="15"/>
      <c r="Q236" s="15"/>
      <c r="R236" s="15"/>
      <c r="S236" s="15"/>
      <c r="T236" s="15"/>
      <c r="U236" s="15"/>
      <c r="V236" s="15"/>
      <c r="W236" s="15"/>
      <c r="X236" s="14"/>
      <c r="Y236" s="14"/>
      <c r="Z236" s="15"/>
      <c r="AA236" s="15"/>
      <c r="AB236" s="3"/>
      <c r="AC236" s="3"/>
      <c r="AD236" s="3"/>
      <c r="AE236" s="3"/>
      <c r="AF236" s="3"/>
      <c r="AG236" s="3"/>
      <c r="AH236" s="3"/>
      <c r="AI236" s="3"/>
      <c r="AJ236" s="154" t="s">
        <v>70</v>
      </c>
      <c r="AN236" s="154" t="s">
        <v>70</v>
      </c>
    </row>
    <row r="237" ht="15.75" customHeight="1">
      <c r="J237" s="15"/>
      <c r="K237" s="238"/>
      <c r="L237" s="15"/>
      <c r="M237" s="15"/>
      <c r="N237" s="15"/>
      <c r="O237" s="15"/>
      <c r="P237" s="15"/>
      <c r="Q237" s="15"/>
      <c r="R237" s="15"/>
      <c r="S237" s="15"/>
      <c r="T237" s="15"/>
      <c r="U237" s="15"/>
      <c r="V237" s="15"/>
      <c r="W237" s="15"/>
      <c r="X237" s="14"/>
      <c r="Y237" s="14"/>
      <c r="Z237" s="15"/>
      <c r="AA237" s="15"/>
      <c r="AB237" s="3"/>
      <c r="AC237" s="3"/>
      <c r="AD237" s="3"/>
      <c r="AE237" s="3"/>
      <c r="AF237" s="3"/>
      <c r="AG237" s="3"/>
      <c r="AH237" s="3"/>
      <c r="AI237" s="3"/>
      <c r="AJ237" s="154" t="s">
        <v>70</v>
      </c>
      <c r="AN237" s="154" t="s">
        <v>70</v>
      </c>
    </row>
    <row r="238" ht="15.75" customHeight="1">
      <c r="J238" s="15"/>
      <c r="K238" s="238"/>
      <c r="L238" s="15"/>
      <c r="M238" s="15"/>
      <c r="N238" s="15"/>
      <c r="O238" s="15"/>
      <c r="P238" s="15"/>
      <c r="Q238" s="15"/>
      <c r="R238" s="15"/>
      <c r="S238" s="15"/>
      <c r="T238" s="15"/>
      <c r="U238" s="15"/>
      <c r="V238" s="15"/>
      <c r="W238" s="15"/>
      <c r="X238" s="14"/>
      <c r="Y238" s="14"/>
      <c r="Z238" s="15"/>
      <c r="AA238" s="15"/>
      <c r="AB238" s="3"/>
      <c r="AC238" s="3"/>
      <c r="AD238" s="3"/>
      <c r="AE238" s="3"/>
      <c r="AF238" s="3"/>
      <c r="AG238" s="3"/>
      <c r="AH238" s="3"/>
      <c r="AI238" s="3"/>
      <c r="AJ238" s="154" t="s">
        <v>70</v>
      </c>
      <c r="AN238" s="154" t="s">
        <v>70</v>
      </c>
    </row>
    <row r="239" ht="15.75" customHeight="1">
      <c r="J239" s="15"/>
      <c r="K239" s="238"/>
      <c r="L239" s="15"/>
      <c r="M239" s="15"/>
      <c r="N239" s="15"/>
      <c r="O239" s="15"/>
      <c r="P239" s="15"/>
      <c r="Q239" s="15"/>
      <c r="R239" s="15"/>
      <c r="S239" s="15"/>
      <c r="T239" s="15"/>
      <c r="U239" s="15"/>
      <c r="V239" s="15"/>
      <c r="W239" s="15"/>
      <c r="X239" s="14"/>
      <c r="Y239" s="14"/>
      <c r="Z239" s="15"/>
      <c r="AA239" s="15"/>
      <c r="AB239" s="3"/>
      <c r="AC239" s="3"/>
      <c r="AD239" s="3"/>
      <c r="AE239" s="3"/>
      <c r="AF239" s="3"/>
      <c r="AG239" s="3"/>
      <c r="AH239" s="3"/>
      <c r="AI239" s="3"/>
      <c r="AJ239" s="154" t="s">
        <v>70</v>
      </c>
      <c r="AN239" s="154" t="s">
        <v>70</v>
      </c>
    </row>
    <row r="240" ht="15.75" customHeight="1">
      <c r="J240" s="15"/>
      <c r="K240" s="238"/>
      <c r="L240" s="15"/>
      <c r="M240" s="15"/>
      <c r="N240" s="15"/>
      <c r="O240" s="15"/>
      <c r="P240" s="15"/>
      <c r="Q240" s="15"/>
      <c r="R240" s="15"/>
      <c r="S240" s="15"/>
      <c r="T240" s="15"/>
      <c r="U240" s="15"/>
      <c r="V240" s="15"/>
      <c r="W240" s="15"/>
      <c r="X240" s="14"/>
      <c r="Y240" s="14"/>
      <c r="Z240" s="15"/>
      <c r="AA240" s="15"/>
      <c r="AB240" s="3"/>
      <c r="AC240" s="3"/>
      <c r="AD240" s="3"/>
      <c r="AE240" s="3"/>
      <c r="AF240" s="3"/>
      <c r="AG240" s="3"/>
      <c r="AH240" s="3"/>
      <c r="AI240" s="3"/>
      <c r="AJ240" s="154" t="s">
        <v>70</v>
      </c>
      <c r="AN240" s="154" t="s">
        <v>70</v>
      </c>
    </row>
    <row r="241" ht="15.75" customHeight="1">
      <c r="J241" s="15"/>
      <c r="K241" s="238"/>
      <c r="L241" s="15"/>
      <c r="M241" s="15"/>
      <c r="N241" s="15"/>
      <c r="O241" s="15"/>
      <c r="P241" s="15"/>
      <c r="Q241" s="15"/>
      <c r="R241" s="15"/>
      <c r="S241" s="15"/>
      <c r="T241" s="15"/>
      <c r="U241" s="15"/>
      <c r="V241" s="15"/>
      <c r="W241" s="15"/>
      <c r="X241" s="14"/>
      <c r="Y241" s="14"/>
      <c r="Z241" s="15"/>
      <c r="AA241" s="15"/>
      <c r="AB241" s="3"/>
      <c r="AC241" s="3"/>
      <c r="AD241" s="3"/>
      <c r="AE241" s="3"/>
      <c r="AF241" s="3"/>
      <c r="AG241" s="3"/>
      <c r="AH241" s="3"/>
      <c r="AI241" s="3"/>
      <c r="AJ241" s="154" t="s">
        <v>70</v>
      </c>
      <c r="AN241" s="154" t="s">
        <v>70</v>
      </c>
    </row>
    <row r="242" ht="15.75" customHeight="1">
      <c r="J242" s="15"/>
      <c r="K242" s="238"/>
      <c r="L242" s="15"/>
      <c r="M242" s="15"/>
      <c r="N242" s="15"/>
      <c r="O242" s="15"/>
      <c r="P242" s="15"/>
      <c r="Q242" s="15"/>
      <c r="R242" s="15"/>
      <c r="S242" s="15"/>
      <c r="T242" s="15"/>
      <c r="U242" s="15"/>
      <c r="V242" s="15"/>
      <c r="W242" s="15"/>
      <c r="X242" s="14"/>
      <c r="Y242" s="14"/>
      <c r="Z242" s="15"/>
      <c r="AA242" s="15"/>
      <c r="AB242" s="3"/>
      <c r="AC242" s="3"/>
      <c r="AD242" s="3"/>
      <c r="AE242" s="3"/>
      <c r="AF242" s="3"/>
      <c r="AG242" s="3"/>
      <c r="AH242" s="3"/>
      <c r="AI242" s="3"/>
      <c r="AJ242" s="154" t="s">
        <v>70</v>
      </c>
      <c r="AN242" s="154" t="s">
        <v>70</v>
      </c>
    </row>
    <row r="243" ht="15.75" customHeight="1">
      <c r="J243" s="15"/>
      <c r="K243" s="238"/>
      <c r="L243" s="15"/>
      <c r="M243" s="15"/>
      <c r="N243" s="15"/>
      <c r="O243" s="15"/>
      <c r="P243" s="15"/>
      <c r="Q243" s="15"/>
      <c r="R243" s="15"/>
      <c r="S243" s="15"/>
      <c r="T243" s="15"/>
      <c r="U243" s="15"/>
      <c r="V243" s="15"/>
      <c r="W243" s="15"/>
      <c r="X243" s="14"/>
      <c r="Y243" s="14"/>
      <c r="Z243" s="15"/>
      <c r="AA243" s="15"/>
      <c r="AB243" s="3"/>
      <c r="AC243" s="3"/>
      <c r="AD243" s="3"/>
      <c r="AE243" s="3"/>
      <c r="AF243" s="3"/>
      <c r="AG243" s="3"/>
      <c r="AH243" s="3"/>
      <c r="AI243" s="3"/>
      <c r="AJ243" s="154" t="s">
        <v>70</v>
      </c>
      <c r="AN243" s="154" t="s">
        <v>70</v>
      </c>
    </row>
    <row r="244" ht="15.75" customHeight="1">
      <c r="J244" s="15"/>
      <c r="K244" s="238"/>
      <c r="L244" s="15"/>
      <c r="M244" s="15"/>
      <c r="N244" s="15"/>
      <c r="O244" s="15"/>
      <c r="P244" s="15"/>
      <c r="Q244" s="15"/>
      <c r="R244" s="15"/>
      <c r="S244" s="15"/>
      <c r="T244" s="15"/>
      <c r="U244" s="15"/>
      <c r="V244" s="15"/>
      <c r="W244" s="15"/>
      <c r="X244" s="14"/>
      <c r="Y244" s="14"/>
      <c r="Z244" s="15"/>
      <c r="AA244" s="15"/>
      <c r="AB244" s="3"/>
      <c r="AC244" s="3"/>
      <c r="AD244" s="3"/>
      <c r="AE244" s="3"/>
      <c r="AF244" s="3"/>
      <c r="AG244" s="3"/>
      <c r="AH244" s="3"/>
      <c r="AI244" s="3"/>
      <c r="AJ244" s="154" t="s">
        <v>70</v>
      </c>
      <c r="AN244" s="154" t="s">
        <v>70</v>
      </c>
    </row>
    <row r="245" ht="15.75" customHeight="1">
      <c r="J245" s="15"/>
      <c r="K245" s="238"/>
      <c r="L245" s="15"/>
      <c r="M245" s="15"/>
      <c r="N245" s="15"/>
      <c r="O245" s="15"/>
      <c r="P245" s="15"/>
      <c r="Q245" s="15"/>
      <c r="R245" s="15"/>
      <c r="S245" s="15"/>
      <c r="T245" s="15"/>
      <c r="U245" s="15"/>
      <c r="V245" s="15"/>
      <c r="W245" s="15"/>
      <c r="X245" s="14"/>
      <c r="Y245" s="14"/>
      <c r="Z245" s="15"/>
      <c r="AA245" s="15"/>
      <c r="AB245" s="3"/>
      <c r="AC245" s="3"/>
      <c r="AD245" s="3"/>
      <c r="AE245" s="3"/>
      <c r="AF245" s="3"/>
      <c r="AG245" s="3"/>
      <c r="AH245" s="3"/>
      <c r="AI245" s="3"/>
      <c r="AJ245" s="154" t="s">
        <v>70</v>
      </c>
      <c r="AN245" s="154" t="s">
        <v>70</v>
      </c>
    </row>
    <row r="246" ht="15.75" customHeight="1">
      <c r="J246" s="15"/>
      <c r="K246" s="238"/>
      <c r="L246" s="15"/>
      <c r="M246" s="15"/>
      <c r="N246" s="15"/>
      <c r="O246" s="15"/>
      <c r="P246" s="15"/>
      <c r="Q246" s="15"/>
      <c r="R246" s="15"/>
      <c r="S246" s="15"/>
      <c r="T246" s="15"/>
      <c r="U246" s="15"/>
      <c r="V246" s="15"/>
      <c r="W246" s="15"/>
      <c r="X246" s="14"/>
      <c r="Y246" s="14"/>
      <c r="Z246" s="15"/>
      <c r="AA246" s="15"/>
      <c r="AB246" s="3"/>
      <c r="AC246" s="3"/>
      <c r="AD246" s="3"/>
      <c r="AE246" s="3"/>
      <c r="AF246" s="3"/>
      <c r="AG246" s="3"/>
      <c r="AH246" s="3"/>
      <c r="AI246" s="3"/>
      <c r="AJ246" s="154" t="s">
        <v>70</v>
      </c>
      <c r="AN246" s="154" t="s">
        <v>70</v>
      </c>
    </row>
    <row r="247" ht="15.75" customHeight="1">
      <c r="J247" s="15"/>
      <c r="K247" s="238"/>
      <c r="L247" s="15"/>
      <c r="M247" s="15"/>
      <c r="N247" s="15"/>
      <c r="O247" s="15"/>
      <c r="P247" s="15"/>
      <c r="Q247" s="15"/>
      <c r="R247" s="15"/>
      <c r="S247" s="15"/>
      <c r="T247" s="15"/>
      <c r="U247" s="15"/>
      <c r="V247" s="15"/>
      <c r="W247" s="15"/>
      <c r="X247" s="14"/>
      <c r="Y247" s="14"/>
      <c r="Z247" s="15"/>
      <c r="AA247" s="15"/>
      <c r="AB247" s="3"/>
      <c r="AC247" s="3"/>
      <c r="AD247" s="3"/>
      <c r="AE247" s="3"/>
      <c r="AF247" s="3"/>
      <c r="AG247" s="3"/>
      <c r="AH247" s="3"/>
      <c r="AI247" s="3"/>
      <c r="AJ247" s="154" t="s">
        <v>70</v>
      </c>
      <c r="AN247" s="154" t="s">
        <v>70</v>
      </c>
    </row>
    <row r="248" ht="15.75" customHeight="1">
      <c r="J248" s="15"/>
      <c r="K248" s="238"/>
      <c r="L248" s="15"/>
      <c r="M248" s="15"/>
      <c r="N248" s="15"/>
      <c r="O248" s="15"/>
      <c r="P248" s="15"/>
      <c r="Q248" s="15"/>
      <c r="R248" s="15"/>
      <c r="S248" s="15"/>
      <c r="T248" s="15"/>
      <c r="U248" s="15"/>
      <c r="V248" s="15"/>
      <c r="W248" s="15"/>
      <c r="X248" s="14"/>
      <c r="Y248" s="14"/>
      <c r="Z248" s="15"/>
      <c r="AA248" s="15"/>
      <c r="AB248" s="3"/>
      <c r="AC248" s="3"/>
      <c r="AD248" s="3"/>
      <c r="AE248" s="3"/>
      <c r="AF248" s="3"/>
      <c r="AG248" s="3"/>
      <c r="AH248" s="3"/>
      <c r="AI248" s="3"/>
      <c r="AJ248" s="154" t="s">
        <v>70</v>
      </c>
      <c r="AN248" s="154" t="s">
        <v>70</v>
      </c>
    </row>
    <row r="249" ht="15.75" customHeight="1">
      <c r="J249" s="15"/>
      <c r="K249" s="238"/>
      <c r="L249" s="15"/>
      <c r="M249" s="15"/>
      <c r="N249" s="15"/>
      <c r="O249" s="15"/>
      <c r="P249" s="15"/>
      <c r="Q249" s="15"/>
      <c r="R249" s="15"/>
      <c r="S249" s="15"/>
      <c r="T249" s="15"/>
      <c r="U249" s="15"/>
      <c r="V249" s="15"/>
      <c r="W249" s="15"/>
      <c r="X249" s="14"/>
      <c r="Y249" s="14"/>
      <c r="Z249" s="15"/>
      <c r="AA249" s="15"/>
      <c r="AB249" s="3"/>
      <c r="AC249" s="3"/>
      <c r="AD249" s="3"/>
      <c r="AE249" s="3"/>
      <c r="AF249" s="3"/>
      <c r="AG249" s="3"/>
      <c r="AH249" s="3"/>
      <c r="AI249" s="3"/>
      <c r="AJ249" s="154" t="s">
        <v>70</v>
      </c>
      <c r="AN249" s="154" t="s">
        <v>70</v>
      </c>
    </row>
    <row r="250" ht="15.75" customHeight="1">
      <c r="J250" s="15"/>
      <c r="K250" s="238"/>
      <c r="L250" s="15"/>
      <c r="M250" s="15"/>
      <c r="N250" s="15"/>
      <c r="O250" s="15"/>
      <c r="P250" s="15"/>
      <c r="Q250" s="15"/>
      <c r="R250" s="15"/>
      <c r="S250" s="15"/>
      <c r="T250" s="15"/>
      <c r="U250" s="15"/>
      <c r="V250" s="15"/>
      <c r="W250" s="15"/>
      <c r="X250" s="14"/>
      <c r="Y250" s="14"/>
      <c r="Z250" s="15"/>
      <c r="AA250" s="15"/>
      <c r="AB250" s="3"/>
      <c r="AC250" s="3"/>
      <c r="AD250" s="3"/>
      <c r="AE250" s="3"/>
      <c r="AF250" s="3"/>
      <c r="AG250" s="3"/>
      <c r="AH250" s="3"/>
      <c r="AI250" s="3"/>
      <c r="AJ250" s="154" t="s">
        <v>70</v>
      </c>
      <c r="AN250" s="154" t="s">
        <v>70</v>
      </c>
    </row>
    <row r="251" ht="15.75" customHeight="1">
      <c r="J251" s="15"/>
      <c r="K251" s="238"/>
      <c r="L251" s="15"/>
      <c r="M251" s="15"/>
      <c r="N251" s="15"/>
      <c r="O251" s="15"/>
      <c r="P251" s="15"/>
      <c r="Q251" s="15"/>
      <c r="R251" s="15"/>
      <c r="S251" s="15"/>
      <c r="T251" s="15"/>
      <c r="U251" s="15"/>
      <c r="V251" s="15"/>
      <c r="W251" s="15"/>
      <c r="X251" s="14"/>
      <c r="Y251" s="14"/>
      <c r="Z251" s="15"/>
      <c r="AA251" s="15"/>
      <c r="AB251" s="3"/>
      <c r="AC251" s="3"/>
      <c r="AD251" s="3"/>
      <c r="AE251" s="3"/>
      <c r="AF251" s="3"/>
      <c r="AG251" s="3"/>
      <c r="AH251" s="3"/>
      <c r="AI251" s="3"/>
      <c r="AJ251" s="154" t="s">
        <v>70</v>
      </c>
      <c r="AN251" s="154" t="s">
        <v>70</v>
      </c>
    </row>
    <row r="252" ht="15.75" customHeight="1">
      <c r="J252" s="15"/>
      <c r="K252" s="238"/>
      <c r="L252" s="15"/>
      <c r="M252" s="15"/>
      <c r="N252" s="15"/>
      <c r="O252" s="15"/>
      <c r="P252" s="15"/>
      <c r="Q252" s="15"/>
      <c r="R252" s="15"/>
      <c r="S252" s="15"/>
      <c r="T252" s="15"/>
      <c r="U252" s="15"/>
      <c r="V252" s="15"/>
      <c r="W252" s="15"/>
      <c r="X252" s="14"/>
      <c r="Y252" s="14"/>
      <c r="Z252" s="15"/>
      <c r="AA252" s="15"/>
      <c r="AB252" s="3"/>
      <c r="AC252" s="3"/>
      <c r="AD252" s="3"/>
      <c r="AE252" s="3"/>
      <c r="AF252" s="3"/>
      <c r="AG252" s="3"/>
      <c r="AH252" s="3"/>
      <c r="AI252" s="3"/>
      <c r="AJ252" s="154" t="s">
        <v>70</v>
      </c>
      <c r="AN252" s="154" t="s">
        <v>70</v>
      </c>
    </row>
    <row r="253" ht="15.75" customHeight="1">
      <c r="J253" s="15"/>
      <c r="K253" s="238"/>
      <c r="L253" s="15"/>
      <c r="M253" s="15"/>
      <c r="N253" s="15"/>
      <c r="O253" s="15"/>
      <c r="P253" s="15"/>
      <c r="Q253" s="15"/>
      <c r="R253" s="15"/>
      <c r="S253" s="15"/>
      <c r="T253" s="15"/>
      <c r="U253" s="15"/>
      <c r="V253" s="15"/>
      <c r="W253" s="15"/>
      <c r="X253" s="14"/>
      <c r="Y253" s="14"/>
      <c r="Z253" s="15"/>
      <c r="AA253" s="15"/>
      <c r="AB253" s="3"/>
      <c r="AC253" s="3"/>
      <c r="AD253" s="3"/>
      <c r="AE253" s="3"/>
      <c r="AF253" s="3"/>
      <c r="AG253" s="3"/>
      <c r="AH253" s="3"/>
      <c r="AI253" s="3"/>
      <c r="AJ253" s="154" t="s">
        <v>70</v>
      </c>
      <c r="AN253" s="154" t="s">
        <v>70</v>
      </c>
    </row>
    <row r="254" ht="15.75" customHeight="1">
      <c r="J254" s="15"/>
      <c r="K254" s="238"/>
      <c r="L254" s="15"/>
      <c r="M254" s="15"/>
      <c r="N254" s="15"/>
      <c r="O254" s="15"/>
      <c r="P254" s="15"/>
      <c r="Q254" s="15"/>
      <c r="R254" s="15"/>
      <c r="S254" s="15"/>
      <c r="T254" s="15"/>
      <c r="U254" s="15"/>
      <c r="V254" s="15"/>
      <c r="W254" s="15"/>
      <c r="X254" s="14"/>
      <c r="Y254" s="14"/>
      <c r="Z254" s="15"/>
      <c r="AA254" s="15"/>
      <c r="AB254" s="3"/>
      <c r="AC254" s="3"/>
      <c r="AD254" s="3"/>
      <c r="AE254" s="3"/>
      <c r="AF254" s="3"/>
      <c r="AG254" s="3"/>
      <c r="AH254" s="3"/>
      <c r="AI254" s="3"/>
      <c r="AJ254" s="154" t="s">
        <v>70</v>
      </c>
      <c r="AN254" s="154" t="s">
        <v>70</v>
      </c>
    </row>
    <row r="255" ht="15.75" customHeight="1">
      <c r="J255" s="15"/>
      <c r="K255" s="238"/>
      <c r="L255" s="15"/>
      <c r="M255" s="15"/>
      <c r="N255" s="15"/>
      <c r="O255" s="15"/>
      <c r="P255" s="15"/>
      <c r="Q255" s="15"/>
      <c r="R255" s="15"/>
      <c r="S255" s="15"/>
      <c r="T255" s="15"/>
      <c r="U255" s="15"/>
      <c r="V255" s="15"/>
      <c r="W255" s="15"/>
      <c r="X255" s="14"/>
      <c r="Y255" s="14"/>
      <c r="Z255" s="15"/>
      <c r="AA255" s="15"/>
      <c r="AB255" s="3"/>
      <c r="AC255" s="3"/>
      <c r="AD255" s="3"/>
      <c r="AE255" s="3"/>
      <c r="AF255" s="3"/>
      <c r="AG255" s="3"/>
      <c r="AH255" s="3"/>
      <c r="AI255" s="3"/>
      <c r="AJ255" s="154" t="s">
        <v>70</v>
      </c>
      <c r="AN255" s="154" t="s">
        <v>70</v>
      </c>
    </row>
    <row r="256" ht="15.75" customHeight="1">
      <c r="J256" s="15"/>
      <c r="K256" s="238"/>
      <c r="L256" s="15"/>
      <c r="M256" s="15"/>
      <c r="N256" s="15"/>
      <c r="O256" s="15"/>
      <c r="P256" s="15"/>
      <c r="Q256" s="15"/>
      <c r="R256" s="15"/>
      <c r="S256" s="15"/>
      <c r="T256" s="15"/>
      <c r="U256" s="15"/>
      <c r="V256" s="15"/>
      <c r="W256" s="15"/>
      <c r="X256" s="14"/>
      <c r="Y256" s="14"/>
      <c r="Z256" s="15"/>
      <c r="AA256" s="15"/>
      <c r="AB256" s="3"/>
      <c r="AC256" s="3"/>
      <c r="AD256" s="3"/>
      <c r="AE256" s="3"/>
      <c r="AF256" s="3"/>
      <c r="AG256" s="3"/>
      <c r="AH256" s="3"/>
      <c r="AI256" s="3"/>
      <c r="AJ256" s="154" t="s">
        <v>70</v>
      </c>
      <c r="AN256" s="154" t="s">
        <v>70</v>
      </c>
    </row>
    <row r="257" ht="15.75" customHeight="1">
      <c r="J257" s="15"/>
      <c r="K257" s="238"/>
      <c r="L257" s="15"/>
      <c r="M257" s="15"/>
      <c r="N257" s="15"/>
      <c r="O257" s="15"/>
      <c r="P257" s="15"/>
      <c r="Q257" s="15"/>
      <c r="R257" s="15"/>
      <c r="S257" s="15"/>
      <c r="T257" s="15"/>
      <c r="U257" s="15"/>
      <c r="V257" s="15"/>
      <c r="W257" s="15"/>
      <c r="X257" s="14"/>
      <c r="Y257" s="14"/>
      <c r="Z257" s="15"/>
      <c r="AA257" s="15"/>
      <c r="AB257" s="3"/>
      <c r="AC257" s="3"/>
      <c r="AD257" s="3"/>
      <c r="AE257" s="3"/>
      <c r="AF257" s="3"/>
      <c r="AG257" s="3"/>
      <c r="AH257" s="3"/>
      <c r="AI257" s="3"/>
      <c r="AJ257" s="154" t="s">
        <v>70</v>
      </c>
      <c r="AN257" s="154" t="s">
        <v>70</v>
      </c>
    </row>
    <row r="258" ht="15.75" customHeight="1">
      <c r="J258" s="15"/>
      <c r="K258" s="238"/>
      <c r="L258" s="15"/>
      <c r="M258" s="15"/>
      <c r="N258" s="15"/>
      <c r="O258" s="15"/>
      <c r="P258" s="15"/>
      <c r="Q258" s="15"/>
      <c r="R258" s="15"/>
      <c r="S258" s="15"/>
      <c r="T258" s="15"/>
      <c r="U258" s="15"/>
      <c r="V258" s="15"/>
      <c r="W258" s="15"/>
      <c r="X258" s="14"/>
      <c r="Y258" s="14"/>
      <c r="Z258" s="15"/>
      <c r="AA258" s="15"/>
      <c r="AB258" s="3"/>
      <c r="AC258" s="3"/>
      <c r="AD258" s="3"/>
      <c r="AE258" s="3"/>
      <c r="AF258" s="3"/>
      <c r="AG258" s="3"/>
      <c r="AH258" s="3"/>
      <c r="AI258" s="3"/>
      <c r="AJ258" s="154" t="s">
        <v>70</v>
      </c>
      <c r="AN258" s="154" t="s">
        <v>70</v>
      </c>
    </row>
    <row r="259" ht="15.75" customHeight="1">
      <c r="J259" s="15"/>
      <c r="K259" s="238"/>
      <c r="L259" s="15"/>
      <c r="M259" s="15"/>
      <c r="N259" s="15"/>
      <c r="O259" s="15"/>
      <c r="P259" s="15"/>
      <c r="Q259" s="15"/>
      <c r="R259" s="15"/>
      <c r="S259" s="15"/>
      <c r="T259" s="15"/>
      <c r="U259" s="15"/>
      <c r="V259" s="15"/>
      <c r="W259" s="15"/>
      <c r="X259" s="14"/>
      <c r="Y259" s="14"/>
      <c r="Z259" s="15"/>
      <c r="AA259" s="15"/>
      <c r="AB259" s="3"/>
      <c r="AC259" s="3"/>
      <c r="AD259" s="3"/>
      <c r="AE259" s="3"/>
      <c r="AF259" s="3"/>
      <c r="AG259" s="3"/>
      <c r="AH259" s="3"/>
      <c r="AI259" s="3"/>
      <c r="AJ259" s="154" t="s">
        <v>70</v>
      </c>
      <c r="AN259" s="154" t="s">
        <v>70</v>
      </c>
    </row>
    <row r="260" ht="15.75" customHeight="1">
      <c r="J260" s="15"/>
      <c r="K260" s="238"/>
      <c r="L260" s="15"/>
      <c r="M260" s="15"/>
      <c r="N260" s="15"/>
      <c r="O260" s="15"/>
      <c r="P260" s="15"/>
      <c r="Q260" s="15"/>
      <c r="R260" s="15"/>
      <c r="S260" s="15"/>
      <c r="T260" s="15"/>
      <c r="U260" s="15"/>
      <c r="V260" s="15"/>
      <c r="W260" s="15"/>
      <c r="X260" s="14"/>
      <c r="Y260" s="14"/>
      <c r="Z260" s="15"/>
      <c r="AA260" s="15"/>
      <c r="AB260" s="3"/>
      <c r="AC260" s="3"/>
      <c r="AD260" s="3"/>
      <c r="AE260" s="3"/>
      <c r="AF260" s="3"/>
      <c r="AG260" s="3"/>
      <c r="AH260" s="3"/>
      <c r="AI260" s="3"/>
      <c r="AJ260" s="154" t="s">
        <v>70</v>
      </c>
      <c r="AN260" s="154" t="s">
        <v>70</v>
      </c>
    </row>
    <row r="261" ht="15.75" customHeight="1">
      <c r="J261" s="15"/>
      <c r="K261" s="238"/>
      <c r="L261" s="15"/>
      <c r="M261" s="15"/>
      <c r="N261" s="15"/>
      <c r="O261" s="15"/>
      <c r="P261" s="15"/>
      <c r="Q261" s="15"/>
      <c r="R261" s="15"/>
      <c r="S261" s="15"/>
      <c r="T261" s="15"/>
      <c r="U261" s="15"/>
      <c r="V261" s="15"/>
      <c r="W261" s="15"/>
      <c r="X261" s="14"/>
      <c r="Y261" s="14"/>
      <c r="Z261" s="15"/>
      <c r="AA261" s="15"/>
      <c r="AB261" s="3"/>
      <c r="AC261" s="3"/>
      <c r="AD261" s="3"/>
      <c r="AE261" s="3"/>
      <c r="AF261" s="3"/>
      <c r="AG261" s="3"/>
      <c r="AH261" s="3"/>
      <c r="AI261" s="3"/>
      <c r="AJ261" s="154" t="s">
        <v>70</v>
      </c>
      <c r="AN261" s="154" t="s">
        <v>70</v>
      </c>
    </row>
    <row r="262" ht="15.75" customHeight="1">
      <c r="J262" s="15"/>
      <c r="K262" s="238"/>
      <c r="L262" s="15"/>
      <c r="M262" s="15"/>
      <c r="N262" s="15"/>
      <c r="O262" s="15"/>
      <c r="P262" s="15"/>
      <c r="Q262" s="15"/>
      <c r="R262" s="15"/>
      <c r="S262" s="15"/>
      <c r="T262" s="15"/>
      <c r="U262" s="15"/>
      <c r="V262" s="15"/>
      <c r="W262" s="15"/>
      <c r="X262" s="14"/>
      <c r="Y262" s="14"/>
      <c r="Z262" s="15"/>
      <c r="AA262" s="15"/>
      <c r="AB262" s="3"/>
      <c r="AC262" s="3"/>
      <c r="AD262" s="3"/>
      <c r="AE262" s="3"/>
      <c r="AF262" s="3"/>
      <c r="AG262" s="3"/>
      <c r="AH262" s="3"/>
      <c r="AI262" s="3"/>
      <c r="AJ262" s="154" t="s">
        <v>70</v>
      </c>
      <c r="AN262" s="154" t="s">
        <v>70</v>
      </c>
    </row>
    <row r="263" ht="15.75" customHeight="1">
      <c r="J263" s="15"/>
      <c r="K263" s="238"/>
      <c r="L263" s="15"/>
      <c r="M263" s="15"/>
      <c r="N263" s="15"/>
      <c r="O263" s="15"/>
      <c r="P263" s="15"/>
      <c r="Q263" s="15"/>
      <c r="R263" s="15"/>
      <c r="S263" s="15"/>
      <c r="T263" s="15"/>
      <c r="U263" s="15"/>
      <c r="V263" s="15"/>
      <c r="W263" s="15"/>
      <c r="X263" s="14"/>
      <c r="Y263" s="14"/>
      <c r="Z263" s="15"/>
      <c r="AA263" s="15"/>
      <c r="AB263" s="3"/>
      <c r="AC263" s="3"/>
      <c r="AD263" s="3"/>
      <c r="AE263" s="3"/>
      <c r="AF263" s="3"/>
      <c r="AG263" s="3"/>
      <c r="AH263" s="3"/>
      <c r="AI263" s="3"/>
      <c r="AJ263" s="154" t="s">
        <v>70</v>
      </c>
      <c r="AN263" s="154" t="s">
        <v>70</v>
      </c>
    </row>
    <row r="264" ht="15.75" customHeight="1">
      <c r="J264" s="15"/>
      <c r="K264" s="238"/>
      <c r="L264" s="15"/>
      <c r="M264" s="15"/>
      <c r="N264" s="15"/>
      <c r="O264" s="15"/>
      <c r="P264" s="15"/>
      <c r="Q264" s="15"/>
      <c r="R264" s="15"/>
      <c r="S264" s="15"/>
      <c r="T264" s="15"/>
      <c r="U264" s="15"/>
      <c r="V264" s="15"/>
      <c r="W264" s="15"/>
      <c r="X264" s="14"/>
      <c r="Y264" s="14"/>
      <c r="Z264" s="15"/>
      <c r="AA264" s="15"/>
      <c r="AB264" s="3"/>
      <c r="AC264" s="3"/>
      <c r="AD264" s="3"/>
      <c r="AE264" s="3"/>
      <c r="AF264" s="3"/>
      <c r="AG264" s="3"/>
      <c r="AH264" s="3"/>
      <c r="AI264" s="3"/>
      <c r="AJ264" s="154" t="s">
        <v>70</v>
      </c>
      <c r="AN264" s="154" t="s">
        <v>70</v>
      </c>
    </row>
    <row r="265" ht="15.75" customHeight="1">
      <c r="J265" s="15"/>
      <c r="K265" s="238"/>
      <c r="L265" s="15"/>
      <c r="M265" s="15"/>
      <c r="N265" s="15"/>
      <c r="O265" s="15"/>
      <c r="P265" s="15"/>
      <c r="Q265" s="15"/>
      <c r="R265" s="15"/>
      <c r="S265" s="15"/>
      <c r="T265" s="15"/>
      <c r="U265" s="15"/>
      <c r="V265" s="15"/>
      <c r="W265" s="15"/>
      <c r="X265" s="14"/>
      <c r="Y265" s="14"/>
      <c r="Z265" s="15"/>
      <c r="AA265" s="15"/>
      <c r="AB265" s="3"/>
      <c r="AC265" s="3"/>
      <c r="AD265" s="3"/>
      <c r="AE265" s="3"/>
      <c r="AF265" s="3"/>
      <c r="AG265" s="3"/>
      <c r="AH265" s="3"/>
      <c r="AI265" s="3"/>
      <c r="AJ265" s="154" t="s">
        <v>70</v>
      </c>
      <c r="AN265" s="154" t="s">
        <v>70</v>
      </c>
    </row>
    <row r="266" ht="15.75" customHeight="1">
      <c r="J266" s="15"/>
      <c r="K266" s="238"/>
      <c r="L266" s="15"/>
      <c r="M266" s="15"/>
      <c r="N266" s="15"/>
      <c r="O266" s="15"/>
      <c r="P266" s="15"/>
      <c r="Q266" s="15"/>
      <c r="R266" s="15"/>
      <c r="S266" s="15"/>
      <c r="T266" s="15"/>
      <c r="U266" s="15"/>
      <c r="V266" s="15"/>
      <c r="W266" s="15"/>
      <c r="X266" s="14"/>
      <c r="Y266" s="14"/>
      <c r="Z266" s="15"/>
      <c r="AA266" s="15"/>
      <c r="AB266" s="3"/>
      <c r="AC266" s="3"/>
      <c r="AD266" s="3"/>
      <c r="AE266" s="3"/>
      <c r="AF266" s="3"/>
      <c r="AG266" s="3"/>
      <c r="AH266" s="3"/>
      <c r="AI266" s="3"/>
      <c r="AJ266" s="154" t="s">
        <v>70</v>
      </c>
      <c r="AN266" s="154" t="s">
        <v>70</v>
      </c>
    </row>
    <row r="267" ht="15.75" customHeight="1">
      <c r="J267" s="15"/>
      <c r="K267" s="238"/>
      <c r="L267" s="15"/>
      <c r="M267" s="15"/>
      <c r="N267" s="15"/>
      <c r="O267" s="15"/>
      <c r="P267" s="15"/>
      <c r="Q267" s="15"/>
      <c r="R267" s="15"/>
      <c r="S267" s="15"/>
      <c r="T267" s="15"/>
      <c r="U267" s="15"/>
      <c r="V267" s="15"/>
      <c r="W267" s="15"/>
      <c r="X267" s="14"/>
      <c r="Y267" s="14"/>
      <c r="Z267" s="15"/>
      <c r="AA267" s="15"/>
      <c r="AB267" s="3"/>
      <c r="AC267" s="3"/>
      <c r="AD267" s="3"/>
      <c r="AE267" s="3"/>
      <c r="AF267" s="3"/>
      <c r="AG267" s="3"/>
      <c r="AH267" s="3"/>
      <c r="AI267" s="3"/>
      <c r="AJ267" s="154" t="s">
        <v>70</v>
      </c>
      <c r="AN267" s="154" t="s">
        <v>70</v>
      </c>
    </row>
    <row r="268" ht="15.75" customHeight="1">
      <c r="J268" s="15"/>
      <c r="K268" s="238"/>
      <c r="L268" s="15"/>
      <c r="M268" s="15"/>
      <c r="N268" s="15"/>
      <c r="O268" s="15"/>
      <c r="P268" s="15"/>
      <c r="Q268" s="15"/>
      <c r="R268" s="15"/>
      <c r="S268" s="15"/>
      <c r="T268" s="15"/>
      <c r="U268" s="15"/>
      <c r="V268" s="15"/>
      <c r="W268" s="15"/>
      <c r="X268" s="14"/>
      <c r="Y268" s="14"/>
      <c r="Z268" s="15"/>
      <c r="AA268" s="15"/>
      <c r="AB268" s="3"/>
      <c r="AC268" s="3"/>
      <c r="AD268" s="3"/>
      <c r="AE268" s="3"/>
      <c r="AF268" s="3"/>
      <c r="AG268" s="3"/>
      <c r="AH268" s="3"/>
      <c r="AI268" s="3"/>
      <c r="AJ268" s="154" t="s">
        <v>70</v>
      </c>
      <c r="AN268" s="154" t="s">
        <v>70</v>
      </c>
    </row>
    <row r="269" ht="15.75" customHeight="1">
      <c r="J269" s="15"/>
      <c r="K269" s="238"/>
      <c r="L269" s="15"/>
      <c r="M269" s="15"/>
      <c r="N269" s="15"/>
      <c r="O269" s="15"/>
      <c r="P269" s="15"/>
      <c r="Q269" s="15"/>
      <c r="R269" s="15"/>
      <c r="S269" s="15"/>
      <c r="T269" s="15"/>
      <c r="U269" s="15"/>
      <c r="V269" s="15"/>
      <c r="W269" s="15"/>
      <c r="X269" s="14"/>
      <c r="Y269" s="14"/>
      <c r="Z269" s="15"/>
      <c r="AA269" s="15"/>
      <c r="AB269" s="3"/>
      <c r="AC269" s="3"/>
      <c r="AD269" s="3"/>
      <c r="AE269" s="3"/>
      <c r="AF269" s="3"/>
      <c r="AG269" s="3"/>
      <c r="AH269" s="3"/>
      <c r="AI269" s="3"/>
      <c r="AJ269" s="154" t="s">
        <v>70</v>
      </c>
      <c r="AN269" s="154" t="s">
        <v>70</v>
      </c>
    </row>
    <row r="270" ht="15.75" customHeight="1">
      <c r="J270" s="15"/>
      <c r="K270" s="238"/>
      <c r="L270" s="15"/>
      <c r="M270" s="15"/>
      <c r="N270" s="15"/>
      <c r="O270" s="15"/>
      <c r="P270" s="15"/>
      <c r="Q270" s="15"/>
      <c r="R270" s="15"/>
      <c r="S270" s="15"/>
      <c r="T270" s="15"/>
      <c r="U270" s="15"/>
      <c r="V270" s="15"/>
      <c r="W270" s="15"/>
      <c r="X270" s="14"/>
      <c r="Y270" s="14"/>
      <c r="Z270" s="15"/>
      <c r="AA270" s="15"/>
      <c r="AB270" s="3"/>
      <c r="AC270" s="3"/>
      <c r="AD270" s="3"/>
      <c r="AE270" s="3"/>
      <c r="AF270" s="3"/>
      <c r="AG270" s="3"/>
      <c r="AH270" s="3"/>
      <c r="AI270" s="3"/>
      <c r="AJ270" s="154" t="s">
        <v>70</v>
      </c>
      <c r="AN270" s="154" t="s">
        <v>70</v>
      </c>
    </row>
    <row r="271" ht="15.75" customHeight="1">
      <c r="J271" s="15"/>
      <c r="K271" s="238"/>
      <c r="L271" s="15"/>
      <c r="M271" s="15"/>
      <c r="N271" s="15"/>
      <c r="O271" s="15"/>
      <c r="P271" s="15"/>
      <c r="Q271" s="15"/>
      <c r="R271" s="15"/>
      <c r="S271" s="15"/>
      <c r="T271" s="15"/>
      <c r="U271" s="15"/>
      <c r="V271" s="15"/>
      <c r="W271" s="15"/>
      <c r="X271" s="14"/>
      <c r="Y271" s="14"/>
      <c r="Z271" s="15"/>
      <c r="AA271" s="15"/>
      <c r="AB271" s="3"/>
      <c r="AC271" s="3"/>
      <c r="AD271" s="3"/>
      <c r="AE271" s="3"/>
      <c r="AF271" s="3"/>
      <c r="AG271" s="3"/>
      <c r="AH271" s="3"/>
      <c r="AI271" s="3"/>
      <c r="AJ271" s="154" t="s">
        <v>70</v>
      </c>
      <c r="AN271" s="154" t="s">
        <v>70</v>
      </c>
    </row>
    <row r="272" ht="15.75" customHeight="1">
      <c r="J272" s="15"/>
      <c r="K272" s="238"/>
      <c r="L272" s="15"/>
      <c r="M272" s="15"/>
      <c r="N272" s="15"/>
      <c r="O272" s="15"/>
      <c r="P272" s="15"/>
      <c r="Q272" s="15"/>
      <c r="R272" s="15"/>
      <c r="S272" s="15"/>
      <c r="T272" s="15"/>
      <c r="U272" s="15"/>
      <c r="V272" s="15"/>
      <c r="W272" s="15"/>
      <c r="X272" s="14"/>
      <c r="Y272" s="14"/>
      <c r="Z272" s="15"/>
      <c r="AA272" s="15"/>
      <c r="AB272" s="3"/>
      <c r="AC272" s="3"/>
      <c r="AD272" s="3"/>
      <c r="AE272" s="3"/>
      <c r="AF272" s="3"/>
      <c r="AG272" s="3"/>
      <c r="AH272" s="3"/>
      <c r="AI272" s="3"/>
      <c r="AJ272" s="154" t="s">
        <v>70</v>
      </c>
      <c r="AN272" s="154" t="s">
        <v>70</v>
      </c>
    </row>
    <row r="273" ht="15.75" customHeight="1">
      <c r="J273" s="15"/>
      <c r="K273" s="238"/>
      <c r="L273" s="15"/>
      <c r="M273" s="15"/>
      <c r="N273" s="15"/>
      <c r="O273" s="15"/>
      <c r="P273" s="15"/>
      <c r="Q273" s="15"/>
      <c r="R273" s="15"/>
      <c r="S273" s="15"/>
      <c r="T273" s="15"/>
      <c r="U273" s="15"/>
      <c r="V273" s="15"/>
      <c r="W273" s="15"/>
      <c r="X273" s="14"/>
      <c r="Y273" s="14"/>
      <c r="Z273" s="15"/>
      <c r="AA273" s="15"/>
      <c r="AB273" s="3"/>
      <c r="AC273" s="3"/>
      <c r="AD273" s="3"/>
      <c r="AE273" s="3"/>
      <c r="AF273" s="3"/>
      <c r="AG273" s="3"/>
      <c r="AH273" s="3"/>
      <c r="AI273" s="3"/>
      <c r="AJ273" s="154" t="s">
        <v>70</v>
      </c>
      <c r="AN273" s="154" t="s">
        <v>70</v>
      </c>
    </row>
    <row r="274" ht="15.75" customHeight="1">
      <c r="J274" s="15"/>
      <c r="K274" s="238"/>
      <c r="L274" s="15"/>
      <c r="M274" s="15"/>
      <c r="N274" s="15"/>
      <c r="O274" s="15"/>
      <c r="P274" s="15"/>
      <c r="Q274" s="15"/>
      <c r="R274" s="15"/>
      <c r="S274" s="15"/>
      <c r="T274" s="15"/>
      <c r="U274" s="15"/>
      <c r="V274" s="15"/>
      <c r="W274" s="15"/>
      <c r="X274" s="14"/>
      <c r="Y274" s="14"/>
      <c r="Z274" s="15"/>
      <c r="AA274" s="15"/>
      <c r="AB274" s="3"/>
      <c r="AC274" s="3"/>
      <c r="AD274" s="3"/>
      <c r="AE274" s="3"/>
      <c r="AF274" s="3"/>
      <c r="AG274" s="3"/>
      <c r="AH274" s="3"/>
      <c r="AI274" s="3"/>
      <c r="AJ274" s="154" t="s">
        <v>70</v>
      </c>
      <c r="AN274" s="154" t="s">
        <v>70</v>
      </c>
    </row>
    <row r="275" ht="15.75" customHeight="1">
      <c r="J275" s="15"/>
      <c r="K275" s="238"/>
      <c r="L275" s="15"/>
      <c r="M275" s="15"/>
      <c r="N275" s="15"/>
      <c r="O275" s="15"/>
      <c r="P275" s="15"/>
      <c r="Q275" s="15"/>
      <c r="R275" s="15"/>
      <c r="S275" s="15"/>
      <c r="T275" s="15"/>
      <c r="U275" s="15"/>
      <c r="V275" s="15"/>
      <c r="W275" s="15"/>
      <c r="X275" s="14"/>
      <c r="Y275" s="14"/>
      <c r="Z275" s="15"/>
      <c r="AA275" s="15"/>
      <c r="AB275" s="3"/>
      <c r="AC275" s="3"/>
      <c r="AD275" s="3"/>
      <c r="AE275" s="3"/>
      <c r="AF275" s="3"/>
      <c r="AG275" s="3"/>
      <c r="AH275" s="3"/>
      <c r="AI275" s="3"/>
      <c r="AJ275" s="154" t="s">
        <v>70</v>
      </c>
      <c r="AN275" s="154" t="s">
        <v>70</v>
      </c>
    </row>
    <row r="276" ht="15.75" customHeight="1">
      <c r="J276" s="15"/>
      <c r="K276" s="238"/>
      <c r="L276" s="15"/>
      <c r="M276" s="15"/>
      <c r="N276" s="15"/>
      <c r="O276" s="15"/>
      <c r="P276" s="15"/>
      <c r="Q276" s="15"/>
      <c r="R276" s="15"/>
      <c r="S276" s="15"/>
      <c r="T276" s="15"/>
      <c r="U276" s="15"/>
      <c r="V276" s="15"/>
      <c r="W276" s="15"/>
      <c r="X276" s="14"/>
      <c r="Y276" s="14"/>
      <c r="Z276" s="15"/>
      <c r="AA276" s="15"/>
      <c r="AB276" s="3"/>
      <c r="AC276" s="3"/>
      <c r="AD276" s="3"/>
      <c r="AE276" s="3"/>
      <c r="AF276" s="3"/>
      <c r="AG276" s="3"/>
      <c r="AH276" s="3"/>
      <c r="AI276" s="3"/>
      <c r="AJ276" s="154" t="s">
        <v>70</v>
      </c>
      <c r="AN276" s="154" t="s">
        <v>70</v>
      </c>
    </row>
    <row r="277" ht="15.75" customHeight="1">
      <c r="J277" s="15"/>
      <c r="K277" s="238"/>
      <c r="L277" s="15"/>
      <c r="M277" s="15"/>
      <c r="N277" s="15"/>
      <c r="O277" s="15"/>
      <c r="P277" s="15"/>
      <c r="Q277" s="15"/>
      <c r="R277" s="15"/>
      <c r="S277" s="15"/>
      <c r="T277" s="15"/>
      <c r="U277" s="15"/>
      <c r="V277" s="15"/>
      <c r="W277" s="15"/>
      <c r="X277" s="14"/>
      <c r="Y277" s="14"/>
      <c r="Z277" s="15"/>
      <c r="AA277" s="15"/>
      <c r="AB277" s="3"/>
      <c r="AC277" s="3"/>
      <c r="AD277" s="3"/>
      <c r="AE277" s="3"/>
      <c r="AF277" s="3"/>
      <c r="AG277" s="3"/>
      <c r="AH277" s="3"/>
      <c r="AI277" s="3"/>
      <c r="AJ277" s="154" t="s">
        <v>70</v>
      </c>
      <c r="AN277" s="154" t="s">
        <v>70</v>
      </c>
    </row>
    <row r="278" ht="15.75" customHeight="1">
      <c r="J278" s="15"/>
      <c r="K278" s="238"/>
      <c r="L278" s="15"/>
      <c r="M278" s="15"/>
      <c r="N278" s="15"/>
      <c r="O278" s="15"/>
      <c r="P278" s="15"/>
      <c r="Q278" s="15"/>
      <c r="R278" s="15"/>
      <c r="S278" s="15"/>
      <c r="T278" s="15"/>
      <c r="U278" s="15"/>
      <c r="V278" s="15"/>
      <c r="W278" s="15"/>
      <c r="X278" s="14"/>
      <c r="Y278" s="14"/>
      <c r="Z278" s="15"/>
      <c r="AA278" s="15"/>
      <c r="AB278" s="3"/>
      <c r="AC278" s="3"/>
      <c r="AD278" s="3"/>
      <c r="AE278" s="3"/>
      <c r="AF278" s="3"/>
      <c r="AG278" s="3"/>
      <c r="AH278" s="3"/>
      <c r="AI278" s="3"/>
      <c r="AJ278" s="154" t="s">
        <v>70</v>
      </c>
      <c r="AN278" s="154" t="s">
        <v>70</v>
      </c>
    </row>
    <row r="279" ht="15.75" customHeight="1">
      <c r="J279" s="15"/>
      <c r="K279" s="238"/>
      <c r="L279" s="15"/>
      <c r="M279" s="15"/>
      <c r="N279" s="15"/>
      <c r="O279" s="15"/>
      <c r="P279" s="15"/>
      <c r="Q279" s="15"/>
      <c r="R279" s="15"/>
      <c r="S279" s="15"/>
      <c r="T279" s="15"/>
      <c r="U279" s="15"/>
      <c r="V279" s="15"/>
      <c r="W279" s="15"/>
      <c r="X279" s="14"/>
      <c r="Y279" s="14"/>
      <c r="Z279" s="15"/>
      <c r="AA279" s="15"/>
      <c r="AB279" s="3"/>
      <c r="AC279" s="3"/>
      <c r="AD279" s="3"/>
      <c r="AE279" s="3"/>
      <c r="AF279" s="3"/>
      <c r="AG279" s="3"/>
      <c r="AH279" s="3"/>
      <c r="AI279" s="3"/>
      <c r="AJ279" s="154" t="s">
        <v>70</v>
      </c>
      <c r="AN279" s="154" t="s">
        <v>70</v>
      </c>
    </row>
    <row r="280" ht="15.75" customHeight="1">
      <c r="J280" s="15"/>
      <c r="K280" s="238"/>
      <c r="L280" s="15"/>
      <c r="M280" s="15"/>
      <c r="N280" s="15"/>
      <c r="O280" s="15"/>
      <c r="P280" s="15"/>
      <c r="Q280" s="15"/>
      <c r="R280" s="15"/>
      <c r="S280" s="15"/>
      <c r="T280" s="15"/>
      <c r="U280" s="15"/>
      <c r="V280" s="15"/>
      <c r="W280" s="15"/>
      <c r="X280" s="14"/>
      <c r="Y280" s="14"/>
      <c r="Z280" s="15"/>
      <c r="AA280" s="15"/>
      <c r="AB280" s="3"/>
      <c r="AC280" s="3"/>
      <c r="AD280" s="3"/>
      <c r="AE280" s="3"/>
      <c r="AF280" s="3"/>
      <c r="AG280" s="3"/>
      <c r="AH280" s="3"/>
      <c r="AI280" s="3"/>
      <c r="AJ280" s="154" t="s">
        <v>70</v>
      </c>
      <c r="AN280" s="154" t="s">
        <v>70</v>
      </c>
    </row>
    <row r="281" ht="15.75" customHeight="1">
      <c r="J281" s="15"/>
      <c r="K281" s="238"/>
      <c r="L281" s="15"/>
      <c r="M281" s="15"/>
      <c r="N281" s="15"/>
      <c r="O281" s="15"/>
      <c r="P281" s="15"/>
      <c r="Q281" s="15"/>
      <c r="R281" s="15"/>
      <c r="S281" s="15"/>
      <c r="T281" s="15"/>
      <c r="U281" s="15"/>
      <c r="V281" s="15"/>
      <c r="W281" s="15"/>
      <c r="X281" s="14"/>
      <c r="Y281" s="14"/>
      <c r="Z281" s="15"/>
      <c r="AA281" s="15"/>
      <c r="AB281" s="3"/>
      <c r="AC281" s="3"/>
      <c r="AD281" s="3"/>
      <c r="AE281" s="3"/>
      <c r="AF281" s="3"/>
      <c r="AG281" s="3"/>
      <c r="AH281" s="3"/>
      <c r="AI281" s="3"/>
      <c r="AJ281" s="154" t="s">
        <v>70</v>
      </c>
      <c r="AN281" s="154" t="s">
        <v>70</v>
      </c>
    </row>
    <row r="282" ht="15.75" customHeight="1">
      <c r="J282" s="15"/>
      <c r="K282" s="238"/>
      <c r="L282" s="15"/>
      <c r="M282" s="15"/>
      <c r="N282" s="15"/>
      <c r="O282" s="15"/>
      <c r="P282" s="15"/>
      <c r="Q282" s="15"/>
      <c r="R282" s="15"/>
      <c r="S282" s="15"/>
      <c r="T282" s="15"/>
      <c r="U282" s="15"/>
      <c r="V282" s="15"/>
      <c r="W282" s="15"/>
      <c r="X282" s="14"/>
      <c r="Y282" s="14"/>
      <c r="Z282" s="15"/>
      <c r="AA282" s="15"/>
      <c r="AB282" s="3"/>
      <c r="AC282" s="3"/>
      <c r="AD282" s="3"/>
      <c r="AE282" s="3"/>
      <c r="AF282" s="3"/>
      <c r="AG282" s="3"/>
      <c r="AH282" s="3"/>
      <c r="AI282" s="3"/>
      <c r="AJ282" s="154" t="s">
        <v>70</v>
      </c>
      <c r="AN282" s="154" t="s">
        <v>70</v>
      </c>
    </row>
    <row r="283" ht="15.75" customHeight="1">
      <c r="J283" s="15"/>
      <c r="K283" s="238"/>
      <c r="L283" s="15"/>
      <c r="M283" s="15"/>
      <c r="N283" s="15"/>
      <c r="O283" s="15"/>
      <c r="P283" s="15"/>
      <c r="Q283" s="15"/>
      <c r="R283" s="15"/>
      <c r="S283" s="15"/>
      <c r="T283" s="15"/>
      <c r="U283" s="15"/>
      <c r="V283" s="15"/>
      <c r="W283" s="15"/>
      <c r="X283" s="14"/>
      <c r="Y283" s="14"/>
      <c r="Z283" s="15"/>
      <c r="AA283" s="15"/>
      <c r="AB283" s="3"/>
      <c r="AC283" s="3"/>
      <c r="AD283" s="3"/>
      <c r="AE283" s="3"/>
      <c r="AF283" s="3"/>
      <c r="AG283" s="3"/>
      <c r="AH283" s="3"/>
      <c r="AI283" s="3"/>
      <c r="AJ283" s="154" t="s">
        <v>70</v>
      </c>
      <c r="AN283" s="154" t="s">
        <v>70</v>
      </c>
    </row>
    <row r="284" ht="15.75" customHeight="1">
      <c r="J284" s="15"/>
      <c r="K284" s="238"/>
      <c r="L284" s="15"/>
      <c r="M284" s="15"/>
      <c r="N284" s="15"/>
      <c r="O284" s="15"/>
      <c r="P284" s="15"/>
      <c r="Q284" s="15"/>
      <c r="R284" s="15"/>
      <c r="S284" s="15"/>
      <c r="T284" s="15"/>
      <c r="U284" s="15"/>
      <c r="V284" s="15"/>
      <c r="W284" s="15"/>
      <c r="X284" s="14"/>
      <c r="Y284" s="14"/>
      <c r="Z284" s="15"/>
      <c r="AA284" s="15"/>
      <c r="AB284" s="3"/>
      <c r="AC284" s="3"/>
      <c r="AD284" s="3"/>
      <c r="AE284" s="3"/>
      <c r="AF284" s="3"/>
      <c r="AG284" s="3"/>
      <c r="AH284" s="3"/>
      <c r="AI284" s="3"/>
      <c r="AJ284" s="154" t="s">
        <v>70</v>
      </c>
      <c r="AN284" s="154" t="s">
        <v>70</v>
      </c>
    </row>
    <row r="285" ht="15.75" customHeight="1">
      <c r="J285" s="15"/>
      <c r="K285" s="238"/>
      <c r="L285" s="15"/>
      <c r="M285" s="15"/>
      <c r="N285" s="15"/>
      <c r="O285" s="15"/>
      <c r="P285" s="15"/>
      <c r="Q285" s="15"/>
      <c r="R285" s="15"/>
      <c r="S285" s="15"/>
      <c r="T285" s="15"/>
      <c r="U285" s="15"/>
      <c r="V285" s="15"/>
      <c r="W285" s="15"/>
      <c r="X285" s="14"/>
      <c r="Y285" s="14"/>
      <c r="Z285" s="15"/>
      <c r="AA285" s="15"/>
      <c r="AB285" s="3"/>
      <c r="AC285" s="3"/>
      <c r="AD285" s="3"/>
      <c r="AE285" s="3"/>
      <c r="AF285" s="3"/>
      <c r="AG285" s="3"/>
      <c r="AH285" s="3"/>
      <c r="AI285" s="3"/>
      <c r="AJ285" s="154" t="s">
        <v>70</v>
      </c>
      <c r="AN285" s="154" t="s">
        <v>70</v>
      </c>
    </row>
    <row r="286" ht="15.75" customHeight="1">
      <c r="J286" s="15"/>
      <c r="K286" s="238"/>
      <c r="L286" s="15"/>
      <c r="M286" s="15"/>
      <c r="N286" s="15"/>
      <c r="O286" s="15"/>
      <c r="P286" s="15"/>
      <c r="Q286" s="15"/>
      <c r="R286" s="15"/>
      <c r="S286" s="15"/>
      <c r="T286" s="15"/>
      <c r="U286" s="15"/>
      <c r="V286" s="15"/>
      <c r="W286" s="15"/>
      <c r="X286" s="14"/>
      <c r="Y286" s="14"/>
      <c r="Z286" s="15"/>
      <c r="AA286" s="15"/>
      <c r="AB286" s="3"/>
      <c r="AC286" s="3"/>
      <c r="AD286" s="3"/>
      <c r="AE286" s="3"/>
      <c r="AF286" s="3"/>
      <c r="AG286" s="3"/>
      <c r="AH286" s="3"/>
      <c r="AI286" s="3"/>
      <c r="AJ286" s="154" t="s">
        <v>70</v>
      </c>
      <c r="AN286" s="154" t="s">
        <v>70</v>
      </c>
    </row>
    <row r="287" ht="15.75" customHeight="1">
      <c r="J287" s="15"/>
      <c r="K287" s="238"/>
      <c r="L287" s="15"/>
      <c r="M287" s="15"/>
      <c r="N287" s="15"/>
      <c r="O287" s="15"/>
      <c r="P287" s="15"/>
      <c r="Q287" s="15"/>
      <c r="R287" s="15"/>
      <c r="S287" s="15"/>
      <c r="T287" s="15"/>
      <c r="U287" s="15"/>
      <c r="V287" s="15"/>
      <c r="W287" s="15"/>
      <c r="X287" s="14"/>
      <c r="Y287" s="14"/>
      <c r="Z287" s="15"/>
      <c r="AA287" s="15"/>
      <c r="AB287" s="3"/>
      <c r="AC287" s="3"/>
      <c r="AD287" s="3"/>
      <c r="AE287" s="3"/>
      <c r="AF287" s="3"/>
      <c r="AG287" s="3"/>
      <c r="AH287" s="3"/>
      <c r="AI287" s="3"/>
      <c r="AJ287" s="154" t="s">
        <v>70</v>
      </c>
      <c r="AN287" s="154" t="s">
        <v>70</v>
      </c>
    </row>
    <row r="288" ht="15.75" customHeight="1">
      <c r="J288" s="15"/>
      <c r="K288" s="238"/>
      <c r="L288" s="15"/>
      <c r="M288" s="15"/>
      <c r="N288" s="15"/>
      <c r="O288" s="15"/>
      <c r="P288" s="15"/>
      <c r="Q288" s="15"/>
      <c r="R288" s="15"/>
      <c r="S288" s="15"/>
      <c r="T288" s="15"/>
      <c r="U288" s="15"/>
      <c r="V288" s="15"/>
      <c r="W288" s="15"/>
      <c r="X288" s="14"/>
      <c r="Y288" s="14"/>
      <c r="Z288" s="15"/>
      <c r="AA288" s="15"/>
      <c r="AB288" s="3"/>
      <c r="AC288" s="3"/>
      <c r="AD288" s="3"/>
      <c r="AE288" s="3"/>
      <c r="AF288" s="3"/>
      <c r="AG288" s="3"/>
      <c r="AH288" s="3"/>
      <c r="AI288" s="3"/>
      <c r="AJ288" s="154" t="s">
        <v>70</v>
      </c>
      <c r="AN288" s="154" t="s">
        <v>70</v>
      </c>
    </row>
    <row r="289" ht="15.75" customHeight="1">
      <c r="J289" s="15"/>
      <c r="K289" s="238"/>
      <c r="L289" s="15"/>
      <c r="M289" s="15"/>
      <c r="N289" s="15"/>
      <c r="O289" s="15"/>
      <c r="P289" s="15"/>
      <c r="Q289" s="15"/>
      <c r="R289" s="15"/>
      <c r="S289" s="15"/>
      <c r="T289" s="15"/>
      <c r="U289" s="15"/>
      <c r="V289" s="15"/>
      <c r="W289" s="15"/>
      <c r="X289" s="14"/>
      <c r="Y289" s="14"/>
      <c r="Z289" s="15"/>
      <c r="AA289" s="15"/>
      <c r="AB289" s="3"/>
      <c r="AC289" s="3"/>
      <c r="AD289" s="3"/>
      <c r="AE289" s="3"/>
      <c r="AF289" s="3"/>
      <c r="AG289" s="3"/>
      <c r="AH289" s="3"/>
      <c r="AI289" s="3"/>
      <c r="AJ289" s="154" t="s">
        <v>70</v>
      </c>
      <c r="AN289" s="154" t="s">
        <v>70</v>
      </c>
    </row>
    <row r="290" ht="15.75" customHeight="1">
      <c r="J290" s="15"/>
      <c r="K290" s="238"/>
      <c r="L290" s="15"/>
      <c r="M290" s="15"/>
      <c r="N290" s="15"/>
      <c r="O290" s="15"/>
      <c r="P290" s="15"/>
      <c r="Q290" s="15"/>
      <c r="R290" s="15"/>
      <c r="S290" s="15"/>
      <c r="T290" s="15"/>
      <c r="U290" s="15"/>
      <c r="V290" s="15"/>
      <c r="W290" s="15"/>
      <c r="X290" s="14"/>
      <c r="Y290" s="14"/>
      <c r="Z290" s="15"/>
      <c r="AA290" s="15"/>
      <c r="AB290" s="3"/>
      <c r="AC290" s="3"/>
      <c r="AD290" s="3"/>
      <c r="AE290" s="3"/>
      <c r="AF290" s="3"/>
      <c r="AG290" s="3"/>
      <c r="AH290" s="3"/>
      <c r="AI290" s="3"/>
      <c r="AJ290" s="154" t="s">
        <v>70</v>
      </c>
      <c r="AN290" s="154" t="s">
        <v>70</v>
      </c>
    </row>
    <row r="291" ht="15.75" customHeight="1">
      <c r="J291" s="15"/>
      <c r="K291" s="238"/>
      <c r="L291" s="15"/>
      <c r="M291" s="15"/>
      <c r="N291" s="15"/>
      <c r="O291" s="15"/>
      <c r="P291" s="15"/>
      <c r="Q291" s="15"/>
      <c r="R291" s="15"/>
      <c r="S291" s="15"/>
      <c r="T291" s="15"/>
      <c r="U291" s="15"/>
      <c r="V291" s="15"/>
      <c r="W291" s="15"/>
      <c r="X291" s="14"/>
      <c r="Y291" s="14"/>
      <c r="Z291" s="15"/>
      <c r="AA291" s="15"/>
      <c r="AB291" s="3"/>
      <c r="AC291" s="3"/>
      <c r="AD291" s="3"/>
      <c r="AE291" s="3"/>
      <c r="AF291" s="3"/>
      <c r="AG291" s="3"/>
      <c r="AH291" s="3"/>
      <c r="AI291" s="3"/>
      <c r="AJ291" s="154" t="s">
        <v>70</v>
      </c>
      <c r="AN291" s="154" t="s">
        <v>70</v>
      </c>
    </row>
    <row r="292" ht="15.75" customHeight="1">
      <c r="J292" s="15"/>
      <c r="K292" s="238"/>
      <c r="L292" s="15"/>
      <c r="M292" s="15"/>
      <c r="N292" s="15"/>
      <c r="O292" s="15"/>
      <c r="P292" s="15"/>
      <c r="Q292" s="15"/>
      <c r="R292" s="15"/>
      <c r="S292" s="15"/>
      <c r="T292" s="15"/>
      <c r="U292" s="15"/>
      <c r="V292" s="15"/>
      <c r="W292" s="15"/>
      <c r="X292" s="14"/>
      <c r="Y292" s="14"/>
      <c r="Z292" s="15"/>
      <c r="AA292" s="15"/>
      <c r="AB292" s="3"/>
      <c r="AC292" s="3"/>
      <c r="AD292" s="3"/>
      <c r="AE292" s="3"/>
      <c r="AF292" s="3"/>
      <c r="AG292" s="3"/>
      <c r="AH292" s="3"/>
      <c r="AI292" s="3"/>
      <c r="AJ292" s="154" t="s">
        <v>70</v>
      </c>
      <c r="AN292" s="154" t="s">
        <v>70</v>
      </c>
    </row>
    <row r="293" ht="15.75" customHeight="1">
      <c r="J293" s="15"/>
      <c r="K293" s="238"/>
      <c r="L293" s="15"/>
      <c r="M293" s="15"/>
      <c r="N293" s="15"/>
      <c r="O293" s="15"/>
      <c r="P293" s="15"/>
      <c r="Q293" s="15"/>
      <c r="R293" s="15"/>
      <c r="S293" s="15"/>
      <c r="T293" s="15"/>
      <c r="U293" s="15"/>
      <c r="V293" s="15"/>
      <c r="W293" s="15"/>
      <c r="X293" s="14"/>
      <c r="Y293" s="14"/>
      <c r="Z293" s="15"/>
      <c r="AA293" s="15"/>
      <c r="AB293" s="3"/>
      <c r="AC293" s="3"/>
      <c r="AD293" s="3"/>
      <c r="AE293" s="3"/>
      <c r="AF293" s="3"/>
      <c r="AG293" s="3"/>
      <c r="AH293" s="3"/>
      <c r="AI293" s="3"/>
      <c r="AJ293" s="154" t="s">
        <v>70</v>
      </c>
      <c r="AN293" s="154" t="s">
        <v>70</v>
      </c>
    </row>
    <row r="294" ht="15.75" customHeight="1">
      <c r="J294" s="15"/>
      <c r="K294" s="238"/>
      <c r="L294" s="15"/>
      <c r="M294" s="15"/>
      <c r="N294" s="15"/>
      <c r="O294" s="15"/>
      <c r="P294" s="15"/>
      <c r="Q294" s="15"/>
      <c r="R294" s="15"/>
      <c r="S294" s="15"/>
      <c r="T294" s="15"/>
      <c r="U294" s="15"/>
      <c r="V294" s="15"/>
      <c r="W294" s="15"/>
      <c r="X294" s="14"/>
      <c r="Y294" s="14"/>
      <c r="Z294" s="15"/>
      <c r="AA294" s="15"/>
      <c r="AB294" s="3"/>
      <c r="AC294" s="3"/>
      <c r="AD294" s="3"/>
      <c r="AE294" s="3"/>
      <c r="AF294" s="3"/>
      <c r="AG294" s="3"/>
      <c r="AH294" s="3"/>
      <c r="AI294" s="3"/>
      <c r="AJ294" s="154" t="s">
        <v>70</v>
      </c>
      <c r="AN294" s="154" t="s">
        <v>70</v>
      </c>
    </row>
    <row r="295" ht="15.75" customHeight="1">
      <c r="J295" s="15"/>
      <c r="K295" s="238"/>
      <c r="L295" s="15"/>
      <c r="M295" s="15"/>
      <c r="N295" s="15"/>
      <c r="O295" s="15"/>
      <c r="P295" s="15"/>
      <c r="Q295" s="15"/>
      <c r="R295" s="15"/>
      <c r="S295" s="15"/>
      <c r="T295" s="15"/>
      <c r="U295" s="15"/>
      <c r="V295" s="15"/>
      <c r="W295" s="15"/>
      <c r="X295" s="14"/>
      <c r="Y295" s="14"/>
      <c r="Z295" s="15"/>
      <c r="AA295" s="15"/>
      <c r="AB295" s="3"/>
      <c r="AC295" s="3"/>
      <c r="AD295" s="3"/>
      <c r="AE295" s="3"/>
      <c r="AF295" s="3"/>
      <c r="AG295" s="3"/>
      <c r="AH295" s="3"/>
      <c r="AI295" s="3"/>
      <c r="AJ295" s="154" t="s">
        <v>70</v>
      </c>
      <c r="AN295" s="154" t="s">
        <v>70</v>
      </c>
    </row>
    <row r="296" ht="15.75" customHeight="1">
      <c r="J296" s="15"/>
      <c r="K296" s="238"/>
      <c r="L296" s="15"/>
      <c r="M296" s="15"/>
      <c r="N296" s="15"/>
      <c r="O296" s="15"/>
      <c r="P296" s="15"/>
      <c r="Q296" s="15"/>
      <c r="R296" s="15"/>
      <c r="S296" s="15"/>
      <c r="T296" s="15"/>
      <c r="U296" s="15"/>
      <c r="V296" s="15"/>
      <c r="W296" s="15"/>
      <c r="X296" s="14"/>
      <c r="Y296" s="14"/>
      <c r="Z296" s="15"/>
      <c r="AA296" s="15"/>
      <c r="AB296" s="3"/>
      <c r="AC296" s="3"/>
      <c r="AD296" s="3"/>
      <c r="AE296" s="3"/>
      <c r="AF296" s="3"/>
      <c r="AG296" s="3"/>
      <c r="AH296" s="3"/>
      <c r="AI296" s="3"/>
      <c r="AJ296" s="154" t="s">
        <v>70</v>
      </c>
      <c r="AN296" s="154" t="s">
        <v>70</v>
      </c>
    </row>
    <row r="297" ht="15.75" customHeight="1">
      <c r="J297" s="15"/>
      <c r="K297" s="238"/>
      <c r="L297" s="15"/>
      <c r="M297" s="15"/>
      <c r="N297" s="15"/>
      <c r="O297" s="15"/>
      <c r="P297" s="15"/>
      <c r="Q297" s="15"/>
      <c r="R297" s="15"/>
      <c r="S297" s="15"/>
      <c r="T297" s="15"/>
      <c r="U297" s="15"/>
      <c r="V297" s="15"/>
      <c r="W297" s="15"/>
      <c r="X297" s="14"/>
      <c r="Y297" s="14"/>
      <c r="Z297" s="15"/>
      <c r="AA297" s="15"/>
      <c r="AB297" s="3"/>
      <c r="AC297" s="3"/>
      <c r="AD297" s="3"/>
      <c r="AE297" s="3"/>
      <c r="AF297" s="3"/>
      <c r="AG297" s="3"/>
      <c r="AH297" s="3"/>
      <c r="AI297" s="3"/>
      <c r="AJ297" s="154" t="s">
        <v>70</v>
      </c>
      <c r="AN297" s="154" t="s">
        <v>70</v>
      </c>
    </row>
    <row r="298" ht="15.75" customHeight="1">
      <c r="J298" s="15"/>
      <c r="K298" s="238"/>
      <c r="L298" s="15"/>
      <c r="M298" s="15"/>
      <c r="N298" s="15"/>
      <c r="O298" s="15"/>
      <c r="P298" s="15"/>
      <c r="Q298" s="15"/>
      <c r="R298" s="15"/>
      <c r="S298" s="15"/>
      <c r="T298" s="15"/>
      <c r="U298" s="15"/>
      <c r="V298" s="15"/>
      <c r="W298" s="15"/>
      <c r="X298" s="14"/>
      <c r="Y298" s="14"/>
      <c r="Z298" s="15"/>
      <c r="AA298" s="15"/>
      <c r="AB298" s="3"/>
      <c r="AC298" s="3"/>
      <c r="AD298" s="3"/>
      <c r="AE298" s="3"/>
      <c r="AF298" s="3"/>
      <c r="AG298" s="3"/>
      <c r="AH298" s="3"/>
      <c r="AI298" s="3"/>
      <c r="AJ298" s="154" t="s">
        <v>70</v>
      </c>
      <c r="AN298" s="154" t="s">
        <v>70</v>
      </c>
    </row>
    <row r="299" ht="15.75" customHeight="1">
      <c r="J299" s="15"/>
      <c r="K299" s="238"/>
      <c r="L299" s="15"/>
      <c r="M299" s="15"/>
      <c r="N299" s="15"/>
      <c r="O299" s="15"/>
      <c r="P299" s="15"/>
      <c r="Q299" s="15"/>
      <c r="R299" s="15"/>
      <c r="S299" s="15"/>
      <c r="T299" s="15"/>
      <c r="U299" s="15"/>
      <c r="V299" s="15"/>
      <c r="W299" s="15"/>
      <c r="X299" s="14"/>
      <c r="Y299" s="14"/>
      <c r="Z299" s="15"/>
      <c r="AA299" s="15"/>
      <c r="AB299" s="3"/>
      <c r="AC299" s="3"/>
      <c r="AD299" s="3"/>
      <c r="AE299" s="3"/>
      <c r="AF299" s="3"/>
      <c r="AG299" s="3"/>
      <c r="AH299" s="3"/>
      <c r="AI299" s="3"/>
      <c r="AJ299" s="154" t="s">
        <v>70</v>
      </c>
      <c r="AN299" s="154" t="s">
        <v>70</v>
      </c>
    </row>
    <row r="300" ht="15.75" customHeight="1">
      <c r="J300" s="15"/>
      <c r="K300" s="238"/>
      <c r="L300" s="15"/>
      <c r="M300" s="15"/>
      <c r="N300" s="15"/>
      <c r="O300" s="15"/>
      <c r="P300" s="15"/>
      <c r="Q300" s="15"/>
      <c r="R300" s="15"/>
      <c r="S300" s="15"/>
      <c r="T300" s="15"/>
      <c r="U300" s="15"/>
      <c r="V300" s="15"/>
      <c r="W300" s="15"/>
      <c r="X300" s="14"/>
      <c r="Y300" s="14"/>
      <c r="Z300" s="15"/>
      <c r="AA300" s="15"/>
      <c r="AB300" s="3"/>
      <c r="AC300" s="3"/>
      <c r="AD300" s="3"/>
      <c r="AE300" s="3"/>
      <c r="AF300" s="3"/>
      <c r="AG300" s="3"/>
      <c r="AH300" s="3"/>
      <c r="AI300" s="3"/>
      <c r="AJ300" s="154" t="s">
        <v>70</v>
      </c>
      <c r="AN300" s="154" t="s">
        <v>70</v>
      </c>
    </row>
    <row r="301" ht="15.75" customHeight="1">
      <c r="J301" s="15"/>
      <c r="K301" s="238"/>
      <c r="L301" s="15"/>
      <c r="M301" s="15"/>
      <c r="N301" s="15"/>
      <c r="O301" s="15"/>
      <c r="P301" s="15"/>
      <c r="Q301" s="15"/>
      <c r="R301" s="15"/>
      <c r="S301" s="15"/>
      <c r="T301" s="15"/>
      <c r="U301" s="15"/>
      <c r="V301" s="15"/>
      <c r="W301" s="15"/>
      <c r="X301" s="14"/>
      <c r="Y301" s="14"/>
      <c r="Z301" s="15"/>
      <c r="AA301" s="15"/>
      <c r="AB301" s="3"/>
      <c r="AC301" s="3"/>
      <c r="AD301" s="3"/>
      <c r="AE301" s="3"/>
      <c r="AF301" s="3"/>
      <c r="AG301" s="3"/>
      <c r="AH301" s="3"/>
      <c r="AI301" s="3"/>
      <c r="AJ301" s="154" t="s">
        <v>70</v>
      </c>
      <c r="AN301" s="154" t="s">
        <v>70</v>
      </c>
    </row>
    <row r="302" ht="15.75" customHeight="1">
      <c r="J302" s="15"/>
      <c r="K302" s="238"/>
      <c r="L302" s="15"/>
      <c r="M302" s="15"/>
      <c r="N302" s="15"/>
      <c r="O302" s="15"/>
      <c r="P302" s="15"/>
      <c r="Q302" s="15"/>
      <c r="R302" s="15"/>
      <c r="S302" s="15"/>
      <c r="T302" s="15"/>
      <c r="U302" s="15"/>
      <c r="V302" s="15"/>
      <c r="W302" s="15"/>
      <c r="X302" s="14"/>
      <c r="Y302" s="14"/>
      <c r="Z302" s="15"/>
      <c r="AA302" s="15"/>
      <c r="AB302" s="3"/>
      <c r="AC302" s="3"/>
      <c r="AD302" s="3"/>
      <c r="AE302" s="3"/>
      <c r="AF302" s="3"/>
      <c r="AG302" s="3"/>
      <c r="AH302" s="3"/>
      <c r="AI302" s="3"/>
      <c r="AJ302" s="154" t="s">
        <v>70</v>
      </c>
      <c r="AN302" s="154" t="s">
        <v>70</v>
      </c>
    </row>
    <row r="303" ht="15.75" customHeight="1">
      <c r="J303" s="15"/>
      <c r="K303" s="238"/>
      <c r="L303" s="15"/>
      <c r="M303" s="15"/>
      <c r="N303" s="15"/>
      <c r="O303" s="15"/>
      <c r="P303" s="15"/>
      <c r="Q303" s="15"/>
      <c r="R303" s="15"/>
      <c r="S303" s="15"/>
      <c r="T303" s="15"/>
      <c r="U303" s="15"/>
      <c r="V303" s="15"/>
      <c r="W303" s="15"/>
      <c r="X303" s="14"/>
      <c r="Y303" s="14"/>
      <c r="Z303" s="15"/>
      <c r="AA303" s="15"/>
      <c r="AB303" s="3"/>
      <c r="AC303" s="3"/>
      <c r="AD303" s="3"/>
      <c r="AE303" s="3"/>
      <c r="AF303" s="3"/>
      <c r="AG303" s="3"/>
      <c r="AH303" s="3"/>
      <c r="AI303" s="3"/>
      <c r="AJ303" s="154" t="s">
        <v>70</v>
      </c>
      <c r="AN303" s="154" t="s">
        <v>70</v>
      </c>
    </row>
    <row r="304" ht="15.75" customHeight="1">
      <c r="J304" s="15"/>
      <c r="K304" s="238"/>
      <c r="L304" s="15"/>
      <c r="M304" s="15"/>
      <c r="N304" s="15"/>
      <c r="O304" s="15"/>
      <c r="P304" s="15"/>
      <c r="Q304" s="15"/>
      <c r="R304" s="15"/>
      <c r="S304" s="15"/>
      <c r="T304" s="15"/>
      <c r="U304" s="15"/>
      <c r="V304" s="15"/>
      <c r="W304" s="15"/>
      <c r="X304" s="14"/>
      <c r="Y304" s="14"/>
      <c r="Z304" s="15"/>
      <c r="AA304" s="15"/>
      <c r="AB304" s="3"/>
      <c r="AC304" s="3"/>
      <c r="AD304" s="3"/>
      <c r="AE304" s="3"/>
      <c r="AF304" s="3"/>
      <c r="AG304" s="3"/>
      <c r="AH304" s="3"/>
      <c r="AI304" s="3"/>
      <c r="AJ304" s="154" t="s">
        <v>70</v>
      </c>
      <c r="AN304" s="154" t="s">
        <v>70</v>
      </c>
    </row>
    <row r="305" ht="15.75" customHeight="1">
      <c r="J305" s="15"/>
      <c r="K305" s="238"/>
      <c r="L305" s="15"/>
      <c r="M305" s="15"/>
      <c r="N305" s="15"/>
      <c r="O305" s="15"/>
      <c r="P305" s="15"/>
      <c r="Q305" s="15"/>
      <c r="R305" s="15"/>
      <c r="S305" s="15"/>
      <c r="T305" s="15"/>
      <c r="U305" s="15"/>
      <c r="V305" s="15"/>
      <c r="W305" s="15"/>
      <c r="X305" s="14"/>
      <c r="Y305" s="14"/>
      <c r="Z305" s="15"/>
      <c r="AA305" s="15"/>
      <c r="AB305" s="3"/>
      <c r="AC305" s="3"/>
      <c r="AD305" s="3"/>
      <c r="AE305" s="3"/>
      <c r="AF305" s="3"/>
      <c r="AG305" s="3"/>
      <c r="AH305" s="3"/>
      <c r="AI305" s="3"/>
      <c r="AJ305" s="154" t="s">
        <v>70</v>
      </c>
      <c r="AN305" s="154" t="s">
        <v>70</v>
      </c>
    </row>
    <row r="306" ht="15.75" customHeight="1">
      <c r="J306" s="15"/>
      <c r="K306" s="238"/>
      <c r="L306" s="15"/>
      <c r="M306" s="15"/>
      <c r="N306" s="15"/>
      <c r="O306" s="15"/>
      <c r="P306" s="15"/>
      <c r="Q306" s="15"/>
      <c r="R306" s="15"/>
      <c r="S306" s="15"/>
      <c r="T306" s="15"/>
      <c r="U306" s="15"/>
      <c r="V306" s="15"/>
      <c r="W306" s="15"/>
      <c r="X306" s="14"/>
      <c r="Y306" s="14"/>
      <c r="Z306" s="15"/>
      <c r="AA306" s="15"/>
      <c r="AB306" s="3"/>
      <c r="AC306" s="3"/>
      <c r="AD306" s="3"/>
      <c r="AE306" s="3"/>
      <c r="AF306" s="3"/>
      <c r="AG306" s="3"/>
      <c r="AH306" s="3"/>
      <c r="AI306" s="3"/>
      <c r="AJ306" s="154" t="s">
        <v>70</v>
      </c>
      <c r="AN306" s="154" t="s">
        <v>70</v>
      </c>
    </row>
    <row r="307" ht="15.75" customHeight="1">
      <c r="J307" s="15"/>
      <c r="K307" s="238"/>
      <c r="L307" s="15"/>
      <c r="M307" s="15"/>
      <c r="N307" s="15"/>
      <c r="O307" s="15"/>
      <c r="P307" s="15"/>
      <c r="Q307" s="15"/>
      <c r="R307" s="15"/>
      <c r="S307" s="15"/>
      <c r="T307" s="15"/>
      <c r="U307" s="15"/>
      <c r="V307" s="15"/>
      <c r="W307" s="15"/>
      <c r="X307" s="14"/>
      <c r="Y307" s="14"/>
      <c r="Z307" s="15"/>
      <c r="AA307" s="15"/>
      <c r="AB307" s="3"/>
      <c r="AC307" s="3"/>
      <c r="AD307" s="3"/>
      <c r="AE307" s="3"/>
      <c r="AF307" s="3"/>
      <c r="AG307" s="3"/>
      <c r="AH307" s="3"/>
      <c r="AI307" s="3"/>
      <c r="AJ307" s="154" t="s">
        <v>70</v>
      </c>
      <c r="AN307" s="154" t="s">
        <v>70</v>
      </c>
    </row>
    <row r="308" ht="15.75" customHeight="1">
      <c r="J308" s="15"/>
      <c r="K308" s="238"/>
      <c r="L308" s="15"/>
      <c r="M308" s="15"/>
      <c r="N308" s="15"/>
      <c r="O308" s="15"/>
      <c r="P308" s="15"/>
      <c r="Q308" s="15"/>
      <c r="R308" s="15"/>
      <c r="S308" s="15"/>
      <c r="T308" s="15"/>
      <c r="U308" s="15"/>
      <c r="V308" s="15"/>
      <c r="W308" s="15"/>
      <c r="X308" s="14"/>
      <c r="Y308" s="14"/>
      <c r="Z308" s="15"/>
      <c r="AA308" s="15"/>
      <c r="AB308" s="3"/>
      <c r="AC308" s="3"/>
      <c r="AD308" s="3"/>
      <c r="AE308" s="3"/>
      <c r="AF308" s="3"/>
      <c r="AG308" s="3"/>
      <c r="AH308" s="3"/>
      <c r="AI308" s="3"/>
      <c r="AJ308" s="154" t="s">
        <v>70</v>
      </c>
      <c r="AN308" s="154" t="s">
        <v>70</v>
      </c>
    </row>
    <row r="309" ht="15.75" customHeight="1">
      <c r="J309" s="15"/>
      <c r="K309" s="238"/>
      <c r="L309" s="15"/>
      <c r="M309" s="15"/>
      <c r="N309" s="15"/>
      <c r="O309" s="15"/>
      <c r="P309" s="15"/>
      <c r="Q309" s="15"/>
      <c r="R309" s="15"/>
      <c r="S309" s="15"/>
      <c r="T309" s="15"/>
      <c r="U309" s="15"/>
      <c r="V309" s="15"/>
      <c r="W309" s="15"/>
      <c r="X309" s="14"/>
      <c r="Y309" s="14"/>
      <c r="Z309" s="15"/>
      <c r="AA309" s="15"/>
      <c r="AB309" s="3"/>
      <c r="AC309" s="3"/>
      <c r="AD309" s="3"/>
      <c r="AE309" s="3"/>
      <c r="AF309" s="3"/>
      <c r="AG309" s="3"/>
      <c r="AH309" s="3"/>
      <c r="AI309" s="3"/>
      <c r="AJ309" s="154" t="s">
        <v>70</v>
      </c>
      <c r="AN309" s="154" t="s">
        <v>70</v>
      </c>
    </row>
    <row r="310" ht="15.75" customHeight="1">
      <c r="J310" s="15"/>
      <c r="K310" s="238"/>
      <c r="L310" s="15"/>
      <c r="M310" s="15"/>
      <c r="N310" s="15"/>
      <c r="O310" s="15"/>
      <c r="P310" s="15"/>
      <c r="Q310" s="15"/>
      <c r="R310" s="15"/>
      <c r="S310" s="15"/>
      <c r="T310" s="15"/>
      <c r="U310" s="15"/>
      <c r="V310" s="15"/>
      <c r="W310" s="15"/>
      <c r="X310" s="14"/>
      <c r="Y310" s="14"/>
      <c r="Z310" s="15"/>
      <c r="AA310" s="15"/>
      <c r="AB310" s="3"/>
      <c r="AC310" s="3"/>
      <c r="AD310" s="3"/>
      <c r="AE310" s="3"/>
      <c r="AF310" s="3"/>
      <c r="AG310" s="3"/>
      <c r="AH310" s="3"/>
      <c r="AI310" s="3"/>
      <c r="AJ310" s="154" t="s">
        <v>70</v>
      </c>
      <c r="AN310" s="154" t="s">
        <v>70</v>
      </c>
    </row>
    <row r="311" ht="15.75" customHeight="1">
      <c r="J311" s="15"/>
      <c r="K311" s="238"/>
      <c r="L311" s="15"/>
      <c r="M311" s="15"/>
      <c r="N311" s="15"/>
      <c r="O311" s="15"/>
      <c r="P311" s="15"/>
      <c r="Q311" s="15"/>
      <c r="R311" s="15"/>
      <c r="S311" s="15"/>
      <c r="T311" s="15"/>
      <c r="U311" s="15"/>
      <c r="V311" s="15"/>
      <c r="W311" s="15"/>
      <c r="X311" s="14"/>
      <c r="Y311" s="14"/>
      <c r="Z311" s="15"/>
      <c r="AA311" s="15"/>
      <c r="AB311" s="3"/>
      <c r="AC311" s="3"/>
      <c r="AD311" s="3"/>
      <c r="AE311" s="3"/>
      <c r="AF311" s="3"/>
      <c r="AG311" s="3"/>
      <c r="AH311" s="3"/>
      <c r="AI311" s="3"/>
      <c r="AJ311" s="154" t="s">
        <v>70</v>
      </c>
      <c r="AN311" s="154" t="s">
        <v>70</v>
      </c>
    </row>
    <row r="312" ht="15.75" customHeight="1">
      <c r="J312" s="15"/>
      <c r="K312" s="238"/>
      <c r="L312" s="15"/>
      <c r="M312" s="15"/>
      <c r="N312" s="15"/>
      <c r="O312" s="15"/>
      <c r="P312" s="15"/>
      <c r="Q312" s="15"/>
      <c r="R312" s="15"/>
      <c r="S312" s="15"/>
      <c r="T312" s="15"/>
      <c r="U312" s="15"/>
      <c r="V312" s="15"/>
      <c r="W312" s="15"/>
      <c r="X312" s="14"/>
      <c r="Y312" s="14"/>
      <c r="Z312" s="15"/>
      <c r="AA312" s="15"/>
      <c r="AB312" s="3"/>
      <c r="AC312" s="3"/>
      <c r="AD312" s="3"/>
      <c r="AE312" s="3"/>
      <c r="AF312" s="3"/>
      <c r="AG312" s="3"/>
      <c r="AH312" s="3"/>
      <c r="AI312" s="3"/>
      <c r="AJ312" s="154" t="s">
        <v>70</v>
      </c>
      <c r="AN312" s="154" t="s">
        <v>70</v>
      </c>
    </row>
    <row r="313" ht="15.75" customHeight="1">
      <c r="J313" s="15"/>
      <c r="K313" s="238"/>
      <c r="L313" s="15"/>
      <c r="M313" s="15"/>
      <c r="N313" s="15"/>
      <c r="O313" s="15"/>
      <c r="P313" s="15"/>
      <c r="Q313" s="15"/>
      <c r="R313" s="15"/>
      <c r="S313" s="15"/>
      <c r="T313" s="15"/>
      <c r="U313" s="15"/>
      <c r="V313" s="15"/>
      <c r="W313" s="15"/>
      <c r="X313" s="14"/>
      <c r="Y313" s="14"/>
      <c r="Z313" s="15"/>
      <c r="AA313" s="15"/>
      <c r="AB313" s="3"/>
      <c r="AC313" s="3"/>
      <c r="AD313" s="3"/>
      <c r="AE313" s="3"/>
      <c r="AF313" s="3"/>
      <c r="AG313" s="3"/>
      <c r="AH313" s="3"/>
      <c r="AI313" s="3"/>
      <c r="AJ313" s="154" t="s">
        <v>70</v>
      </c>
      <c r="AN313" s="154" t="s">
        <v>70</v>
      </c>
    </row>
    <row r="314" ht="15.75" customHeight="1">
      <c r="J314" s="15"/>
      <c r="K314" s="238"/>
      <c r="L314" s="15"/>
      <c r="M314" s="15"/>
      <c r="N314" s="15"/>
      <c r="O314" s="15"/>
      <c r="P314" s="15"/>
      <c r="Q314" s="15"/>
      <c r="R314" s="15"/>
      <c r="S314" s="15"/>
      <c r="T314" s="15"/>
      <c r="U314" s="15"/>
      <c r="V314" s="15"/>
      <c r="W314" s="15"/>
      <c r="X314" s="14"/>
      <c r="Y314" s="14"/>
      <c r="Z314" s="15"/>
      <c r="AA314" s="15"/>
      <c r="AB314" s="3"/>
      <c r="AC314" s="3"/>
      <c r="AD314" s="3"/>
      <c r="AE314" s="3"/>
      <c r="AF314" s="3"/>
      <c r="AG314" s="3"/>
      <c r="AH314" s="3"/>
      <c r="AI314" s="3"/>
      <c r="AJ314" s="154" t="s">
        <v>70</v>
      </c>
      <c r="AN314" s="154" t="s">
        <v>70</v>
      </c>
    </row>
    <row r="315" ht="15.75" customHeight="1">
      <c r="J315" s="15"/>
      <c r="K315" s="238"/>
      <c r="L315" s="15"/>
      <c r="M315" s="15"/>
      <c r="N315" s="15"/>
      <c r="O315" s="15"/>
      <c r="P315" s="15"/>
      <c r="Q315" s="15"/>
      <c r="R315" s="15"/>
      <c r="S315" s="15"/>
      <c r="T315" s="15"/>
      <c r="U315" s="15"/>
      <c r="V315" s="15"/>
      <c r="W315" s="15"/>
      <c r="X315" s="14"/>
      <c r="Y315" s="14"/>
      <c r="Z315" s="15"/>
      <c r="AA315" s="15"/>
      <c r="AB315" s="3"/>
      <c r="AC315" s="3"/>
      <c r="AD315" s="3"/>
      <c r="AE315" s="3"/>
      <c r="AF315" s="3"/>
      <c r="AG315" s="3"/>
      <c r="AH315" s="3"/>
      <c r="AI315" s="3"/>
      <c r="AJ315" s="154" t="s">
        <v>70</v>
      </c>
      <c r="AN315" s="154" t="s">
        <v>70</v>
      </c>
    </row>
    <row r="316" ht="15.75" customHeight="1">
      <c r="J316" s="15"/>
      <c r="K316" s="238"/>
      <c r="L316" s="15"/>
      <c r="M316" s="15"/>
      <c r="N316" s="15"/>
      <c r="O316" s="15"/>
      <c r="P316" s="15"/>
      <c r="Q316" s="15"/>
      <c r="R316" s="15"/>
      <c r="S316" s="15"/>
      <c r="T316" s="15"/>
      <c r="U316" s="15"/>
      <c r="V316" s="15"/>
      <c r="W316" s="15"/>
      <c r="X316" s="14"/>
      <c r="Y316" s="14"/>
      <c r="Z316" s="15"/>
      <c r="AA316" s="15"/>
      <c r="AB316" s="3"/>
      <c r="AC316" s="3"/>
      <c r="AD316" s="3"/>
      <c r="AE316" s="3"/>
      <c r="AF316" s="3"/>
      <c r="AG316" s="3"/>
      <c r="AH316" s="3"/>
      <c r="AI316" s="3"/>
      <c r="AJ316" s="154" t="s">
        <v>70</v>
      </c>
      <c r="AN316" s="154" t="s">
        <v>70</v>
      </c>
    </row>
    <row r="317" ht="15.75" customHeight="1">
      <c r="J317" s="15"/>
      <c r="K317" s="238"/>
      <c r="L317" s="15"/>
      <c r="M317" s="15"/>
      <c r="N317" s="15"/>
      <c r="O317" s="15"/>
      <c r="P317" s="15"/>
      <c r="Q317" s="15"/>
      <c r="R317" s="15"/>
      <c r="S317" s="15"/>
      <c r="T317" s="15"/>
      <c r="U317" s="15"/>
      <c r="V317" s="15"/>
      <c r="W317" s="15"/>
      <c r="X317" s="14"/>
      <c r="Y317" s="14"/>
      <c r="Z317" s="15"/>
      <c r="AA317" s="15"/>
      <c r="AB317" s="3"/>
      <c r="AC317" s="3"/>
      <c r="AD317" s="3"/>
      <c r="AE317" s="3"/>
      <c r="AF317" s="3"/>
      <c r="AG317" s="3"/>
      <c r="AH317" s="3"/>
      <c r="AI317" s="3"/>
      <c r="AJ317" s="154" t="s">
        <v>70</v>
      </c>
      <c r="AN317" s="154" t="s">
        <v>70</v>
      </c>
    </row>
    <row r="318" ht="15.75" customHeight="1">
      <c r="J318" s="15"/>
      <c r="K318" s="238"/>
      <c r="L318" s="15"/>
      <c r="M318" s="15"/>
      <c r="N318" s="15"/>
      <c r="O318" s="15"/>
      <c r="P318" s="15"/>
      <c r="Q318" s="15"/>
      <c r="R318" s="15"/>
      <c r="S318" s="15"/>
      <c r="T318" s="15"/>
      <c r="U318" s="15"/>
      <c r="V318" s="15"/>
      <c r="W318" s="15"/>
      <c r="X318" s="14"/>
      <c r="Y318" s="14"/>
      <c r="Z318" s="15"/>
      <c r="AA318" s="15"/>
      <c r="AB318" s="3"/>
      <c r="AC318" s="3"/>
      <c r="AD318" s="3"/>
      <c r="AE318" s="3"/>
      <c r="AF318" s="3"/>
      <c r="AG318" s="3"/>
      <c r="AH318" s="3"/>
      <c r="AI318" s="3"/>
      <c r="AJ318" s="154" t="s">
        <v>70</v>
      </c>
      <c r="AN318" s="154" t="s">
        <v>70</v>
      </c>
    </row>
    <row r="319" ht="15.75" customHeight="1">
      <c r="J319" s="15"/>
      <c r="K319" s="238"/>
      <c r="L319" s="15"/>
      <c r="M319" s="15"/>
      <c r="N319" s="15"/>
      <c r="O319" s="15"/>
      <c r="P319" s="15"/>
      <c r="Q319" s="15"/>
      <c r="R319" s="15"/>
      <c r="S319" s="15"/>
      <c r="T319" s="15"/>
      <c r="U319" s="15"/>
      <c r="V319" s="15"/>
      <c r="W319" s="15"/>
      <c r="X319" s="14"/>
      <c r="Y319" s="14"/>
      <c r="Z319" s="15"/>
      <c r="AA319" s="15"/>
      <c r="AB319" s="3"/>
      <c r="AC319" s="3"/>
      <c r="AD319" s="3"/>
      <c r="AE319" s="3"/>
      <c r="AF319" s="3"/>
      <c r="AG319" s="3"/>
      <c r="AH319" s="3"/>
      <c r="AI319" s="3"/>
      <c r="AJ319" s="154" t="s">
        <v>70</v>
      </c>
      <c r="AN319" s="154" t="s">
        <v>70</v>
      </c>
    </row>
    <row r="320" ht="15.75" customHeight="1">
      <c r="J320" s="15"/>
      <c r="K320" s="238"/>
      <c r="L320" s="15"/>
      <c r="M320" s="15"/>
      <c r="N320" s="15"/>
      <c r="O320" s="15"/>
      <c r="P320" s="15"/>
      <c r="Q320" s="15"/>
      <c r="R320" s="15"/>
      <c r="S320" s="15"/>
      <c r="T320" s="15"/>
      <c r="U320" s="15"/>
      <c r="V320" s="15"/>
      <c r="W320" s="15"/>
      <c r="X320" s="14"/>
      <c r="Y320" s="14"/>
      <c r="Z320" s="15"/>
      <c r="AA320" s="15"/>
      <c r="AB320" s="3"/>
      <c r="AC320" s="3"/>
      <c r="AD320" s="3"/>
      <c r="AE320" s="3"/>
      <c r="AF320" s="3"/>
      <c r="AG320" s="3"/>
      <c r="AH320" s="3"/>
      <c r="AI320" s="3"/>
      <c r="AJ320" s="154" t="s">
        <v>70</v>
      </c>
      <c r="AN320" s="154" t="s">
        <v>70</v>
      </c>
    </row>
    <row r="321" ht="15.75" customHeight="1">
      <c r="J321" s="15"/>
      <c r="K321" s="238"/>
      <c r="L321" s="15"/>
      <c r="M321" s="15"/>
      <c r="N321" s="15"/>
      <c r="O321" s="15"/>
      <c r="P321" s="15"/>
      <c r="Q321" s="15"/>
      <c r="R321" s="15"/>
      <c r="S321" s="15"/>
      <c r="T321" s="15"/>
      <c r="U321" s="15"/>
      <c r="V321" s="15"/>
      <c r="W321" s="15"/>
      <c r="X321" s="14"/>
      <c r="Y321" s="14"/>
      <c r="Z321" s="15"/>
      <c r="AA321" s="15"/>
      <c r="AB321" s="3"/>
      <c r="AC321" s="3"/>
      <c r="AD321" s="3"/>
      <c r="AE321" s="3"/>
      <c r="AF321" s="3"/>
      <c r="AG321" s="3"/>
      <c r="AH321" s="3"/>
      <c r="AI321" s="3"/>
      <c r="AJ321" s="154" t="s">
        <v>70</v>
      </c>
      <c r="AN321" s="154" t="s">
        <v>70</v>
      </c>
    </row>
    <row r="322" ht="15.75" customHeight="1">
      <c r="J322" s="15"/>
      <c r="K322" s="238"/>
      <c r="L322" s="15"/>
      <c r="M322" s="15"/>
      <c r="N322" s="15"/>
      <c r="O322" s="15"/>
      <c r="P322" s="15"/>
      <c r="Q322" s="15"/>
      <c r="R322" s="15"/>
      <c r="S322" s="15"/>
      <c r="T322" s="15"/>
      <c r="U322" s="15"/>
      <c r="V322" s="15"/>
      <c r="W322" s="15"/>
      <c r="X322" s="14"/>
      <c r="Y322" s="14"/>
      <c r="Z322" s="15"/>
      <c r="AA322" s="15"/>
      <c r="AB322" s="3"/>
      <c r="AC322" s="3"/>
      <c r="AD322" s="3"/>
      <c r="AE322" s="3"/>
      <c r="AF322" s="3"/>
      <c r="AG322" s="3"/>
      <c r="AH322" s="3"/>
      <c r="AI322" s="3"/>
      <c r="AJ322" s="154" t="s">
        <v>70</v>
      </c>
      <c r="AN322" s="154" t="s">
        <v>70</v>
      </c>
    </row>
    <row r="323" ht="15.75" customHeight="1">
      <c r="J323" s="15"/>
      <c r="K323" s="238"/>
      <c r="L323" s="15"/>
      <c r="M323" s="15"/>
      <c r="N323" s="15"/>
      <c r="O323" s="15"/>
      <c r="P323" s="15"/>
      <c r="Q323" s="15"/>
      <c r="R323" s="15"/>
      <c r="S323" s="15"/>
      <c r="T323" s="15"/>
      <c r="U323" s="15"/>
      <c r="V323" s="15"/>
      <c r="W323" s="15"/>
      <c r="X323" s="14"/>
      <c r="Y323" s="14"/>
      <c r="Z323" s="15"/>
      <c r="AA323" s="15"/>
      <c r="AB323" s="3"/>
      <c r="AC323" s="3"/>
      <c r="AD323" s="3"/>
      <c r="AE323" s="3"/>
      <c r="AF323" s="3"/>
      <c r="AG323" s="3"/>
      <c r="AH323" s="3"/>
      <c r="AI323" s="3"/>
      <c r="AJ323" s="154" t="s">
        <v>70</v>
      </c>
      <c r="AN323" s="154" t="s">
        <v>70</v>
      </c>
    </row>
    <row r="324" ht="15.75" customHeight="1">
      <c r="J324" s="15"/>
      <c r="K324" s="238"/>
      <c r="L324" s="15"/>
      <c r="M324" s="15"/>
      <c r="N324" s="15"/>
      <c r="O324" s="15"/>
      <c r="P324" s="15"/>
      <c r="Q324" s="15"/>
      <c r="R324" s="15"/>
      <c r="S324" s="15"/>
      <c r="T324" s="15"/>
      <c r="U324" s="15"/>
      <c r="V324" s="15"/>
      <c r="W324" s="15"/>
      <c r="X324" s="14"/>
      <c r="Y324" s="14"/>
      <c r="Z324" s="15"/>
      <c r="AA324" s="15"/>
      <c r="AB324" s="3"/>
      <c r="AC324" s="3"/>
      <c r="AD324" s="3"/>
      <c r="AE324" s="3"/>
      <c r="AF324" s="3"/>
      <c r="AG324" s="3"/>
      <c r="AH324" s="3"/>
      <c r="AI324" s="3"/>
      <c r="AJ324" s="154" t="s">
        <v>70</v>
      </c>
      <c r="AN324" s="154" t="s">
        <v>70</v>
      </c>
    </row>
    <row r="325" ht="15.75" customHeight="1">
      <c r="J325" s="15"/>
      <c r="K325" s="238"/>
      <c r="L325" s="15"/>
      <c r="M325" s="15"/>
      <c r="N325" s="15"/>
      <c r="O325" s="15"/>
      <c r="P325" s="15"/>
      <c r="Q325" s="15"/>
      <c r="R325" s="15"/>
      <c r="S325" s="15"/>
      <c r="T325" s="15"/>
      <c r="U325" s="15"/>
      <c r="V325" s="15"/>
      <c r="W325" s="15"/>
      <c r="X325" s="14"/>
      <c r="Y325" s="14"/>
      <c r="Z325" s="15"/>
      <c r="AA325" s="15"/>
      <c r="AB325" s="3"/>
      <c r="AC325" s="3"/>
      <c r="AD325" s="3"/>
      <c r="AE325" s="3"/>
      <c r="AF325" s="3"/>
      <c r="AG325" s="3"/>
      <c r="AH325" s="3"/>
      <c r="AI325" s="3"/>
      <c r="AJ325" s="154" t="s">
        <v>70</v>
      </c>
      <c r="AN325" s="154" t="s">
        <v>70</v>
      </c>
    </row>
    <row r="326" ht="15.75" customHeight="1">
      <c r="J326" s="15"/>
      <c r="K326" s="238"/>
      <c r="L326" s="15"/>
      <c r="M326" s="15"/>
      <c r="N326" s="15"/>
      <c r="O326" s="15"/>
      <c r="P326" s="15"/>
      <c r="Q326" s="15"/>
      <c r="R326" s="15"/>
      <c r="S326" s="15"/>
      <c r="T326" s="15"/>
      <c r="U326" s="15"/>
      <c r="V326" s="15"/>
      <c r="W326" s="15"/>
      <c r="X326" s="14"/>
      <c r="Y326" s="14"/>
      <c r="Z326" s="15"/>
      <c r="AA326" s="15"/>
      <c r="AB326" s="3"/>
      <c r="AC326" s="3"/>
      <c r="AD326" s="3"/>
      <c r="AE326" s="3"/>
      <c r="AF326" s="3"/>
      <c r="AG326" s="3"/>
      <c r="AH326" s="3"/>
      <c r="AI326" s="3"/>
      <c r="AJ326" s="154" t="s">
        <v>70</v>
      </c>
      <c r="AN326" s="154" t="s">
        <v>70</v>
      </c>
    </row>
    <row r="327" ht="15.75" customHeight="1">
      <c r="J327" s="15"/>
      <c r="K327" s="238"/>
      <c r="L327" s="15"/>
      <c r="M327" s="15"/>
      <c r="N327" s="15"/>
      <c r="O327" s="15"/>
      <c r="P327" s="15"/>
      <c r="Q327" s="15"/>
      <c r="R327" s="15"/>
      <c r="S327" s="15"/>
      <c r="T327" s="15"/>
      <c r="U327" s="15"/>
      <c r="V327" s="15"/>
      <c r="W327" s="15"/>
      <c r="X327" s="14"/>
      <c r="Y327" s="14"/>
      <c r="Z327" s="15"/>
      <c r="AA327" s="15"/>
      <c r="AB327" s="3"/>
      <c r="AC327" s="3"/>
      <c r="AD327" s="3"/>
      <c r="AE327" s="3"/>
      <c r="AF327" s="3"/>
      <c r="AG327" s="3"/>
      <c r="AH327" s="3"/>
      <c r="AI327" s="3"/>
      <c r="AJ327" s="154" t="s">
        <v>70</v>
      </c>
      <c r="AN327" s="154" t="s">
        <v>70</v>
      </c>
    </row>
    <row r="328" ht="15.75" customHeight="1">
      <c r="J328" s="15"/>
      <c r="K328" s="238"/>
      <c r="L328" s="15"/>
      <c r="M328" s="15"/>
      <c r="N328" s="15"/>
      <c r="O328" s="15"/>
      <c r="P328" s="15"/>
      <c r="Q328" s="15"/>
      <c r="R328" s="15"/>
      <c r="S328" s="15"/>
      <c r="T328" s="15"/>
      <c r="U328" s="15"/>
      <c r="V328" s="15"/>
      <c r="W328" s="15"/>
      <c r="X328" s="14"/>
      <c r="Y328" s="14"/>
      <c r="Z328" s="15"/>
      <c r="AA328" s="15"/>
      <c r="AB328" s="3"/>
      <c r="AC328" s="3"/>
      <c r="AD328" s="3"/>
      <c r="AE328" s="3"/>
      <c r="AF328" s="3"/>
      <c r="AG328" s="3"/>
      <c r="AH328" s="3"/>
      <c r="AI328" s="3"/>
      <c r="AJ328" s="154" t="s">
        <v>70</v>
      </c>
      <c r="AN328" s="154" t="s">
        <v>70</v>
      </c>
    </row>
    <row r="329" ht="15.75" customHeight="1">
      <c r="J329" s="15"/>
      <c r="K329" s="238"/>
      <c r="L329" s="15"/>
      <c r="M329" s="15"/>
      <c r="N329" s="15"/>
      <c r="O329" s="15"/>
      <c r="P329" s="15"/>
      <c r="Q329" s="15"/>
      <c r="R329" s="15"/>
      <c r="S329" s="15"/>
      <c r="T329" s="15"/>
      <c r="U329" s="15"/>
      <c r="V329" s="15"/>
      <c r="W329" s="15"/>
      <c r="X329" s="14"/>
      <c r="Y329" s="14"/>
      <c r="Z329" s="15"/>
      <c r="AA329" s="15"/>
      <c r="AB329" s="3"/>
      <c r="AC329" s="3"/>
      <c r="AD329" s="3"/>
      <c r="AE329" s="3"/>
      <c r="AF329" s="3"/>
      <c r="AG329" s="3"/>
      <c r="AH329" s="3"/>
      <c r="AI329" s="3"/>
      <c r="AJ329" s="154" t="s">
        <v>70</v>
      </c>
      <c r="AN329" s="154" t="s">
        <v>70</v>
      </c>
    </row>
    <row r="330" ht="15.75" customHeight="1">
      <c r="J330" s="15"/>
      <c r="K330" s="238"/>
      <c r="L330" s="15"/>
      <c r="M330" s="15"/>
      <c r="N330" s="15"/>
      <c r="O330" s="15"/>
      <c r="P330" s="15"/>
      <c r="Q330" s="15"/>
      <c r="R330" s="15"/>
      <c r="S330" s="15"/>
      <c r="T330" s="15"/>
      <c r="U330" s="15"/>
      <c r="V330" s="15"/>
      <c r="W330" s="15"/>
      <c r="X330" s="14"/>
      <c r="Y330" s="14"/>
      <c r="Z330" s="15"/>
      <c r="AA330" s="15"/>
      <c r="AB330" s="3"/>
      <c r="AC330" s="3"/>
      <c r="AD330" s="3"/>
      <c r="AE330" s="3"/>
      <c r="AF330" s="3"/>
      <c r="AG330" s="3"/>
      <c r="AH330" s="3"/>
      <c r="AI330" s="3"/>
      <c r="AJ330" s="154" t="s">
        <v>70</v>
      </c>
      <c r="AN330" s="154" t="s">
        <v>70</v>
      </c>
    </row>
    <row r="331" ht="15.75" customHeight="1">
      <c r="J331" s="15"/>
      <c r="K331" s="238"/>
      <c r="L331" s="15"/>
      <c r="M331" s="15"/>
      <c r="N331" s="15"/>
      <c r="O331" s="15"/>
      <c r="P331" s="15"/>
      <c r="Q331" s="15"/>
      <c r="R331" s="15"/>
      <c r="S331" s="15"/>
      <c r="T331" s="15"/>
      <c r="U331" s="15"/>
      <c r="V331" s="15"/>
      <c r="W331" s="15"/>
      <c r="X331" s="14"/>
      <c r="Y331" s="14"/>
      <c r="Z331" s="15"/>
      <c r="AA331" s="15"/>
      <c r="AB331" s="3"/>
      <c r="AC331" s="3"/>
      <c r="AD331" s="3"/>
      <c r="AE331" s="3"/>
      <c r="AF331" s="3"/>
      <c r="AG331" s="3"/>
      <c r="AH331" s="3"/>
      <c r="AI331" s="3"/>
      <c r="AJ331" s="154" t="s">
        <v>70</v>
      </c>
      <c r="AN331" s="154" t="s">
        <v>70</v>
      </c>
    </row>
    <row r="332" ht="15.75" customHeight="1">
      <c r="J332" s="15"/>
      <c r="K332" s="238"/>
      <c r="L332" s="15"/>
      <c r="M332" s="15"/>
      <c r="N332" s="15"/>
      <c r="O332" s="15"/>
      <c r="P332" s="15"/>
      <c r="Q332" s="15"/>
      <c r="R332" s="15"/>
      <c r="S332" s="15"/>
      <c r="T332" s="15"/>
      <c r="U332" s="15"/>
      <c r="V332" s="15"/>
      <c r="W332" s="15"/>
      <c r="X332" s="14"/>
      <c r="Y332" s="14"/>
      <c r="Z332" s="15"/>
      <c r="AA332" s="15"/>
      <c r="AB332" s="3"/>
      <c r="AC332" s="3"/>
      <c r="AD332" s="3"/>
      <c r="AE332" s="3"/>
      <c r="AF332" s="3"/>
      <c r="AG332" s="3"/>
      <c r="AH332" s="3"/>
      <c r="AI332" s="3"/>
      <c r="AJ332" s="154" t="s">
        <v>70</v>
      </c>
      <c r="AN332" s="154" t="s">
        <v>70</v>
      </c>
    </row>
    <row r="333" ht="15.75" customHeight="1">
      <c r="J333" s="15"/>
      <c r="K333" s="238"/>
      <c r="L333" s="15"/>
      <c r="M333" s="15"/>
      <c r="N333" s="15"/>
      <c r="O333" s="15"/>
      <c r="P333" s="15"/>
      <c r="Q333" s="15"/>
      <c r="R333" s="15"/>
      <c r="S333" s="15"/>
      <c r="T333" s="15"/>
      <c r="U333" s="15"/>
      <c r="V333" s="15"/>
      <c r="W333" s="15"/>
      <c r="X333" s="14"/>
      <c r="Y333" s="14"/>
      <c r="Z333" s="15"/>
      <c r="AA333" s="15"/>
      <c r="AB333" s="3"/>
      <c r="AC333" s="3"/>
      <c r="AD333" s="3"/>
      <c r="AE333" s="3"/>
      <c r="AF333" s="3"/>
      <c r="AG333" s="3"/>
      <c r="AH333" s="3"/>
      <c r="AI333" s="3"/>
      <c r="AJ333" s="154" t="s">
        <v>70</v>
      </c>
      <c r="AN333" s="154" t="s">
        <v>70</v>
      </c>
    </row>
    <row r="334" ht="15.75" customHeight="1">
      <c r="J334" s="15"/>
      <c r="K334" s="238"/>
      <c r="L334" s="15"/>
      <c r="M334" s="15"/>
      <c r="N334" s="15"/>
      <c r="O334" s="15"/>
      <c r="P334" s="15"/>
      <c r="Q334" s="15"/>
      <c r="R334" s="15"/>
      <c r="S334" s="15"/>
      <c r="T334" s="15"/>
      <c r="U334" s="15"/>
      <c r="V334" s="15"/>
      <c r="W334" s="15"/>
      <c r="X334" s="14"/>
      <c r="Y334" s="14"/>
      <c r="Z334" s="15"/>
      <c r="AA334" s="15"/>
      <c r="AB334" s="3"/>
      <c r="AC334" s="3"/>
      <c r="AD334" s="3"/>
      <c r="AE334" s="3"/>
      <c r="AF334" s="3"/>
      <c r="AG334" s="3"/>
      <c r="AH334" s="3"/>
      <c r="AI334" s="3"/>
      <c r="AJ334" s="154" t="s">
        <v>70</v>
      </c>
      <c r="AN334" s="154" t="s">
        <v>70</v>
      </c>
    </row>
    <row r="335" ht="15.75" customHeight="1">
      <c r="J335" s="15"/>
      <c r="K335" s="238"/>
      <c r="L335" s="15"/>
      <c r="M335" s="15"/>
      <c r="N335" s="15"/>
      <c r="O335" s="15"/>
      <c r="P335" s="15"/>
      <c r="Q335" s="15"/>
      <c r="R335" s="15"/>
      <c r="S335" s="15"/>
      <c r="T335" s="15"/>
      <c r="U335" s="15"/>
      <c r="V335" s="15"/>
      <c r="W335" s="15"/>
      <c r="X335" s="14"/>
      <c r="Y335" s="14"/>
      <c r="Z335" s="15"/>
      <c r="AA335" s="15"/>
      <c r="AB335" s="3"/>
      <c r="AC335" s="3"/>
      <c r="AD335" s="3"/>
      <c r="AE335" s="3"/>
      <c r="AF335" s="3"/>
      <c r="AG335" s="3"/>
      <c r="AH335" s="3"/>
      <c r="AI335" s="3"/>
      <c r="AJ335" s="154" t="s">
        <v>70</v>
      </c>
      <c r="AN335" s="154" t="s">
        <v>70</v>
      </c>
    </row>
    <row r="336" ht="15.75" customHeight="1">
      <c r="J336" s="15"/>
      <c r="K336" s="238"/>
      <c r="L336" s="15"/>
      <c r="M336" s="15"/>
      <c r="N336" s="15"/>
      <c r="O336" s="15"/>
      <c r="P336" s="15"/>
      <c r="Q336" s="15"/>
      <c r="R336" s="15"/>
      <c r="S336" s="15"/>
      <c r="T336" s="15"/>
      <c r="U336" s="15"/>
      <c r="V336" s="15"/>
      <c r="W336" s="15"/>
      <c r="X336" s="14"/>
      <c r="Y336" s="14"/>
      <c r="Z336" s="15"/>
      <c r="AA336" s="15"/>
      <c r="AB336" s="3"/>
      <c r="AC336" s="3"/>
      <c r="AD336" s="3"/>
      <c r="AE336" s="3"/>
      <c r="AF336" s="3"/>
      <c r="AG336" s="3"/>
      <c r="AH336" s="3"/>
      <c r="AI336" s="3"/>
      <c r="AJ336" s="154" t="s">
        <v>70</v>
      </c>
      <c r="AN336" s="154" t="s">
        <v>70</v>
      </c>
    </row>
    <row r="337" ht="15.75" customHeight="1">
      <c r="J337" s="15"/>
      <c r="K337" s="238"/>
      <c r="L337" s="15"/>
      <c r="M337" s="15"/>
      <c r="N337" s="15"/>
      <c r="O337" s="15"/>
      <c r="P337" s="15"/>
      <c r="Q337" s="15"/>
      <c r="R337" s="15"/>
      <c r="S337" s="15"/>
      <c r="T337" s="15"/>
      <c r="U337" s="15"/>
      <c r="V337" s="15"/>
      <c r="W337" s="15"/>
      <c r="X337" s="14"/>
      <c r="Y337" s="14"/>
      <c r="Z337" s="15"/>
      <c r="AA337" s="15"/>
      <c r="AB337" s="3"/>
      <c r="AC337" s="3"/>
      <c r="AD337" s="3"/>
      <c r="AE337" s="3"/>
      <c r="AF337" s="3"/>
      <c r="AG337" s="3"/>
      <c r="AH337" s="3"/>
      <c r="AI337" s="3"/>
      <c r="AJ337" s="154" t="s">
        <v>70</v>
      </c>
      <c r="AN337" s="154" t="s">
        <v>70</v>
      </c>
    </row>
    <row r="338" ht="15.75" customHeight="1">
      <c r="J338" s="15"/>
      <c r="K338" s="238"/>
      <c r="L338" s="15"/>
      <c r="M338" s="15"/>
      <c r="N338" s="15"/>
      <c r="O338" s="15"/>
      <c r="P338" s="15"/>
      <c r="Q338" s="15"/>
      <c r="R338" s="15"/>
      <c r="S338" s="15"/>
      <c r="T338" s="15"/>
      <c r="U338" s="15"/>
      <c r="V338" s="15"/>
      <c r="W338" s="15"/>
      <c r="X338" s="14"/>
      <c r="Y338" s="14"/>
      <c r="Z338" s="15"/>
      <c r="AA338" s="15"/>
      <c r="AB338" s="3"/>
      <c r="AC338" s="3"/>
      <c r="AD338" s="3"/>
      <c r="AE338" s="3"/>
      <c r="AF338" s="3"/>
      <c r="AG338" s="3"/>
      <c r="AH338" s="3"/>
      <c r="AI338" s="3"/>
      <c r="AJ338" s="154" t="s">
        <v>70</v>
      </c>
      <c r="AN338" s="154" t="s">
        <v>70</v>
      </c>
    </row>
    <row r="339" ht="15.75" customHeight="1">
      <c r="J339" s="15"/>
      <c r="K339" s="238"/>
      <c r="L339" s="15"/>
      <c r="M339" s="15"/>
      <c r="N339" s="15"/>
      <c r="O339" s="15"/>
      <c r="P339" s="15"/>
      <c r="Q339" s="15"/>
      <c r="R339" s="15"/>
      <c r="S339" s="15"/>
      <c r="T339" s="15"/>
      <c r="U339" s="15"/>
      <c r="V339" s="15"/>
      <c r="W339" s="15"/>
      <c r="X339" s="14"/>
      <c r="Y339" s="14"/>
      <c r="Z339" s="15"/>
      <c r="AA339" s="15"/>
      <c r="AB339" s="3"/>
      <c r="AC339" s="3"/>
      <c r="AD339" s="3"/>
      <c r="AE339" s="3"/>
      <c r="AF339" s="3"/>
      <c r="AG339" s="3"/>
      <c r="AH339" s="3"/>
      <c r="AI339" s="3"/>
      <c r="AJ339" s="154" t="s">
        <v>70</v>
      </c>
      <c r="AN339" s="154" t="s">
        <v>70</v>
      </c>
    </row>
    <row r="340" ht="15.75" customHeight="1">
      <c r="J340" s="15"/>
      <c r="K340" s="238"/>
      <c r="L340" s="15"/>
      <c r="M340" s="15"/>
      <c r="N340" s="15"/>
      <c r="O340" s="15"/>
      <c r="P340" s="15"/>
      <c r="Q340" s="15"/>
      <c r="R340" s="15"/>
      <c r="S340" s="15"/>
      <c r="T340" s="15"/>
      <c r="U340" s="15"/>
      <c r="V340" s="15"/>
      <c r="W340" s="15"/>
      <c r="X340" s="14"/>
      <c r="Y340" s="14"/>
      <c r="Z340" s="15"/>
      <c r="AA340" s="15"/>
      <c r="AB340" s="3"/>
      <c r="AC340" s="3"/>
      <c r="AD340" s="3"/>
      <c r="AE340" s="3"/>
      <c r="AF340" s="3"/>
      <c r="AG340" s="3"/>
      <c r="AH340" s="3"/>
      <c r="AI340" s="3"/>
      <c r="AJ340" s="154" t="s">
        <v>70</v>
      </c>
      <c r="AN340" s="154" t="s">
        <v>70</v>
      </c>
    </row>
    <row r="341" ht="15.75" customHeight="1">
      <c r="J341" s="15"/>
      <c r="K341" s="238"/>
      <c r="L341" s="15"/>
      <c r="M341" s="15"/>
      <c r="N341" s="15"/>
      <c r="O341" s="15"/>
      <c r="P341" s="15"/>
      <c r="Q341" s="15"/>
      <c r="R341" s="15"/>
      <c r="S341" s="15"/>
      <c r="T341" s="15"/>
      <c r="U341" s="15"/>
      <c r="V341" s="15"/>
      <c r="W341" s="15"/>
      <c r="X341" s="14"/>
      <c r="Y341" s="14"/>
      <c r="Z341" s="15"/>
      <c r="AA341" s="15"/>
      <c r="AB341" s="3"/>
      <c r="AC341" s="3"/>
      <c r="AD341" s="3"/>
      <c r="AE341" s="3"/>
      <c r="AF341" s="3"/>
      <c r="AG341" s="3"/>
      <c r="AH341" s="3"/>
      <c r="AI341" s="3"/>
      <c r="AJ341" s="154" t="s">
        <v>70</v>
      </c>
      <c r="AN341" s="154" t="s">
        <v>70</v>
      </c>
    </row>
    <row r="342" ht="15.75" customHeight="1">
      <c r="J342" s="15"/>
      <c r="K342" s="238"/>
      <c r="L342" s="15"/>
      <c r="M342" s="15"/>
      <c r="N342" s="15"/>
      <c r="O342" s="15"/>
      <c r="P342" s="15"/>
      <c r="Q342" s="15"/>
      <c r="R342" s="15"/>
      <c r="S342" s="15"/>
      <c r="T342" s="15"/>
      <c r="U342" s="15"/>
      <c r="V342" s="15"/>
      <c r="W342" s="15"/>
      <c r="X342" s="14"/>
      <c r="Y342" s="14"/>
      <c r="Z342" s="15"/>
      <c r="AA342" s="15"/>
      <c r="AB342" s="3"/>
      <c r="AC342" s="3"/>
      <c r="AD342" s="3"/>
      <c r="AE342" s="3"/>
      <c r="AF342" s="3"/>
      <c r="AG342" s="3"/>
      <c r="AH342" s="3"/>
      <c r="AI342" s="3"/>
      <c r="AJ342" s="154" t="s">
        <v>70</v>
      </c>
      <c r="AN342" s="154" t="s">
        <v>70</v>
      </c>
    </row>
    <row r="343" ht="15.75" customHeight="1">
      <c r="J343" s="15"/>
      <c r="K343" s="238"/>
      <c r="L343" s="15"/>
      <c r="M343" s="15"/>
      <c r="N343" s="15"/>
      <c r="O343" s="15"/>
      <c r="P343" s="15"/>
      <c r="Q343" s="15"/>
      <c r="R343" s="15"/>
      <c r="S343" s="15"/>
      <c r="T343" s="15"/>
      <c r="U343" s="15"/>
      <c r="V343" s="15"/>
      <c r="W343" s="15"/>
      <c r="X343" s="14"/>
      <c r="Y343" s="14"/>
      <c r="Z343" s="15"/>
      <c r="AA343" s="15"/>
      <c r="AB343" s="3"/>
      <c r="AC343" s="3"/>
      <c r="AD343" s="3"/>
      <c r="AE343" s="3"/>
      <c r="AF343" s="3"/>
      <c r="AG343" s="3"/>
      <c r="AH343" s="3"/>
      <c r="AI343" s="3"/>
      <c r="AJ343" s="154" t="s">
        <v>70</v>
      </c>
      <c r="AN343" s="154" t="s">
        <v>70</v>
      </c>
    </row>
    <row r="344" ht="15.75" customHeight="1">
      <c r="J344" s="15"/>
      <c r="K344" s="238"/>
      <c r="L344" s="15"/>
      <c r="M344" s="15"/>
      <c r="N344" s="15"/>
      <c r="O344" s="15"/>
      <c r="P344" s="15"/>
      <c r="Q344" s="15"/>
      <c r="R344" s="15"/>
      <c r="S344" s="15"/>
      <c r="T344" s="15"/>
      <c r="U344" s="15"/>
      <c r="V344" s="15"/>
      <c r="W344" s="15"/>
      <c r="X344" s="14"/>
      <c r="Y344" s="14"/>
      <c r="Z344" s="15"/>
      <c r="AA344" s="15"/>
      <c r="AB344" s="3"/>
      <c r="AC344" s="3"/>
      <c r="AD344" s="3"/>
      <c r="AE344" s="3"/>
      <c r="AF344" s="3"/>
      <c r="AG344" s="3"/>
      <c r="AH344" s="3"/>
      <c r="AI344" s="3"/>
      <c r="AJ344" s="154" t="s">
        <v>70</v>
      </c>
      <c r="AN344" s="154" t="s">
        <v>70</v>
      </c>
    </row>
    <row r="345" ht="15.75" customHeight="1">
      <c r="J345" s="15"/>
      <c r="K345" s="238"/>
      <c r="L345" s="15"/>
      <c r="M345" s="15"/>
      <c r="N345" s="15"/>
      <c r="O345" s="15"/>
      <c r="P345" s="15"/>
      <c r="Q345" s="15"/>
      <c r="R345" s="15"/>
      <c r="S345" s="15"/>
      <c r="T345" s="15"/>
      <c r="U345" s="15"/>
      <c r="V345" s="15"/>
      <c r="W345" s="15"/>
      <c r="X345" s="14"/>
      <c r="Y345" s="14"/>
      <c r="Z345" s="15"/>
      <c r="AA345" s="15"/>
      <c r="AB345" s="3"/>
      <c r="AC345" s="3"/>
      <c r="AD345" s="3"/>
      <c r="AE345" s="3"/>
      <c r="AF345" s="3"/>
      <c r="AG345" s="3"/>
      <c r="AH345" s="3"/>
      <c r="AI345" s="3"/>
      <c r="AJ345" s="154" t="s">
        <v>70</v>
      </c>
      <c r="AN345" s="154" t="s">
        <v>70</v>
      </c>
    </row>
    <row r="346" ht="15.75" customHeight="1">
      <c r="J346" s="15"/>
      <c r="K346" s="238"/>
      <c r="L346" s="15"/>
      <c r="M346" s="15"/>
      <c r="N346" s="15"/>
      <c r="O346" s="15"/>
      <c r="P346" s="15"/>
      <c r="Q346" s="15"/>
      <c r="R346" s="15"/>
      <c r="S346" s="15"/>
      <c r="T346" s="15"/>
      <c r="U346" s="15"/>
      <c r="V346" s="15"/>
      <c r="W346" s="15"/>
      <c r="X346" s="14"/>
      <c r="Y346" s="14"/>
      <c r="Z346" s="15"/>
      <c r="AA346" s="15"/>
      <c r="AB346" s="3"/>
      <c r="AC346" s="3"/>
      <c r="AD346" s="3"/>
      <c r="AE346" s="3"/>
      <c r="AF346" s="3"/>
      <c r="AG346" s="3"/>
      <c r="AH346" s="3"/>
      <c r="AI346" s="3"/>
      <c r="AJ346" s="154" t="s">
        <v>70</v>
      </c>
      <c r="AN346" s="154" t="s">
        <v>70</v>
      </c>
    </row>
    <row r="347" ht="15.75" customHeight="1">
      <c r="J347" s="15"/>
      <c r="K347" s="238"/>
      <c r="L347" s="15"/>
      <c r="M347" s="15"/>
      <c r="N347" s="15"/>
      <c r="O347" s="15"/>
      <c r="P347" s="15"/>
      <c r="Q347" s="15"/>
      <c r="R347" s="15"/>
      <c r="S347" s="15"/>
      <c r="T347" s="15"/>
      <c r="U347" s="15"/>
      <c r="V347" s="15"/>
      <c r="W347" s="15"/>
      <c r="X347" s="14"/>
      <c r="Y347" s="14"/>
      <c r="Z347" s="15"/>
      <c r="AA347" s="15"/>
      <c r="AB347" s="3"/>
      <c r="AC347" s="3"/>
      <c r="AD347" s="3"/>
      <c r="AE347" s="3"/>
      <c r="AF347" s="3"/>
      <c r="AG347" s="3"/>
      <c r="AH347" s="3"/>
      <c r="AI347" s="3"/>
      <c r="AJ347" s="154" t="s">
        <v>70</v>
      </c>
      <c r="AN347" s="154" t="s">
        <v>70</v>
      </c>
    </row>
    <row r="348" ht="15.75" customHeight="1">
      <c r="J348" s="15"/>
      <c r="K348" s="238"/>
      <c r="L348" s="15"/>
      <c r="M348" s="15"/>
      <c r="N348" s="15"/>
      <c r="O348" s="15"/>
      <c r="P348" s="15"/>
      <c r="Q348" s="15"/>
      <c r="R348" s="15"/>
      <c r="S348" s="15"/>
      <c r="T348" s="15"/>
      <c r="U348" s="15"/>
      <c r="V348" s="15"/>
      <c r="W348" s="15"/>
      <c r="X348" s="14"/>
      <c r="Y348" s="14"/>
      <c r="Z348" s="15"/>
      <c r="AA348" s="15"/>
      <c r="AB348" s="3"/>
      <c r="AC348" s="3"/>
      <c r="AD348" s="3"/>
      <c r="AE348" s="3"/>
      <c r="AF348" s="3"/>
      <c r="AG348" s="3"/>
      <c r="AH348" s="3"/>
      <c r="AI348" s="3"/>
      <c r="AJ348" s="154" t="s">
        <v>70</v>
      </c>
      <c r="AN348" s="154" t="s">
        <v>70</v>
      </c>
    </row>
    <row r="349" ht="15.75" customHeight="1">
      <c r="J349" s="15"/>
      <c r="K349" s="238"/>
      <c r="L349" s="15"/>
      <c r="M349" s="15"/>
      <c r="N349" s="15"/>
      <c r="O349" s="15"/>
      <c r="P349" s="15"/>
      <c r="Q349" s="15"/>
      <c r="R349" s="15"/>
      <c r="S349" s="15"/>
      <c r="T349" s="15"/>
      <c r="U349" s="15"/>
      <c r="V349" s="15"/>
      <c r="W349" s="15"/>
      <c r="X349" s="14"/>
      <c r="Y349" s="14"/>
      <c r="Z349" s="15"/>
      <c r="AA349" s="15"/>
      <c r="AB349" s="3"/>
      <c r="AC349" s="3"/>
      <c r="AD349" s="3"/>
      <c r="AE349" s="3"/>
      <c r="AF349" s="3"/>
      <c r="AG349" s="3"/>
      <c r="AH349" s="3"/>
      <c r="AI349" s="3"/>
      <c r="AJ349" s="154" t="s">
        <v>70</v>
      </c>
      <c r="AN349" s="154" t="s">
        <v>70</v>
      </c>
    </row>
    <row r="350" ht="15.75" customHeight="1">
      <c r="J350" s="15"/>
      <c r="K350" s="238"/>
      <c r="L350" s="15"/>
      <c r="M350" s="15"/>
      <c r="N350" s="15"/>
      <c r="O350" s="15"/>
      <c r="P350" s="15"/>
      <c r="Q350" s="15"/>
      <c r="R350" s="15"/>
      <c r="S350" s="15"/>
      <c r="T350" s="15"/>
      <c r="U350" s="15"/>
      <c r="V350" s="15"/>
      <c r="W350" s="15"/>
      <c r="X350" s="14"/>
      <c r="Y350" s="14"/>
      <c r="Z350" s="15"/>
      <c r="AA350" s="15"/>
      <c r="AB350" s="3"/>
      <c r="AC350" s="3"/>
      <c r="AD350" s="3"/>
      <c r="AE350" s="3"/>
      <c r="AF350" s="3"/>
      <c r="AG350" s="3"/>
      <c r="AH350" s="3"/>
      <c r="AI350" s="3"/>
      <c r="AJ350" s="154" t="s">
        <v>70</v>
      </c>
      <c r="AN350" s="154" t="s">
        <v>70</v>
      </c>
    </row>
    <row r="351" ht="15.75" customHeight="1">
      <c r="J351" s="15"/>
      <c r="K351" s="238"/>
      <c r="L351" s="15"/>
      <c r="M351" s="15"/>
      <c r="N351" s="15"/>
      <c r="O351" s="15"/>
      <c r="P351" s="15"/>
      <c r="Q351" s="15"/>
      <c r="R351" s="15"/>
      <c r="S351" s="15"/>
      <c r="T351" s="15"/>
      <c r="U351" s="15"/>
      <c r="V351" s="15"/>
      <c r="W351" s="15"/>
      <c r="X351" s="14"/>
      <c r="Y351" s="14"/>
      <c r="Z351" s="15"/>
      <c r="AA351" s="15"/>
      <c r="AB351" s="3"/>
      <c r="AC351" s="3"/>
      <c r="AD351" s="3"/>
      <c r="AE351" s="3"/>
      <c r="AF351" s="3"/>
      <c r="AG351" s="3"/>
      <c r="AH351" s="3"/>
      <c r="AI351" s="3"/>
      <c r="AJ351" s="154" t="s">
        <v>70</v>
      </c>
      <c r="AN351" s="154" t="s">
        <v>70</v>
      </c>
    </row>
    <row r="352" ht="15.75" customHeight="1">
      <c r="J352" s="15"/>
      <c r="K352" s="238"/>
      <c r="L352" s="15"/>
      <c r="M352" s="15"/>
      <c r="N352" s="15"/>
      <c r="O352" s="15"/>
      <c r="P352" s="15"/>
      <c r="Q352" s="15"/>
      <c r="R352" s="15"/>
      <c r="S352" s="15"/>
      <c r="T352" s="15"/>
      <c r="U352" s="15"/>
      <c r="V352" s="15"/>
      <c r="W352" s="15"/>
      <c r="X352" s="14"/>
      <c r="Y352" s="14"/>
      <c r="Z352" s="15"/>
      <c r="AA352" s="15"/>
      <c r="AB352" s="3"/>
      <c r="AC352" s="3"/>
      <c r="AD352" s="3"/>
      <c r="AE352" s="3"/>
      <c r="AF352" s="3"/>
      <c r="AG352" s="3"/>
      <c r="AH352" s="3"/>
      <c r="AI352" s="3"/>
      <c r="AJ352" s="154" t="s">
        <v>70</v>
      </c>
      <c r="AN352" s="154" t="s">
        <v>70</v>
      </c>
    </row>
    <row r="353" ht="15.75" customHeight="1">
      <c r="J353" s="15"/>
      <c r="K353" s="238"/>
      <c r="L353" s="15"/>
      <c r="M353" s="15"/>
      <c r="N353" s="15"/>
      <c r="O353" s="15"/>
      <c r="P353" s="15"/>
      <c r="Q353" s="15"/>
      <c r="R353" s="15"/>
      <c r="S353" s="15"/>
      <c r="T353" s="15"/>
      <c r="U353" s="15"/>
      <c r="V353" s="15"/>
      <c r="W353" s="15"/>
      <c r="X353" s="14"/>
      <c r="Y353" s="14"/>
      <c r="Z353" s="15"/>
      <c r="AA353" s="15"/>
      <c r="AB353" s="3"/>
      <c r="AC353" s="3"/>
      <c r="AD353" s="3"/>
      <c r="AE353" s="3"/>
      <c r="AF353" s="3"/>
      <c r="AG353" s="3"/>
      <c r="AH353" s="3"/>
      <c r="AI353" s="3"/>
      <c r="AJ353" s="154" t="s">
        <v>70</v>
      </c>
      <c r="AN353" s="154" t="s">
        <v>70</v>
      </c>
    </row>
    <row r="354" ht="15.75" customHeight="1">
      <c r="J354" s="15"/>
      <c r="K354" s="238"/>
      <c r="L354" s="15"/>
      <c r="M354" s="15"/>
      <c r="N354" s="15"/>
      <c r="O354" s="15"/>
      <c r="P354" s="15"/>
      <c r="Q354" s="15"/>
      <c r="R354" s="15"/>
      <c r="S354" s="15"/>
      <c r="T354" s="15"/>
      <c r="U354" s="15"/>
      <c r="V354" s="15"/>
      <c r="W354" s="15"/>
      <c r="X354" s="14"/>
      <c r="Y354" s="14"/>
      <c r="Z354" s="15"/>
      <c r="AA354" s="15"/>
      <c r="AB354" s="3"/>
      <c r="AC354" s="3"/>
      <c r="AD354" s="3"/>
      <c r="AE354" s="3"/>
      <c r="AF354" s="3"/>
      <c r="AG354" s="3"/>
      <c r="AH354" s="3"/>
      <c r="AI354" s="3"/>
      <c r="AJ354" s="154" t="s">
        <v>70</v>
      </c>
      <c r="AN354" s="154" t="s">
        <v>70</v>
      </c>
    </row>
    <row r="355" ht="15.75" customHeight="1">
      <c r="J355" s="15"/>
      <c r="K355" s="238"/>
      <c r="L355" s="15"/>
      <c r="M355" s="15"/>
      <c r="N355" s="15"/>
      <c r="O355" s="15"/>
      <c r="P355" s="15"/>
      <c r="Q355" s="15"/>
      <c r="R355" s="15"/>
      <c r="S355" s="15"/>
      <c r="T355" s="15"/>
      <c r="U355" s="15"/>
      <c r="V355" s="15"/>
      <c r="W355" s="15"/>
      <c r="X355" s="14"/>
      <c r="Y355" s="14"/>
      <c r="Z355" s="15"/>
      <c r="AA355" s="15"/>
      <c r="AB355" s="3"/>
      <c r="AC355" s="3"/>
      <c r="AD355" s="3"/>
      <c r="AE355" s="3"/>
      <c r="AF355" s="3"/>
      <c r="AG355" s="3"/>
      <c r="AH355" s="3"/>
      <c r="AI355" s="3"/>
      <c r="AJ355" s="154" t="s">
        <v>70</v>
      </c>
      <c r="AN355" s="154" t="s">
        <v>70</v>
      </c>
    </row>
    <row r="356" ht="15.75" customHeight="1">
      <c r="J356" s="15"/>
      <c r="K356" s="238"/>
      <c r="L356" s="15"/>
      <c r="M356" s="15"/>
      <c r="N356" s="15"/>
      <c r="O356" s="15"/>
      <c r="P356" s="15"/>
      <c r="Q356" s="15"/>
      <c r="R356" s="15"/>
      <c r="S356" s="15"/>
      <c r="T356" s="15"/>
      <c r="U356" s="15"/>
      <c r="V356" s="15"/>
      <c r="W356" s="15"/>
      <c r="X356" s="14"/>
      <c r="Y356" s="14"/>
      <c r="Z356" s="15"/>
      <c r="AA356" s="15"/>
      <c r="AB356" s="3"/>
      <c r="AC356" s="3"/>
      <c r="AD356" s="3"/>
      <c r="AE356" s="3"/>
      <c r="AF356" s="3"/>
      <c r="AG356" s="3"/>
      <c r="AH356" s="3"/>
      <c r="AI356" s="3"/>
      <c r="AJ356" s="154" t="s">
        <v>70</v>
      </c>
      <c r="AN356" s="154" t="s">
        <v>70</v>
      </c>
    </row>
    <row r="357" ht="15.75" customHeight="1">
      <c r="J357" s="15"/>
      <c r="K357" s="238"/>
      <c r="L357" s="15"/>
      <c r="M357" s="15"/>
      <c r="N357" s="15"/>
      <c r="O357" s="15"/>
      <c r="P357" s="15"/>
      <c r="Q357" s="15"/>
      <c r="R357" s="15"/>
      <c r="S357" s="15"/>
      <c r="T357" s="15"/>
      <c r="U357" s="15"/>
      <c r="V357" s="15"/>
      <c r="W357" s="15"/>
      <c r="X357" s="14"/>
      <c r="Y357" s="14"/>
      <c r="Z357" s="15"/>
      <c r="AA357" s="15"/>
      <c r="AB357" s="3"/>
      <c r="AC357" s="3"/>
      <c r="AD357" s="3"/>
      <c r="AE357" s="3"/>
      <c r="AF357" s="3"/>
      <c r="AG357" s="3"/>
      <c r="AH357" s="3"/>
      <c r="AI357" s="3"/>
      <c r="AJ357" s="154" t="s">
        <v>70</v>
      </c>
      <c r="AN357" s="154" t="s">
        <v>70</v>
      </c>
    </row>
    <row r="358" ht="15.75" customHeight="1">
      <c r="J358" s="15"/>
      <c r="K358" s="238"/>
      <c r="L358" s="15"/>
      <c r="M358" s="15"/>
      <c r="N358" s="15"/>
      <c r="O358" s="15"/>
      <c r="P358" s="15"/>
      <c r="Q358" s="15"/>
      <c r="R358" s="15"/>
      <c r="S358" s="15"/>
      <c r="T358" s="15"/>
      <c r="U358" s="15"/>
      <c r="V358" s="15"/>
      <c r="W358" s="15"/>
      <c r="X358" s="14"/>
      <c r="Y358" s="14"/>
      <c r="Z358" s="15"/>
      <c r="AA358" s="15"/>
      <c r="AB358" s="3"/>
      <c r="AC358" s="3"/>
      <c r="AD358" s="3"/>
      <c r="AE358" s="3"/>
      <c r="AF358" s="3"/>
      <c r="AG358" s="3"/>
      <c r="AH358" s="3"/>
      <c r="AI358" s="3"/>
      <c r="AJ358" s="154" t="s">
        <v>70</v>
      </c>
      <c r="AN358" s="154" t="s">
        <v>70</v>
      </c>
    </row>
    <row r="359" ht="15.75" customHeight="1">
      <c r="J359" s="15"/>
      <c r="K359" s="238"/>
      <c r="L359" s="15"/>
      <c r="M359" s="15"/>
      <c r="N359" s="15"/>
      <c r="O359" s="15"/>
      <c r="P359" s="15"/>
      <c r="Q359" s="15"/>
      <c r="R359" s="15"/>
      <c r="S359" s="15"/>
      <c r="T359" s="15"/>
      <c r="U359" s="15"/>
      <c r="V359" s="15"/>
      <c r="W359" s="15"/>
      <c r="X359" s="14"/>
      <c r="Y359" s="14"/>
      <c r="Z359" s="15"/>
      <c r="AA359" s="15"/>
      <c r="AB359" s="3"/>
      <c r="AC359" s="3"/>
      <c r="AD359" s="3"/>
      <c r="AE359" s="3"/>
      <c r="AF359" s="3"/>
      <c r="AG359" s="3"/>
      <c r="AH359" s="3"/>
      <c r="AI359" s="3"/>
      <c r="AJ359" s="154" t="s">
        <v>70</v>
      </c>
      <c r="AN359" s="154" t="s">
        <v>70</v>
      </c>
    </row>
    <row r="360" ht="15.75" customHeight="1">
      <c r="J360" s="15"/>
      <c r="K360" s="238"/>
      <c r="L360" s="15"/>
      <c r="M360" s="15"/>
      <c r="N360" s="15"/>
      <c r="O360" s="15"/>
      <c r="P360" s="15"/>
      <c r="Q360" s="15"/>
      <c r="R360" s="15"/>
      <c r="S360" s="15"/>
      <c r="T360" s="15"/>
      <c r="U360" s="15"/>
      <c r="V360" s="15"/>
      <c r="W360" s="15"/>
      <c r="X360" s="14"/>
      <c r="Y360" s="14"/>
      <c r="Z360" s="15"/>
      <c r="AA360" s="15"/>
      <c r="AB360" s="3"/>
      <c r="AC360" s="3"/>
      <c r="AD360" s="3"/>
      <c r="AE360" s="3"/>
      <c r="AF360" s="3"/>
      <c r="AG360" s="3"/>
      <c r="AH360" s="3"/>
      <c r="AI360" s="3"/>
      <c r="AJ360" s="154" t="s">
        <v>70</v>
      </c>
      <c r="AN360" s="154" t="s">
        <v>70</v>
      </c>
    </row>
    <row r="361" ht="15.75" customHeight="1">
      <c r="J361" s="15"/>
      <c r="K361" s="238"/>
      <c r="L361" s="15"/>
      <c r="M361" s="15"/>
      <c r="N361" s="15"/>
      <c r="O361" s="15"/>
      <c r="P361" s="15"/>
      <c r="Q361" s="15"/>
      <c r="R361" s="15"/>
      <c r="S361" s="15"/>
      <c r="T361" s="15"/>
      <c r="U361" s="15"/>
      <c r="V361" s="15"/>
      <c r="W361" s="15"/>
      <c r="X361" s="14"/>
      <c r="Y361" s="14"/>
      <c r="Z361" s="15"/>
      <c r="AA361" s="15"/>
      <c r="AB361" s="3"/>
      <c r="AC361" s="3"/>
      <c r="AD361" s="3"/>
      <c r="AE361" s="3"/>
      <c r="AF361" s="3"/>
      <c r="AG361" s="3"/>
      <c r="AH361" s="3"/>
      <c r="AI361" s="3"/>
      <c r="AJ361" s="154" t="s">
        <v>70</v>
      </c>
      <c r="AN361" s="154" t="s">
        <v>70</v>
      </c>
    </row>
    <row r="362" ht="15.75" customHeight="1">
      <c r="J362" s="15"/>
      <c r="K362" s="238"/>
      <c r="L362" s="15"/>
      <c r="M362" s="15"/>
      <c r="N362" s="15"/>
      <c r="O362" s="15"/>
      <c r="P362" s="15"/>
      <c r="Q362" s="15"/>
      <c r="R362" s="15"/>
      <c r="S362" s="15"/>
      <c r="T362" s="15"/>
      <c r="U362" s="15"/>
      <c r="V362" s="15"/>
      <c r="W362" s="15"/>
      <c r="X362" s="14"/>
      <c r="Y362" s="14"/>
      <c r="Z362" s="15"/>
      <c r="AA362" s="15"/>
      <c r="AB362" s="3"/>
      <c r="AC362" s="3"/>
      <c r="AD362" s="3"/>
      <c r="AE362" s="3"/>
      <c r="AF362" s="3"/>
      <c r="AG362" s="3"/>
      <c r="AH362" s="3"/>
      <c r="AI362" s="3"/>
      <c r="AJ362" s="154" t="s">
        <v>70</v>
      </c>
      <c r="AN362" s="154" t="s">
        <v>70</v>
      </c>
    </row>
    <row r="363" ht="15.75" customHeight="1">
      <c r="J363" s="15"/>
      <c r="K363" s="238"/>
      <c r="L363" s="15"/>
      <c r="M363" s="15"/>
      <c r="N363" s="15"/>
      <c r="O363" s="15"/>
      <c r="P363" s="15"/>
      <c r="Q363" s="15"/>
      <c r="R363" s="15"/>
      <c r="S363" s="15"/>
      <c r="T363" s="15"/>
      <c r="U363" s="15"/>
      <c r="V363" s="15"/>
      <c r="W363" s="15"/>
      <c r="X363" s="14"/>
      <c r="Y363" s="14"/>
      <c r="Z363" s="15"/>
      <c r="AA363" s="15"/>
      <c r="AB363" s="3"/>
      <c r="AC363" s="3"/>
      <c r="AD363" s="3"/>
      <c r="AE363" s="3"/>
      <c r="AF363" s="3"/>
      <c r="AG363" s="3"/>
      <c r="AH363" s="3"/>
      <c r="AI363" s="3"/>
      <c r="AJ363" s="154" t="s">
        <v>70</v>
      </c>
      <c r="AN363" s="154" t="s">
        <v>70</v>
      </c>
    </row>
    <row r="364" ht="15.75" customHeight="1">
      <c r="J364" s="15"/>
      <c r="K364" s="238"/>
      <c r="L364" s="15"/>
      <c r="M364" s="15"/>
      <c r="N364" s="15"/>
      <c r="O364" s="15"/>
      <c r="P364" s="15"/>
      <c r="Q364" s="15"/>
      <c r="R364" s="15"/>
      <c r="S364" s="15"/>
      <c r="T364" s="15"/>
      <c r="U364" s="15"/>
      <c r="V364" s="15"/>
      <c r="W364" s="15"/>
      <c r="X364" s="14"/>
      <c r="Y364" s="14"/>
      <c r="Z364" s="15"/>
      <c r="AA364" s="15"/>
      <c r="AB364" s="3"/>
      <c r="AC364" s="3"/>
      <c r="AD364" s="3"/>
      <c r="AE364" s="3"/>
      <c r="AF364" s="3"/>
      <c r="AG364" s="3"/>
      <c r="AH364" s="3"/>
      <c r="AI364" s="3"/>
      <c r="AJ364" s="154" t="s">
        <v>70</v>
      </c>
      <c r="AN364" s="154" t="s">
        <v>70</v>
      </c>
    </row>
    <row r="365" ht="15.75" customHeight="1">
      <c r="J365" s="15"/>
      <c r="K365" s="238"/>
      <c r="L365" s="15"/>
      <c r="M365" s="15"/>
      <c r="N365" s="15"/>
      <c r="O365" s="15"/>
      <c r="P365" s="15"/>
      <c r="Q365" s="15"/>
      <c r="R365" s="15"/>
      <c r="S365" s="15"/>
      <c r="T365" s="15"/>
      <c r="U365" s="15"/>
      <c r="V365" s="15"/>
      <c r="W365" s="15"/>
      <c r="X365" s="14"/>
      <c r="Y365" s="14"/>
      <c r="Z365" s="15"/>
      <c r="AA365" s="15"/>
      <c r="AB365" s="3"/>
      <c r="AC365" s="3"/>
      <c r="AD365" s="3"/>
      <c r="AE365" s="3"/>
      <c r="AF365" s="3"/>
      <c r="AG365" s="3"/>
      <c r="AH365" s="3"/>
      <c r="AI365" s="3"/>
      <c r="AJ365" s="154" t="s">
        <v>70</v>
      </c>
      <c r="AN365" s="154" t="s">
        <v>70</v>
      </c>
    </row>
    <row r="366" ht="15.75" customHeight="1">
      <c r="J366" s="15"/>
      <c r="K366" s="238"/>
      <c r="L366" s="15"/>
      <c r="M366" s="15"/>
      <c r="N366" s="15"/>
      <c r="O366" s="15"/>
      <c r="P366" s="15"/>
      <c r="Q366" s="15"/>
      <c r="R366" s="15"/>
      <c r="S366" s="15"/>
      <c r="T366" s="15"/>
      <c r="U366" s="15"/>
      <c r="V366" s="15"/>
      <c r="W366" s="15"/>
      <c r="X366" s="14"/>
      <c r="Y366" s="14"/>
      <c r="Z366" s="15"/>
      <c r="AA366" s="15"/>
      <c r="AB366" s="3"/>
      <c r="AC366" s="3"/>
      <c r="AD366" s="3"/>
      <c r="AE366" s="3"/>
      <c r="AF366" s="3"/>
      <c r="AG366" s="3"/>
      <c r="AH366" s="3"/>
      <c r="AI366" s="3"/>
      <c r="AJ366" s="154" t="s">
        <v>70</v>
      </c>
      <c r="AN366" s="154" t="s">
        <v>70</v>
      </c>
    </row>
    <row r="367" ht="15.75" customHeight="1">
      <c r="J367" s="15"/>
      <c r="K367" s="238"/>
      <c r="L367" s="15"/>
      <c r="M367" s="15"/>
      <c r="N367" s="15"/>
      <c r="O367" s="15"/>
      <c r="P367" s="15"/>
      <c r="Q367" s="15"/>
      <c r="R367" s="15"/>
      <c r="S367" s="15"/>
      <c r="T367" s="15"/>
      <c r="U367" s="15"/>
      <c r="V367" s="15"/>
      <c r="W367" s="15"/>
      <c r="X367" s="14"/>
      <c r="Y367" s="14"/>
      <c r="Z367" s="15"/>
      <c r="AA367" s="15"/>
      <c r="AB367" s="3"/>
      <c r="AC367" s="3"/>
      <c r="AD367" s="3"/>
      <c r="AE367" s="3"/>
      <c r="AF367" s="3"/>
      <c r="AG367" s="3"/>
      <c r="AH367" s="3"/>
      <c r="AI367" s="3"/>
      <c r="AJ367" s="154" t="s">
        <v>70</v>
      </c>
      <c r="AN367" s="154" t="s">
        <v>70</v>
      </c>
    </row>
    <row r="368" ht="15.75" customHeight="1">
      <c r="J368" s="15"/>
      <c r="K368" s="238"/>
      <c r="L368" s="15"/>
      <c r="M368" s="15"/>
      <c r="N368" s="15"/>
      <c r="O368" s="15"/>
      <c r="P368" s="15"/>
      <c r="Q368" s="15"/>
      <c r="R368" s="15"/>
      <c r="S368" s="15"/>
      <c r="T368" s="15"/>
      <c r="U368" s="15"/>
      <c r="V368" s="15"/>
      <c r="W368" s="15"/>
      <c r="X368" s="14"/>
      <c r="Y368" s="14"/>
      <c r="Z368" s="15"/>
      <c r="AA368" s="15"/>
      <c r="AB368" s="3"/>
      <c r="AC368" s="3"/>
      <c r="AD368" s="3"/>
      <c r="AE368" s="3"/>
      <c r="AF368" s="3"/>
      <c r="AG368" s="3"/>
      <c r="AH368" s="3"/>
      <c r="AI368" s="3"/>
      <c r="AJ368" s="154" t="s">
        <v>70</v>
      </c>
      <c r="AN368" s="154" t="s">
        <v>70</v>
      </c>
    </row>
    <row r="369" ht="15.75" customHeight="1">
      <c r="J369" s="15"/>
      <c r="K369" s="238"/>
      <c r="L369" s="15"/>
      <c r="M369" s="15"/>
      <c r="N369" s="15"/>
      <c r="O369" s="15"/>
      <c r="P369" s="15"/>
      <c r="Q369" s="15"/>
      <c r="R369" s="15"/>
      <c r="S369" s="15"/>
      <c r="T369" s="15"/>
      <c r="U369" s="15"/>
      <c r="V369" s="15"/>
      <c r="W369" s="15"/>
      <c r="X369" s="14"/>
      <c r="Y369" s="14"/>
      <c r="Z369" s="15"/>
      <c r="AA369" s="15"/>
      <c r="AB369" s="3"/>
      <c r="AC369" s="3"/>
      <c r="AD369" s="3"/>
      <c r="AE369" s="3"/>
      <c r="AF369" s="3"/>
      <c r="AG369" s="3"/>
      <c r="AH369" s="3"/>
      <c r="AI369" s="3"/>
      <c r="AJ369" s="154" t="s">
        <v>70</v>
      </c>
      <c r="AN369" s="154" t="s">
        <v>70</v>
      </c>
    </row>
    <row r="370" ht="15.75" customHeight="1">
      <c r="J370" s="15"/>
      <c r="K370" s="238"/>
      <c r="L370" s="15"/>
      <c r="M370" s="15"/>
      <c r="N370" s="15"/>
      <c r="O370" s="15"/>
      <c r="P370" s="15"/>
      <c r="Q370" s="15"/>
      <c r="R370" s="15"/>
      <c r="S370" s="15"/>
      <c r="T370" s="15"/>
      <c r="U370" s="15"/>
      <c r="V370" s="15"/>
      <c r="W370" s="15"/>
      <c r="X370" s="14"/>
      <c r="Y370" s="14"/>
      <c r="Z370" s="15"/>
      <c r="AA370" s="15"/>
      <c r="AB370" s="3"/>
      <c r="AC370" s="3"/>
      <c r="AD370" s="3"/>
      <c r="AE370" s="3"/>
      <c r="AF370" s="3"/>
      <c r="AG370" s="3"/>
      <c r="AH370" s="3"/>
      <c r="AI370" s="3"/>
      <c r="AJ370" s="154" t="s">
        <v>70</v>
      </c>
      <c r="AN370" s="154" t="s">
        <v>70</v>
      </c>
    </row>
    <row r="371" ht="15.75" customHeight="1">
      <c r="J371" s="15"/>
      <c r="K371" s="238"/>
      <c r="L371" s="15"/>
      <c r="M371" s="15"/>
      <c r="N371" s="15"/>
      <c r="O371" s="15"/>
      <c r="P371" s="15"/>
      <c r="Q371" s="15"/>
      <c r="R371" s="15"/>
      <c r="S371" s="15"/>
      <c r="T371" s="15"/>
      <c r="U371" s="15"/>
      <c r="V371" s="15"/>
      <c r="W371" s="15"/>
      <c r="X371" s="14"/>
      <c r="Y371" s="14"/>
      <c r="Z371" s="15"/>
      <c r="AA371" s="15"/>
      <c r="AB371" s="3"/>
      <c r="AC371" s="3"/>
      <c r="AD371" s="3"/>
      <c r="AE371" s="3"/>
      <c r="AF371" s="3"/>
      <c r="AG371" s="3"/>
      <c r="AH371" s="3"/>
      <c r="AI371" s="3"/>
      <c r="AJ371" s="154" t="s">
        <v>70</v>
      </c>
      <c r="AN371" s="154" t="s">
        <v>70</v>
      </c>
    </row>
    <row r="372" ht="15.75" customHeight="1">
      <c r="J372" s="15"/>
      <c r="K372" s="238"/>
      <c r="L372" s="15"/>
      <c r="M372" s="15"/>
      <c r="N372" s="15"/>
      <c r="O372" s="15"/>
      <c r="P372" s="15"/>
      <c r="Q372" s="15"/>
      <c r="R372" s="15"/>
      <c r="S372" s="15"/>
      <c r="T372" s="15"/>
      <c r="U372" s="15"/>
      <c r="V372" s="15"/>
      <c r="W372" s="15"/>
      <c r="X372" s="14"/>
      <c r="Y372" s="14"/>
      <c r="Z372" s="15"/>
      <c r="AA372" s="15"/>
      <c r="AB372" s="3"/>
      <c r="AC372" s="3"/>
      <c r="AD372" s="3"/>
      <c r="AE372" s="3"/>
      <c r="AF372" s="3"/>
      <c r="AG372" s="3"/>
      <c r="AH372" s="3"/>
      <c r="AI372" s="3"/>
      <c r="AJ372" s="154" t="s">
        <v>70</v>
      </c>
      <c r="AN372" s="154" t="s">
        <v>70</v>
      </c>
    </row>
    <row r="373" ht="15.75" customHeight="1">
      <c r="J373" s="15"/>
      <c r="K373" s="238"/>
      <c r="L373" s="15"/>
      <c r="M373" s="15"/>
      <c r="N373" s="15"/>
      <c r="O373" s="15"/>
      <c r="P373" s="15"/>
      <c r="Q373" s="15"/>
      <c r="R373" s="15"/>
      <c r="S373" s="15"/>
      <c r="T373" s="15"/>
      <c r="U373" s="15"/>
      <c r="V373" s="15"/>
      <c r="W373" s="15"/>
      <c r="X373" s="14"/>
      <c r="Y373" s="14"/>
      <c r="Z373" s="15"/>
      <c r="AA373" s="15"/>
      <c r="AB373" s="3"/>
      <c r="AC373" s="3"/>
      <c r="AD373" s="3"/>
      <c r="AE373" s="3"/>
      <c r="AF373" s="3"/>
      <c r="AG373" s="3"/>
      <c r="AH373" s="3"/>
      <c r="AI373" s="3"/>
      <c r="AJ373" s="154" t="s">
        <v>70</v>
      </c>
      <c r="AN373" s="154" t="s">
        <v>70</v>
      </c>
    </row>
    <row r="374" ht="15.75" customHeight="1">
      <c r="J374" s="15"/>
      <c r="K374" s="238"/>
      <c r="L374" s="15"/>
      <c r="M374" s="15"/>
      <c r="N374" s="15"/>
      <c r="O374" s="15"/>
      <c r="P374" s="15"/>
      <c r="Q374" s="15"/>
      <c r="R374" s="15"/>
      <c r="S374" s="15"/>
      <c r="T374" s="15"/>
      <c r="U374" s="15"/>
      <c r="V374" s="15"/>
      <c r="W374" s="15"/>
      <c r="X374" s="14"/>
      <c r="Y374" s="14"/>
      <c r="Z374" s="15"/>
      <c r="AA374" s="15"/>
      <c r="AB374" s="3"/>
      <c r="AC374" s="3"/>
      <c r="AD374" s="3"/>
      <c r="AE374" s="3"/>
      <c r="AF374" s="3"/>
      <c r="AG374" s="3"/>
      <c r="AH374" s="3"/>
      <c r="AI374" s="3"/>
      <c r="AJ374" s="154" t="s">
        <v>70</v>
      </c>
      <c r="AN374" s="154" t="s">
        <v>70</v>
      </c>
    </row>
    <row r="375" ht="15.75" customHeight="1">
      <c r="J375" s="15"/>
      <c r="K375" s="238"/>
      <c r="L375" s="15"/>
      <c r="M375" s="15"/>
      <c r="N375" s="15"/>
      <c r="O375" s="15"/>
      <c r="P375" s="15"/>
      <c r="Q375" s="15"/>
      <c r="R375" s="15"/>
      <c r="S375" s="15"/>
      <c r="T375" s="15"/>
      <c r="U375" s="15"/>
      <c r="V375" s="15"/>
      <c r="W375" s="15"/>
      <c r="X375" s="14"/>
      <c r="Y375" s="14"/>
      <c r="Z375" s="15"/>
      <c r="AA375" s="15"/>
      <c r="AB375" s="3"/>
      <c r="AC375" s="3"/>
      <c r="AD375" s="3"/>
      <c r="AE375" s="3"/>
      <c r="AF375" s="3"/>
      <c r="AG375" s="3"/>
      <c r="AH375" s="3"/>
      <c r="AI375" s="3"/>
      <c r="AJ375" s="154" t="s">
        <v>70</v>
      </c>
      <c r="AN375" s="154" t="s">
        <v>70</v>
      </c>
    </row>
    <row r="376" ht="15.75" customHeight="1">
      <c r="J376" s="15"/>
      <c r="K376" s="238"/>
      <c r="L376" s="15"/>
      <c r="M376" s="15"/>
      <c r="N376" s="15"/>
      <c r="O376" s="15"/>
      <c r="P376" s="15"/>
      <c r="Q376" s="15"/>
      <c r="R376" s="15"/>
      <c r="S376" s="15"/>
      <c r="T376" s="15"/>
      <c r="U376" s="15"/>
      <c r="V376" s="15"/>
      <c r="W376" s="15"/>
      <c r="X376" s="14"/>
      <c r="Y376" s="14"/>
      <c r="Z376" s="15"/>
      <c r="AA376" s="15"/>
      <c r="AB376" s="3"/>
      <c r="AC376" s="3"/>
      <c r="AD376" s="3"/>
      <c r="AE376" s="3"/>
      <c r="AF376" s="3"/>
      <c r="AG376" s="3"/>
      <c r="AH376" s="3"/>
      <c r="AI376" s="3"/>
      <c r="AJ376" s="154" t="s">
        <v>70</v>
      </c>
      <c r="AN376" s="154" t="s">
        <v>70</v>
      </c>
    </row>
    <row r="377" ht="15.75" customHeight="1">
      <c r="J377" s="15"/>
      <c r="K377" s="238"/>
      <c r="L377" s="15"/>
      <c r="M377" s="15"/>
      <c r="N377" s="15"/>
      <c r="O377" s="15"/>
      <c r="P377" s="15"/>
      <c r="Q377" s="15"/>
      <c r="R377" s="15"/>
      <c r="S377" s="15"/>
      <c r="T377" s="15"/>
      <c r="U377" s="15"/>
      <c r="V377" s="15"/>
      <c r="W377" s="15"/>
      <c r="X377" s="14"/>
      <c r="Y377" s="14"/>
      <c r="Z377" s="15"/>
      <c r="AA377" s="15"/>
      <c r="AB377" s="3"/>
      <c r="AC377" s="3"/>
      <c r="AD377" s="3"/>
      <c r="AE377" s="3"/>
      <c r="AF377" s="3"/>
      <c r="AG377" s="3"/>
      <c r="AH377" s="3"/>
      <c r="AI377" s="3"/>
      <c r="AJ377" s="154" t="s">
        <v>70</v>
      </c>
      <c r="AN377" s="154" t="s">
        <v>70</v>
      </c>
    </row>
    <row r="378" ht="15.75" customHeight="1">
      <c r="J378" s="15"/>
      <c r="K378" s="238"/>
      <c r="L378" s="15"/>
      <c r="M378" s="15"/>
      <c r="N378" s="15"/>
      <c r="O378" s="15"/>
      <c r="P378" s="15"/>
      <c r="Q378" s="15"/>
      <c r="R378" s="15"/>
      <c r="S378" s="15"/>
      <c r="T378" s="15"/>
      <c r="U378" s="15"/>
      <c r="V378" s="15"/>
      <c r="W378" s="15"/>
      <c r="X378" s="14"/>
      <c r="Y378" s="14"/>
      <c r="Z378" s="15"/>
      <c r="AA378" s="15"/>
      <c r="AB378" s="3"/>
      <c r="AC378" s="3"/>
      <c r="AD378" s="3"/>
      <c r="AE378" s="3"/>
      <c r="AF378" s="3"/>
      <c r="AG378" s="3"/>
      <c r="AH378" s="3"/>
      <c r="AI378" s="3"/>
      <c r="AJ378" s="154" t="s">
        <v>70</v>
      </c>
      <c r="AN378" s="154" t="s">
        <v>70</v>
      </c>
    </row>
    <row r="379" ht="15.75" customHeight="1">
      <c r="J379" s="15"/>
      <c r="K379" s="238"/>
      <c r="L379" s="15"/>
      <c r="M379" s="15"/>
      <c r="N379" s="15"/>
      <c r="O379" s="15"/>
      <c r="P379" s="15"/>
      <c r="Q379" s="15"/>
      <c r="R379" s="15"/>
      <c r="S379" s="15"/>
      <c r="T379" s="15"/>
      <c r="U379" s="15"/>
      <c r="V379" s="15"/>
      <c r="W379" s="15"/>
      <c r="X379" s="14"/>
      <c r="Y379" s="14"/>
      <c r="Z379" s="15"/>
      <c r="AA379" s="15"/>
      <c r="AB379" s="3"/>
      <c r="AC379" s="3"/>
      <c r="AD379" s="3"/>
      <c r="AE379" s="3"/>
      <c r="AF379" s="3"/>
      <c r="AG379" s="3"/>
      <c r="AH379" s="3"/>
      <c r="AI379" s="3"/>
      <c r="AJ379" s="154" t="s">
        <v>70</v>
      </c>
      <c r="AN379" s="154" t="s">
        <v>70</v>
      </c>
    </row>
    <row r="380" ht="15.75" customHeight="1">
      <c r="J380" s="15"/>
      <c r="K380" s="238"/>
      <c r="L380" s="15"/>
      <c r="M380" s="15"/>
      <c r="N380" s="15"/>
      <c r="O380" s="15"/>
      <c r="P380" s="15"/>
      <c r="Q380" s="15"/>
      <c r="R380" s="15"/>
      <c r="S380" s="15"/>
      <c r="T380" s="15"/>
      <c r="U380" s="15"/>
      <c r="V380" s="15"/>
      <c r="W380" s="15"/>
      <c r="X380" s="14"/>
      <c r="Y380" s="14"/>
      <c r="Z380" s="15"/>
      <c r="AA380" s="15"/>
      <c r="AB380" s="3"/>
      <c r="AC380" s="3"/>
      <c r="AD380" s="3"/>
      <c r="AE380" s="3"/>
      <c r="AF380" s="3"/>
      <c r="AG380" s="3"/>
      <c r="AH380" s="3"/>
      <c r="AI380" s="3"/>
      <c r="AJ380" s="154" t="s">
        <v>70</v>
      </c>
      <c r="AN380" s="154" t="s">
        <v>70</v>
      </c>
    </row>
    <row r="381" ht="15.75" customHeight="1">
      <c r="J381" s="15"/>
      <c r="K381" s="238"/>
      <c r="L381" s="15"/>
      <c r="M381" s="15"/>
      <c r="N381" s="15"/>
      <c r="O381" s="15"/>
      <c r="P381" s="15"/>
      <c r="Q381" s="15"/>
      <c r="R381" s="15"/>
      <c r="S381" s="15"/>
      <c r="T381" s="15"/>
      <c r="U381" s="15"/>
      <c r="V381" s="15"/>
      <c r="W381" s="15"/>
      <c r="X381" s="14"/>
      <c r="Y381" s="14"/>
      <c r="Z381" s="15"/>
      <c r="AA381" s="15"/>
      <c r="AB381" s="3"/>
      <c r="AC381" s="3"/>
      <c r="AD381" s="3"/>
      <c r="AE381" s="3"/>
      <c r="AF381" s="3"/>
      <c r="AG381" s="3"/>
      <c r="AH381" s="3"/>
      <c r="AI381" s="3"/>
      <c r="AJ381" s="154" t="s">
        <v>70</v>
      </c>
      <c r="AN381" s="154" t="s">
        <v>70</v>
      </c>
    </row>
    <row r="382" ht="15.75" customHeight="1">
      <c r="J382" s="15"/>
      <c r="K382" s="238"/>
      <c r="L382" s="15"/>
      <c r="M382" s="15"/>
      <c r="N382" s="15"/>
      <c r="O382" s="15"/>
      <c r="P382" s="15"/>
      <c r="Q382" s="15"/>
      <c r="R382" s="15"/>
      <c r="S382" s="15"/>
      <c r="T382" s="15"/>
      <c r="U382" s="15"/>
      <c r="V382" s="15"/>
      <c r="W382" s="15"/>
      <c r="X382" s="14"/>
      <c r="Y382" s="14"/>
      <c r="Z382" s="15"/>
      <c r="AA382" s="15"/>
      <c r="AB382" s="3"/>
      <c r="AC382" s="3"/>
      <c r="AD382" s="3"/>
      <c r="AE382" s="3"/>
      <c r="AF382" s="3"/>
      <c r="AG382" s="3"/>
      <c r="AH382" s="3"/>
      <c r="AI382" s="3"/>
      <c r="AJ382" s="154" t="s">
        <v>70</v>
      </c>
      <c r="AN382" s="154" t="s">
        <v>70</v>
      </c>
    </row>
    <row r="383" ht="15.75" customHeight="1">
      <c r="J383" s="15"/>
      <c r="K383" s="238"/>
      <c r="L383" s="15"/>
      <c r="M383" s="15"/>
      <c r="N383" s="15"/>
      <c r="O383" s="15"/>
      <c r="P383" s="15"/>
      <c r="Q383" s="15"/>
      <c r="R383" s="15"/>
      <c r="S383" s="15"/>
      <c r="T383" s="15"/>
      <c r="U383" s="15"/>
      <c r="V383" s="15"/>
      <c r="W383" s="15"/>
      <c r="X383" s="14"/>
      <c r="Y383" s="14"/>
      <c r="Z383" s="15"/>
      <c r="AA383" s="15"/>
      <c r="AB383" s="3"/>
      <c r="AC383" s="3"/>
      <c r="AD383" s="3"/>
      <c r="AE383" s="3"/>
      <c r="AF383" s="3"/>
      <c r="AG383" s="3"/>
      <c r="AH383" s="3"/>
      <c r="AI383" s="3"/>
      <c r="AJ383" s="154" t="s">
        <v>70</v>
      </c>
      <c r="AN383" s="154" t="s">
        <v>70</v>
      </c>
    </row>
    <row r="384" ht="15.75" customHeight="1">
      <c r="J384" s="15"/>
      <c r="K384" s="238"/>
      <c r="L384" s="15"/>
      <c r="M384" s="15"/>
      <c r="N384" s="15"/>
      <c r="O384" s="15"/>
      <c r="P384" s="15"/>
      <c r="Q384" s="15"/>
      <c r="R384" s="15"/>
      <c r="S384" s="15"/>
      <c r="T384" s="15"/>
      <c r="U384" s="15"/>
      <c r="V384" s="15"/>
      <c r="W384" s="15"/>
      <c r="X384" s="14"/>
      <c r="Y384" s="14"/>
      <c r="Z384" s="15"/>
      <c r="AA384" s="15"/>
      <c r="AB384" s="3"/>
      <c r="AC384" s="3"/>
      <c r="AD384" s="3"/>
      <c r="AE384" s="3"/>
      <c r="AF384" s="3"/>
      <c r="AG384" s="3"/>
      <c r="AH384" s="3"/>
      <c r="AI384" s="3"/>
      <c r="AJ384" s="154" t="s">
        <v>70</v>
      </c>
      <c r="AN384" s="154" t="s">
        <v>70</v>
      </c>
    </row>
    <row r="385" ht="15.75" customHeight="1">
      <c r="J385" s="15"/>
      <c r="K385" s="238"/>
      <c r="L385" s="15"/>
      <c r="M385" s="15"/>
      <c r="N385" s="15"/>
      <c r="O385" s="15"/>
      <c r="P385" s="15"/>
      <c r="Q385" s="15"/>
      <c r="R385" s="15"/>
      <c r="S385" s="15"/>
      <c r="T385" s="15"/>
      <c r="U385" s="15"/>
      <c r="V385" s="15"/>
      <c r="W385" s="15"/>
      <c r="X385" s="14"/>
      <c r="Y385" s="14"/>
      <c r="Z385" s="15"/>
      <c r="AA385" s="15"/>
      <c r="AB385" s="3"/>
      <c r="AC385" s="3"/>
      <c r="AD385" s="3"/>
      <c r="AE385" s="3"/>
      <c r="AF385" s="3"/>
      <c r="AG385" s="3"/>
      <c r="AH385" s="3"/>
      <c r="AI385" s="3"/>
      <c r="AJ385" s="154" t="s">
        <v>70</v>
      </c>
      <c r="AN385" s="154" t="s">
        <v>70</v>
      </c>
    </row>
    <row r="386" ht="15.75" customHeight="1">
      <c r="J386" s="15"/>
      <c r="K386" s="238"/>
      <c r="L386" s="15"/>
      <c r="M386" s="15"/>
      <c r="N386" s="15"/>
      <c r="O386" s="15"/>
      <c r="P386" s="15"/>
      <c r="Q386" s="15"/>
      <c r="R386" s="15"/>
      <c r="S386" s="15"/>
      <c r="T386" s="15"/>
      <c r="U386" s="15"/>
      <c r="V386" s="15"/>
      <c r="W386" s="15"/>
      <c r="X386" s="14"/>
      <c r="Y386" s="14"/>
      <c r="Z386" s="15"/>
      <c r="AA386" s="15"/>
      <c r="AB386" s="3"/>
      <c r="AC386" s="3"/>
      <c r="AD386" s="3"/>
      <c r="AE386" s="3"/>
      <c r="AF386" s="3"/>
      <c r="AG386" s="3"/>
      <c r="AH386" s="3"/>
      <c r="AI386" s="3"/>
      <c r="AJ386" s="154" t="s">
        <v>70</v>
      </c>
      <c r="AN386" s="154" t="s">
        <v>70</v>
      </c>
    </row>
    <row r="387" ht="15.75" customHeight="1">
      <c r="J387" s="15"/>
      <c r="K387" s="238"/>
      <c r="L387" s="15"/>
      <c r="M387" s="15"/>
      <c r="N387" s="15"/>
      <c r="O387" s="15"/>
      <c r="P387" s="15"/>
      <c r="Q387" s="15"/>
      <c r="R387" s="15"/>
      <c r="S387" s="15"/>
      <c r="T387" s="15"/>
      <c r="U387" s="15"/>
      <c r="V387" s="15"/>
      <c r="W387" s="15"/>
      <c r="X387" s="14"/>
      <c r="Y387" s="14"/>
      <c r="Z387" s="15"/>
      <c r="AA387" s="15"/>
      <c r="AB387" s="3"/>
      <c r="AC387" s="3"/>
      <c r="AD387" s="3"/>
      <c r="AE387" s="3"/>
      <c r="AF387" s="3"/>
      <c r="AG387" s="3"/>
      <c r="AH387" s="3"/>
      <c r="AI387" s="3"/>
      <c r="AJ387" s="154" t="s">
        <v>70</v>
      </c>
      <c r="AN387" s="154" t="s">
        <v>70</v>
      </c>
    </row>
    <row r="388" ht="15.75" customHeight="1">
      <c r="J388" s="15"/>
      <c r="K388" s="238"/>
      <c r="L388" s="15"/>
      <c r="M388" s="15"/>
      <c r="N388" s="15"/>
      <c r="O388" s="15"/>
      <c r="P388" s="15"/>
      <c r="Q388" s="15"/>
      <c r="R388" s="15"/>
      <c r="S388" s="15"/>
      <c r="T388" s="15"/>
      <c r="U388" s="15"/>
      <c r="V388" s="15"/>
      <c r="W388" s="15"/>
      <c r="X388" s="14"/>
      <c r="Y388" s="14"/>
      <c r="Z388" s="15"/>
      <c r="AA388" s="15"/>
      <c r="AB388" s="3"/>
      <c r="AC388" s="3"/>
      <c r="AD388" s="3"/>
      <c r="AE388" s="3"/>
      <c r="AF388" s="3"/>
      <c r="AG388" s="3"/>
      <c r="AH388" s="3"/>
      <c r="AI388" s="3"/>
      <c r="AJ388" s="154" t="s">
        <v>70</v>
      </c>
      <c r="AN388" s="154" t="s">
        <v>70</v>
      </c>
    </row>
    <row r="389" ht="15.75" customHeight="1">
      <c r="J389" s="15"/>
      <c r="K389" s="238"/>
      <c r="L389" s="15"/>
      <c r="M389" s="15"/>
      <c r="N389" s="15"/>
      <c r="O389" s="15"/>
      <c r="P389" s="15"/>
      <c r="Q389" s="15"/>
      <c r="R389" s="15"/>
      <c r="S389" s="15"/>
      <c r="T389" s="15"/>
      <c r="U389" s="15"/>
      <c r="V389" s="15"/>
      <c r="W389" s="15"/>
      <c r="X389" s="14"/>
      <c r="Y389" s="14"/>
      <c r="Z389" s="15"/>
      <c r="AA389" s="15"/>
      <c r="AB389" s="3"/>
      <c r="AC389" s="3"/>
      <c r="AD389" s="3"/>
      <c r="AE389" s="3"/>
      <c r="AF389" s="3"/>
      <c r="AG389" s="3"/>
      <c r="AH389" s="3"/>
      <c r="AI389" s="3"/>
      <c r="AJ389" s="154" t="s">
        <v>70</v>
      </c>
      <c r="AN389" s="154" t="s">
        <v>70</v>
      </c>
    </row>
    <row r="390" ht="15.75" customHeight="1">
      <c r="J390" s="15"/>
      <c r="K390" s="238"/>
      <c r="L390" s="15"/>
      <c r="M390" s="15"/>
      <c r="N390" s="15"/>
      <c r="O390" s="15"/>
      <c r="P390" s="15"/>
      <c r="Q390" s="15"/>
      <c r="R390" s="15"/>
      <c r="S390" s="15"/>
      <c r="T390" s="15"/>
      <c r="U390" s="15"/>
      <c r="V390" s="15"/>
      <c r="W390" s="15"/>
      <c r="X390" s="14"/>
      <c r="Y390" s="14"/>
      <c r="Z390" s="15"/>
      <c r="AA390" s="15"/>
      <c r="AB390" s="3"/>
      <c r="AC390" s="3"/>
      <c r="AD390" s="3"/>
      <c r="AE390" s="3"/>
      <c r="AF390" s="3"/>
      <c r="AG390" s="3"/>
      <c r="AH390" s="3"/>
      <c r="AI390" s="3"/>
      <c r="AJ390" s="154" t="s">
        <v>70</v>
      </c>
      <c r="AN390" s="154" t="s">
        <v>70</v>
      </c>
    </row>
    <row r="391" ht="15.75" customHeight="1">
      <c r="J391" s="15"/>
      <c r="K391" s="238"/>
      <c r="L391" s="15"/>
      <c r="M391" s="15"/>
      <c r="N391" s="15"/>
      <c r="O391" s="15"/>
      <c r="P391" s="15"/>
      <c r="Q391" s="15"/>
      <c r="R391" s="15"/>
      <c r="S391" s="15"/>
      <c r="T391" s="15"/>
      <c r="U391" s="15"/>
      <c r="V391" s="15"/>
      <c r="W391" s="15"/>
      <c r="X391" s="14"/>
      <c r="Y391" s="14"/>
      <c r="Z391" s="15"/>
      <c r="AA391" s="15"/>
      <c r="AB391" s="3"/>
      <c r="AC391" s="3"/>
      <c r="AD391" s="3"/>
      <c r="AE391" s="3"/>
      <c r="AF391" s="3"/>
      <c r="AG391" s="3"/>
      <c r="AH391" s="3"/>
      <c r="AI391" s="3"/>
      <c r="AJ391" s="154" t="s">
        <v>70</v>
      </c>
      <c r="AN391" s="154" t="s">
        <v>70</v>
      </c>
    </row>
    <row r="392" ht="15.75" customHeight="1">
      <c r="J392" s="15"/>
      <c r="K392" s="238"/>
      <c r="L392" s="15"/>
      <c r="M392" s="15"/>
      <c r="N392" s="15"/>
      <c r="O392" s="15"/>
      <c r="P392" s="15"/>
      <c r="Q392" s="15"/>
      <c r="R392" s="15"/>
      <c r="S392" s="15"/>
      <c r="T392" s="15"/>
      <c r="U392" s="15"/>
      <c r="V392" s="15"/>
      <c r="W392" s="15"/>
      <c r="X392" s="14"/>
      <c r="Y392" s="14"/>
      <c r="Z392" s="15"/>
      <c r="AA392" s="15"/>
      <c r="AB392" s="3"/>
      <c r="AC392" s="3"/>
      <c r="AD392" s="3"/>
      <c r="AE392" s="3"/>
      <c r="AF392" s="3"/>
      <c r="AG392" s="3"/>
      <c r="AH392" s="3"/>
      <c r="AI392" s="3"/>
      <c r="AJ392" s="154" t="s">
        <v>70</v>
      </c>
      <c r="AN392" s="154" t="s">
        <v>70</v>
      </c>
    </row>
    <row r="393" ht="15.75" customHeight="1">
      <c r="J393" s="15"/>
      <c r="K393" s="238"/>
      <c r="L393" s="15"/>
      <c r="M393" s="15"/>
      <c r="N393" s="15"/>
      <c r="O393" s="15"/>
      <c r="P393" s="15"/>
      <c r="Q393" s="15"/>
      <c r="R393" s="15"/>
      <c r="S393" s="15"/>
      <c r="T393" s="15"/>
      <c r="U393" s="15"/>
      <c r="V393" s="15"/>
      <c r="W393" s="15"/>
      <c r="X393" s="14"/>
      <c r="Y393" s="14"/>
      <c r="Z393" s="15"/>
      <c r="AA393" s="15"/>
      <c r="AB393" s="3"/>
      <c r="AC393" s="3"/>
      <c r="AD393" s="3"/>
      <c r="AE393" s="3"/>
      <c r="AF393" s="3"/>
      <c r="AG393" s="3"/>
      <c r="AH393" s="3"/>
      <c r="AI393" s="3"/>
      <c r="AJ393" s="154" t="s">
        <v>70</v>
      </c>
      <c r="AN393" s="154" t="s">
        <v>70</v>
      </c>
    </row>
    <row r="394" ht="15.75" customHeight="1">
      <c r="J394" s="15"/>
      <c r="K394" s="238"/>
      <c r="L394" s="15"/>
      <c r="M394" s="15"/>
      <c r="N394" s="15"/>
      <c r="O394" s="15"/>
      <c r="P394" s="15"/>
      <c r="Q394" s="15"/>
      <c r="R394" s="15"/>
      <c r="S394" s="15"/>
      <c r="T394" s="15"/>
      <c r="U394" s="15"/>
      <c r="V394" s="15"/>
      <c r="W394" s="15"/>
      <c r="X394" s="14"/>
      <c r="Y394" s="14"/>
      <c r="Z394" s="15"/>
      <c r="AA394" s="15"/>
      <c r="AB394" s="3"/>
      <c r="AC394" s="3"/>
      <c r="AD394" s="3"/>
      <c r="AE394" s="3"/>
      <c r="AF394" s="3"/>
      <c r="AG394" s="3"/>
      <c r="AH394" s="3"/>
      <c r="AI394" s="3"/>
      <c r="AJ394" s="154" t="s">
        <v>70</v>
      </c>
      <c r="AN394" s="154" t="s">
        <v>70</v>
      </c>
    </row>
    <row r="395" ht="15.75" customHeight="1">
      <c r="J395" s="15"/>
      <c r="K395" s="238"/>
      <c r="L395" s="15"/>
      <c r="M395" s="15"/>
      <c r="N395" s="15"/>
      <c r="O395" s="15"/>
      <c r="P395" s="15"/>
      <c r="Q395" s="15"/>
      <c r="R395" s="15"/>
      <c r="S395" s="15"/>
      <c r="T395" s="15"/>
      <c r="U395" s="15"/>
      <c r="V395" s="15"/>
      <c r="W395" s="15"/>
      <c r="X395" s="14"/>
      <c r="Y395" s="14"/>
      <c r="Z395" s="15"/>
      <c r="AA395" s="15"/>
      <c r="AB395" s="3"/>
      <c r="AC395" s="3"/>
      <c r="AD395" s="3"/>
      <c r="AE395" s="3"/>
      <c r="AF395" s="3"/>
      <c r="AG395" s="3"/>
      <c r="AH395" s="3"/>
      <c r="AI395" s="3"/>
      <c r="AJ395" s="154" t="s">
        <v>70</v>
      </c>
      <c r="AN395" s="154" t="s">
        <v>70</v>
      </c>
    </row>
    <row r="396" ht="15.75" customHeight="1">
      <c r="J396" s="15"/>
      <c r="K396" s="238"/>
      <c r="L396" s="15"/>
      <c r="M396" s="15"/>
      <c r="N396" s="15"/>
      <c r="O396" s="15"/>
      <c r="P396" s="15"/>
      <c r="Q396" s="15"/>
      <c r="R396" s="15"/>
      <c r="S396" s="15"/>
      <c r="T396" s="15"/>
      <c r="U396" s="15"/>
      <c r="V396" s="15"/>
      <c r="W396" s="15"/>
      <c r="X396" s="14"/>
      <c r="Y396" s="14"/>
      <c r="Z396" s="15"/>
      <c r="AA396" s="15"/>
      <c r="AB396" s="3"/>
      <c r="AC396" s="3"/>
      <c r="AD396" s="3"/>
      <c r="AE396" s="3"/>
      <c r="AF396" s="3"/>
      <c r="AG396" s="3"/>
      <c r="AH396" s="3"/>
      <c r="AI396" s="3"/>
      <c r="AJ396" s="154" t="s">
        <v>70</v>
      </c>
      <c r="AN396" s="154" t="s">
        <v>70</v>
      </c>
    </row>
    <row r="397" ht="15.75" customHeight="1">
      <c r="J397" s="15"/>
      <c r="K397" s="238"/>
      <c r="L397" s="15"/>
      <c r="M397" s="15"/>
      <c r="N397" s="15"/>
      <c r="O397" s="15"/>
      <c r="P397" s="15"/>
      <c r="Q397" s="15"/>
      <c r="R397" s="15"/>
      <c r="S397" s="15"/>
      <c r="T397" s="15"/>
      <c r="U397" s="15"/>
      <c r="V397" s="15"/>
      <c r="W397" s="15"/>
      <c r="X397" s="14"/>
      <c r="Y397" s="14"/>
      <c r="Z397" s="15"/>
      <c r="AA397" s="15"/>
      <c r="AB397" s="3"/>
      <c r="AC397" s="3"/>
      <c r="AD397" s="3"/>
      <c r="AE397" s="3"/>
      <c r="AF397" s="3"/>
      <c r="AG397" s="3"/>
      <c r="AH397" s="3"/>
      <c r="AI397" s="3"/>
      <c r="AJ397" s="154" t="s">
        <v>70</v>
      </c>
      <c r="AN397" s="154" t="s">
        <v>70</v>
      </c>
    </row>
    <row r="398" ht="15.75" customHeight="1">
      <c r="J398" s="15"/>
      <c r="K398" s="238"/>
      <c r="L398" s="15"/>
      <c r="M398" s="15"/>
      <c r="N398" s="15"/>
      <c r="O398" s="15"/>
      <c r="P398" s="15"/>
      <c r="Q398" s="15"/>
      <c r="R398" s="15"/>
      <c r="S398" s="15"/>
      <c r="T398" s="15"/>
      <c r="U398" s="15"/>
      <c r="V398" s="15"/>
      <c r="W398" s="15"/>
      <c r="X398" s="14"/>
      <c r="Y398" s="14"/>
      <c r="Z398" s="15"/>
      <c r="AA398" s="15"/>
      <c r="AB398" s="3"/>
      <c r="AC398" s="3"/>
      <c r="AD398" s="3"/>
      <c r="AE398" s="3"/>
      <c r="AF398" s="3"/>
      <c r="AG398" s="3"/>
      <c r="AH398" s="3"/>
      <c r="AI398" s="3"/>
      <c r="AJ398" s="154" t="s">
        <v>70</v>
      </c>
      <c r="AN398" s="154" t="s">
        <v>70</v>
      </c>
    </row>
    <row r="399" ht="15.75" customHeight="1">
      <c r="J399" s="15"/>
      <c r="K399" s="238"/>
      <c r="L399" s="15"/>
      <c r="M399" s="15"/>
      <c r="N399" s="15"/>
      <c r="O399" s="15"/>
      <c r="P399" s="15"/>
      <c r="Q399" s="15"/>
      <c r="R399" s="15"/>
      <c r="S399" s="15"/>
      <c r="T399" s="15"/>
      <c r="U399" s="15"/>
      <c r="V399" s="15"/>
      <c r="W399" s="15"/>
      <c r="X399" s="14"/>
      <c r="Y399" s="14"/>
      <c r="Z399" s="15"/>
      <c r="AA399" s="15"/>
      <c r="AB399" s="3"/>
      <c r="AC399" s="3"/>
      <c r="AD399" s="3"/>
      <c r="AE399" s="3"/>
      <c r="AF399" s="3"/>
      <c r="AG399" s="3"/>
      <c r="AH399" s="3"/>
      <c r="AI399" s="3"/>
      <c r="AJ399" s="154" t="s">
        <v>70</v>
      </c>
      <c r="AN399" s="154" t="s">
        <v>70</v>
      </c>
    </row>
    <row r="400" ht="15.75" customHeight="1">
      <c r="J400" s="15"/>
      <c r="K400" s="238"/>
      <c r="L400" s="15"/>
      <c r="M400" s="15"/>
      <c r="N400" s="15"/>
      <c r="O400" s="15"/>
      <c r="P400" s="15"/>
      <c r="Q400" s="15"/>
      <c r="R400" s="15"/>
      <c r="S400" s="15"/>
      <c r="T400" s="15"/>
      <c r="U400" s="15"/>
      <c r="V400" s="15"/>
      <c r="W400" s="15"/>
      <c r="X400" s="14"/>
      <c r="Y400" s="14"/>
      <c r="Z400" s="15"/>
      <c r="AA400" s="15"/>
      <c r="AB400" s="3"/>
      <c r="AC400" s="3"/>
      <c r="AD400" s="3"/>
      <c r="AE400" s="3"/>
      <c r="AF400" s="3"/>
      <c r="AG400" s="3"/>
      <c r="AH400" s="3"/>
      <c r="AI400" s="3"/>
      <c r="AJ400" s="154" t="s">
        <v>70</v>
      </c>
      <c r="AN400" s="154" t="s">
        <v>70</v>
      </c>
    </row>
    <row r="401" ht="15.75" customHeight="1">
      <c r="J401" s="15"/>
      <c r="K401" s="238"/>
      <c r="L401" s="15"/>
      <c r="M401" s="15"/>
      <c r="N401" s="15"/>
      <c r="O401" s="15"/>
      <c r="P401" s="15"/>
      <c r="Q401" s="15"/>
      <c r="R401" s="15"/>
      <c r="S401" s="15"/>
      <c r="T401" s="15"/>
      <c r="U401" s="15"/>
      <c r="V401" s="15"/>
      <c r="W401" s="15"/>
      <c r="X401" s="14"/>
      <c r="Y401" s="14"/>
      <c r="Z401" s="15"/>
      <c r="AA401" s="15"/>
      <c r="AB401" s="3"/>
      <c r="AC401" s="3"/>
      <c r="AD401" s="3"/>
      <c r="AE401" s="3"/>
      <c r="AF401" s="3"/>
      <c r="AG401" s="3"/>
      <c r="AH401" s="3"/>
      <c r="AI401" s="3"/>
      <c r="AJ401" s="154" t="s">
        <v>70</v>
      </c>
      <c r="AN401" s="154" t="s">
        <v>70</v>
      </c>
    </row>
    <row r="402" ht="15.75" customHeight="1">
      <c r="J402" s="15"/>
      <c r="K402" s="238"/>
      <c r="L402" s="15"/>
      <c r="M402" s="15"/>
      <c r="N402" s="15"/>
      <c r="O402" s="15"/>
      <c r="P402" s="15"/>
      <c r="Q402" s="15"/>
      <c r="R402" s="15"/>
      <c r="S402" s="15"/>
      <c r="T402" s="15"/>
      <c r="U402" s="15"/>
      <c r="V402" s="15"/>
      <c r="W402" s="15"/>
      <c r="X402" s="14"/>
      <c r="Y402" s="14"/>
      <c r="Z402" s="15"/>
      <c r="AA402" s="15"/>
      <c r="AB402" s="3"/>
      <c r="AC402" s="3"/>
      <c r="AD402" s="3"/>
      <c r="AE402" s="3"/>
      <c r="AF402" s="3"/>
      <c r="AG402" s="3"/>
      <c r="AH402" s="3"/>
      <c r="AI402" s="3"/>
      <c r="AJ402" s="154" t="s">
        <v>70</v>
      </c>
      <c r="AN402" s="154" t="s">
        <v>70</v>
      </c>
    </row>
    <row r="403" ht="15.75" customHeight="1">
      <c r="J403" s="15"/>
      <c r="K403" s="238"/>
      <c r="L403" s="15"/>
      <c r="M403" s="15"/>
      <c r="N403" s="15"/>
      <c r="O403" s="15"/>
      <c r="P403" s="15"/>
      <c r="Q403" s="15"/>
      <c r="R403" s="15"/>
      <c r="S403" s="15"/>
      <c r="T403" s="15"/>
      <c r="U403" s="15"/>
      <c r="V403" s="15"/>
      <c r="W403" s="15"/>
      <c r="X403" s="14"/>
      <c r="Y403" s="14"/>
      <c r="Z403" s="15"/>
      <c r="AA403" s="15"/>
      <c r="AB403" s="3"/>
      <c r="AC403" s="3"/>
      <c r="AD403" s="3"/>
      <c r="AE403" s="3"/>
      <c r="AF403" s="3"/>
      <c r="AG403" s="3"/>
      <c r="AH403" s="3"/>
      <c r="AI403" s="3"/>
      <c r="AJ403" s="154" t="s">
        <v>70</v>
      </c>
      <c r="AN403" s="154" t="s">
        <v>70</v>
      </c>
    </row>
    <row r="404" ht="15.75" customHeight="1">
      <c r="J404" s="15"/>
      <c r="K404" s="238"/>
      <c r="L404" s="15"/>
      <c r="M404" s="15"/>
      <c r="N404" s="15"/>
      <c r="O404" s="15"/>
      <c r="P404" s="15"/>
      <c r="Q404" s="15"/>
      <c r="R404" s="15"/>
      <c r="S404" s="15"/>
      <c r="T404" s="15"/>
      <c r="U404" s="15"/>
      <c r="V404" s="15"/>
      <c r="W404" s="15"/>
      <c r="X404" s="14"/>
      <c r="Y404" s="14"/>
      <c r="Z404" s="15"/>
      <c r="AA404" s="15"/>
      <c r="AB404" s="3"/>
      <c r="AC404" s="3"/>
      <c r="AD404" s="3"/>
      <c r="AE404" s="3"/>
      <c r="AF404" s="3"/>
      <c r="AG404" s="3"/>
      <c r="AH404" s="3"/>
      <c r="AI404" s="3"/>
      <c r="AJ404" s="154" t="s">
        <v>70</v>
      </c>
      <c r="AN404" s="154" t="s">
        <v>70</v>
      </c>
    </row>
    <row r="405" ht="15.75" customHeight="1">
      <c r="J405" s="15"/>
      <c r="K405" s="238"/>
      <c r="L405" s="15"/>
      <c r="M405" s="15"/>
      <c r="N405" s="15"/>
      <c r="O405" s="15"/>
      <c r="P405" s="15"/>
      <c r="Q405" s="15"/>
      <c r="R405" s="15"/>
      <c r="S405" s="15"/>
      <c r="T405" s="15"/>
      <c r="U405" s="15"/>
      <c r="V405" s="15"/>
      <c r="W405" s="15"/>
      <c r="X405" s="14"/>
      <c r="Y405" s="14"/>
      <c r="Z405" s="15"/>
      <c r="AA405" s="15"/>
      <c r="AB405" s="3"/>
      <c r="AC405" s="3"/>
      <c r="AD405" s="3"/>
      <c r="AE405" s="3"/>
      <c r="AF405" s="3"/>
      <c r="AG405" s="3"/>
      <c r="AH405" s="3"/>
      <c r="AI405" s="3"/>
      <c r="AJ405" s="154" t="s">
        <v>70</v>
      </c>
      <c r="AN405" s="154" t="s">
        <v>70</v>
      </c>
    </row>
    <row r="406" ht="15.75" customHeight="1">
      <c r="J406" s="15"/>
      <c r="K406" s="238"/>
      <c r="L406" s="15"/>
      <c r="M406" s="15"/>
      <c r="N406" s="15"/>
      <c r="O406" s="15"/>
      <c r="P406" s="15"/>
      <c r="Q406" s="15"/>
      <c r="R406" s="15"/>
      <c r="S406" s="15"/>
      <c r="T406" s="15"/>
      <c r="U406" s="15"/>
      <c r="V406" s="15"/>
      <c r="W406" s="15"/>
      <c r="X406" s="14"/>
      <c r="Y406" s="14"/>
      <c r="Z406" s="15"/>
      <c r="AA406" s="15"/>
      <c r="AB406" s="3"/>
      <c r="AC406" s="3"/>
      <c r="AD406" s="3"/>
      <c r="AE406" s="3"/>
      <c r="AF406" s="3"/>
      <c r="AG406" s="3"/>
      <c r="AH406" s="3"/>
      <c r="AI406" s="3"/>
      <c r="AJ406" s="154" t="s">
        <v>70</v>
      </c>
      <c r="AN406" s="154" t="s">
        <v>70</v>
      </c>
    </row>
    <row r="407" ht="15.75" customHeight="1">
      <c r="J407" s="15"/>
      <c r="K407" s="238"/>
      <c r="L407" s="15"/>
      <c r="M407" s="15"/>
      <c r="N407" s="15"/>
      <c r="O407" s="15"/>
      <c r="P407" s="15"/>
      <c r="Q407" s="15"/>
      <c r="R407" s="15"/>
      <c r="S407" s="15"/>
      <c r="T407" s="15"/>
      <c r="U407" s="15"/>
      <c r="V407" s="15"/>
      <c r="W407" s="15"/>
      <c r="X407" s="14"/>
      <c r="Y407" s="14"/>
      <c r="Z407" s="15"/>
      <c r="AA407" s="15"/>
      <c r="AB407" s="3"/>
      <c r="AC407" s="3"/>
      <c r="AD407" s="3"/>
      <c r="AE407" s="3"/>
      <c r="AF407" s="3"/>
      <c r="AG407" s="3"/>
      <c r="AH407" s="3"/>
      <c r="AI407" s="3"/>
      <c r="AJ407" s="154" t="s">
        <v>70</v>
      </c>
      <c r="AN407" s="154" t="s">
        <v>70</v>
      </c>
    </row>
    <row r="408" ht="15.75" customHeight="1">
      <c r="J408" s="15"/>
      <c r="K408" s="238"/>
      <c r="L408" s="15"/>
      <c r="M408" s="15"/>
      <c r="N408" s="15"/>
      <c r="O408" s="15"/>
      <c r="P408" s="15"/>
      <c r="Q408" s="15"/>
      <c r="R408" s="15"/>
      <c r="S408" s="15"/>
      <c r="T408" s="15"/>
      <c r="U408" s="15"/>
      <c r="V408" s="15"/>
      <c r="W408" s="15"/>
      <c r="X408" s="14"/>
      <c r="Y408" s="14"/>
      <c r="Z408" s="15"/>
      <c r="AA408" s="15"/>
      <c r="AB408" s="3"/>
      <c r="AC408" s="3"/>
      <c r="AD408" s="3"/>
      <c r="AE408" s="3"/>
      <c r="AF408" s="3"/>
      <c r="AG408" s="3"/>
      <c r="AH408" s="3"/>
      <c r="AI408" s="3"/>
      <c r="AJ408" s="154" t="s">
        <v>70</v>
      </c>
      <c r="AN408" s="154" t="s">
        <v>70</v>
      </c>
    </row>
    <row r="409" ht="15.75" customHeight="1">
      <c r="J409" s="15"/>
      <c r="K409" s="238"/>
      <c r="L409" s="15"/>
      <c r="M409" s="15"/>
      <c r="N409" s="15"/>
      <c r="O409" s="15"/>
      <c r="P409" s="15"/>
      <c r="Q409" s="15"/>
      <c r="R409" s="15"/>
      <c r="S409" s="15"/>
      <c r="T409" s="15"/>
      <c r="U409" s="15"/>
      <c r="V409" s="15"/>
      <c r="W409" s="15"/>
      <c r="X409" s="14"/>
      <c r="Y409" s="14"/>
      <c r="Z409" s="15"/>
      <c r="AA409" s="15"/>
      <c r="AB409" s="3"/>
      <c r="AC409" s="3"/>
      <c r="AD409" s="3"/>
      <c r="AE409" s="3"/>
      <c r="AF409" s="3"/>
      <c r="AG409" s="3"/>
      <c r="AH409" s="3"/>
      <c r="AI409" s="3"/>
      <c r="AJ409" s="154" t="s">
        <v>70</v>
      </c>
      <c r="AN409" s="154" t="s">
        <v>70</v>
      </c>
    </row>
    <row r="410" ht="15.75" customHeight="1">
      <c r="J410" s="15"/>
      <c r="K410" s="238"/>
      <c r="L410" s="15"/>
      <c r="M410" s="15"/>
      <c r="N410" s="15"/>
      <c r="O410" s="15"/>
      <c r="P410" s="15"/>
      <c r="Q410" s="15"/>
      <c r="R410" s="15"/>
      <c r="S410" s="15"/>
      <c r="T410" s="15"/>
      <c r="U410" s="15"/>
      <c r="V410" s="15"/>
      <c r="W410" s="15"/>
      <c r="X410" s="14"/>
      <c r="Y410" s="14"/>
      <c r="Z410" s="15"/>
      <c r="AA410" s="15"/>
      <c r="AB410" s="3"/>
      <c r="AC410" s="3"/>
      <c r="AD410" s="3"/>
      <c r="AE410" s="3"/>
      <c r="AF410" s="3"/>
      <c r="AG410" s="3"/>
      <c r="AH410" s="3"/>
      <c r="AI410" s="3"/>
      <c r="AJ410" s="154" t="s">
        <v>70</v>
      </c>
      <c r="AN410" s="154" t="s">
        <v>70</v>
      </c>
    </row>
    <row r="411" ht="15.75" customHeight="1">
      <c r="J411" s="15"/>
      <c r="K411" s="238"/>
      <c r="L411" s="15"/>
      <c r="M411" s="15"/>
      <c r="N411" s="15"/>
      <c r="O411" s="15"/>
      <c r="P411" s="15"/>
      <c r="Q411" s="15"/>
      <c r="R411" s="15"/>
      <c r="S411" s="15"/>
      <c r="T411" s="15"/>
      <c r="U411" s="15"/>
      <c r="V411" s="15"/>
      <c r="W411" s="15"/>
      <c r="X411" s="14"/>
      <c r="Y411" s="14"/>
      <c r="Z411" s="15"/>
      <c r="AA411" s="15"/>
      <c r="AB411" s="3"/>
      <c r="AC411" s="3"/>
      <c r="AD411" s="3"/>
      <c r="AE411" s="3"/>
      <c r="AF411" s="3"/>
      <c r="AG411" s="3"/>
      <c r="AH411" s="3"/>
      <c r="AI411" s="3"/>
      <c r="AJ411" s="154" t="s">
        <v>70</v>
      </c>
      <c r="AN411" s="154" t="s">
        <v>70</v>
      </c>
    </row>
    <row r="412" ht="15.75" customHeight="1">
      <c r="J412" s="15"/>
      <c r="K412" s="238"/>
      <c r="L412" s="15"/>
      <c r="M412" s="15"/>
      <c r="N412" s="15"/>
      <c r="O412" s="15"/>
      <c r="P412" s="15"/>
      <c r="Q412" s="15"/>
      <c r="R412" s="15"/>
      <c r="S412" s="15"/>
      <c r="T412" s="15"/>
      <c r="U412" s="15"/>
      <c r="V412" s="15"/>
      <c r="W412" s="15"/>
      <c r="X412" s="14"/>
      <c r="Y412" s="14"/>
      <c r="Z412" s="15"/>
      <c r="AA412" s="15"/>
      <c r="AB412" s="3"/>
      <c r="AC412" s="3"/>
      <c r="AD412" s="3"/>
      <c r="AE412" s="3"/>
      <c r="AF412" s="3"/>
      <c r="AG412" s="3"/>
      <c r="AH412" s="3"/>
      <c r="AI412" s="3"/>
      <c r="AJ412" s="154" t="s">
        <v>70</v>
      </c>
      <c r="AN412" s="154" t="s">
        <v>70</v>
      </c>
    </row>
    <row r="413" ht="15.75" customHeight="1">
      <c r="J413" s="15"/>
      <c r="K413" s="238"/>
      <c r="L413" s="15"/>
      <c r="M413" s="15"/>
      <c r="N413" s="15"/>
      <c r="O413" s="15"/>
      <c r="P413" s="15"/>
      <c r="Q413" s="15"/>
      <c r="R413" s="15"/>
      <c r="S413" s="15"/>
      <c r="T413" s="15"/>
      <c r="U413" s="15"/>
      <c r="V413" s="15"/>
      <c r="W413" s="15"/>
      <c r="X413" s="14"/>
      <c r="Y413" s="14"/>
      <c r="Z413" s="15"/>
      <c r="AA413" s="15"/>
      <c r="AB413" s="3"/>
      <c r="AC413" s="3"/>
      <c r="AD413" s="3"/>
      <c r="AE413" s="3"/>
      <c r="AF413" s="3"/>
      <c r="AG413" s="3"/>
      <c r="AH413" s="3"/>
      <c r="AI413" s="3"/>
      <c r="AJ413" s="154" t="s">
        <v>70</v>
      </c>
      <c r="AN413" s="154" t="s">
        <v>70</v>
      </c>
    </row>
    <row r="414" ht="15.75" customHeight="1">
      <c r="J414" s="15"/>
      <c r="K414" s="238"/>
      <c r="L414" s="15"/>
      <c r="M414" s="15"/>
      <c r="N414" s="15"/>
      <c r="O414" s="15"/>
      <c r="P414" s="15"/>
      <c r="Q414" s="15"/>
      <c r="R414" s="15"/>
      <c r="S414" s="15"/>
      <c r="T414" s="15"/>
      <c r="U414" s="15"/>
      <c r="V414" s="15"/>
      <c r="W414" s="15"/>
      <c r="X414" s="14"/>
      <c r="Y414" s="14"/>
      <c r="Z414" s="15"/>
      <c r="AA414" s="15"/>
      <c r="AB414" s="3"/>
      <c r="AC414" s="3"/>
      <c r="AD414" s="3"/>
      <c r="AE414" s="3"/>
      <c r="AF414" s="3"/>
      <c r="AG414" s="3"/>
      <c r="AH414" s="3"/>
      <c r="AI414" s="3"/>
      <c r="AJ414" s="154" t="s">
        <v>70</v>
      </c>
      <c r="AN414" s="154" t="s">
        <v>70</v>
      </c>
    </row>
    <row r="415" ht="15.75" customHeight="1">
      <c r="J415" s="15"/>
      <c r="K415" s="238"/>
      <c r="L415" s="15"/>
      <c r="M415" s="15"/>
      <c r="N415" s="15"/>
      <c r="O415" s="15"/>
      <c r="P415" s="15"/>
      <c r="Q415" s="15"/>
      <c r="R415" s="15"/>
      <c r="S415" s="15"/>
      <c r="T415" s="15"/>
      <c r="U415" s="15"/>
      <c r="V415" s="15"/>
      <c r="W415" s="15"/>
      <c r="X415" s="14"/>
      <c r="Y415" s="14"/>
      <c r="Z415" s="15"/>
      <c r="AA415" s="15"/>
      <c r="AB415" s="3"/>
      <c r="AC415" s="3"/>
      <c r="AD415" s="3"/>
      <c r="AE415" s="3"/>
      <c r="AF415" s="3"/>
      <c r="AG415" s="3"/>
      <c r="AH415" s="3"/>
      <c r="AI415" s="3"/>
      <c r="AJ415" s="154" t="s">
        <v>70</v>
      </c>
      <c r="AN415" s="154" t="s">
        <v>70</v>
      </c>
    </row>
    <row r="416" ht="15.75" customHeight="1">
      <c r="J416" s="15"/>
      <c r="K416" s="238"/>
      <c r="L416" s="15"/>
      <c r="M416" s="15"/>
      <c r="N416" s="15"/>
      <c r="O416" s="15"/>
      <c r="P416" s="15"/>
      <c r="Q416" s="15"/>
      <c r="R416" s="15"/>
      <c r="S416" s="15"/>
      <c r="T416" s="15"/>
      <c r="U416" s="15"/>
      <c r="V416" s="15"/>
      <c r="W416" s="15"/>
      <c r="X416" s="14"/>
      <c r="Y416" s="14"/>
      <c r="Z416" s="15"/>
      <c r="AA416" s="15"/>
      <c r="AB416" s="3"/>
      <c r="AC416" s="3"/>
      <c r="AD416" s="3"/>
      <c r="AE416" s="3"/>
      <c r="AF416" s="3"/>
      <c r="AG416" s="3"/>
      <c r="AH416" s="3"/>
      <c r="AI416" s="3"/>
      <c r="AJ416" s="154" t="s">
        <v>70</v>
      </c>
      <c r="AN416" s="154" t="s">
        <v>70</v>
      </c>
    </row>
    <row r="417" ht="15.75" customHeight="1">
      <c r="J417" s="15"/>
      <c r="K417" s="238"/>
      <c r="L417" s="15"/>
      <c r="M417" s="15"/>
      <c r="N417" s="15"/>
      <c r="O417" s="15"/>
      <c r="P417" s="15"/>
      <c r="Q417" s="15"/>
      <c r="R417" s="15"/>
      <c r="S417" s="15"/>
      <c r="T417" s="15"/>
      <c r="U417" s="15"/>
      <c r="V417" s="15"/>
      <c r="W417" s="15"/>
      <c r="X417" s="14"/>
      <c r="Y417" s="14"/>
      <c r="Z417" s="15"/>
      <c r="AA417" s="15"/>
      <c r="AB417" s="3"/>
      <c r="AC417" s="3"/>
      <c r="AD417" s="3"/>
      <c r="AE417" s="3"/>
      <c r="AF417" s="3"/>
      <c r="AG417" s="3"/>
      <c r="AH417" s="3"/>
      <c r="AI417" s="3"/>
      <c r="AJ417" s="154" t="s">
        <v>70</v>
      </c>
      <c r="AN417" s="154" t="s">
        <v>70</v>
      </c>
    </row>
    <row r="418" ht="15.75" customHeight="1">
      <c r="J418" s="15"/>
      <c r="K418" s="238"/>
      <c r="L418" s="15"/>
      <c r="M418" s="15"/>
      <c r="N418" s="15"/>
      <c r="O418" s="15"/>
      <c r="P418" s="15"/>
      <c r="Q418" s="15"/>
      <c r="R418" s="15"/>
      <c r="S418" s="15"/>
      <c r="T418" s="15"/>
      <c r="U418" s="15"/>
      <c r="V418" s="15"/>
      <c r="W418" s="15"/>
      <c r="X418" s="14"/>
      <c r="Y418" s="14"/>
      <c r="Z418" s="15"/>
      <c r="AA418" s="15"/>
      <c r="AB418" s="3"/>
      <c r="AC418" s="3"/>
      <c r="AD418" s="3"/>
      <c r="AE418" s="3"/>
      <c r="AF418" s="3"/>
      <c r="AG418" s="3"/>
      <c r="AH418" s="3"/>
      <c r="AI418" s="3"/>
      <c r="AJ418" s="154" t="s">
        <v>70</v>
      </c>
      <c r="AN418" s="154" t="s">
        <v>70</v>
      </c>
    </row>
    <row r="419" ht="15.75" customHeight="1">
      <c r="J419" s="15"/>
      <c r="K419" s="238"/>
      <c r="L419" s="15"/>
      <c r="M419" s="15"/>
      <c r="N419" s="15"/>
      <c r="O419" s="15"/>
      <c r="P419" s="15"/>
      <c r="Q419" s="15"/>
      <c r="R419" s="15"/>
      <c r="S419" s="15"/>
      <c r="T419" s="15"/>
      <c r="U419" s="15"/>
      <c r="V419" s="15"/>
      <c r="W419" s="15"/>
      <c r="X419" s="14"/>
      <c r="Y419" s="14"/>
      <c r="Z419" s="15"/>
      <c r="AA419" s="15"/>
      <c r="AB419" s="3"/>
      <c r="AC419" s="3"/>
      <c r="AD419" s="3"/>
      <c r="AE419" s="3"/>
      <c r="AF419" s="3"/>
      <c r="AG419" s="3"/>
      <c r="AH419" s="3"/>
      <c r="AI419" s="3"/>
      <c r="AJ419" s="154" t="s">
        <v>70</v>
      </c>
      <c r="AN419" s="154" t="s">
        <v>70</v>
      </c>
    </row>
    <row r="420" ht="15.75" customHeight="1">
      <c r="J420" s="15"/>
      <c r="K420" s="238"/>
      <c r="L420" s="15"/>
      <c r="M420" s="15"/>
      <c r="N420" s="15"/>
      <c r="O420" s="15"/>
      <c r="P420" s="15"/>
      <c r="Q420" s="15"/>
      <c r="R420" s="15"/>
      <c r="S420" s="15"/>
      <c r="T420" s="15"/>
      <c r="U420" s="15"/>
      <c r="V420" s="15"/>
      <c r="W420" s="15"/>
      <c r="X420" s="14"/>
      <c r="Y420" s="14"/>
      <c r="Z420" s="15"/>
      <c r="AA420" s="15"/>
      <c r="AB420" s="3"/>
      <c r="AC420" s="3"/>
      <c r="AD420" s="3"/>
      <c r="AE420" s="3"/>
      <c r="AF420" s="3"/>
      <c r="AG420" s="3"/>
      <c r="AH420" s="3"/>
      <c r="AI420" s="3"/>
      <c r="AJ420" s="154" t="s">
        <v>70</v>
      </c>
      <c r="AN420" s="154" t="s">
        <v>70</v>
      </c>
    </row>
    <row r="421" ht="15.75" customHeight="1">
      <c r="J421" s="15"/>
      <c r="K421" s="238"/>
      <c r="L421" s="15"/>
      <c r="M421" s="15"/>
      <c r="N421" s="15"/>
      <c r="O421" s="15"/>
      <c r="P421" s="15"/>
      <c r="Q421" s="15"/>
      <c r="R421" s="15"/>
      <c r="S421" s="15"/>
      <c r="T421" s="15"/>
      <c r="U421" s="15"/>
      <c r="V421" s="15"/>
      <c r="W421" s="15"/>
      <c r="X421" s="14"/>
      <c r="Y421" s="14"/>
      <c r="Z421" s="15"/>
      <c r="AA421" s="15"/>
      <c r="AB421" s="3"/>
      <c r="AC421" s="3"/>
      <c r="AD421" s="3"/>
      <c r="AE421" s="3"/>
      <c r="AF421" s="3"/>
      <c r="AG421" s="3"/>
      <c r="AH421" s="3"/>
      <c r="AI421" s="3"/>
      <c r="AJ421" s="154" t="s">
        <v>70</v>
      </c>
      <c r="AN421" s="154" t="s">
        <v>70</v>
      </c>
    </row>
    <row r="422" ht="15.75" customHeight="1">
      <c r="J422" s="15"/>
      <c r="K422" s="238"/>
      <c r="L422" s="15"/>
      <c r="M422" s="15"/>
      <c r="N422" s="15"/>
      <c r="O422" s="15"/>
      <c r="P422" s="15"/>
      <c r="Q422" s="15"/>
      <c r="R422" s="15"/>
      <c r="S422" s="15"/>
      <c r="T422" s="15"/>
      <c r="U422" s="15"/>
      <c r="V422" s="15"/>
      <c r="W422" s="15"/>
      <c r="X422" s="14"/>
      <c r="Y422" s="14"/>
      <c r="Z422" s="15"/>
      <c r="AA422" s="15"/>
      <c r="AB422" s="3"/>
      <c r="AC422" s="3"/>
      <c r="AD422" s="3"/>
      <c r="AE422" s="3"/>
      <c r="AF422" s="3"/>
      <c r="AG422" s="3"/>
      <c r="AH422" s="3"/>
      <c r="AI422" s="3"/>
      <c r="AJ422" s="154" t="s">
        <v>70</v>
      </c>
      <c r="AN422" s="154" t="s">
        <v>70</v>
      </c>
    </row>
    <row r="423" ht="15.75" customHeight="1">
      <c r="J423" s="15"/>
      <c r="K423" s="238"/>
      <c r="L423" s="15"/>
      <c r="M423" s="15"/>
      <c r="N423" s="15"/>
      <c r="O423" s="15"/>
      <c r="P423" s="15"/>
      <c r="Q423" s="15"/>
      <c r="R423" s="15"/>
      <c r="S423" s="15"/>
      <c r="T423" s="15"/>
      <c r="U423" s="15"/>
      <c r="V423" s="15"/>
      <c r="W423" s="15"/>
      <c r="X423" s="14"/>
      <c r="Y423" s="14"/>
      <c r="Z423" s="15"/>
      <c r="AA423" s="15"/>
      <c r="AB423" s="3"/>
      <c r="AC423" s="3"/>
      <c r="AD423" s="3"/>
      <c r="AE423" s="3"/>
      <c r="AF423" s="3"/>
      <c r="AG423" s="3"/>
      <c r="AH423" s="3"/>
      <c r="AI423" s="3"/>
      <c r="AJ423" s="154" t="s">
        <v>70</v>
      </c>
      <c r="AN423" s="154" t="s">
        <v>70</v>
      </c>
    </row>
    <row r="424" ht="15.75" customHeight="1">
      <c r="J424" s="15"/>
      <c r="K424" s="238"/>
      <c r="L424" s="15"/>
      <c r="M424" s="15"/>
      <c r="N424" s="15"/>
      <c r="O424" s="15"/>
      <c r="P424" s="15"/>
      <c r="Q424" s="15"/>
      <c r="R424" s="15"/>
      <c r="S424" s="15"/>
      <c r="T424" s="15"/>
      <c r="U424" s="15"/>
      <c r="V424" s="15"/>
      <c r="W424" s="15"/>
      <c r="X424" s="14"/>
      <c r="Y424" s="14"/>
      <c r="Z424" s="15"/>
      <c r="AA424" s="15"/>
      <c r="AB424" s="3"/>
      <c r="AC424" s="3"/>
      <c r="AD424" s="3"/>
      <c r="AE424" s="3"/>
      <c r="AF424" s="3"/>
      <c r="AG424" s="3"/>
      <c r="AH424" s="3"/>
      <c r="AI424" s="3"/>
      <c r="AJ424" s="154" t="s">
        <v>70</v>
      </c>
      <c r="AN424" s="154" t="s">
        <v>70</v>
      </c>
    </row>
    <row r="425" ht="15.75" customHeight="1">
      <c r="J425" s="15"/>
      <c r="K425" s="238"/>
      <c r="L425" s="15"/>
      <c r="M425" s="15"/>
      <c r="N425" s="15"/>
      <c r="O425" s="15"/>
      <c r="P425" s="15"/>
      <c r="Q425" s="15"/>
      <c r="R425" s="15"/>
      <c r="S425" s="15"/>
      <c r="T425" s="15"/>
      <c r="U425" s="15"/>
      <c r="V425" s="15"/>
      <c r="W425" s="15"/>
      <c r="X425" s="14"/>
      <c r="Y425" s="14"/>
      <c r="Z425" s="15"/>
      <c r="AA425" s="15"/>
      <c r="AB425" s="3"/>
      <c r="AC425" s="3"/>
      <c r="AD425" s="3"/>
      <c r="AE425" s="3"/>
      <c r="AF425" s="3"/>
      <c r="AG425" s="3"/>
      <c r="AH425" s="3"/>
      <c r="AI425" s="3"/>
      <c r="AJ425" s="154" t="s">
        <v>70</v>
      </c>
      <c r="AN425" s="154" t="s">
        <v>70</v>
      </c>
    </row>
    <row r="426" ht="15.75" customHeight="1">
      <c r="J426" s="15"/>
      <c r="K426" s="238"/>
      <c r="L426" s="15"/>
      <c r="M426" s="15"/>
      <c r="N426" s="15"/>
      <c r="O426" s="15"/>
      <c r="P426" s="15"/>
      <c r="Q426" s="15"/>
      <c r="R426" s="15"/>
      <c r="S426" s="15"/>
      <c r="T426" s="15"/>
      <c r="U426" s="15"/>
      <c r="V426" s="15"/>
      <c r="W426" s="15"/>
      <c r="X426" s="14"/>
      <c r="Y426" s="14"/>
      <c r="Z426" s="15"/>
      <c r="AA426" s="15"/>
      <c r="AB426" s="3"/>
      <c r="AC426" s="3"/>
      <c r="AD426" s="3"/>
      <c r="AE426" s="3"/>
      <c r="AF426" s="3"/>
      <c r="AG426" s="3"/>
      <c r="AH426" s="3"/>
      <c r="AI426" s="3"/>
      <c r="AJ426" s="154" t="s">
        <v>70</v>
      </c>
      <c r="AN426" s="154" t="s">
        <v>70</v>
      </c>
    </row>
    <row r="427" ht="15.75" customHeight="1">
      <c r="J427" s="15"/>
      <c r="K427" s="238"/>
      <c r="L427" s="15"/>
      <c r="M427" s="15"/>
      <c r="N427" s="15"/>
      <c r="O427" s="15"/>
      <c r="P427" s="15"/>
      <c r="Q427" s="15"/>
      <c r="R427" s="15"/>
      <c r="S427" s="15"/>
      <c r="T427" s="15"/>
      <c r="U427" s="15"/>
      <c r="V427" s="15"/>
      <c r="W427" s="15"/>
      <c r="X427" s="14"/>
      <c r="Y427" s="14"/>
      <c r="Z427" s="15"/>
      <c r="AA427" s="15"/>
      <c r="AB427" s="3"/>
      <c r="AC427" s="3"/>
      <c r="AD427" s="3"/>
      <c r="AE427" s="3"/>
      <c r="AF427" s="3"/>
      <c r="AG427" s="3"/>
      <c r="AH427" s="3"/>
      <c r="AI427" s="3"/>
      <c r="AJ427" s="154" t="s">
        <v>70</v>
      </c>
      <c r="AN427" s="154" t="s">
        <v>70</v>
      </c>
    </row>
    <row r="428" ht="15.75" customHeight="1">
      <c r="J428" s="15"/>
      <c r="K428" s="238"/>
      <c r="L428" s="15"/>
      <c r="M428" s="15"/>
      <c r="N428" s="15"/>
      <c r="O428" s="15"/>
      <c r="P428" s="15"/>
      <c r="Q428" s="15"/>
      <c r="R428" s="15"/>
      <c r="S428" s="15"/>
      <c r="T428" s="15"/>
      <c r="U428" s="15"/>
      <c r="V428" s="15"/>
      <c r="W428" s="15"/>
      <c r="X428" s="14"/>
      <c r="Y428" s="14"/>
      <c r="Z428" s="15"/>
      <c r="AA428" s="15"/>
      <c r="AB428" s="3"/>
      <c r="AC428" s="3"/>
      <c r="AD428" s="3"/>
      <c r="AE428" s="3"/>
      <c r="AF428" s="3"/>
      <c r="AG428" s="3"/>
      <c r="AH428" s="3"/>
      <c r="AI428" s="3"/>
      <c r="AJ428" s="154" t="s">
        <v>70</v>
      </c>
      <c r="AN428" s="154" t="s">
        <v>70</v>
      </c>
    </row>
    <row r="429" ht="15.75" customHeight="1">
      <c r="J429" s="15"/>
      <c r="K429" s="238"/>
      <c r="L429" s="15"/>
      <c r="M429" s="15"/>
      <c r="N429" s="15"/>
      <c r="O429" s="15"/>
      <c r="P429" s="15"/>
      <c r="Q429" s="15"/>
      <c r="R429" s="15"/>
      <c r="S429" s="15"/>
      <c r="T429" s="15"/>
      <c r="U429" s="15"/>
      <c r="V429" s="15"/>
      <c r="W429" s="15"/>
      <c r="X429" s="14"/>
      <c r="Y429" s="14"/>
      <c r="Z429" s="15"/>
      <c r="AA429" s="15"/>
      <c r="AB429" s="3"/>
      <c r="AC429" s="3"/>
      <c r="AD429" s="3"/>
      <c r="AE429" s="3"/>
      <c r="AF429" s="3"/>
      <c r="AG429" s="3"/>
      <c r="AH429" s="3"/>
      <c r="AI429" s="3"/>
      <c r="AJ429" s="154" t="s">
        <v>70</v>
      </c>
      <c r="AN429" s="154" t="s">
        <v>70</v>
      </c>
    </row>
    <row r="430" ht="15.75" customHeight="1">
      <c r="J430" s="15"/>
      <c r="K430" s="238"/>
      <c r="L430" s="15"/>
      <c r="M430" s="15"/>
      <c r="N430" s="15"/>
      <c r="O430" s="15"/>
      <c r="P430" s="15"/>
      <c r="Q430" s="15"/>
      <c r="R430" s="15"/>
      <c r="S430" s="15"/>
      <c r="T430" s="15"/>
      <c r="U430" s="15"/>
      <c r="V430" s="15"/>
      <c r="W430" s="15"/>
      <c r="X430" s="14"/>
      <c r="Y430" s="14"/>
      <c r="Z430" s="15"/>
      <c r="AA430" s="15"/>
      <c r="AB430" s="3"/>
      <c r="AC430" s="3"/>
      <c r="AD430" s="3"/>
      <c r="AE430" s="3"/>
      <c r="AF430" s="3"/>
      <c r="AG430" s="3"/>
      <c r="AH430" s="3"/>
      <c r="AI430" s="3"/>
      <c r="AJ430" s="154" t="s">
        <v>70</v>
      </c>
      <c r="AN430" s="154" t="s">
        <v>70</v>
      </c>
    </row>
    <row r="431" ht="15.75" customHeight="1">
      <c r="J431" s="15"/>
      <c r="K431" s="238"/>
      <c r="L431" s="15"/>
      <c r="M431" s="15"/>
      <c r="N431" s="15"/>
      <c r="O431" s="15"/>
      <c r="P431" s="15"/>
      <c r="Q431" s="15"/>
      <c r="R431" s="15"/>
      <c r="S431" s="15"/>
      <c r="T431" s="15"/>
      <c r="U431" s="15"/>
      <c r="V431" s="15"/>
      <c r="W431" s="15"/>
      <c r="X431" s="14"/>
      <c r="Y431" s="14"/>
      <c r="Z431" s="15"/>
      <c r="AA431" s="15"/>
      <c r="AB431" s="3"/>
      <c r="AC431" s="3"/>
      <c r="AD431" s="3"/>
      <c r="AE431" s="3"/>
      <c r="AF431" s="3"/>
      <c r="AG431" s="3"/>
      <c r="AH431" s="3"/>
      <c r="AI431" s="3"/>
      <c r="AJ431" s="154" t="s">
        <v>70</v>
      </c>
      <c r="AN431" s="154" t="s">
        <v>70</v>
      </c>
    </row>
    <row r="432" ht="15.75" customHeight="1">
      <c r="J432" s="15"/>
      <c r="K432" s="238"/>
      <c r="L432" s="15"/>
      <c r="M432" s="15"/>
      <c r="N432" s="15"/>
      <c r="O432" s="15"/>
      <c r="P432" s="15"/>
      <c r="Q432" s="15"/>
      <c r="R432" s="15"/>
      <c r="S432" s="15"/>
      <c r="T432" s="15"/>
      <c r="U432" s="15"/>
      <c r="V432" s="15"/>
      <c r="W432" s="15"/>
      <c r="X432" s="14"/>
      <c r="Y432" s="14"/>
      <c r="Z432" s="15"/>
      <c r="AA432" s="15"/>
      <c r="AB432" s="3"/>
      <c r="AC432" s="3"/>
      <c r="AD432" s="3"/>
      <c r="AE432" s="3"/>
      <c r="AF432" s="3"/>
      <c r="AG432" s="3"/>
      <c r="AH432" s="3"/>
      <c r="AI432" s="3"/>
      <c r="AJ432" s="154" t="s">
        <v>70</v>
      </c>
      <c r="AN432" s="154" t="s">
        <v>70</v>
      </c>
    </row>
    <row r="433" ht="15.75" customHeight="1">
      <c r="J433" s="15"/>
      <c r="K433" s="238"/>
      <c r="L433" s="15"/>
      <c r="M433" s="15"/>
      <c r="N433" s="15"/>
      <c r="O433" s="15"/>
      <c r="P433" s="15"/>
      <c r="Q433" s="15"/>
      <c r="R433" s="15"/>
      <c r="S433" s="15"/>
      <c r="T433" s="15"/>
      <c r="U433" s="15"/>
      <c r="V433" s="15"/>
      <c r="W433" s="15"/>
      <c r="X433" s="14"/>
      <c r="Y433" s="14"/>
      <c r="Z433" s="15"/>
      <c r="AA433" s="15"/>
      <c r="AB433" s="3"/>
      <c r="AC433" s="3"/>
      <c r="AD433" s="3"/>
      <c r="AE433" s="3"/>
      <c r="AF433" s="3"/>
      <c r="AG433" s="3"/>
      <c r="AH433" s="3"/>
      <c r="AI433" s="3"/>
      <c r="AJ433" s="154" t="s">
        <v>70</v>
      </c>
      <c r="AN433" s="154" t="s">
        <v>70</v>
      </c>
    </row>
    <row r="434" ht="15.75" customHeight="1">
      <c r="J434" s="15"/>
      <c r="K434" s="238"/>
      <c r="L434" s="15"/>
      <c r="M434" s="15"/>
      <c r="N434" s="15"/>
      <c r="O434" s="15"/>
      <c r="P434" s="15"/>
      <c r="Q434" s="15"/>
      <c r="R434" s="15"/>
      <c r="S434" s="15"/>
      <c r="T434" s="15"/>
      <c r="U434" s="15"/>
      <c r="V434" s="15"/>
      <c r="W434" s="15"/>
      <c r="X434" s="14"/>
      <c r="Y434" s="14"/>
      <c r="Z434" s="15"/>
      <c r="AA434" s="15"/>
      <c r="AB434" s="3"/>
      <c r="AC434" s="3"/>
      <c r="AD434" s="3"/>
      <c r="AE434" s="3"/>
      <c r="AF434" s="3"/>
      <c r="AG434" s="3"/>
      <c r="AH434" s="3"/>
      <c r="AI434" s="3"/>
      <c r="AJ434" s="154" t="s">
        <v>70</v>
      </c>
      <c r="AN434" s="154" t="s">
        <v>70</v>
      </c>
    </row>
    <row r="435" ht="15.75" customHeight="1">
      <c r="J435" s="15"/>
      <c r="K435" s="238"/>
      <c r="L435" s="15"/>
      <c r="M435" s="15"/>
      <c r="N435" s="15"/>
      <c r="O435" s="15"/>
      <c r="P435" s="15"/>
      <c r="Q435" s="15"/>
      <c r="R435" s="15"/>
      <c r="S435" s="15"/>
      <c r="T435" s="15"/>
      <c r="U435" s="15"/>
      <c r="V435" s="15"/>
      <c r="W435" s="15"/>
      <c r="X435" s="14"/>
      <c r="Y435" s="14"/>
      <c r="Z435" s="15"/>
      <c r="AA435" s="15"/>
      <c r="AB435" s="3"/>
      <c r="AC435" s="3"/>
      <c r="AD435" s="3"/>
      <c r="AE435" s="3"/>
      <c r="AF435" s="3"/>
      <c r="AG435" s="3"/>
      <c r="AH435" s="3"/>
      <c r="AI435" s="3"/>
      <c r="AJ435" s="154" t="s">
        <v>70</v>
      </c>
      <c r="AN435" s="154" t="s">
        <v>70</v>
      </c>
    </row>
    <row r="436" ht="15.75" customHeight="1">
      <c r="J436" s="15"/>
      <c r="K436" s="238"/>
      <c r="L436" s="15"/>
      <c r="M436" s="15"/>
      <c r="N436" s="15"/>
      <c r="O436" s="15"/>
      <c r="P436" s="15"/>
      <c r="Q436" s="15"/>
      <c r="R436" s="15"/>
      <c r="S436" s="15"/>
      <c r="T436" s="15"/>
      <c r="U436" s="15"/>
      <c r="V436" s="15"/>
      <c r="W436" s="15"/>
      <c r="X436" s="14"/>
      <c r="Y436" s="14"/>
      <c r="Z436" s="15"/>
      <c r="AA436" s="15"/>
      <c r="AB436" s="3"/>
      <c r="AC436" s="3"/>
      <c r="AD436" s="3"/>
      <c r="AE436" s="3"/>
      <c r="AF436" s="3"/>
      <c r="AG436" s="3"/>
      <c r="AH436" s="3"/>
      <c r="AI436" s="3"/>
      <c r="AJ436" s="154" t="s">
        <v>70</v>
      </c>
      <c r="AN436" s="154" t="s">
        <v>70</v>
      </c>
    </row>
    <row r="437" ht="15.75" customHeight="1">
      <c r="J437" s="15"/>
      <c r="K437" s="238"/>
      <c r="L437" s="15"/>
      <c r="M437" s="15"/>
      <c r="N437" s="15"/>
      <c r="O437" s="15"/>
      <c r="P437" s="15"/>
      <c r="Q437" s="15"/>
      <c r="R437" s="15"/>
      <c r="S437" s="15"/>
      <c r="T437" s="15"/>
      <c r="U437" s="15"/>
      <c r="V437" s="15"/>
      <c r="W437" s="15"/>
      <c r="X437" s="14"/>
      <c r="Y437" s="14"/>
      <c r="Z437" s="15"/>
      <c r="AA437" s="15"/>
      <c r="AB437" s="3"/>
      <c r="AC437" s="3"/>
      <c r="AD437" s="3"/>
      <c r="AE437" s="3"/>
      <c r="AF437" s="3"/>
      <c r="AG437" s="3"/>
      <c r="AH437" s="3"/>
      <c r="AI437" s="3"/>
      <c r="AJ437" s="154" t="s">
        <v>70</v>
      </c>
      <c r="AN437" s="154" t="s">
        <v>70</v>
      </c>
    </row>
    <row r="438" ht="15.75" customHeight="1">
      <c r="J438" s="15"/>
      <c r="K438" s="238"/>
      <c r="L438" s="15"/>
      <c r="M438" s="15"/>
      <c r="N438" s="15"/>
      <c r="O438" s="15"/>
      <c r="P438" s="15"/>
      <c r="Q438" s="15"/>
      <c r="R438" s="15"/>
      <c r="S438" s="15"/>
      <c r="T438" s="15"/>
      <c r="U438" s="15"/>
      <c r="V438" s="15"/>
      <c r="W438" s="15"/>
      <c r="X438" s="14"/>
      <c r="Y438" s="14"/>
      <c r="Z438" s="15"/>
      <c r="AA438" s="15"/>
      <c r="AB438" s="3"/>
      <c r="AC438" s="3"/>
      <c r="AD438" s="3"/>
      <c r="AE438" s="3"/>
      <c r="AF438" s="3"/>
      <c r="AG438" s="3"/>
      <c r="AH438" s="3"/>
      <c r="AI438" s="3"/>
      <c r="AJ438" s="154" t="s">
        <v>70</v>
      </c>
      <c r="AN438" s="154" t="s">
        <v>70</v>
      </c>
    </row>
    <row r="439" ht="15.75" customHeight="1">
      <c r="J439" s="15"/>
      <c r="K439" s="238"/>
      <c r="L439" s="15"/>
      <c r="M439" s="15"/>
      <c r="N439" s="15"/>
      <c r="O439" s="15"/>
      <c r="P439" s="15"/>
      <c r="Q439" s="15"/>
      <c r="R439" s="15"/>
      <c r="S439" s="15"/>
      <c r="T439" s="15"/>
      <c r="U439" s="15"/>
      <c r="V439" s="15"/>
      <c r="W439" s="15"/>
      <c r="X439" s="14"/>
      <c r="Y439" s="14"/>
      <c r="Z439" s="15"/>
      <c r="AA439" s="15"/>
      <c r="AB439" s="3"/>
      <c r="AC439" s="3"/>
      <c r="AD439" s="3"/>
      <c r="AE439" s="3"/>
      <c r="AF439" s="3"/>
      <c r="AG439" s="3"/>
      <c r="AH439" s="3"/>
      <c r="AI439" s="3"/>
      <c r="AJ439" s="154" t="s">
        <v>70</v>
      </c>
      <c r="AN439" s="154" t="s">
        <v>70</v>
      </c>
    </row>
    <row r="440" ht="15.75" customHeight="1">
      <c r="J440" s="15"/>
      <c r="K440" s="238"/>
      <c r="L440" s="15"/>
      <c r="M440" s="15"/>
      <c r="N440" s="15"/>
      <c r="O440" s="15"/>
      <c r="P440" s="15"/>
      <c r="Q440" s="15"/>
      <c r="R440" s="15"/>
      <c r="S440" s="15"/>
      <c r="T440" s="15"/>
      <c r="U440" s="15"/>
      <c r="V440" s="15"/>
      <c r="W440" s="15"/>
      <c r="X440" s="14"/>
      <c r="Y440" s="14"/>
      <c r="Z440" s="15"/>
      <c r="AA440" s="15"/>
      <c r="AB440" s="3"/>
      <c r="AC440" s="3"/>
      <c r="AD440" s="3"/>
      <c r="AE440" s="3"/>
      <c r="AF440" s="3"/>
      <c r="AG440" s="3"/>
      <c r="AH440" s="3"/>
      <c r="AI440" s="3"/>
      <c r="AJ440" s="154" t="s">
        <v>70</v>
      </c>
      <c r="AN440" s="154" t="s">
        <v>70</v>
      </c>
    </row>
    <row r="441" ht="15.75" customHeight="1">
      <c r="J441" s="15"/>
      <c r="K441" s="238"/>
      <c r="L441" s="15"/>
      <c r="M441" s="15"/>
      <c r="N441" s="15"/>
      <c r="O441" s="15"/>
      <c r="P441" s="15"/>
      <c r="Q441" s="15"/>
      <c r="R441" s="15"/>
      <c r="S441" s="15"/>
      <c r="T441" s="15"/>
      <c r="U441" s="15"/>
      <c r="V441" s="15"/>
      <c r="W441" s="15"/>
      <c r="X441" s="14"/>
      <c r="Y441" s="14"/>
      <c r="Z441" s="15"/>
      <c r="AA441" s="15"/>
      <c r="AB441" s="3"/>
      <c r="AC441" s="3"/>
      <c r="AD441" s="3"/>
      <c r="AE441" s="3"/>
      <c r="AF441" s="3"/>
      <c r="AG441" s="3"/>
      <c r="AH441" s="3"/>
      <c r="AI441" s="3"/>
      <c r="AJ441" s="154" t="s">
        <v>70</v>
      </c>
      <c r="AN441" s="154" t="s">
        <v>70</v>
      </c>
    </row>
    <row r="442" ht="15.75" customHeight="1">
      <c r="J442" s="15"/>
      <c r="K442" s="238"/>
      <c r="L442" s="15"/>
      <c r="M442" s="15"/>
      <c r="N442" s="15"/>
      <c r="O442" s="15"/>
      <c r="P442" s="15"/>
      <c r="Q442" s="15"/>
      <c r="R442" s="15"/>
      <c r="S442" s="15"/>
      <c r="T442" s="15"/>
      <c r="U442" s="15"/>
      <c r="V442" s="15"/>
      <c r="W442" s="15"/>
      <c r="X442" s="14"/>
      <c r="Y442" s="14"/>
      <c r="Z442" s="15"/>
      <c r="AA442" s="15"/>
      <c r="AB442" s="3"/>
      <c r="AC442" s="3"/>
      <c r="AD442" s="3"/>
      <c r="AE442" s="3"/>
      <c r="AF442" s="3"/>
      <c r="AG442" s="3"/>
      <c r="AH442" s="3"/>
      <c r="AI442" s="3"/>
      <c r="AJ442" s="154" t="s">
        <v>70</v>
      </c>
      <c r="AN442" s="154" t="s">
        <v>70</v>
      </c>
    </row>
    <row r="443" ht="15.75" customHeight="1">
      <c r="J443" s="15"/>
      <c r="K443" s="238"/>
      <c r="L443" s="15"/>
      <c r="M443" s="15"/>
      <c r="N443" s="15"/>
      <c r="O443" s="15"/>
      <c r="P443" s="15"/>
      <c r="Q443" s="15"/>
      <c r="R443" s="15"/>
      <c r="S443" s="15"/>
      <c r="T443" s="15"/>
      <c r="U443" s="15"/>
      <c r="V443" s="15"/>
      <c r="W443" s="15"/>
      <c r="X443" s="14"/>
      <c r="Y443" s="14"/>
      <c r="Z443" s="15"/>
      <c r="AA443" s="15"/>
      <c r="AB443" s="3"/>
      <c r="AC443" s="3"/>
      <c r="AD443" s="3"/>
      <c r="AE443" s="3"/>
      <c r="AF443" s="3"/>
      <c r="AG443" s="3"/>
      <c r="AH443" s="3"/>
      <c r="AI443" s="3"/>
      <c r="AJ443" s="154" t="s">
        <v>70</v>
      </c>
      <c r="AN443" s="154" t="s">
        <v>70</v>
      </c>
    </row>
    <row r="444" ht="15.75" customHeight="1">
      <c r="J444" s="15"/>
      <c r="K444" s="238"/>
      <c r="L444" s="15"/>
      <c r="M444" s="15"/>
      <c r="N444" s="15"/>
      <c r="O444" s="15"/>
      <c r="P444" s="15"/>
      <c r="Q444" s="15"/>
      <c r="R444" s="15"/>
      <c r="S444" s="15"/>
      <c r="T444" s="15"/>
      <c r="U444" s="15"/>
      <c r="V444" s="15"/>
      <c r="W444" s="15"/>
      <c r="X444" s="14"/>
      <c r="Y444" s="14"/>
      <c r="Z444" s="15"/>
      <c r="AA444" s="15"/>
      <c r="AB444" s="3"/>
      <c r="AC444" s="3"/>
      <c r="AD444" s="3"/>
      <c r="AE444" s="3"/>
      <c r="AF444" s="3"/>
      <c r="AG444" s="3"/>
      <c r="AH444" s="3"/>
      <c r="AI444" s="3"/>
      <c r="AJ444" s="154" t="s">
        <v>70</v>
      </c>
      <c r="AN444" s="154" t="s">
        <v>70</v>
      </c>
    </row>
    <row r="445" ht="15.75" customHeight="1">
      <c r="J445" s="15"/>
      <c r="K445" s="238"/>
      <c r="L445" s="15"/>
      <c r="M445" s="15"/>
      <c r="N445" s="15"/>
      <c r="O445" s="15"/>
      <c r="P445" s="15"/>
      <c r="Q445" s="15"/>
      <c r="R445" s="15"/>
      <c r="S445" s="15"/>
      <c r="T445" s="15"/>
      <c r="U445" s="15"/>
      <c r="V445" s="15"/>
      <c r="W445" s="15"/>
      <c r="X445" s="14"/>
      <c r="Y445" s="14"/>
      <c r="Z445" s="15"/>
      <c r="AA445" s="15"/>
      <c r="AB445" s="3"/>
      <c r="AC445" s="3"/>
      <c r="AD445" s="3"/>
      <c r="AE445" s="3"/>
      <c r="AF445" s="3"/>
      <c r="AG445" s="3"/>
      <c r="AH445" s="3"/>
      <c r="AI445" s="3"/>
      <c r="AJ445" s="154" t="s">
        <v>70</v>
      </c>
      <c r="AN445" s="154" t="s">
        <v>70</v>
      </c>
    </row>
    <row r="446" ht="15.75" customHeight="1">
      <c r="J446" s="15"/>
      <c r="K446" s="238"/>
      <c r="L446" s="15"/>
      <c r="M446" s="15"/>
      <c r="N446" s="15"/>
      <c r="O446" s="15"/>
      <c r="P446" s="15"/>
      <c r="Q446" s="15"/>
      <c r="R446" s="15"/>
      <c r="S446" s="15"/>
      <c r="T446" s="15"/>
      <c r="U446" s="15"/>
      <c r="V446" s="15"/>
      <c r="W446" s="15"/>
      <c r="X446" s="14"/>
      <c r="Y446" s="14"/>
      <c r="Z446" s="15"/>
      <c r="AA446" s="15"/>
      <c r="AB446" s="3"/>
      <c r="AC446" s="3"/>
      <c r="AD446" s="3"/>
      <c r="AE446" s="3"/>
      <c r="AF446" s="3"/>
      <c r="AG446" s="3"/>
      <c r="AH446" s="3"/>
      <c r="AI446" s="3"/>
      <c r="AJ446" s="154" t="s">
        <v>70</v>
      </c>
      <c r="AN446" s="154" t="s">
        <v>70</v>
      </c>
    </row>
    <row r="447" ht="15.75" customHeight="1">
      <c r="J447" s="15"/>
      <c r="K447" s="238"/>
      <c r="L447" s="15"/>
      <c r="M447" s="15"/>
      <c r="N447" s="15"/>
      <c r="O447" s="15"/>
      <c r="P447" s="15"/>
      <c r="Q447" s="15"/>
      <c r="R447" s="15"/>
      <c r="S447" s="15"/>
      <c r="T447" s="15"/>
      <c r="U447" s="15"/>
      <c r="V447" s="15"/>
      <c r="W447" s="15"/>
      <c r="X447" s="14"/>
      <c r="Y447" s="14"/>
      <c r="Z447" s="15"/>
      <c r="AA447" s="15"/>
      <c r="AB447" s="3"/>
      <c r="AC447" s="3"/>
      <c r="AD447" s="3"/>
      <c r="AE447" s="3"/>
      <c r="AF447" s="3"/>
      <c r="AG447" s="3"/>
      <c r="AH447" s="3"/>
      <c r="AI447" s="3"/>
      <c r="AJ447" s="154" t="s">
        <v>70</v>
      </c>
      <c r="AN447" s="154" t="s">
        <v>70</v>
      </c>
    </row>
    <row r="448" ht="15.75" customHeight="1">
      <c r="J448" s="15"/>
      <c r="K448" s="238"/>
      <c r="L448" s="15"/>
      <c r="M448" s="15"/>
      <c r="N448" s="15"/>
      <c r="O448" s="15"/>
      <c r="P448" s="15"/>
      <c r="Q448" s="15"/>
      <c r="R448" s="15"/>
      <c r="S448" s="15"/>
      <c r="T448" s="15"/>
      <c r="U448" s="15"/>
      <c r="V448" s="15"/>
      <c r="W448" s="15"/>
      <c r="X448" s="14"/>
      <c r="Y448" s="14"/>
      <c r="Z448" s="15"/>
      <c r="AA448" s="15"/>
      <c r="AB448" s="3"/>
      <c r="AC448" s="3"/>
      <c r="AD448" s="3"/>
      <c r="AE448" s="3"/>
      <c r="AF448" s="3"/>
      <c r="AG448" s="3"/>
      <c r="AH448" s="3"/>
      <c r="AI448" s="3"/>
      <c r="AJ448" s="154" t="s">
        <v>70</v>
      </c>
      <c r="AN448" s="154" t="s">
        <v>70</v>
      </c>
    </row>
    <row r="449" ht="15.75" customHeight="1">
      <c r="J449" s="15"/>
      <c r="K449" s="238"/>
      <c r="L449" s="15"/>
      <c r="M449" s="15"/>
      <c r="N449" s="15"/>
      <c r="O449" s="15"/>
      <c r="P449" s="15"/>
      <c r="Q449" s="15"/>
      <c r="R449" s="15"/>
      <c r="S449" s="15"/>
      <c r="T449" s="15"/>
      <c r="U449" s="15"/>
      <c r="V449" s="15"/>
      <c r="W449" s="15"/>
      <c r="X449" s="14"/>
      <c r="Y449" s="14"/>
      <c r="Z449" s="15"/>
      <c r="AA449" s="15"/>
      <c r="AB449" s="3"/>
      <c r="AC449" s="3"/>
      <c r="AD449" s="3"/>
      <c r="AE449" s="3"/>
      <c r="AF449" s="3"/>
      <c r="AG449" s="3"/>
      <c r="AH449" s="3"/>
      <c r="AI449" s="3"/>
      <c r="AJ449" s="154" t="s">
        <v>70</v>
      </c>
      <c r="AN449" s="154" t="s">
        <v>70</v>
      </c>
    </row>
    <row r="450" ht="15.75" customHeight="1">
      <c r="J450" s="15"/>
      <c r="K450" s="238"/>
      <c r="L450" s="15"/>
      <c r="M450" s="15"/>
      <c r="N450" s="15"/>
      <c r="O450" s="15"/>
      <c r="P450" s="15"/>
      <c r="Q450" s="15"/>
      <c r="R450" s="15"/>
      <c r="S450" s="15"/>
      <c r="T450" s="15"/>
      <c r="U450" s="15"/>
      <c r="V450" s="15"/>
      <c r="W450" s="15"/>
      <c r="X450" s="14"/>
      <c r="Y450" s="14"/>
      <c r="Z450" s="15"/>
      <c r="AA450" s="15"/>
      <c r="AB450" s="3"/>
      <c r="AC450" s="3"/>
      <c r="AD450" s="3"/>
      <c r="AE450" s="3"/>
      <c r="AF450" s="3"/>
      <c r="AG450" s="3"/>
      <c r="AH450" s="3"/>
      <c r="AI450" s="3"/>
      <c r="AJ450" s="154" t="s">
        <v>70</v>
      </c>
      <c r="AN450" s="154" t="s">
        <v>70</v>
      </c>
    </row>
    <row r="451" ht="15.75" customHeight="1">
      <c r="J451" s="15"/>
      <c r="K451" s="238"/>
      <c r="L451" s="15"/>
      <c r="M451" s="15"/>
      <c r="N451" s="15"/>
      <c r="O451" s="15"/>
      <c r="P451" s="15"/>
      <c r="Q451" s="15"/>
      <c r="R451" s="15"/>
      <c r="S451" s="15"/>
      <c r="T451" s="15"/>
      <c r="U451" s="15"/>
      <c r="V451" s="15"/>
      <c r="W451" s="15"/>
      <c r="X451" s="14"/>
      <c r="Y451" s="14"/>
      <c r="Z451" s="15"/>
      <c r="AA451" s="15"/>
      <c r="AB451" s="3"/>
      <c r="AC451" s="3"/>
      <c r="AD451" s="3"/>
      <c r="AE451" s="3"/>
      <c r="AF451" s="3"/>
      <c r="AG451" s="3"/>
      <c r="AH451" s="3"/>
      <c r="AI451" s="3"/>
      <c r="AJ451" s="154" t="s">
        <v>70</v>
      </c>
      <c r="AN451" s="154" t="s">
        <v>70</v>
      </c>
    </row>
    <row r="452" ht="15.75" customHeight="1">
      <c r="J452" s="15"/>
      <c r="K452" s="238"/>
      <c r="L452" s="15"/>
      <c r="M452" s="15"/>
      <c r="N452" s="15"/>
      <c r="O452" s="15"/>
      <c r="P452" s="15"/>
      <c r="Q452" s="15"/>
      <c r="R452" s="15"/>
      <c r="S452" s="15"/>
      <c r="T452" s="15"/>
      <c r="U452" s="15"/>
      <c r="V452" s="15"/>
      <c r="W452" s="15"/>
      <c r="X452" s="14"/>
      <c r="Y452" s="14"/>
      <c r="Z452" s="15"/>
      <c r="AA452" s="15"/>
      <c r="AB452" s="3"/>
      <c r="AC452" s="3"/>
      <c r="AD452" s="3"/>
      <c r="AE452" s="3"/>
      <c r="AF452" s="3"/>
      <c r="AG452" s="3"/>
      <c r="AH452" s="3"/>
      <c r="AI452" s="3"/>
      <c r="AJ452" s="154" t="s">
        <v>70</v>
      </c>
      <c r="AN452" s="154" t="s">
        <v>70</v>
      </c>
    </row>
    <row r="453" ht="15.75" customHeight="1">
      <c r="J453" s="15"/>
      <c r="K453" s="238"/>
      <c r="L453" s="15"/>
      <c r="M453" s="15"/>
      <c r="N453" s="15"/>
      <c r="O453" s="15"/>
      <c r="P453" s="15"/>
      <c r="Q453" s="15"/>
      <c r="R453" s="15"/>
      <c r="S453" s="15"/>
      <c r="T453" s="15"/>
      <c r="U453" s="15"/>
      <c r="V453" s="15"/>
      <c r="W453" s="15"/>
      <c r="X453" s="14"/>
      <c r="Y453" s="14"/>
      <c r="Z453" s="15"/>
      <c r="AA453" s="15"/>
      <c r="AB453" s="3"/>
      <c r="AC453" s="3"/>
      <c r="AD453" s="3"/>
      <c r="AE453" s="3"/>
      <c r="AF453" s="3"/>
      <c r="AG453" s="3"/>
      <c r="AH453" s="3"/>
      <c r="AI453" s="3"/>
      <c r="AJ453" s="154" t="s">
        <v>70</v>
      </c>
      <c r="AN453" s="154" t="s">
        <v>70</v>
      </c>
    </row>
    <row r="454" ht="15.75" customHeight="1">
      <c r="J454" s="15"/>
      <c r="K454" s="238"/>
      <c r="L454" s="15"/>
      <c r="M454" s="15"/>
      <c r="N454" s="15"/>
      <c r="O454" s="15"/>
      <c r="P454" s="15"/>
      <c r="Q454" s="15"/>
      <c r="R454" s="15"/>
      <c r="S454" s="15"/>
      <c r="T454" s="15"/>
      <c r="U454" s="15"/>
      <c r="V454" s="15"/>
      <c r="W454" s="15"/>
      <c r="X454" s="14"/>
      <c r="Y454" s="14"/>
      <c r="Z454" s="15"/>
      <c r="AA454" s="15"/>
      <c r="AB454" s="3"/>
      <c r="AC454" s="3"/>
      <c r="AD454" s="3"/>
      <c r="AE454" s="3"/>
      <c r="AF454" s="3"/>
      <c r="AG454" s="3"/>
      <c r="AH454" s="3"/>
      <c r="AI454" s="3"/>
      <c r="AJ454" s="154" t="s">
        <v>70</v>
      </c>
      <c r="AN454" s="154" t="s">
        <v>70</v>
      </c>
    </row>
    <row r="455" ht="15.75" customHeight="1">
      <c r="J455" s="15"/>
      <c r="K455" s="238"/>
      <c r="L455" s="15"/>
      <c r="M455" s="15"/>
      <c r="N455" s="15"/>
      <c r="O455" s="15"/>
      <c r="P455" s="15"/>
      <c r="Q455" s="15"/>
      <c r="R455" s="15"/>
      <c r="S455" s="15"/>
      <c r="T455" s="15"/>
      <c r="U455" s="15"/>
      <c r="V455" s="15"/>
      <c r="W455" s="15"/>
      <c r="X455" s="14"/>
      <c r="Y455" s="14"/>
      <c r="Z455" s="15"/>
      <c r="AA455" s="15"/>
      <c r="AB455" s="3"/>
      <c r="AC455" s="3"/>
      <c r="AD455" s="3"/>
      <c r="AE455" s="3"/>
      <c r="AF455" s="3"/>
      <c r="AG455" s="3"/>
      <c r="AH455" s="3"/>
      <c r="AI455" s="3"/>
      <c r="AJ455" s="154" t="s">
        <v>70</v>
      </c>
      <c r="AN455" s="154" t="s">
        <v>70</v>
      </c>
    </row>
    <row r="456" ht="15.75" customHeight="1">
      <c r="J456" s="15"/>
      <c r="K456" s="238"/>
      <c r="L456" s="15"/>
      <c r="M456" s="15"/>
      <c r="N456" s="15"/>
      <c r="O456" s="15"/>
      <c r="P456" s="15"/>
      <c r="Q456" s="15"/>
      <c r="R456" s="15"/>
      <c r="S456" s="15"/>
      <c r="T456" s="15"/>
      <c r="U456" s="15"/>
      <c r="V456" s="15"/>
      <c r="W456" s="15"/>
      <c r="X456" s="14"/>
      <c r="Y456" s="14"/>
      <c r="Z456" s="15"/>
      <c r="AA456" s="15"/>
      <c r="AB456" s="3"/>
      <c r="AC456" s="3"/>
      <c r="AD456" s="3"/>
      <c r="AE456" s="3"/>
      <c r="AF456" s="3"/>
      <c r="AG456" s="3"/>
      <c r="AH456" s="3"/>
      <c r="AI456" s="3"/>
      <c r="AJ456" s="154" t="s">
        <v>70</v>
      </c>
      <c r="AN456" s="154" t="s">
        <v>70</v>
      </c>
    </row>
    <row r="457" ht="15.75" customHeight="1">
      <c r="J457" s="15"/>
      <c r="K457" s="238"/>
      <c r="L457" s="15"/>
      <c r="M457" s="15"/>
      <c r="N457" s="15"/>
      <c r="O457" s="15"/>
      <c r="P457" s="15"/>
      <c r="Q457" s="15"/>
      <c r="R457" s="15"/>
      <c r="S457" s="15"/>
      <c r="T457" s="15"/>
      <c r="U457" s="15"/>
      <c r="V457" s="15"/>
      <c r="W457" s="15"/>
      <c r="X457" s="14"/>
      <c r="Y457" s="14"/>
      <c r="Z457" s="15"/>
      <c r="AA457" s="15"/>
      <c r="AB457" s="3"/>
      <c r="AC457" s="3"/>
      <c r="AD457" s="3"/>
      <c r="AE457" s="3"/>
      <c r="AF457" s="3"/>
      <c r="AG457" s="3"/>
      <c r="AH457" s="3"/>
      <c r="AI457" s="3"/>
      <c r="AJ457" s="154" t="s">
        <v>70</v>
      </c>
      <c r="AN457" s="154" t="s">
        <v>70</v>
      </c>
    </row>
    <row r="458" ht="15.75" customHeight="1">
      <c r="J458" s="15"/>
      <c r="K458" s="238"/>
      <c r="L458" s="15"/>
      <c r="M458" s="15"/>
      <c r="N458" s="15"/>
      <c r="O458" s="15"/>
      <c r="P458" s="15"/>
      <c r="Q458" s="15"/>
      <c r="R458" s="15"/>
      <c r="S458" s="15"/>
      <c r="T458" s="15"/>
      <c r="U458" s="15"/>
      <c r="V458" s="15"/>
      <c r="W458" s="15"/>
      <c r="X458" s="14"/>
      <c r="Y458" s="14"/>
      <c r="Z458" s="15"/>
      <c r="AA458" s="15"/>
      <c r="AB458" s="3"/>
      <c r="AC458" s="3"/>
      <c r="AD458" s="3"/>
      <c r="AE458" s="3"/>
      <c r="AF458" s="3"/>
      <c r="AG458" s="3"/>
      <c r="AH458" s="3"/>
      <c r="AI458" s="3"/>
      <c r="AJ458" s="154" t="s">
        <v>70</v>
      </c>
      <c r="AN458" s="154" t="s">
        <v>70</v>
      </c>
    </row>
    <row r="459" ht="15.75" customHeight="1">
      <c r="J459" s="15"/>
      <c r="K459" s="238"/>
      <c r="L459" s="15"/>
      <c r="M459" s="15"/>
      <c r="N459" s="15"/>
      <c r="O459" s="15"/>
      <c r="P459" s="15"/>
      <c r="Q459" s="15"/>
      <c r="R459" s="15"/>
      <c r="S459" s="15"/>
      <c r="T459" s="15"/>
      <c r="U459" s="15"/>
      <c r="V459" s="15"/>
      <c r="W459" s="15"/>
      <c r="X459" s="14"/>
      <c r="Y459" s="14"/>
      <c r="Z459" s="15"/>
      <c r="AA459" s="15"/>
      <c r="AB459" s="3"/>
      <c r="AC459" s="3"/>
      <c r="AD459" s="3"/>
      <c r="AE459" s="3"/>
      <c r="AF459" s="3"/>
      <c r="AG459" s="3"/>
      <c r="AH459" s="3"/>
      <c r="AI459" s="3"/>
      <c r="AJ459" s="154" t="s">
        <v>70</v>
      </c>
      <c r="AN459" s="154" t="s">
        <v>70</v>
      </c>
    </row>
    <row r="460" ht="15.75" customHeight="1">
      <c r="J460" s="15"/>
      <c r="K460" s="238"/>
      <c r="L460" s="15"/>
      <c r="M460" s="15"/>
      <c r="N460" s="15"/>
      <c r="O460" s="15"/>
      <c r="P460" s="15"/>
      <c r="Q460" s="15"/>
      <c r="R460" s="15"/>
      <c r="S460" s="15"/>
      <c r="T460" s="15"/>
      <c r="U460" s="15"/>
      <c r="V460" s="15"/>
      <c r="W460" s="15"/>
      <c r="X460" s="14"/>
      <c r="Y460" s="14"/>
      <c r="Z460" s="15"/>
      <c r="AA460" s="15"/>
      <c r="AB460" s="3"/>
      <c r="AC460" s="3"/>
      <c r="AD460" s="3"/>
      <c r="AE460" s="3"/>
      <c r="AF460" s="3"/>
      <c r="AG460" s="3"/>
      <c r="AH460" s="3"/>
      <c r="AI460" s="3"/>
      <c r="AJ460" s="154" t="s">
        <v>70</v>
      </c>
      <c r="AN460" s="154" t="s">
        <v>70</v>
      </c>
    </row>
    <row r="461" ht="15.75" customHeight="1">
      <c r="J461" s="15"/>
      <c r="K461" s="238"/>
      <c r="L461" s="15"/>
      <c r="M461" s="15"/>
      <c r="N461" s="15"/>
      <c r="O461" s="15"/>
      <c r="P461" s="15"/>
      <c r="Q461" s="15"/>
      <c r="R461" s="15"/>
      <c r="S461" s="15"/>
      <c r="T461" s="15"/>
      <c r="U461" s="15"/>
      <c r="V461" s="15"/>
      <c r="W461" s="15"/>
      <c r="X461" s="14"/>
      <c r="Y461" s="14"/>
      <c r="Z461" s="15"/>
      <c r="AA461" s="15"/>
      <c r="AB461" s="3"/>
      <c r="AC461" s="3"/>
      <c r="AD461" s="3"/>
      <c r="AE461" s="3"/>
      <c r="AF461" s="3"/>
      <c r="AG461" s="3"/>
      <c r="AH461" s="3"/>
      <c r="AI461" s="3"/>
      <c r="AJ461" s="154" t="s">
        <v>70</v>
      </c>
      <c r="AN461" s="154" t="s">
        <v>70</v>
      </c>
    </row>
    <row r="462" ht="15.75" customHeight="1">
      <c r="J462" s="15"/>
      <c r="K462" s="238"/>
      <c r="L462" s="15"/>
      <c r="M462" s="15"/>
      <c r="N462" s="15"/>
      <c r="O462" s="15"/>
      <c r="P462" s="15"/>
      <c r="Q462" s="15"/>
      <c r="R462" s="15"/>
      <c r="S462" s="15"/>
      <c r="T462" s="15"/>
      <c r="U462" s="15"/>
      <c r="V462" s="15"/>
      <c r="W462" s="15"/>
      <c r="X462" s="14"/>
      <c r="Y462" s="14"/>
      <c r="Z462" s="15"/>
      <c r="AA462" s="15"/>
      <c r="AB462" s="3"/>
      <c r="AC462" s="3"/>
      <c r="AD462" s="3"/>
      <c r="AE462" s="3"/>
      <c r="AF462" s="3"/>
      <c r="AG462" s="3"/>
      <c r="AH462" s="3"/>
      <c r="AI462" s="3"/>
      <c r="AJ462" s="154" t="s">
        <v>70</v>
      </c>
      <c r="AN462" s="154" t="s">
        <v>70</v>
      </c>
    </row>
    <row r="463" ht="15.75" customHeight="1">
      <c r="J463" s="15"/>
      <c r="K463" s="238"/>
      <c r="L463" s="15"/>
      <c r="M463" s="15"/>
      <c r="N463" s="15"/>
      <c r="O463" s="15"/>
      <c r="P463" s="15"/>
      <c r="Q463" s="15"/>
      <c r="R463" s="15"/>
      <c r="S463" s="15"/>
      <c r="T463" s="15"/>
      <c r="U463" s="15"/>
      <c r="V463" s="15"/>
      <c r="W463" s="15"/>
      <c r="X463" s="14"/>
      <c r="Y463" s="14"/>
      <c r="Z463" s="15"/>
      <c r="AA463" s="15"/>
      <c r="AB463" s="3"/>
      <c r="AC463" s="3"/>
      <c r="AD463" s="3"/>
      <c r="AE463" s="3"/>
      <c r="AF463" s="3"/>
      <c r="AG463" s="3"/>
      <c r="AH463" s="3"/>
      <c r="AI463" s="3"/>
      <c r="AJ463" s="154" t="s">
        <v>70</v>
      </c>
      <c r="AN463" s="154" t="s">
        <v>70</v>
      </c>
    </row>
    <row r="464" ht="15.75" customHeight="1">
      <c r="J464" s="15"/>
      <c r="K464" s="238"/>
      <c r="L464" s="15"/>
      <c r="M464" s="15"/>
      <c r="N464" s="15"/>
      <c r="O464" s="15"/>
      <c r="P464" s="15"/>
      <c r="Q464" s="15"/>
      <c r="R464" s="15"/>
      <c r="S464" s="15"/>
      <c r="T464" s="15"/>
      <c r="U464" s="15"/>
      <c r="V464" s="15"/>
      <c r="W464" s="15"/>
      <c r="X464" s="14"/>
      <c r="Y464" s="14"/>
      <c r="Z464" s="15"/>
      <c r="AA464" s="15"/>
      <c r="AB464" s="3"/>
      <c r="AC464" s="3"/>
      <c r="AD464" s="3"/>
      <c r="AE464" s="3"/>
      <c r="AF464" s="3"/>
      <c r="AG464" s="3"/>
      <c r="AH464" s="3"/>
      <c r="AI464" s="3"/>
      <c r="AJ464" s="154" t="s">
        <v>70</v>
      </c>
      <c r="AN464" s="154" t="s">
        <v>70</v>
      </c>
    </row>
    <row r="465" ht="15.75" customHeight="1">
      <c r="J465" s="15"/>
      <c r="K465" s="238"/>
      <c r="L465" s="15"/>
      <c r="M465" s="15"/>
      <c r="N465" s="15"/>
      <c r="O465" s="15"/>
      <c r="P465" s="15"/>
      <c r="Q465" s="15"/>
      <c r="R465" s="15"/>
      <c r="S465" s="15"/>
      <c r="T465" s="15"/>
      <c r="U465" s="15"/>
      <c r="V465" s="15"/>
      <c r="W465" s="15"/>
      <c r="X465" s="14"/>
      <c r="Y465" s="14"/>
      <c r="Z465" s="15"/>
      <c r="AA465" s="15"/>
      <c r="AB465" s="3"/>
      <c r="AC465" s="3"/>
      <c r="AD465" s="3"/>
      <c r="AE465" s="3"/>
      <c r="AF465" s="3"/>
      <c r="AG465" s="3"/>
      <c r="AH465" s="3"/>
      <c r="AI465" s="3"/>
      <c r="AJ465" s="154" t="s">
        <v>70</v>
      </c>
      <c r="AN465" s="154" t="s">
        <v>70</v>
      </c>
    </row>
    <row r="466" ht="15.75" customHeight="1">
      <c r="J466" s="15"/>
      <c r="K466" s="238"/>
      <c r="L466" s="15"/>
      <c r="M466" s="15"/>
      <c r="N466" s="15"/>
      <c r="O466" s="15"/>
      <c r="P466" s="15"/>
      <c r="Q466" s="15"/>
      <c r="R466" s="15"/>
      <c r="S466" s="15"/>
      <c r="T466" s="15"/>
      <c r="U466" s="15"/>
      <c r="V466" s="15"/>
      <c r="W466" s="15"/>
      <c r="X466" s="14"/>
      <c r="Y466" s="14"/>
      <c r="Z466" s="15"/>
      <c r="AA466" s="15"/>
      <c r="AB466" s="3"/>
      <c r="AC466" s="3"/>
      <c r="AD466" s="3"/>
      <c r="AE466" s="3"/>
      <c r="AF466" s="3"/>
      <c r="AG466" s="3"/>
      <c r="AH466" s="3"/>
      <c r="AI466" s="3"/>
      <c r="AJ466" s="154" t="s">
        <v>70</v>
      </c>
      <c r="AN466" s="154" t="s">
        <v>70</v>
      </c>
    </row>
    <row r="467" ht="15.75" customHeight="1">
      <c r="J467" s="15"/>
      <c r="K467" s="238"/>
      <c r="L467" s="15"/>
      <c r="M467" s="15"/>
      <c r="N467" s="15"/>
      <c r="O467" s="15"/>
      <c r="P467" s="15"/>
      <c r="Q467" s="15"/>
      <c r="R467" s="15"/>
      <c r="S467" s="15"/>
      <c r="T467" s="15"/>
      <c r="U467" s="15"/>
      <c r="V467" s="15"/>
      <c r="W467" s="15"/>
      <c r="X467" s="14"/>
      <c r="Y467" s="14"/>
      <c r="Z467" s="15"/>
      <c r="AA467" s="15"/>
      <c r="AB467" s="3"/>
      <c r="AC467" s="3"/>
      <c r="AD467" s="3"/>
      <c r="AE467" s="3"/>
      <c r="AF467" s="3"/>
      <c r="AG467" s="3"/>
      <c r="AH467" s="3"/>
      <c r="AI467" s="3"/>
      <c r="AJ467" s="154" t="s">
        <v>70</v>
      </c>
      <c r="AN467" s="154" t="s">
        <v>70</v>
      </c>
    </row>
    <row r="468" ht="15.75" customHeight="1">
      <c r="J468" s="15"/>
      <c r="K468" s="238"/>
      <c r="L468" s="15"/>
      <c r="M468" s="15"/>
      <c r="N468" s="15"/>
      <c r="O468" s="15"/>
      <c r="P468" s="15"/>
      <c r="Q468" s="15"/>
      <c r="R468" s="15"/>
      <c r="S468" s="15"/>
      <c r="T468" s="15"/>
      <c r="U468" s="15"/>
      <c r="V468" s="15"/>
      <c r="W468" s="15"/>
      <c r="X468" s="14"/>
      <c r="Y468" s="14"/>
      <c r="Z468" s="15"/>
      <c r="AA468" s="15"/>
      <c r="AB468" s="3"/>
      <c r="AC468" s="3"/>
      <c r="AD468" s="3"/>
      <c r="AE468" s="3"/>
      <c r="AF468" s="3"/>
      <c r="AG468" s="3"/>
      <c r="AH468" s="3"/>
      <c r="AI468" s="3"/>
      <c r="AJ468" s="154" t="s">
        <v>70</v>
      </c>
      <c r="AN468" s="154" t="s">
        <v>70</v>
      </c>
    </row>
    <row r="469" ht="15.75" customHeight="1">
      <c r="J469" s="15"/>
      <c r="K469" s="238"/>
      <c r="L469" s="15"/>
      <c r="M469" s="15"/>
      <c r="N469" s="15"/>
      <c r="O469" s="15"/>
      <c r="P469" s="15"/>
      <c r="Q469" s="15"/>
      <c r="R469" s="15"/>
      <c r="S469" s="15"/>
      <c r="T469" s="15"/>
      <c r="U469" s="15"/>
      <c r="V469" s="15"/>
      <c r="W469" s="15"/>
      <c r="X469" s="14"/>
      <c r="Y469" s="14"/>
      <c r="Z469" s="15"/>
      <c r="AA469" s="15"/>
      <c r="AB469" s="3"/>
      <c r="AC469" s="3"/>
      <c r="AD469" s="3"/>
      <c r="AE469" s="3"/>
      <c r="AF469" s="3"/>
      <c r="AG469" s="3"/>
      <c r="AH469" s="3"/>
      <c r="AI469" s="3"/>
      <c r="AJ469" s="154" t="s">
        <v>70</v>
      </c>
      <c r="AN469" s="154" t="s">
        <v>70</v>
      </c>
    </row>
    <row r="470" ht="15.75" customHeight="1">
      <c r="J470" s="15"/>
      <c r="K470" s="238"/>
      <c r="L470" s="15"/>
      <c r="M470" s="15"/>
      <c r="N470" s="15"/>
      <c r="O470" s="15"/>
      <c r="P470" s="15"/>
      <c r="Q470" s="15"/>
      <c r="R470" s="15"/>
      <c r="S470" s="15"/>
      <c r="T470" s="15"/>
      <c r="U470" s="15"/>
      <c r="V470" s="15"/>
      <c r="W470" s="15"/>
      <c r="X470" s="14"/>
      <c r="Y470" s="14"/>
      <c r="Z470" s="15"/>
      <c r="AA470" s="15"/>
      <c r="AB470" s="3"/>
      <c r="AC470" s="3"/>
      <c r="AD470" s="3"/>
      <c r="AE470" s="3"/>
      <c r="AF470" s="3"/>
      <c r="AG470" s="3"/>
      <c r="AH470" s="3"/>
      <c r="AI470" s="3"/>
      <c r="AJ470" s="154" t="s">
        <v>70</v>
      </c>
      <c r="AN470" s="154" t="s">
        <v>70</v>
      </c>
    </row>
    <row r="471" ht="15.75" customHeight="1">
      <c r="J471" s="15"/>
      <c r="K471" s="238"/>
      <c r="L471" s="15"/>
      <c r="M471" s="15"/>
      <c r="N471" s="15"/>
      <c r="O471" s="15"/>
      <c r="P471" s="15"/>
      <c r="Q471" s="15"/>
      <c r="R471" s="15"/>
      <c r="S471" s="15"/>
      <c r="T471" s="15"/>
      <c r="U471" s="15"/>
      <c r="V471" s="15"/>
      <c r="W471" s="15"/>
      <c r="X471" s="14"/>
      <c r="Y471" s="14"/>
      <c r="Z471" s="15"/>
      <c r="AA471" s="15"/>
      <c r="AB471" s="3"/>
      <c r="AC471" s="3"/>
      <c r="AD471" s="3"/>
      <c r="AE471" s="3"/>
      <c r="AF471" s="3"/>
      <c r="AG471" s="3"/>
      <c r="AH471" s="3"/>
      <c r="AI471" s="3"/>
      <c r="AJ471" s="154" t="s">
        <v>70</v>
      </c>
      <c r="AN471" s="154" t="s">
        <v>70</v>
      </c>
    </row>
    <row r="472" ht="15.75" customHeight="1">
      <c r="J472" s="15"/>
      <c r="K472" s="238"/>
      <c r="L472" s="15"/>
      <c r="M472" s="15"/>
      <c r="N472" s="15"/>
      <c r="O472" s="15"/>
      <c r="P472" s="15"/>
      <c r="Q472" s="15"/>
      <c r="R472" s="15"/>
      <c r="S472" s="15"/>
      <c r="T472" s="15"/>
      <c r="U472" s="15"/>
      <c r="V472" s="15"/>
      <c r="W472" s="15"/>
      <c r="X472" s="14"/>
      <c r="Y472" s="14"/>
      <c r="Z472" s="15"/>
      <c r="AA472" s="15"/>
      <c r="AB472" s="3"/>
      <c r="AC472" s="3"/>
      <c r="AD472" s="3"/>
      <c r="AE472" s="3"/>
      <c r="AF472" s="3"/>
      <c r="AG472" s="3"/>
      <c r="AH472" s="3"/>
      <c r="AI472" s="3"/>
      <c r="AJ472" s="154" t="s">
        <v>70</v>
      </c>
      <c r="AN472" s="154" t="s">
        <v>70</v>
      </c>
    </row>
    <row r="473" ht="15.75" customHeight="1">
      <c r="J473" s="15"/>
      <c r="K473" s="238"/>
      <c r="L473" s="15"/>
      <c r="M473" s="15"/>
      <c r="N473" s="15"/>
      <c r="O473" s="15"/>
      <c r="P473" s="15"/>
      <c r="Q473" s="15"/>
      <c r="R473" s="15"/>
      <c r="S473" s="15"/>
      <c r="T473" s="15"/>
      <c r="U473" s="15"/>
      <c r="V473" s="15"/>
      <c r="W473" s="15"/>
      <c r="X473" s="14"/>
      <c r="Y473" s="14"/>
      <c r="Z473" s="15"/>
      <c r="AA473" s="15"/>
      <c r="AB473" s="3"/>
      <c r="AC473" s="3"/>
      <c r="AD473" s="3"/>
      <c r="AE473" s="3"/>
      <c r="AF473" s="3"/>
      <c r="AG473" s="3"/>
      <c r="AH473" s="3"/>
      <c r="AI473" s="3"/>
      <c r="AJ473" s="154" t="s">
        <v>70</v>
      </c>
      <c r="AN473" s="154" t="s">
        <v>70</v>
      </c>
    </row>
    <row r="474" ht="15.75" customHeight="1">
      <c r="J474" s="15"/>
      <c r="K474" s="238"/>
      <c r="L474" s="15"/>
      <c r="M474" s="15"/>
      <c r="N474" s="15"/>
      <c r="O474" s="15"/>
      <c r="P474" s="15"/>
      <c r="Q474" s="15"/>
      <c r="R474" s="15"/>
      <c r="S474" s="15"/>
      <c r="T474" s="15"/>
      <c r="U474" s="15"/>
      <c r="V474" s="15"/>
      <c r="W474" s="15"/>
      <c r="X474" s="14"/>
      <c r="Y474" s="14"/>
      <c r="Z474" s="15"/>
      <c r="AA474" s="15"/>
      <c r="AB474" s="3"/>
      <c r="AC474" s="3"/>
      <c r="AD474" s="3"/>
      <c r="AE474" s="3"/>
      <c r="AF474" s="3"/>
      <c r="AG474" s="3"/>
      <c r="AH474" s="3"/>
      <c r="AI474" s="3"/>
      <c r="AJ474" s="154" t="s">
        <v>70</v>
      </c>
      <c r="AN474" s="154" t="s">
        <v>70</v>
      </c>
    </row>
    <row r="475" ht="15.75" customHeight="1">
      <c r="J475" s="15"/>
      <c r="K475" s="238"/>
      <c r="L475" s="15"/>
      <c r="M475" s="15"/>
      <c r="N475" s="15"/>
      <c r="O475" s="15"/>
      <c r="P475" s="15"/>
      <c r="Q475" s="15"/>
      <c r="R475" s="15"/>
      <c r="S475" s="15"/>
      <c r="T475" s="15"/>
      <c r="U475" s="15"/>
      <c r="V475" s="15"/>
      <c r="W475" s="15"/>
      <c r="X475" s="14"/>
      <c r="Y475" s="14"/>
      <c r="Z475" s="15"/>
      <c r="AA475" s="15"/>
      <c r="AB475" s="3"/>
      <c r="AC475" s="3"/>
      <c r="AD475" s="3"/>
      <c r="AE475" s="3"/>
      <c r="AF475" s="3"/>
      <c r="AG475" s="3"/>
      <c r="AH475" s="3"/>
      <c r="AI475" s="3"/>
      <c r="AJ475" s="154" t="s">
        <v>70</v>
      </c>
      <c r="AN475" s="154" t="s">
        <v>70</v>
      </c>
    </row>
    <row r="476" ht="15.75" customHeight="1">
      <c r="J476" s="15"/>
      <c r="K476" s="238"/>
      <c r="L476" s="15"/>
      <c r="M476" s="15"/>
      <c r="N476" s="15"/>
      <c r="O476" s="15"/>
      <c r="P476" s="15"/>
      <c r="Q476" s="15"/>
      <c r="R476" s="15"/>
      <c r="S476" s="15"/>
      <c r="T476" s="15"/>
      <c r="U476" s="15"/>
      <c r="V476" s="15"/>
      <c r="W476" s="15"/>
      <c r="X476" s="14"/>
      <c r="Y476" s="14"/>
      <c r="Z476" s="15"/>
      <c r="AA476" s="15"/>
      <c r="AB476" s="3"/>
      <c r="AC476" s="3"/>
      <c r="AD476" s="3"/>
      <c r="AE476" s="3"/>
      <c r="AF476" s="3"/>
      <c r="AG476" s="3"/>
      <c r="AH476" s="3"/>
      <c r="AI476" s="3"/>
      <c r="AJ476" s="154" t="s">
        <v>70</v>
      </c>
      <c r="AN476" s="154" t="s">
        <v>70</v>
      </c>
    </row>
    <row r="477" ht="15.75" customHeight="1">
      <c r="J477" s="15"/>
      <c r="K477" s="238"/>
      <c r="L477" s="15"/>
      <c r="M477" s="15"/>
      <c r="N477" s="15"/>
      <c r="O477" s="15"/>
      <c r="P477" s="15"/>
      <c r="Q477" s="15"/>
      <c r="R477" s="15"/>
      <c r="S477" s="15"/>
      <c r="T477" s="15"/>
      <c r="U477" s="15"/>
      <c r="V477" s="15"/>
      <c r="W477" s="15"/>
      <c r="X477" s="14"/>
      <c r="Y477" s="14"/>
      <c r="Z477" s="15"/>
      <c r="AA477" s="15"/>
      <c r="AB477" s="3"/>
      <c r="AC477" s="3"/>
      <c r="AD477" s="3"/>
      <c r="AE477" s="3"/>
      <c r="AF477" s="3"/>
      <c r="AG477" s="3"/>
      <c r="AH477" s="3"/>
      <c r="AI477" s="3"/>
      <c r="AJ477" s="154" t="s">
        <v>70</v>
      </c>
      <c r="AN477" s="154" t="s">
        <v>70</v>
      </c>
    </row>
    <row r="478" ht="15.75" customHeight="1">
      <c r="J478" s="15"/>
      <c r="K478" s="238"/>
      <c r="L478" s="15"/>
      <c r="M478" s="15"/>
      <c r="N478" s="15"/>
      <c r="O478" s="15"/>
      <c r="P478" s="15"/>
      <c r="Q478" s="15"/>
      <c r="R478" s="15"/>
      <c r="S478" s="15"/>
      <c r="T478" s="15"/>
      <c r="U478" s="15"/>
      <c r="V478" s="15"/>
      <c r="W478" s="15"/>
      <c r="X478" s="14"/>
      <c r="Y478" s="14"/>
      <c r="Z478" s="15"/>
      <c r="AA478" s="15"/>
      <c r="AB478" s="3"/>
      <c r="AC478" s="3"/>
      <c r="AD478" s="3"/>
      <c r="AE478" s="3"/>
      <c r="AF478" s="3"/>
      <c r="AG478" s="3"/>
      <c r="AH478" s="3"/>
      <c r="AI478" s="3"/>
      <c r="AJ478" s="154" t="s">
        <v>70</v>
      </c>
      <c r="AN478" s="154" t="s">
        <v>70</v>
      </c>
    </row>
    <row r="479" ht="15.75" customHeight="1">
      <c r="J479" s="15"/>
      <c r="K479" s="238"/>
      <c r="L479" s="15"/>
      <c r="M479" s="15"/>
      <c r="N479" s="15"/>
      <c r="O479" s="15"/>
      <c r="P479" s="15"/>
      <c r="Q479" s="15"/>
      <c r="R479" s="15"/>
      <c r="S479" s="15"/>
      <c r="T479" s="15"/>
      <c r="U479" s="15"/>
      <c r="V479" s="15"/>
      <c r="W479" s="15"/>
      <c r="X479" s="14"/>
      <c r="Y479" s="14"/>
      <c r="Z479" s="15"/>
      <c r="AA479" s="15"/>
      <c r="AB479" s="3"/>
      <c r="AC479" s="3"/>
      <c r="AD479" s="3"/>
      <c r="AE479" s="3"/>
      <c r="AF479" s="3"/>
      <c r="AG479" s="3"/>
      <c r="AH479" s="3"/>
      <c r="AI479" s="3"/>
      <c r="AJ479" s="154" t="s">
        <v>70</v>
      </c>
      <c r="AN479" s="154" t="s">
        <v>70</v>
      </c>
    </row>
    <row r="480" ht="15.75" customHeight="1">
      <c r="J480" s="15"/>
      <c r="K480" s="238"/>
      <c r="L480" s="15"/>
      <c r="M480" s="15"/>
      <c r="N480" s="15"/>
      <c r="O480" s="15"/>
      <c r="P480" s="15"/>
      <c r="Q480" s="15"/>
      <c r="R480" s="15"/>
      <c r="S480" s="15"/>
      <c r="T480" s="15"/>
      <c r="U480" s="15"/>
      <c r="V480" s="15"/>
      <c r="W480" s="15"/>
      <c r="X480" s="14"/>
      <c r="Y480" s="14"/>
      <c r="Z480" s="15"/>
      <c r="AA480" s="15"/>
      <c r="AB480" s="3"/>
      <c r="AC480" s="3"/>
      <c r="AD480" s="3"/>
      <c r="AE480" s="3"/>
      <c r="AF480" s="3"/>
      <c r="AG480" s="3"/>
      <c r="AH480" s="3"/>
      <c r="AI480" s="3"/>
      <c r="AJ480" s="154" t="s">
        <v>70</v>
      </c>
      <c r="AN480" s="154" t="s">
        <v>70</v>
      </c>
    </row>
    <row r="481" ht="15.75" customHeight="1">
      <c r="J481" s="15"/>
      <c r="K481" s="238"/>
      <c r="L481" s="15"/>
      <c r="M481" s="15"/>
      <c r="N481" s="15"/>
      <c r="O481" s="15"/>
      <c r="P481" s="15"/>
      <c r="Q481" s="15"/>
      <c r="R481" s="15"/>
      <c r="S481" s="15"/>
      <c r="T481" s="15"/>
      <c r="U481" s="15"/>
      <c r="V481" s="15"/>
      <c r="W481" s="15"/>
      <c r="X481" s="14"/>
      <c r="Y481" s="14"/>
      <c r="Z481" s="15"/>
      <c r="AA481" s="15"/>
      <c r="AB481" s="3"/>
      <c r="AC481" s="3"/>
      <c r="AD481" s="3"/>
      <c r="AE481" s="3"/>
      <c r="AF481" s="3"/>
      <c r="AG481" s="3"/>
      <c r="AH481" s="3"/>
      <c r="AI481" s="3"/>
      <c r="AJ481" s="154" t="s">
        <v>70</v>
      </c>
      <c r="AN481" s="154" t="s">
        <v>70</v>
      </c>
    </row>
    <row r="482" ht="15.75" customHeight="1">
      <c r="J482" s="15"/>
      <c r="K482" s="238"/>
      <c r="L482" s="15"/>
      <c r="M482" s="15"/>
      <c r="N482" s="15"/>
      <c r="O482" s="15"/>
      <c r="P482" s="15"/>
      <c r="Q482" s="15"/>
      <c r="R482" s="15"/>
      <c r="S482" s="15"/>
      <c r="T482" s="15"/>
      <c r="U482" s="15"/>
      <c r="V482" s="15"/>
      <c r="W482" s="15"/>
      <c r="X482" s="14"/>
      <c r="Y482" s="14"/>
      <c r="Z482" s="15"/>
      <c r="AA482" s="15"/>
      <c r="AB482" s="3"/>
      <c r="AC482" s="3"/>
      <c r="AD482" s="3"/>
      <c r="AE482" s="3"/>
      <c r="AF482" s="3"/>
      <c r="AG482" s="3"/>
      <c r="AH482" s="3"/>
      <c r="AI482" s="3"/>
      <c r="AJ482" s="154" t="s">
        <v>70</v>
      </c>
      <c r="AN482" s="154" t="s">
        <v>70</v>
      </c>
    </row>
    <row r="483" ht="15.75" customHeight="1">
      <c r="J483" s="15"/>
      <c r="K483" s="238"/>
      <c r="L483" s="15"/>
      <c r="M483" s="15"/>
      <c r="N483" s="15"/>
      <c r="O483" s="15"/>
      <c r="P483" s="15"/>
      <c r="Q483" s="15"/>
      <c r="R483" s="15"/>
      <c r="S483" s="15"/>
      <c r="T483" s="15"/>
      <c r="U483" s="15"/>
      <c r="V483" s="15"/>
      <c r="W483" s="15"/>
      <c r="X483" s="14"/>
      <c r="Y483" s="14"/>
      <c r="Z483" s="15"/>
      <c r="AA483" s="15"/>
      <c r="AB483" s="3"/>
      <c r="AC483" s="3"/>
      <c r="AD483" s="3"/>
      <c r="AE483" s="3"/>
      <c r="AF483" s="3"/>
      <c r="AG483" s="3"/>
      <c r="AH483" s="3"/>
      <c r="AI483" s="3"/>
      <c r="AJ483" s="154" t="s">
        <v>70</v>
      </c>
      <c r="AN483" s="154" t="s">
        <v>70</v>
      </c>
    </row>
    <row r="484" ht="15.75" customHeight="1">
      <c r="J484" s="15"/>
      <c r="K484" s="238"/>
      <c r="L484" s="15"/>
      <c r="M484" s="15"/>
      <c r="N484" s="15"/>
      <c r="O484" s="15"/>
      <c r="P484" s="15"/>
      <c r="Q484" s="15"/>
      <c r="R484" s="15"/>
      <c r="S484" s="15"/>
      <c r="T484" s="15"/>
      <c r="U484" s="15"/>
      <c r="V484" s="15"/>
      <c r="W484" s="15"/>
      <c r="X484" s="14"/>
      <c r="Y484" s="14"/>
      <c r="Z484" s="15"/>
      <c r="AA484" s="15"/>
      <c r="AB484" s="3"/>
      <c r="AC484" s="3"/>
      <c r="AD484" s="3"/>
      <c r="AE484" s="3"/>
      <c r="AF484" s="3"/>
      <c r="AG484" s="3"/>
      <c r="AH484" s="3"/>
      <c r="AI484" s="3"/>
      <c r="AJ484" s="154" t="s">
        <v>70</v>
      </c>
      <c r="AN484" s="154" t="s">
        <v>70</v>
      </c>
    </row>
    <row r="485" ht="15.75" customHeight="1">
      <c r="J485" s="15"/>
      <c r="K485" s="238"/>
      <c r="L485" s="15"/>
      <c r="M485" s="15"/>
      <c r="N485" s="15"/>
      <c r="O485" s="15"/>
      <c r="P485" s="15"/>
      <c r="Q485" s="15"/>
      <c r="R485" s="15"/>
      <c r="S485" s="15"/>
      <c r="T485" s="15"/>
      <c r="U485" s="15"/>
      <c r="V485" s="15"/>
      <c r="W485" s="15"/>
      <c r="X485" s="14"/>
      <c r="Y485" s="14"/>
      <c r="Z485" s="15"/>
      <c r="AA485" s="15"/>
      <c r="AB485" s="3"/>
      <c r="AC485" s="3"/>
      <c r="AD485" s="3"/>
      <c r="AE485" s="3"/>
      <c r="AF485" s="3"/>
      <c r="AG485" s="3"/>
      <c r="AH485" s="3"/>
      <c r="AI485" s="3"/>
      <c r="AJ485" s="154" t="s">
        <v>70</v>
      </c>
      <c r="AN485" s="154" t="s">
        <v>70</v>
      </c>
    </row>
    <row r="486" ht="15.75" customHeight="1">
      <c r="J486" s="15"/>
      <c r="K486" s="238"/>
      <c r="L486" s="15"/>
      <c r="M486" s="15"/>
      <c r="N486" s="15"/>
      <c r="O486" s="15"/>
      <c r="P486" s="15"/>
      <c r="Q486" s="15"/>
      <c r="R486" s="15"/>
      <c r="S486" s="15"/>
      <c r="T486" s="15"/>
      <c r="U486" s="15"/>
      <c r="V486" s="15"/>
      <c r="W486" s="15"/>
      <c r="X486" s="14"/>
      <c r="Y486" s="14"/>
      <c r="Z486" s="15"/>
      <c r="AA486" s="15"/>
      <c r="AB486" s="3"/>
      <c r="AC486" s="3"/>
      <c r="AD486" s="3"/>
      <c r="AE486" s="3"/>
      <c r="AF486" s="3"/>
      <c r="AG486" s="3"/>
      <c r="AH486" s="3"/>
      <c r="AI486" s="3"/>
      <c r="AJ486" s="154" t="s">
        <v>70</v>
      </c>
      <c r="AN486" s="154" t="s">
        <v>70</v>
      </c>
    </row>
    <row r="487" ht="15.75" customHeight="1">
      <c r="J487" s="15"/>
      <c r="K487" s="238"/>
      <c r="L487" s="15"/>
      <c r="M487" s="15"/>
      <c r="N487" s="15"/>
      <c r="O487" s="15"/>
      <c r="P487" s="15"/>
      <c r="Q487" s="15"/>
      <c r="R487" s="15"/>
      <c r="S487" s="15"/>
      <c r="T487" s="15"/>
      <c r="U487" s="15"/>
      <c r="V487" s="15"/>
      <c r="W487" s="15"/>
      <c r="X487" s="14"/>
      <c r="Y487" s="14"/>
      <c r="Z487" s="15"/>
      <c r="AA487" s="15"/>
      <c r="AB487" s="3"/>
      <c r="AC487" s="3"/>
      <c r="AD487" s="3"/>
      <c r="AE487" s="3"/>
      <c r="AF487" s="3"/>
      <c r="AG487" s="3"/>
      <c r="AH487" s="3"/>
      <c r="AI487" s="3"/>
      <c r="AJ487" s="154" t="s">
        <v>70</v>
      </c>
      <c r="AN487" s="154" t="s">
        <v>70</v>
      </c>
    </row>
    <row r="488" ht="15.75" customHeight="1">
      <c r="J488" s="15"/>
      <c r="K488" s="238"/>
      <c r="L488" s="15"/>
      <c r="M488" s="15"/>
      <c r="N488" s="15"/>
      <c r="O488" s="15"/>
      <c r="P488" s="15"/>
      <c r="Q488" s="15"/>
      <c r="R488" s="15"/>
      <c r="S488" s="15"/>
      <c r="T488" s="15"/>
      <c r="U488" s="15"/>
      <c r="V488" s="15"/>
      <c r="W488" s="15"/>
      <c r="X488" s="14"/>
      <c r="Y488" s="14"/>
      <c r="Z488" s="15"/>
      <c r="AA488" s="15"/>
      <c r="AB488" s="3"/>
      <c r="AC488" s="3"/>
      <c r="AD488" s="3"/>
      <c r="AE488" s="3"/>
      <c r="AF488" s="3"/>
      <c r="AG488" s="3"/>
      <c r="AH488" s="3"/>
      <c r="AI488" s="3"/>
      <c r="AJ488" s="154" t="s">
        <v>70</v>
      </c>
      <c r="AN488" s="154" t="s">
        <v>70</v>
      </c>
    </row>
    <row r="489" ht="15.75" customHeight="1">
      <c r="J489" s="15"/>
      <c r="K489" s="238"/>
      <c r="L489" s="15"/>
      <c r="M489" s="15"/>
      <c r="N489" s="15"/>
      <c r="O489" s="15"/>
      <c r="P489" s="15"/>
      <c r="Q489" s="15"/>
      <c r="R489" s="15"/>
      <c r="S489" s="15"/>
      <c r="T489" s="15"/>
      <c r="U489" s="15"/>
      <c r="V489" s="15"/>
      <c r="W489" s="15"/>
      <c r="X489" s="14"/>
      <c r="Y489" s="14"/>
      <c r="Z489" s="15"/>
      <c r="AA489" s="15"/>
      <c r="AB489" s="3"/>
      <c r="AC489" s="3"/>
      <c r="AD489" s="3"/>
      <c r="AE489" s="3"/>
      <c r="AF489" s="3"/>
      <c r="AG489" s="3"/>
      <c r="AH489" s="3"/>
      <c r="AI489" s="3"/>
      <c r="AJ489" s="154" t="s">
        <v>70</v>
      </c>
      <c r="AN489" s="154" t="s">
        <v>70</v>
      </c>
    </row>
    <row r="490" ht="15.75" customHeight="1">
      <c r="J490" s="15"/>
      <c r="K490" s="238"/>
      <c r="L490" s="15"/>
      <c r="M490" s="15"/>
      <c r="N490" s="15"/>
      <c r="O490" s="15"/>
      <c r="P490" s="15"/>
      <c r="Q490" s="15"/>
      <c r="R490" s="15"/>
      <c r="S490" s="15"/>
      <c r="T490" s="15"/>
      <c r="U490" s="15"/>
      <c r="V490" s="15"/>
      <c r="W490" s="15"/>
      <c r="X490" s="14"/>
      <c r="Y490" s="14"/>
      <c r="Z490" s="15"/>
      <c r="AA490" s="15"/>
      <c r="AB490" s="3"/>
      <c r="AC490" s="3"/>
      <c r="AD490" s="3"/>
      <c r="AE490" s="3"/>
      <c r="AF490" s="3"/>
      <c r="AG490" s="3"/>
      <c r="AH490" s="3"/>
      <c r="AI490" s="3"/>
      <c r="AJ490" s="154" t="s">
        <v>70</v>
      </c>
      <c r="AN490" s="154" t="s">
        <v>70</v>
      </c>
    </row>
    <row r="491" ht="15.75" customHeight="1">
      <c r="J491" s="15"/>
      <c r="K491" s="238"/>
      <c r="L491" s="15"/>
      <c r="M491" s="15"/>
      <c r="N491" s="15"/>
      <c r="O491" s="15"/>
      <c r="P491" s="15"/>
      <c r="Q491" s="15"/>
      <c r="R491" s="15"/>
      <c r="S491" s="15"/>
      <c r="T491" s="15"/>
      <c r="U491" s="15"/>
      <c r="V491" s="15"/>
      <c r="W491" s="15"/>
      <c r="X491" s="14"/>
      <c r="Y491" s="14"/>
      <c r="Z491" s="15"/>
      <c r="AA491" s="15"/>
      <c r="AB491" s="3"/>
      <c r="AC491" s="3"/>
      <c r="AD491" s="3"/>
      <c r="AE491" s="3"/>
      <c r="AF491" s="3"/>
      <c r="AG491" s="3"/>
      <c r="AH491" s="3"/>
      <c r="AI491" s="3"/>
      <c r="AJ491" s="154" t="s">
        <v>70</v>
      </c>
      <c r="AN491" s="154" t="s">
        <v>70</v>
      </c>
    </row>
    <row r="492" ht="15.75" customHeight="1">
      <c r="J492" s="15"/>
      <c r="K492" s="238"/>
      <c r="L492" s="15"/>
      <c r="M492" s="15"/>
      <c r="N492" s="15"/>
      <c r="O492" s="15"/>
      <c r="P492" s="15"/>
      <c r="Q492" s="15"/>
      <c r="R492" s="15"/>
      <c r="S492" s="15"/>
      <c r="T492" s="15"/>
      <c r="U492" s="15"/>
      <c r="V492" s="15"/>
      <c r="W492" s="15"/>
      <c r="X492" s="14"/>
      <c r="Y492" s="14"/>
      <c r="Z492" s="15"/>
      <c r="AA492" s="15"/>
      <c r="AB492" s="3"/>
      <c r="AC492" s="3"/>
      <c r="AD492" s="3"/>
      <c r="AE492" s="3"/>
      <c r="AF492" s="3"/>
      <c r="AG492" s="3"/>
      <c r="AH492" s="3"/>
      <c r="AI492" s="3"/>
      <c r="AJ492" s="154" t="s">
        <v>70</v>
      </c>
      <c r="AN492" s="154" t="s">
        <v>70</v>
      </c>
    </row>
    <row r="493" ht="15.75" customHeight="1">
      <c r="J493" s="15"/>
      <c r="K493" s="238"/>
      <c r="L493" s="15"/>
      <c r="M493" s="15"/>
      <c r="N493" s="15"/>
      <c r="O493" s="15"/>
      <c r="P493" s="15"/>
      <c r="Q493" s="15"/>
      <c r="R493" s="15"/>
      <c r="S493" s="15"/>
      <c r="T493" s="15"/>
      <c r="U493" s="15"/>
      <c r="V493" s="15"/>
      <c r="W493" s="15"/>
      <c r="X493" s="14"/>
      <c r="Y493" s="14"/>
      <c r="Z493" s="15"/>
      <c r="AA493" s="15"/>
      <c r="AB493" s="3"/>
      <c r="AC493" s="3"/>
      <c r="AD493" s="3"/>
      <c r="AE493" s="3"/>
      <c r="AF493" s="3"/>
      <c r="AG493" s="3"/>
      <c r="AH493" s="3"/>
      <c r="AI493" s="3"/>
      <c r="AJ493" s="154" t="s">
        <v>70</v>
      </c>
      <c r="AN493" s="154" t="s">
        <v>70</v>
      </c>
    </row>
    <row r="494" ht="15.75" customHeight="1">
      <c r="J494" s="15"/>
      <c r="K494" s="238"/>
      <c r="L494" s="15"/>
      <c r="M494" s="15"/>
      <c r="N494" s="15"/>
      <c r="O494" s="15"/>
      <c r="P494" s="15"/>
      <c r="Q494" s="15"/>
      <c r="R494" s="15"/>
      <c r="S494" s="15"/>
      <c r="T494" s="15"/>
      <c r="U494" s="15"/>
      <c r="V494" s="15"/>
      <c r="W494" s="15"/>
      <c r="X494" s="14"/>
      <c r="Y494" s="14"/>
      <c r="Z494" s="15"/>
      <c r="AA494" s="15"/>
      <c r="AB494" s="3"/>
      <c r="AC494" s="3"/>
      <c r="AD494" s="3"/>
      <c r="AE494" s="3"/>
      <c r="AF494" s="3"/>
      <c r="AG494" s="3"/>
      <c r="AH494" s="3"/>
      <c r="AI494" s="3"/>
      <c r="AJ494" s="154" t="s">
        <v>70</v>
      </c>
      <c r="AN494" s="154" t="s">
        <v>70</v>
      </c>
    </row>
    <row r="495" ht="15.75" customHeight="1">
      <c r="J495" s="15"/>
      <c r="K495" s="238"/>
      <c r="L495" s="15"/>
      <c r="M495" s="15"/>
      <c r="N495" s="15"/>
      <c r="O495" s="15"/>
      <c r="P495" s="15"/>
      <c r="Q495" s="15"/>
      <c r="R495" s="15"/>
      <c r="S495" s="15"/>
      <c r="T495" s="15"/>
      <c r="U495" s="15"/>
      <c r="V495" s="15"/>
      <c r="W495" s="15"/>
      <c r="X495" s="14"/>
      <c r="Y495" s="14"/>
      <c r="Z495" s="15"/>
      <c r="AA495" s="15"/>
      <c r="AB495" s="3"/>
      <c r="AC495" s="3"/>
      <c r="AD495" s="3"/>
      <c r="AE495" s="3"/>
      <c r="AF495" s="3"/>
      <c r="AG495" s="3"/>
      <c r="AH495" s="3"/>
      <c r="AI495" s="3"/>
      <c r="AJ495" s="154" t="s">
        <v>70</v>
      </c>
      <c r="AN495" s="154" t="s">
        <v>70</v>
      </c>
    </row>
    <row r="496" ht="15.75" customHeight="1">
      <c r="J496" s="15"/>
      <c r="K496" s="238"/>
      <c r="L496" s="15"/>
      <c r="M496" s="15"/>
      <c r="N496" s="15"/>
      <c r="O496" s="15"/>
      <c r="P496" s="15"/>
      <c r="Q496" s="15"/>
      <c r="R496" s="15"/>
      <c r="S496" s="15"/>
      <c r="T496" s="15"/>
      <c r="U496" s="15"/>
      <c r="V496" s="15"/>
      <c r="W496" s="15"/>
      <c r="X496" s="14"/>
      <c r="Y496" s="14"/>
      <c r="Z496" s="15"/>
      <c r="AA496" s="15"/>
      <c r="AB496" s="3"/>
      <c r="AC496" s="3"/>
      <c r="AD496" s="3"/>
      <c r="AE496" s="3"/>
      <c r="AF496" s="3"/>
      <c r="AG496" s="3"/>
      <c r="AH496" s="3"/>
      <c r="AI496" s="3"/>
      <c r="AJ496" s="154" t="s">
        <v>70</v>
      </c>
      <c r="AN496" s="154" t="s">
        <v>70</v>
      </c>
    </row>
    <row r="497" ht="15.75" customHeight="1">
      <c r="J497" s="15"/>
      <c r="K497" s="238"/>
      <c r="L497" s="15"/>
      <c r="M497" s="15"/>
      <c r="N497" s="15"/>
      <c r="O497" s="15"/>
      <c r="P497" s="15"/>
      <c r="Q497" s="15"/>
      <c r="R497" s="15"/>
      <c r="S497" s="15"/>
      <c r="T497" s="15"/>
      <c r="U497" s="15"/>
      <c r="V497" s="15"/>
      <c r="W497" s="15"/>
      <c r="X497" s="14"/>
      <c r="Y497" s="14"/>
      <c r="Z497" s="15"/>
      <c r="AA497" s="15"/>
      <c r="AB497" s="3"/>
      <c r="AC497" s="3"/>
      <c r="AD497" s="3"/>
      <c r="AE497" s="3"/>
      <c r="AF497" s="3"/>
      <c r="AG497" s="3"/>
      <c r="AH497" s="3"/>
      <c r="AI497" s="3"/>
      <c r="AJ497" s="154" t="s">
        <v>70</v>
      </c>
      <c r="AN497" s="154" t="s">
        <v>70</v>
      </c>
    </row>
    <row r="498" ht="15.75" customHeight="1">
      <c r="J498" s="15"/>
      <c r="K498" s="238"/>
      <c r="L498" s="15"/>
      <c r="M498" s="15"/>
      <c r="N498" s="15"/>
      <c r="O498" s="15"/>
      <c r="P498" s="15"/>
      <c r="Q498" s="15"/>
      <c r="R498" s="15"/>
      <c r="S498" s="15"/>
      <c r="T498" s="15"/>
      <c r="U498" s="15"/>
      <c r="V498" s="15"/>
      <c r="W498" s="15"/>
      <c r="X498" s="14"/>
      <c r="Y498" s="14"/>
      <c r="Z498" s="15"/>
      <c r="AA498" s="15"/>
      <c r="AB498" s="3"/>
      <c r="AC498" s="3"/>
      <c r="AD498" s="3"/>
      <c r="AE498" s="3"/>
      <c r="AF498" s="3"/>
      <c r="AG498" s="3"/>
      <c r="AH498" s="3"/>
      <c r="AI498" s="3"/>
      <c r="AJ498" s="154" t="s">
        <v>70</v>
      </c>
      <c r="AN498" s="154" t="s">
        <v>70</v>
      </c>
    </row>
    <row r="499" ht="15.75" customHeight="1">
      <c r="J499" s="15"/>
      <c r="K499" s="238"/>
      <c r="L499" s="15"/>
      <c r="M499" s="15"/>
      <c r="N499" s="15"/>
      <c r="O499" s="15"/>
      <c r="P499" s="15"/>
      <c r="Q499" s="15"/>
      <c r="R499" s="15"/>
      <c r="S499" s="15"/>
      <c r="T499" s="15"/>
      <c r="U499" s="15"/>
      <c r="V499" s="15"/>
      <c r="W499" s="15"/>
      <c r="X499" s="14"/>
      <c r="Y499" s="14"/>
      <c r="Z499" s="15"/>
      <c r="AA499" s="15"/>
      <c r="AB499" s="3"/>
      <c r="AC499" s="3"/>
      <c r="AD499" s="3"/>
      <c r="AE499" s="3"/>
      <c r="AF499" s="3"/>
      <c r="AG499" s="3"/>
      <c r="AH499" s="3"/>
      <c r="AI499" s="3"/>
      <c r="AJ499" s="154" t="s">
        <v>70</v>
      </c>
      <c r="AN499" s="154" t="s">
        <v>70</v>
      </c>
    </row>
    <row r="500" ht="15.75" customHeight="1">
      <c r="J500" s="15"/>
      <c r="K500" s="238"/>
      <c r="L500" s="15"/>
      <c r="M500" s="15"/>
      <c r="N500" s="15"/>
      <c r="O500" s="15"/>
      <c r="P500" s="15"/>
      <c r="Q500" s="15"/>
      <c r="R500" s="15"/>
      <c r="S500" s="15"/>
      <c r="T500" s="15"/>
      <c r="U500" s="15"/>
      <c r="V500" s="15"/>
      <c r="W500" s="15"/>
      <c r="X500" s="14"/>
      <c r="Y500" s="14"/>
      <c r="Z500" s="15"/>
      <c r="AA500" s="15"/>
      <c r="AB500" s="3"/>
      <c r="AC500" s="3"/>
      <c r="AD500" s="3"/>
      <c r="AE500" s="3"/>
      <c r="AF500" s="3"/>
      <c r="AG500" s="3"/>
      <c r="AH500" s="3"/>
      <c r="AI500" s="3"/>
      <c r="AJ500" s="154" t="s">
        <v>70</v>
      </c>
      <c r="AN500" s="154" t="s">
        <v>70</v>
      </c>
    </row>
    <row r="501" ht="15.75" customHeight="1">
      <c r="J501" s="15"/>
      <c r="K501" s="238"/>
      <c r="L501" s="15"/>
      <c r="M501" s="15"/>
      <c r="N501" s="15"/>
      <c r="O501" s="15"/>
      <c r="P501" s="15"/>
      <c r="Q501" s="15"/>
      <c r="R501" s="15"/>
      <c r="S501" s="15"/>
      <c r="T501" s="15"/>
      <c r="U501" s="15"/>
      <c r="V501" s="15"/>
      <c r="W501" s="15"/>
      <c r="X501" s="14"/>
      <c r="Y501" s="14"/>
      <c r="Z501" s="15"/>
      <c r="AA501" s="15"/>
      <c r="AB501" s="3"/>
      <c r="AC501" s="3"/>
      <c r="AD501" s="3"/>
      <c r="AE501" s="3"/>
      <c r="AF501" s="3"/>
      <c r="AG501" s="3"/>
      <c r="AH501" s="3"/>
      <c r="AI501" s="3"/>
      <c r="AJ501" s="154" t="s">
        <v>70</v>
      </c>
      <c r="AN501" s="154" t="s">
        <v>70</v>
      </c>
    </row>
    <row r="502" ht="15.75" customHeight="1">
      <c r="J502" s="15"/>
      <c r="K502" s="238"/>
      <c r="L502" s="15"/>
      <c r="M502" s="15"/>
      <c r="N502" s="15"/>
      <c r="O502" s="15"/>
      <c r="P502" s="15"/>
      <c r="Q502" s="15"/>
      <c r="R502" s="15"/>
      <c r="S502" s="15"/>
      <c r="T502" s="15"/>
      <c r="U502" s="15"/>
      <c r="V502" s="15"/>
      <c r="W502" s="15"/>
      <c r="X502" s="14"/>
      <c r="Y502" s="14"/>
      <c r="Z502" s="15"/>
      <c r="AA502" s="15"/>
      <c r="AB502" s="3"/>
      <c r="AC502" s="3"/>
      <c r="AD502" s="3"/>
      <c r="AE502" s="3"/>
      <c r="AF502" s="3"/>
      <c r="AG502" s="3"/>
      <c r="AH502" s="3"/>
      <c r="AI502" s="3"/>
      <c r="AJ502" s="154" t="s">
        <v>70</v>
      </c>
      <c r="AN502" s="154" t="s">
        <v>70</v>
      </c>
    </row>
    <row r="503" ht="15.75" customHeight="1">
      <c r="J503" s="15"/>
      <c r="K503" s="238"/>
      <c r="L503" s="15"/>
      <c r="M503" s="15"/>
      <c r="N503" s="15"/>
      <c r="O503" s="15"/>
      <c r="P503" s="15"/>
      <c r="Q503" s="15"/>
      <c r="R503" s="15"/>
      <c r="S503" s="15"/>
      <c r="T503" s="15"/>
      <c r="U503" s="15"/>
      <c r="V503" s="15"/>
      <c r="W503" s="15"/>
      <c r="X503" s="14"/>
      <c r="Y503" s="14"/>
      <c r="Z503" s="15"/>
      <c r="AA503" s="15"/>
      <c r="AB503" s="3"/>
      <c r="AC503" s="3"/>
      <c r="AD503" s="3"/>
      <c r="AE503" s="3"/>
      <c r="AF503" s="3"/>
      <c r="AG503" s="3"/>
      <c r="AH503" s="3"/>
      <c r="AI503" s="3"/>
      <c r="AJ503" s="154" t="s">
        <v>70</v>
      </c>
      <c r="AN503" s="154" t="s">
        <v>70</v>
      </c>
    </row>
    <row r="504" ht="15.75" customHeight="1">
      <c r="J504" s="15"/>
      <c r="K504" s="238"/>
      <c r="L504" s="15"/>
      <c r="M504" s="15"/>
      <c r="N504" s="15"/>
      <c r="O504" s="15"/>
      <c r="P504" s="15"/>
      <c r="Q504" s="15"/>
      <c r="R504" s="15"/>
      <c r="S504" s="15"/>
      <c r="T504" s="15"/>
      <c r="U504" s="15"/>
      <c r="V504" s="15"/>
      <c r="W504" s="15"/>
      <c r="X504" s="14"/>
      <c r="Y504" s="14"/>
      <c r="Z504" s="15"/>
      <c r="AA504" s="15"/>
      <c r="AB504" s="3"/>
      <c r="AC504" s="3"/>
      <c r="AD504" s="3"/>
      <c r="AE504" s="3"/>
      <c r="AF504" s="3"/>
      <c r="AG504" s="3"/>
      <c r="AH504" s="3"/>
      <c r="AI504" s="3"/>
      <c r="AJ504" s="154" t="s">
        <v>70</v>
      </c>
      <c r="AN504" s="154" t="s">
        <v>70</v>
      </c>
    </row>
    <row r="505" ht="15.75" customHeight="1">
      <c r="J505" s="15"/>
      <c r="K505" s="238"/>
      <c r="L505" s="15"/>
      <c r="M505" s="15"/>
      <c r="N505" s="15"/>
      <c r="O505" s="15"/>
      <c r="P505" s="15"/>
      <c r="Q505" s="15"/>
      <c r="R505" s="15"/>
      <c r="S505" s="15"/>
      <c r="T505" s="15"/>
      <c r="U505" s="15"/>
      <c r="V505" s="15"/>
      <c r="W505" s="15"/>
      <c r="X505" s="14"/>
      <c r="Y505" s="14"/>
      <c r="Z505" s="15"/>
      <c r="AA505" s="15"/>
      <c r="AB505" s="3"/>
      <c r="AC505" s="3"/>
      <c r="AD505" s="3"/>
      <c r="AE505" s="3"/>
      <c r="AF505" s="3"/>
      <c r="AG505" s="3"/>
      <c r="AH505" s="3"/>
      <c r="AI505" s="3"/>
      <c r="AJ505" s="154" t="s">
        <v>70</v>
      </c>
      <c r="AN505" s="154" t="s">
        <v>70</v>
      </c>
    </row>
    <row r="506" ht="15.75" customHeight="1">
      <c r="J506" s="15"/>
      <c r="K506" s="238"/>
      <c r="L506" s="15"/>
      <c r="M506" s="15"/>
      <c r="N506" s="15"/>
      <c r="O506" s="15"/>
      <c r="P506" s="15"/>
      <c r="Q506" s="15"/>
      <c r="R506" s="15"/>
      <c r="S506" s="15"/>
      <c r="T506" s="15"/>
      <c r="U506" s="15"/>
      <c r="V506" s="15"/>
      <c r="W506" s="15"/>
      <c r="X506" s="14"/>
      <c r="Y506" s="14"/>
      <c r="Z506" s="15"/>
      <c r="AA506" s="15"/>
      <c r="AB506" s="3"/>
      <c r="AC506" s="3"/>
      <c r="AD506" s="3"/>
      <c r="AE506" s="3"/>
      <c r="AF506" s="3"/>
      <c r="AG506" s="3"/>
      <c r="AH506" s="3"/>
      <c r="AI506" s="3"/>
      <c r="AJ506" s="154" t="s">
        <v>70</v>
      </c>
      <c r="AN506" s="154" t="s">
        <v>70</v>
      </c>
    </row>
    <row r="507" ht="15.75" customHeight="1">
      <c r="J507" s="15"/>
      <c r="K507" s="238"/>
      <c r="L507" s="15"/>
      <c r="M507" s="15"/>
      <c r="N507" s="15"/>
      <c r="O507" s="15"/>
      <c r="P507" s="15"/>
      <c r="Q507" s="15"/>
      <c r="R507" s="15"/>
      <c r="S507" s="15"/>
      <c r="T507" s="15"/>
      <c r="U507" s="15"/>
      <c r="V507" s="15"/>
      <c r="W507" s="15"/>
      <c r="X507" s="14"/>
      <c r="Y507" s="14"/>
      <c r="Z507" s="15"/>
      <c r="AA507" s="15"/>
      <c r="AB507" s="3"/>
      <c r="AC507" s="3"/>
      <c r="AD507" s="3"/>
      <c r="AE507" s="3"/>
      <c r="AF507" s="3"/>
      <c r="AG507" s="3"/>
      <c r="AH507" s="3"/>
      <c r="AI507" s="3"/>
      <c r="AJ507" s="154" t="s">
        <v>70</v>
      </c>
      <c r="AN507" s="154" t="s">
        <v>70</v>
      </c>
    </row>
    <row r="508" ht="15.75" customHeight="1">
      <c r="J508" s="15"/>
      <c r="K508" s="238"/>
      <c r="L508" s="15"/>
      <c r="M508" s="15"/>
      <c r="N508" s="15"/>
      <c r="O508" s="15"/>
      <c r="P508" s="15"/>
      <c r="Q508" s="15"/>
      <c r="R508" s="15"/>
      <c r="S508" s="15"/>
      <c r="T508" s="15"/>
      <c r="U508" s="15"/>
      <c r="V508" s="15"/>
      <c r="W508" s="15"/>
      <c r="X508" s="14"/>
      <c r="Y508" s="14"/>
      <c r="Z508" s="15"/>
      <c r="AA508" s="15"/>
      <c r="AB508" s="3"/>
      <c r="AC508" s="3"/>
      <c r="AD508" s="3"/>
      <c r="AE508" s="3"/>
      <c r="AF508" s="3"/>
      <c r="AG508" s="3"/>
      <c r="AH508" s="3"/>
      <c r="AI508" s="3"/>
      <c r="AJ508" s="154" t="s">
        <v>70</v>
      </c>
      <c r="AN508" s="154" t="s">
        <v>70</v>
      </c>
    </row>
    <row r="509" ht="15.75" customHeight="1">
      <c r="J509" s="15"/>
      <c r="K509" s="238"/>
      <c r="L509" s="15"/>
      <c r="M509" s="15"/>
      <c r="N509" s="15"/>
      <c r="O509" s="15"/>
      <c r="P509" s="15"/>
      <c r="Q509" s="15"/>
      <c r="R509" s="15"/>
      <c r="S509" s="15"/>
      <c r="T509" s="15"/>
      <c r="U509" s="15"/>
      <c r="V509" s="15"/>
      <c r="W509" s="15"/>
      <c r="X509" s="14"/>
      <c r="Y509" s="14"/>
      <c r="Z509" s="15"/>
      <c r="AA509" s="15"/>
      <c r="AB509" s="3"/>
      <c r="AC509" s="3"/>
      <c r="AD509" s="3"/>
      <c r="AE509" s="3"/>
      <c r="AF509" s="3"/>
      <c r="AG509" s="3"/>
      <c r="AH509" s="3"/>
      <c r="AI509" s="3"/>
      <c r="AJ509" s="154" t="s">
        <v>70</v>
      </c>
      <c r="AN509" s="154" t="s">
        <v>70</v>
      </c>
    </row>
    <row r="510" ht="15.75" customHeight="1">
      <c r="J510" s="15"/>
      <c r="K510" s="238"/>
      <c r="L510" s="15"/>
      <c r="M510" s="15"/>
      <c r="N510" s="15"/>
      <c r="O510" s="15"/>
      <c r="P510" s="15"/>
      <c r="Q510" s="15"/>
      <c r="R510" s="15"/>
      <c r="S510" s="15"/>
      <c r="T510" s="15"/>
      <c r="U510" s="15"/>
      <c r="V510" s="15"/>
      <c r="W510" s="15"/>
      <c r="X510" s="14"/>
      <c r="Y510" s="14"/>
      <c r="Z510" s="15"/>
      <c r="AA510" s="15"/>
      <c r="AB510" s="3"/>
      <c r="AC510" s="3"/>
      <c r="AD510" s="3"/>
      <c r="AE510" s="3"/>
      <c r="AF510" s="3"/>
      <c r="AG510" s="3"/>
      <c r="AH510" s="3"/>
      <c r="AI510" s="3"/>
      <c r="AJ510" s="154" t="s">
        <v>70</v>
      </c>
      <c r="AN510" s="154" t="s">
        <v>70</v>
      </c>
    </row>
    <row r="511" ht="15.75" customHeight="1">
      <c r="J511" s="15"/>
      <c r="K511" s="238"/>
      <c r="L511" s="15"/>
      <c r="M511" s="15"/>
      <c r="N511" s="15"/>
      <c r="O511" s="15"/>
      <c r="P511" s="15"/>
      <c r="Q511" s="15"/>
      <c r="R511" s="15"/>
      <c r="S511" s="15"/>
      <c r="T511" s="15"/>
      <c r="U511" s="15"/>
      <c r="V511" s="15"/>
      <c r="W511" s="15"/>
      <c r="X511" s="14"/>
      <c r="Y511" s="14"/>
      <c r="Z511" s="15"/>
      <c r="AA511" s="15"/>
      <c r="AB511" s="3"/>
      <c r="AC511" s="3"/>
      <c r="AD511" s="3"/>
      <c r="AE511" s="3"/>
      <c r="AF511" s="3"/>
      <c r="AG511" s="3"/>
      <c r="AH511" s="3"/>
      <c r="AI511" s="3"/>
      <c r="AJ511" s="154" t="s">
        <v>70</v>
      </c>
      <c r="AN511" s="154" t="s">
        <v>70</v>
      </c>
    </row>
    <row r="512" ht="15.75" customHeight="1">
      <c r="J512" s="15"/>
      <c r="K512" s="238"/>
      <c r="L512" s="15"/>
      <c r="M512" s="15"/>
      <c r="N512" s="15"/>
      <c r="O512" s="15"/>
      <c r="P512" s="15"/>
      <c r="Q512" s="15"/>
      <c r="R512" s="15"/>
      <c r="S512" s="15"/>
      <c r="T512" s="15"/>
      <c r="U512" s="15"/>
      <c r="V512" s="15"/>
      <c r="W512" s="15"/>
      <c r="X512" s="14"/>
      <c r="Y512" s="14"/>
      <c r="Z512" s="15"/>
      <c r="AA512" s="15"/>
      <c r="AB512" s="3"/>
      <c r="AC512" s="3"/>
      <c r="AD512" s="3"/>
      <c r="AE512" s="3"/>
      <c r="AF512" s="3"/>
      <c r="AG512" s="3"/>
      <c r="AH512" s="3"/>
      <c r="AI512" s="3"/>
      <c r="AJ512" s="154" t="s">
        <v>70</v>
      </c>
      <c r="AN512" s="154" t="s">
        <v>70</v>
      </c>
    </row>
    <row r="513" ht="15.75" customHeight="1">
      <c r="J513" s="15"/>
      <c r="K513" s="238"/>
      <c r="L513" s="15"/>
      <c r="M513" s="15"/>
      <c r="N513" s="15"/>
      <c r="O513" s="15"/>
      <c r="P513" s="15"/>
      <c r="Q513" s="15"/>
      <c r="R513" s="15"/>
      <c r="S513" s="15"/>
      <c r="T513" s="15"/>
      <c r="U513" s="15"/>
      <c r="V513" s="15"/>
      <c r="W513" s="15"/>
      <c r="X513" s="14"/>
      <c r="Y513" s="14"/>
      <c r="Z513" s="15"/>
      <c r="AA513" s="15"/>
      <c r="AB513" s="3"/>
      <c r="AC513" s="3"/>
      <c r="AD513" s="3"/>
      <c r="AE513" s="3"/>
      <c r="AF513" s="3"/>
      <c r="AG513" s="3"/>
      <c r="AH513" s="3"/>
      <c r="AI513" s="3"/>
      <c r="AJ513" s="154" t="s">
        <v>70</v>
      </c>
      <c r="AN513" s="154" t="s">
        <v>70</v>
      </c>
    </row>
    <row r="514" ht="15.75" customHeight="1">
      <c r="J514" s="15"/>
      <c r="K514" s="238"/>
      <c r="L514" s="15"/>
      <c r="M514" s="15"/>
      <c r="N514" s="15"/>
      <c r="O514" s="15"/>
      <c r="P514" s="15"/>
      <c r="Q514" s="15"/>
      <c r="R514" s="15"/>
      <c r="S514" s="15"/>
      <c r="T514" s="15"/>
      <c r="U514" s="15"/>
      <c r="V514" s="15"/>
      <c r="W514" s="15"/>
      <c r="X514" s="14"/>
      <c r="Y514" s="14"/>
      <c r="Z514" s="15"/>
      <c r="AA514" s="15"/>
      <c r="AB514" s="3"/>
      <c r="AC514" s="3"/>
      <c r="AD514" s="3"/>
      <c r="AE514" s="3"/>
      <c r="AF514" s="3"/>
      <c r="AG514" s="3"/>
      <c r="AH514" s="3"/>
      <c r="AI514" s="3"/>
      <c r="AJ514" s="154" t="s">
        <v>70</v>
      </c>
      <c r="AN514" s="154" t="s">
        <v>70</v>
      </c>
    </row>
    <row r="515" ht="15.75" customHeight="1">
      <c r="J515" s="15"/>
      <c r="K515" s="238"/>
      <c r="L515" s="15"/>
      <c r="M515" s="15"/>
      <c r="N515" s="15"/>
      <c r="O515" s="15"/>
      <c r="P515" s="15"/>
      <c r="Q515" s="15"/>
      <c r="R515" s="15"/>
      <c r="S515" s="15"/>
      <c r="T515" s="15"/>
      <c r="U515" s="15"/>
      <c r="V515" s="15"/>
      <c r="W515" s="15"/>
      <c r="X515" s="14"/>
      <c r="Y515" s="14"/>
      <c r="Z515" s="15"/>
      <c r="AA515" s="15"/>
      <c r="AB515" s="3"/>
      <c r="AC515" s="3"/>
      <c r="AD515" s="3"/>
      <c r="AE515" s="3"/>
      <c r="AF515" s="3"/>
      <c r="AG515" s="3"/>
      <c r="AH515" s="3"/>
      <c r="AI515" s="3"/>
      <c r="AJ515" s="154" t="s">
        <v>70</v>
      </c>
      <c r="AN515" s="154" t="s">
        <v>70</v>
      </c>
    </row>
    <row r="516" ht="15.75" customHeight="1">
      <c r="J516" s="15"/>
      <c r="K516" s="238"/>
      <c r="L516" s="15"/>
      <c r="M516" s="15"/>
      <c r="N516" s="15"/>
      <c r="O516" s="15"/>
      <c r="P516" s="15"/>
      <c r="Q516" s="15"/>
      <c r="R516" s="15"/>
      <c r="S516" s="15"/>
      <c r="T516" s="15"/>
      <c r="U516" s="15"/>
      <c r="V516" s="15"/>
      <c r="W516" s="15"/>
      <c r="X516" s="14"/>
      <c r="Y516" s="14"/>
      <c r="Z516" s="15"/>
      <c r="AA516" s="15"/>
      <c r="AB516" s="3"/>
      <c r="AC516" s="3"/>
      <c r="AD516" s="3"/>
      <c r="AE516" s="3"/>
      <c r="AF516" s="3"/>
      <c r="AG516" s="3"/>
      <c r="AH516" s="3"/>
      <c r="AI516" s="3"/>
      <c r="AJ516" s="154" t="s">
        <v>70</v>
      </c>
      <c r="AN516" s="154" t="s">
        <v>70</v>
      </c>
    </row>
    <row r="517" ht="15.75" customHeight="1">
      <c r="J517" s="15"/>
      <c r="K517" s="238"/>
      <c r="L517" s="15"/>
      <c r="M517" s="15"/>
      <c r="N517" s="15"/>
      <c r="O517" s="15"/>
      <c r="P517" s="15"/>
      <c r="Q517" s="15"/>
      <c r="R517" s="15"/>
      <c r="S517" s="15"/>
      <c r="T517" s="15"/>
      <c r="U517" s="15"/>
      <c r="V517" s="15"/>
      <c r="W517" s="15"/>
      <c r="X517" s="14"/>
      <c r="Y517" s="14"/>
      <c r="Z517" s="15"/>
      <c r="AA517" s="15"/>
      <c r="AB517" s="3"/>
      <c r="AC517" s="3"/>
      <c r="AD517" s="3"/>
      <c r="AE517" s="3"/>
      <c r="AF517" s="3"/>
      <c r="AG517" s="3"/>
      <c r="AH517" s="3"/>
      <c r="AI517" s="3"/>
      <c r="AJ517" s="154" t="s">
        <v>70</v>
      </c>
      <c r="AN517" s="154" t="s">
        <v>70</v>
      </c>
    </row>
    <row r="518" ht="15.75" customHeight="1">
      <c r="J518" s="15"/>
      <c r="K518" s="238"/>
      <c r="L518" s="15"/>
      <c r="M518" s="15"/>
      <c r="N518" s="15"/>
      <c r="O518" s="15"/>
      <c r="P518" s="15"/>
      <c r="Q518" s="15"/>
      <c r="R518" s="15"/>
      <c r="S518" s="15"/>
      <c r="T518" s="15"/>
      <c r="U518" s="15"/>
      <c r="V518" s="15"/>
      <c r="W518" s="15"/>
      <c r="X518" s="14"/>
      <c r="Y518" s="14"/>
      <c r="Z518" s="15"/>
      <c r="AA518" s="15"/>
      <c r="AB518" s="3"/>
      <c r="AC518" s="3"/>
      <c r="AD518" s="3"/>
      <c r="AE518" s="3"/>
      <c r="AF518" s="3"/>
      <c r="AG518" s="3"/>
      <c r="AH518" s="3"/>
      <c r="AI518" s="3"/>
      <c r="AJ518" s="154" t="s">
        <v>70</v>
      </c>
      <c r="AN518" s="154" t="s">
        <v>70</v>
      </c>
    </row>
    <row r="519" ht="15.75" customHeight="1">
      <c r="J519" s="15"/>
      <c r="K519" s="238"/>
      <c r="L519" s="15"/>
      <c r="M519" s="15"/>
      <c r="N519" s="15"/>
      <c r="O519" s="15"/>
      <c r="P519" s="15"/>
      <c r="Q519" s="15"/>
      <c r="R519" s="15"/>
      <c r="S519" s="15"/>
      <c r="T519" s="15"/>
      <c r="U519" s="15"/>
      <c r="V519" s="15"/>
      <c r="W519" s="15"/>
      <c r="X519" s="14"/>
      <c r="Y519" s="14"/>
      <c r="Z519" s="15"/>
      <c r="AA519" s="15"/>
      <c r="AB519" s="3"/>
      <c r="AC519" s="3"/>
      <c r="AD519" s="3"/>
      <c r="AE519" s="3"/>
      <c r="AF519" s="3"/>
      <c r="AG519" s="3"/>
      <c r="AH519" s="3"/>
      <c r="AI519" s="3"/>
      <c r="AJ519" s="154" t="s">
        <v>70</v>
      </c>
      <c r="AN519" s="154" t="s">
        <v>70</v>
      </c>
    </row>
    <row r="520" ht="15.75" customHeight="1">
      <c r="J520" s="15"/>
      <c r="K520" s="238"/>
      <c r="L520" s="15"/>
      <c r="M520" s="15"/>
      <c r="N520" s="15"/>
      <c r="O520" s="15"/>
      <c r="P520" s="15"/>
      <c r="Q520" s="15"/>
      <c r="R520" s="15"/>
      <c r="S520" s="15"/>
      <c r="T520" s="15"/>
      <c r="U520" s="15"/>
      <c r="V520" s="15"/>
      <c r="W520" s="15"/>
      <c r="X520" s="14"/>
      <c r="Y520" s="14"/>
      <c r="Z520" s="15"/>
      <c r="AA520" s="15"/>
      <c r="AB520" s="3"/>
      <c r="AC520" s="3"/>
      <c r="AD520" s="3"/>
      <c r="AE520" s="3"/>
      <c r="AF520" s="3"/>
      <c r="AG520" s="3"/>
      <c r="AH520" s="3"/>
      <c r="AI520" s="3"/>
      <c r="AJ520" s="154" t="s">
        <v>70</v>
      </c>
      <c r="AN520" s="154" t="s">
        <v>70</v>
      </c>
    </row>
    <row r="521" ht="15.75" customHeight="1">
      <c r="J521" s="15"/>
      <c r="K521" s="238"/>
      <c r="L521" s="15"/>
      <c r="M521" s="15"/>
      <c r="N521" s="15"/>
      <c r="O521" s="15"/>
      <c r="P521" s="15"/>
      <c r="Q521" s="15"/>
      <c r="R521" s="15"/>
      <c r="S521" s="15"/>
      <c r="T521" s="15"/>
      <c r="U521" s="15"/>
      <c r="V521" s="15"/>
      <c r="W521" s="15"/>
      <c r="X521" s="14"/>
      <c r="Y521" s="14"/>
      <c r="Z521" s="15"/>
      <c r="AA521" s="15"/>
      <c r="AB521" s="3"/>
      <c r="AC521" s="3"/>
      <c r="AD521" s="3"/>
      <c r="AE521" s="3"/>
      <c r="AF521" s="3"/>
      <c r="AG521" s="3"/>
      <c r="AH521" s="3"/>
      <c r="AI521" s="3"/>
      <c r="AJ521" s="154" t="s">
        <v>70</v>
      </c>
      <c r="AN521" s="154" t="s">
        <v>70</v>
      </c>
    </row>
    <row r="522" ht="15.75" customHeight="1">
      <c r="J522" s="15"/>
      <c r="K522" s="238"/>
      <c r="L522" s="15"/>
      <c r="M522" s="15"/>
      <c r="N522" s="15"/>
      <c r="O522" s="15"/>
      <c r="P522" s="15"/>
      <c r="Q522" s="15"/>
      <c r="R522" s="15"/>
      <c r="S522" s="15"/>
      <c r="T522" s="15"/>
      <c r="U522" s="15"/>
      <c r="V522" s="15"/>
      <c r="W522" s="15"/>
      <c r="X522" s="14"/>
      <c r="Y522" s="14"/>
      <c r="Z522" s="15"/>
      <c r="AA522" s="15"/>
      <c r="AB522" s="3"/>
      <c r="AC522" s="3"/>
      <c r="AD522" s="3"/>
      <c r="AE522" s="3"/>
      <c r="AF522" s="3"/>
      <c r="AG522" s="3"/>
      <c r="AH522" s="3"/>
      <c r="AI522" s="3"/>
      <c r="AJ522" s="154" t="s">
        <v>70</v>
      </c>
      <c r="AN522" s="154" t="s">
        <v>70</v>
      </c>
    </row>
    <row r="523" ht="15.75" customHeight="1">
      <c r="J523" s="15"/>
      <c r="K523" s="238"/>
      <c r="L523" s="15"/>
      <c r="M523" s="15"/>
      <c r="N523" s="15"/>
      <c r="O523" s="15"/>
      <c r="P523" s="15"/>
      <c r="Q523" s="15"/>
      <c r="R523" s="15"/>
      <c r="S523" s="15"/>
      <c r="T523" s="15"/>
      <c r="U523" s="15"/>
      <c r="V523" s="15"/>
      <c r="W523" s="15"/>
      <c r="X523" s="14"/>
      <c r="Y523" s="14"/>
      <c r="Z523" s="15"/>
      <c r="AA523" s="15"/>
      <c r="AB523" s="3"/>
      <c r="AC523" s="3"/>
      <c r="AD523" s="3"/>
      <c r="AE523" s="3"/>
      <c r="AF523" s="3"/>
      <c r="AG523" s="3"/>
      <c r="AH523" s="3"/>
      <c r="AI523" s="3"/>
      <c r="AJ523" s="154" t="s">
        <v>70</v>
      </c>
      <c r="AN523" s="154" t="s">
        <v>70</v>
      </c>
    </row>
    <row r="524" ht="15.75" customHeight="1">
      <c r="J524" s="15"/>
      <c r="K524" s="238"/>
      <c r="L524" s="15"/>
      <c r="M524" s="15"/>
      <c r="N524" s="15"/>
      <c r="O524" s="15"/>
      <c r="P524" s="15"/>
      <c r="Q524" s="15"/>
      <c r="R524" s="15"/>
      <c r="S524" s="15"/>
      <c r="T524" s="15"/>
      <c r="U524" s="15"/>
      <c r="V524" s="15"/>
      <c r="W524" s="15"/>
      <c r="X524" s="14"/>
      <c r="Y524" s="14"/>
      <c r="Z524" s="15"/>
      <c r="AA524" s="15"/>
      <c r="AB524" s="3"/>
      <c r="AC524" s="3"/>
      <c r="AD524" s="3"/>
      <c r="AE524" s="3"/>
      <c r="AF524" s="3"/>
      <c r="AG524" s="3"/>
      <c r="AH524" s="3"/>
      <c r="AI524" s="3"/>
      <c r="AJ524" s="154" t="s">
        <v>70</v>
      </c>
      <c r="AN524" s="154" t="s">
        <v>70</v>
      </c>
    </row>
    <row r="525" ht="15.75" customHeight="1">
      <c r="J525" s="15"/>
      <c r="K525" s="238"/>
      <c r="L525" s="15"/>
      <c r="M525" s="15"/>
      <c r="N525" s="15"/>
      <c r="O525" s="15"/>
      <c r="P525" s="15"/>
      <c r="Q525" s="15"/>
      <c r="R525" s="15"/>
      <c r="S525" s="15"/>
      <c r="T525" s="15"/>
      <c r="U525" s="15"/>
      <c r="V525" s="15"/>
      <c r="W525" s="15"/>
      <c r="X525" s="14"/>
      <c r="Y525" s="14"/>
      <c r="Z525" s="15"/>
      <c r="AA525" s="15"/>
      <c r="AB525" s="3"/>
      <c r="AC525" s="3"/>
      <c r="AD525" s="3"/>
      <c r="AE525" s="3"/>
      <c r="AF525" s="3"/>
      <c r="AG525" s="3"/>
      <c r="AH525" s="3"/>
      <c r="AI525" s="3"/>
      <c r="AJ525" s="154" t="s">
        <v>70</v>
      </c>
      <c r="AN525" s="154" t="s">
        <v>70</v>
      </c>
    </row>
    <row r="526" ht="15.75" customHeight="1">
      <c r="J526" s="15"/>
      <c r="K526" s="238"/>
      <c r="L526" s="15"/>
      <c r="M526" s="15"/>
      <c r="N526" s="15"/>
      <c r="O526" s="15"/>
      <c r="P526" s="15"/>
      <c r="Q526" s="15"/>
      <c r="R526" s="15"/>
      <c r="S526" s="15"/>
      <c r="T526" s="15"/>
      <c r="U526" s="15"/>
      <c r="V526" s="15"/>
      <c r="W526" s="15"/>
      <c r="X526" s="14"/>
      <c r="Y526" s="14"/>
      <c r="Z526" s="15"/>
      <c r="AA526" s="15"/>
      <c r="AB526" s="3"/>
      <c r="AC526" s="3"/>
      <c r="AD526" s="3"/>
      <c r="AE526" s="3"/>
      <c r="AF526" s="3"/>
      <c r="AG526" s="3"/>
      <c r="AH526" s="3"/>
      <c r="AI526" s="3"/>
      <c r="AJ526" s="154" t="s">
        <v>70</v>
      </c>
      <c r="AN526" s="154" t="s">
        <v>70</v>
      </c>
    </row>
    <row r="527" ht="15.75" customHeight="1">
      <c r="J527" s="15"/>
      <c r="K527" s="238"/>
      <c r="L527" s="15"/>
      <c r="M527" s="15"/>
      <c r="N527" s="15"/>
      <c r="O527" s="15"/>
      <c r="P527" s="15"/>
      <c r="Q527" s="15"/>
      <c r="R527" s="15"/>
      <c r="S527" s="15"/>
      <c r="T527" s="15"/>
      <c r="U527" s="15"/>
      <c r="V527" s="15"/>
      <c r="W527" s="15"/>
      <c r="X527" s="14"/>
      <c r="Y527" s="14"/>
      <c r="Z527" s="15"/>
      <c r="AA527" s="15"/>
      <c r="AB527" s="3"/>
      <c r="AC527" s="3"/>
      <c r="AD527" s="3"/>
      <c r="AE527" s="3"/>
      <c r="AF527" s="3"/>
      <c r="AG527" s="3"/>
      <c r="AH527" s="3"/>
      <c r="AI527" s="3"/>
      <c r="AJ527" s="154" t="s">
        <v>70</v>
      </c>
      <c r="AN527" s="154" t="s">
        <v>70</v>
      </c>
    </row>
    <row r="528" ht="15.75" customHeight="1">
      <c r="J528" s="15"/>
      <c r="K528" s="238"/>
      <c r="L528" s="15"/>
      <c r="M528" s="15"/>
      <c r="N528" s="15"/>
      <c r="O528" s="15"/>
      <c r="P528" s="15"/>
      <c r="Q528" s="15"/>
      <c r="R528" s="15"/>
      <c r="S528" s="15"/>
      <c r="T528" s="15"/>
      <c r="U528" s="15"/>
      <c r="V528" s="15"/>
      <c r="W528" s="15"/>
      <c r="X528" s="14"/>
      <c r="Y528" s="14"/>
      <c r="Z528" s="15"/>
      <c r="AA528" s="15"/>
      <c r="AB528" s="3"/>
      <c r="AC528" s="3"/>
      <c r="AD528" s="3"/>
      <c r="AE528" s="3"/>
      <c r="AF528" s="3"/>
      <c r="AG528" s="3"/>
      <c r="AH528" s="3"/>
      <c r="AI528" s="3"/>
      <c r="AJ528" s="154" t="s">
        <v>70</v>
      </c>
      <c r="AN528" s="154" t="s">
        <v>70</v>
      </c>
    </row>
    <row r="529" ht="15.75" customHeight="1">
      <c r="J529" s="15"/>
      <c r="K529" s="238"/>
      <c r="L529" s="15"/>
      <c r="M529" s="15"/>
      <c r="N529" s="15"/>
      <c r="O529" s="15"/>
      <c r="P529" s="15"/>
      <c r="Q529" s="15"/>
      <c r="R529" s="15"/>
      <c r="S529" s="15"/>
      <c r="T529" s="15"/>
      <c r="U529" s="15"/>
      <c r="V529" s="15"/>
      <c r="W529" s="15"/>
      <c r="X529" s="14"/>
      <c r="Y529" s="14"/>
      <c r="Z529" s="15"/>
      <c r="AA529" s="15"/>
      <c r="AB529" s="3"/>
      <c r="AC529" s="3"/>
      <c r="AD529" s="3"/>
      <c r="AE529" s="3"/>
      <c r="AF529" s="3"/>
      <c r="AG529" s="3"/>
      <c r="AH529" s="3"/>
      <c r="AI529" s="3"/>
      <c r="AJ529" s="154" t="s">
        <v>70</v>
      </c>
      <c r="AN529" s="154" t="s">
        <v>70</v>
      </c>
    </row>
    <row r="530" ht="15.75" customHeight="1">
      <c r="J530" s="15"/>
      <c r="K530" s="238"/>
      <c r="L530" s="15"/>
      <c r="M530" s="15"/>
      <c r="N530" s="15"/>
      <c r="O530" s="15"/>
      <c r="P530" s="15"/>
      <c r="Q530" s="15"/>
      <c r="R530" s="15"/>
      <c r="S530" s="15"/>
      <c r="T530" s="15"/>
      <c r="U530" s="15"/>
      <c r="V530" s="15"/>
      <c r="W530" s="15"/>
      <c r="X530" s="14"/>
      <c r="Y530" s="14"/>
      <c r="Z530" s="15"/>
      <c r="AA530" s="15"/>
      <c r="AB530" s="3"/>
      <c r="AC530" s="3"/>
      <c r="AD530" s="3"/>
      <c r="AE530" s="3"/>
      <c r="AF530" s="3"/>
      <c r="AG530" s="3"/>
      <c r="AH530" s="3"/>
      <c r="AI530" s="3"/>
      <c r="AJ530" s="154" t="s">
        <v>70</v>
      </c>
      <c r="AN530" s="154" t="s">
        <v>70</v>
      </c>
    </row>
    <row r="531" ht="15.75" customHeight="1">
      <c r="J531" s="15"/>
      <c r="K531" s="238"/>
      <c r="L531" s="15"/>
      <c r="M531" s="15"/>
      <c r="N531" s="15"/>
      <c r="O531" s="15"/>
      <c r="P531" s="15"/>
      <c r="Q531" s="15"/>
      <c r="R531" s="15"/>
      <c r="S531" s="15"/>
      <c r="T531" s="15"/>
      <c r="U531" s="15"/>
      <c r="V531" s="15"/>
      <c r="W531" s="15"/>
      <c r="X531" s="14"/>
      <c r="Y531" s="14"/>
      <c r="Z531" s="15"/>
      <c r="AA531" s="15"/>
      <c r="AB531" s="3"/>
      <c r="AC531" s="3"/>
      <c r="AD531" s="3"/>
      <c r="AE531" s="3"/>
      <c r="AF531" s="3"/>
      <c r="AG531" s="3"/>
      <c r="AH531" s="3"/>
      <c r="AI531" s="3"/>
      <c r="AJ531" s="154" t="s">
        <v>70</v>
      </c>
      <c r="AN531" s="154" t="s">
        <v>70</v>
      </c>
    </row>
    <row r="532" ht="15.75" customHeight="1">
      <c r="J532" s="15"/>
      <c r="K532" s="238"/>
      <c r="L532" s="15"/>
      <c r="M532" s="15"/>
      <c r="N532" s="15"/>
      <c r="O532" s="15"/>
      <c r="P532" s="15"/>
      <c r="Q532" s="15"/>
      <c r="R532" s="15"/>
      <c r="S532" s="15"/>
      <c r="T532" s="15"/>
      <c r="U532" s="15"/>
      <c r="V532" s="15"/>
      <c r="W532" s="15"/>
      <c r="X532" s="14"/>
      <c r="Y532" s="14"/>
      <c r="Z532" s="15"/>
      <c r="AA532" s="15"/>
      <c r="AB532" s="3"/>
      <c r="AC532" s="3"/>
      <c r="AD532" s="3"/>
      <c r="AE532" s="3"/>
      <c r="AF532" s="3"/>
      <c r="AG532" s="3"/>
      <c r="AH532" s="3"/>
      <c r="AI532" s="3"/>
      <c r="AJ532" s="154" t="s">
        <v>70</v>
      </c>
      <c r="AN532" s="154" t="s">
        <v>70</v>
      </c>
    </row>
    <row r="533" ht="15.75" customHeight="1">
      <c r="J533" s="15"/>
      <c r="K533" s="238"/>
      <c r="L533" s="15"/>
      <c r="M533" s="15"/>
      <c r="N533" s="15"/>
      <c r="O533" s="15"/>
      <c r="P533" s="15"/>
      <c r="Q533" s="15"/>
      <c r="R533" s="15"/>
      <c r="S533" s="15"/>
      <c r="T533" s="15"/>
      <c r="U533" s="15"/>
      <c r="V533" s="15"/>
      <c r="W533" s="15"/>
      <c r="X533" s="14"/>
      <c r="Y533" s="14"/>
      <c r="Z533" s="15"/>
      <c r="AA533" s="15"/>
      <c r="AB533" s="3"/>
      <c r="AC533" s="3"/>
      <c r="AD533" s="3"/>
      <c r="AE533" s="3"/>
      <c r="AF533" s="3"/>
      <c r="AG533" s="3"/>
      <c r="AH533" s="3"/>
      <c r="AI533" s="3"/>
      <c r="AJ533" s="154" t="s">
        <v>70</v>
      </c>
      <c r="AN533" s="154" t="s">
        <v>70</v>
      </c>
    </row>
    <row r="534" ht="15.75" customHeight="1">
      <c r="J534" s="15"/>
      <c r="K534" s="238"/>
      <c r="L534" s="15"/>
      <c r="M534" s="15"/>
      <c r="N534" s="15"/>
      <c r="O534" s="15"/>
      <c r="P534" s="15"/>
      <c r="Q534" s="15"/>
      <c r="R534" s="15"/>
      <c r="S534" s="15"/>
      <c r="T534" s="15"/>
      <c r="U534" s="15"/>
      <c r="V534" s="15"/>
      <c r="W534" s="15"/>
      <c r="X534" s="14"/>
      <c r="Y534" s="14"/>
      <c r="Z534" s="15"/>
      <c r="AA534" s="15"/>
      <c r="AB534" s="3"/>
      <c r="AC534" s="3"/>
      <c r="AD534" s="3"/>
      <c r="AE534" s="3"/>
      <c r="AF534" s="3"/>
      <c r="AG534" s="3"/>
      <c r="AH534" s="3"/>
      <c r="AI534" s="3"/>
      <c r="AJ534" s="154" t="s">
        <v>70</v>
      </c>
      <c r="AN534" s="154" t="s">
        <v>70</v>
      </c>
    </row>
    <row r="535" ht="15.75" customHeight="1">
      <c r="J535" s="15"/>
      <c r="K535" s="238"/>
      <c r="L535" s="15"/>
      <c r="M535" s="15"/>
      <c r="N535" s="15"/>
      <c r="O535" s="15"/>
      <c r="P535" s="15"/>
      <c r="Q535" s="15"/>
      <c r="R535" s="15"/>
      <c r="S535" s="15"/>
      <c r="T535" s="15"/>
      <c r="U535" s="15"/>
      <c r="V535" s="15"/>
      <c r="W535" s="15"/>
      <c r="X535" s="14"/>
      <c r="Y535" s="14"/>
      <c r="Z535" s="15"/>
      <c r="AA535" s="15"/>
      <c r="AB535" s="3"/>
      <c r="AC535" s="3"/>
      <c r="AD535" s="3"/>
      <c r="AE535" s="3"/>
      <c r="AF535" s="3"/>
      <c r="AG535" s="3"/>
      <c r="AH535" s="3"/>
      <c r="AI535" s="3"/>
      <c r="AJ535" s="154" t="s">
        <v>70</v>
      </c>
      <c r="AN535" s="154" t="s">
        <v>70</v>
      </c>
    </row>
    <row r="536" ht="15.75" customHeight="1">
      <c r="J536" s="15"/>
      <c r="K536" s="238"/>
      <c r="L536" s="15"/>
      <c r="M536" s="15"/>
      <c r="N536" s="15"/>
      <c r="O536" s="15"/>
      <c r="P536" s="15"/>
      <c r="Q536" s="15"/>
      <c r="R536" s="15"/>
      <c r="S536" s="15"/>
      <c r="T536" s="15"/>
      <c r="U536" s="15"/>
      <c r="V536" s="15"/>
      <c r="W536" s="15"/>
      <c r="X536" s="14"/>
      <c r="Y536" s="14"/>
      <c r="Z536" s="15"/>
      <c r="AA536" s="15"/>
      <c r="AB536" s="3"/>
      <c r="AC536" s="3"/>
      <c r="AD536" s="3"/>
      <c r="AE536" s="3"/>
      <c r="AF536" s="3"/>
      <c r="AG536" s="3"/>
      <c r="AH536" s="3"/>
      <c r="AI536" s="3"/>
      <c r="AJ536" s="154" t="s">
        <v>70</v>
      </c>
      <c r="AN536" s="154" t="s">
        <v>70</v>
      </c>
    </row>
    <row r="537" ht="15.75" customHeight="1">
      <c r="J537" s="15"/>
      <c r="K537" s="238"/>
      <c r="L537" s="15"/>
      <c r="M537" s="15"/>
      <c r="N537" s="15"/>
      <c r="O537" s="15"/>
      <c r="P537" s="15"/>
      <c r="Q537" s="15"/>
      <c r="R537" s="15"/>
      <c r="S537" s="15"/>
      <c r="T537" s="15"/>
      <c r="U537" s="15"/>
      <c r="V537" s="15"/>
      <c r="W537" s="15"/>
      <c r="X537" s="14"/>
      <c r="Y537" s="14"/>
      <c r="Z537" s="15"/>
      <c r="AA537" s="15"/>
      <c r="AB537" s="3"/>
      <c r="AC537" s="3"/>
      <c r="AD537" s="3"/>
      <c r="AE537" s="3"/>
      <c r="AF537" s="3"/>
      <c r="AG537" s="3"/>
      <c r="AH537" s="3"/>
      <c r="AI537" s="3"/>
      <c r="AJ537" s="154" t="s">
        <v>70</v>
      </c>
      <c r="AN537" s="154" t="s">
        <v>70</v>
      </c>
    </row>
    <row r="538" ht="15.75" customHeight="1">
      <c r="J538" s="15"/>
      <c r="K538" s="238"/>
      <c r="L538" s="15"/>
      <c r="M538" s="15"/>
      <c r="N538" s="15"/>
      <c r="O538" s="15"/>
      <c r="P538" s="15"/>
      <c r="Q538" s="15"/>
      <c r="R538" s="15"/>
      <c r="S538" s="15"/>
      <c r="T538" s="15"/>
      <c r="U538" s="15"/>
      <c r="V538" s="15"/>
      <c r="W538" s="15"/>
      <c r="X538" s="14"/>
      <c r="Y538" s="14"/>
      <c r="Z538" s="15"/>
      <c r="AA538" s="15"/>
      <c r="AB538" s="3"/>
      <c r="AC538" s="3"/>
      <c r="AD538" s="3"/>
      <c r="AE538" s="3"/>
      <c r="AF538" s="3"/>
      <c r="AG538" s="3"/>
      <c r="AH538" s="3"/>
      <c r="AI538" s="3"/>
      <c r="AJ538" s="154" t="s">
        <v>70</v>
      </c>
      <c r="AN538" s="154" t="s">
        <v>70</v>
      </c>
    </row>
    <row r="539" ht="15.75" customHeight="1">
      <c r="J539" s="15"/>
      <c r="K539" s="238"/>
      <c r="L539" s="15"/>
      <c r="M539" s="15"/>
      <c r="N539" s="15"/>
      <c r="O539" s="15"/>
      <c r="P539" s="15"/>
      <c r="Q539" s="15"/>
      <c r="R539" s="15"/>
      <c r="S539" s="15"/>
      <c r="T539" s="15"/>
      <c r="U539" s="15"/>
      <c r="V539" s="15"/>
      <c r="W539" s="15"/>
      <c r="X539" s="14"/>
      <c r="Y539" s="14"/>
      <c r="Z539" s="15"/>
      <c r="AA539" s="15"/>
      <c r="AB539" s="3"/>
      <c r="AC539" s="3"/>
      <c r="AD539" s="3"/>
      <c r="AE539" s="3"/>
      <c r="AF539" s="3"/>
      <c r="AG539" s="3"/>
      <c r="AH539" s="3"/>
      <c r="AI539" s="3"/>
      <c r="AJ539" s="154" t="s">
        <v>70</v>
      </c>
      <c r="AN539" s="154" t="s">
        <v>70</v>
      </c>
    </row>
    <row r="540" ht="15.75" customHeight="1">
      <c r="J540" s="15"/>
      <c r="K540" s="238"/>
      <c r="L540" s="15"/>
      <c r="M540" s="15"/>
      <c r="N540" s="15"/>
      <c r="O540" s="15"/>
      <c r="P540" s="15"/>
      <c r="Q540" s="15"/>
      <c r="R540" s="15"/>
      <c r="S540" s="15"/>
      <c r="T540" s="15"/>
      <c r="U540" s="15"/>
      <c r="V540" s="15"/>
      <c r="W540" s="15"/>
      <c r="X540" s="14"/>
      <c r="Y540" s="14"/>
      <c r="Z540" s="15"/>
      <c r="AA540" s="15"/>
      <c r="AB540" s="3"/>
      <c r="AC540" s="3"/>
      <c r="AD540" s="3"/>
      <c r="AE540" s="3"/>
      <c r="AF540" s="3"/>
      <c r="AG540" s="3"/>
      <c r="AH540" s="3"/>
      <c r="AI540" s="3"/>
      <c r="AJ540" s="154" t="s">
        <v>70</v>
      </c>
      <c r="AN540" s="154" t="s">
        <v>70</v>
      </c>
    </row>
    <row r="541" ht="15.75" customHeight="1">
      <c r="J541" s="15"/>
      <c r="K541" s="238"/>
      <c r="L541" s="15"/>
      <c r="M541" s="15"/>
      <c r="N541" s="15"/>
      <c r="O541" s="15"/>
      <c r="P541" s="15"/>
      <c r="Q541" s="15"/>
      <c r="R541" s="15"/>
      <c r="S541" s="15"/>
      <c r="T541" s="15"/>
      <c r="U541" s="15"/>
      <c r="V541" s="15"/>
      <c r="W541" s="15"/>
      <c r="X541" s="14"/>
      <c r="Y541" s="14"/>
      <c r="Z541" s="15"/>
      <c r="AA541" s="15"/>
      <c r="AB541" s="3"/>
      <c r="AC541" s="3"/>
      <c r="AD541" s="3"/>
      <c r="AE541" s="3"/>
      <c r="AF541" s="3"/>
      <c r="AG541" s="3"/>
      <c r="AH541" s="3"/>
      <c r="AI541" s="3"/>
      <c r="AJ541" s="154" t="s">
        <v>70</v>
      </c>
      <c r="AN541" s="154" t="s">
        <v>70</v>
      </c>
    </row>
    <row r="542" ht="15.75" customHeight="1">
      <c r="J542" s="15"/>
      <c r="K542" s="238"/>
      <c r="L542" s="15"/>
      <c r="M542" s="15"/>
      <c r="N542" s="15"/>
      <c r="O542" s="15"/>
      <c r="P542" s="15"/>
      <c r="Q542" s="15"/>
      <c r="R542" s="15"/>
      <c r="S542" s="15"/>
      <c r="T542" s="15"/>
      <c r="U542" s="15"/>
      <c r="V542" s="15"/>
      <c r="W542" s="15"/>
      <c r="X542" s="14"/>
      <c r="Y542" s="14"/>
      <c r="Z542" s="15"/>
      <c r="AA542" s="15"/>
      <c r="AB542" s="3"/>
      <c r="AC542" s="3"/>
      <c r="AD542" s="3"/>
      <c r="AE542" s="3"/>
      <c r="AF542" s="3"/>
      <c r="AG542" s="3"/>
      <c r="AH542" s="3"/>
      <c r="AI542" s="3"/>
      <c r="AJ542" s="154" t="s">
        <v>70</v>
      </c>
      <c r="AN542" s="154" t="s">
        <v>70</v>
      </c>
    </row>
    <row r="543" ht="15.75" customHeight="1">
      <c r="J543" s="15"/>
      <c r="K543" s="238"/>
      <c r="L543" s="15"/>
      <c r="M543" s="15"/>
      <c r="N543" s="15"/>
      <c r="O543" s="15"/>
      <c r="P543" s="15"/>
      <c r="Q543" s="15"/>
      <c r="R543" s="15"/>
      <c r="S543" s="15"/>
      <c r="T543" s="15"/>
      <c r="U543" s="15"/>
      <c r="V543" s="15"/>
      <c r="W543" s="15"/>
      <c r="X543" s="14"/>
      <c r="Y543" s="14"/>
      <c r="Z543" s="15"/>
      <c r="AA543" s="15"/>
      <c r="AB543" s="3"/>
      <c r="AC543" s="3"/>
      <c r="AD543" s="3"/>
      <c r="AE543" s="3"/>
      <c r="AF543" s="3"/>
      <c r="AG543" s="3"/>
      <c r="AH543" s="3"/>
      <c r="AI543" s="3"/>
      <c r="AJ543" s="154" t="s">
        <v>70</v>
      </c>
      <c r="AN543" s="154" t="s">
        <v>70</v>
      </c>
    </row>
    <row r="544" ht="15.75" customHeight="1">
      <c r="J544" s="15"/>
      <c r="K544" s="238"/>
      <c r="L544" s="15"/>
      <c r="M544" s="15"/>
      <c r="N544" s="15"/>
      <c r="O544" s="15"/>
      <c r="P544" s="15"/>
      <c r="Q544" s="15"/>
      <c r="R544" s="15"/>
      <c r="S544" s="15"/>
      <c r="T544" s="15"/>
      <c r="U544" s="15"/>
      <c r="V544" s="15"/>
      <c r="W544" s="15"/>
      <c r="X544" s="14"/>
      <c r="Y544" s="14"/>
      <c r="Z544" s="15"/>
      <c r="AA544" s="15"/>
      <c r="AB544" s="3"/>
      <c r="AC544" s="3"/>
      <c r="AD544" s="3"/>
      <c r="AE544" s="3"/>
      <c r="AF544" s="3"/>
      <c r="AG544" s="3"/>
      <c r="AH544" s="3"/>
      <c r="AI544" s="3"/>
      <c r="AJ544" s="154" t="s">
        <v>70</v>
      </c>
      <c r="AN544" s="154" t="s">
        <v>70</v>
      </c>
    </row>
    <row r="545" ht="15.75" customHeight="1">
      <c r="J545" s="15"/>
      <c r="K545" s="238"/>
      <c r="L545" s="15"/>
      <c r="M545" s="15"/>
      <c r="N545" s="15"/>
      <c r="O545" s="15"/>
      <c r="P545" s="15"/>
      <c r="Q545" s="15"/>
      <c r="R545" s="15"/>
      <c r="S545" s="15"/>
      <c r="T545" s="15"/>
      <c r="U545" s="15"/>
      <c r="V545" s="15"/>
      <c r="W545" s="15"/>
      <c r="X545" s="14"/>
      <c r="Y545" s="14"/>
      <c r="Z545" s="15"/>
      <c r="AA545" s="15"/>
      <c r="AB545" s="3"/>
      <c r="AC545" s="3"/>
      <c r="AD545" s="3"/>
      <c r="AE545" s="3"/>
      <c r="AF545" s="3"/>
      <c r="AG545" s="3"/>
      <c r="AH545" s="3"/>
      <c r="AI545" s="3"/>
      <c r="AJ545" s="154" t="s">
        <v>70</v>
      </c>
      <c r="AN545" s="154" t="s">
        <v>70</v>
      </c>
    </row>
    <row r="546" ht="15.75" customHeight="1">
      <c r="J546" s="15"/>
      <c r="K546" s="238"/>
      <c r="L546" s="15"/>
      <c r="M546" s="15"/>
      <c r="N546" s="15"/>
      <c r="O546" s="15"/>
      <c r="P546" s="15"/>
      <c r="Q546" s="15"/>
      <c r="R546" s="15"/>
      <c r="S546" s="15"/>
      <c r="T546" s="15"/>
      <c r="U546" s="15"/>
      <c r="V546" s="15"/>
      <c r="W546" s="15"/>
      <c r="X546" s="14"/>
      <c r="Y546" s="14"/>
      <c r="Z546" s="15"/>
      <c r="AA546" s="15"/>
      <c r="AB546" s="3"/>
      <c r="AC546" s="3"/>
      <c r="AD546" s="3"/>
      <c r="AE546" s="3"/>
      <c r="AF546" s="3"/>
      <c r="AG546" s="3"/>
      <c r="AH546" s="3"/>
      <c r="AI546" s="3"/>
      <c r="AJ546" s="154" t="s">
        <v>70</v>
      </c>
      <c r="AN546" s="154" t="s">
        <v>70</v>
      </c>
    </row>
    <row r="547" ht="15.75" customHeight="1">
      <c r="J547" s="15"/>
      <c r="K547" s="238"/>
      <c r="L547" s="15"/>
      <c r="M547" s="15"/>
      <c r="N547" s="15"/>
      <c r="O547" s="15"/>
      <c r="P547" s="15"/>
      <c r="Q547" s="15"/>
      <c r="R547" s="15"/>
      <c r="S547" s="15"/>
      <c r="T547" s="15"/>
      <c r="U547" s="15"/>
      <c r="V547" s="15"/>
      <c r="W547" s="15"/>
      <c r="X547" s="14"/>
      <c r="Y547" s="14"/>
      <c r="Z547" s="15"/>
      <c r="AA547" s="15"/>
      <c r="AB547" s="3"/>
      <c r="AC547" s="3"/>
      <c r="AD547" s="3"/>
      <c r="AE547" s="3"/>
      <c r="AF547" s="3"/>
      <c r="AG547" s="3"/>
      <c r="AH547" s="3"/>
      <c r="AI547" s="3"/>
      <c r="AJ547" s="154" t="s">
        <v>70</v>
      </c>
      <c r="AN547" s="154" t="s">
        <v>70</v>
      </c>
    </row>
    <row r="548" ht="15.75" customHeight="1">
      <c r="J548" s="15"/>
      <c r="K548" s="238"/>
      <c r="L548" s="15"/>
      <c r="M548" s="15"/>
      <c r="N548" s="15"/>
      <c r="O548" s="15"/>
      <c r="P548" s="15"/>
      <c r="Q548" s="15"/>
      <c r="R548" s="15"/>
      <c r="S548" s="15"/>
      <c r="T548" s="15"/>
      <c r="U548" s="15"/>
      <c r="V548" s="15"/>
      <c r="W548" s="15"/>
      <c r="X548" s="14"/>
      <c r="Y548" s="14"/>
      <c r="Z548" s="15"/>
      <c r="AA548" s="15"/>
      <c r="AB548" s="3"/>
      <c r="AC548" s="3"/>
      <c r="AD548" s="3"/>
      <c r="AE548" s="3"/>
      <c r="AF548" s="3"/>
      <c r="AG548" s="3"/>
      <c r="AH548" s="3"/>
      <c r="AI548" s="3"/>
      <c r="AJ548" s="154" t="s">
        <v>70</v>
      </c>
      <c r="AN548" s="154" t="s">
        <v>70</v>
      </c>
    </row>
    <row r="549" ht="15.75" customHeight="1">
      <c r="J549" s="15"/>
      <c r="K549" s="238"/>
      <c r="L549" s="15"/>
      <c r="M549" s="15"/>
      <c r="N549" s="15"/>
      <c r="O549" s="15"/>
      <c r="P549" s="15"/>
      <c r="Q549" s="15"/>
      <c r="R549" s="15"/>
      <c r="S549" s="15"/>
      <c r="T549" s="15"/>
      <c r="U549" s="15"/>
      <c r="V549" s="15"/>
      <c r="W549" s="15"/>
      <c r="X549" s="14"/>
      <c r="Y549" s="14"/>
      <c r="Z549" s="15"/>
      <c r="AA549" s="15"/>
      <c r="AB549" s="3"/>
      <c r="AC549" s="3"/>
      <c r="AD549" s="3"/>
      <c r="AE549" s="3"/>
      <c r="AF549" s="3"/>
      <c r="AG549" s="3"/>
      <c r="AH549" s="3"/>
      <c r="AI549" s="3"/>
      <c r="AJ549" s="154" t="s">
        <v>70</v>
      </c>
      <c r="AN549" s="154" t="s">
        <v>70</v>
      </c>
    </row>
    <row r="550" ht="15.75" customHeight="1">
      <c r="J550" s="15"/>
      <c r="K550" s="238"/>
      <c r="L550" s="15"/>
      <c r="M550" s="15"/>
      <c r="N550" s="15"/>
      <c r="O550" s="15"/>
      <c r="P550" s="15"/>
      <c r="Q550" s="15"/>
      <c r="R550" s="15"/>
      <c r="S550" s="15"/>
      <c r="T550" s="15"/>
      <c r="U550" s="15"/>
      <c r="V550" s="15"/>
      <c r="W550" s="15"/>
      <c r="X550" s="14"/>
      <c r="Y550" s="14"/>
      <c r="Z550" s="15"/>
      <c r="AA550" s="15"/>
      <c r="AB550" s="3"/>
      <c r="AC550" s="3"/>
      <c r="AD550" s="3"/>
      <c r="AE550" s="3"/>
      <c r="AF550" s="3"/>
      <c r="AG550" s="3"/>
      <c r="AH550" s="3"/>
      <c r="AI550" s="3"/>
      <c r="AJ550" s="154" t="s">
        <v>70</v>
      </c>
      <c r="AN550" s="154" t="s">
        <v>70</v>
      </c>
    </row>
    <row r="551" ht="15.75" customHeight="1">
      <c r="J551" s="15"/>
      <c r="K551" s="238"/>
      <c r="L551" s="15"/>
      <c r="M551" s="15"/>
      <c r="N551" s="15"/>
      <c r="O551" s="15"/>
      <c r="P551" s="15"/>
      <c r="Q551" s="15"/>
      <c r="R551" s="15"/>
      <c r="S551" s="15"/>
      <c r="T551" s="15"/>
      <c r="U551" s="15"/>
      <c r="V551" s="15"/>
      <c r="W551" s="15"/>
      <c r="X551" s="14"/>
      <c r="Y551" s="14"/>
      <c r="Z551" s="15"/>
      <c r="AA551" s="15"/>
      <c r="AB551" s="3"/>
      <c r="AC551" s="3"/>
      <c r="AD551" s="3"/>
      <c r="AE551" s="3"/>
      <c r="AF551" s="3"/>
      <c r="AG551" s="3"/>
      <c r="AH551" s="3"/>
      <c r="AI551" s="3"/>
      <c r="AJ551" s="154" t="s">
        <v>70</v>
      </c>
      <c r="AN551" s="154" t="s">
        <v>70</v>
      </c>
    </row>
    <row r="552" ht="15.75" customHeight="1">
      <c r="J552" s="15"/>
      <c r="K552" s="238"/>
      <c r="L552" s="15"/>
      <c r="M552" s="15"/>
      <c r="N552" s="15"/>
      <c r="O552" s="15"/>
      <c r="P552" s="15"/>
      <c r="Q552" s="15"/>
      <c r="R552" s="15"/>
      <c r="S552" s="15"/>
      <c r="T552" s="15"/>
      <c r="U552" s="15"/>
      <c r="V552" s="15"/>
      <c r="W552" s="15"/>
      <c r="X552" s="14"/>
      <c r="Y552" s="14"/>
      <c r="Z552" s="15"/>
      <c r="AA552" s="15"/>
      <c r="AB552" s="3"/>
      <c r="AC552" s="3"/>
      <c r="AD552" s="3"/>
      <c r="AE552" s="3"/>
      <c r="AF552" s="3"/>
      <c r="AG552" s="3"/>
      <c r="AH552" s="3"/>
      <c r="AI552" s="3"/>
      <c r="AJ552" s="154" t="s">
        <v>70</v>
      </c>
      <c r="AN552" s="154" t="s">
        <v>70</v>
      </c>
    </row>
    <row r="553" ht="15.75" customHeight="1">
      <c r="J553" s="15"/>
      <c r="K553" s="238"/>
      <c r="L553" s="15"/>
      <c r="M553" s="15"/>
      <c r="N553" s="15"/>
      <c r="O553" s="15"/>
      <c r="P553" s="15"/>
      <c r="Q553" s="15"/>
      <c r="R553" s="15"/>
      <c r="S553" s="15"/>
      <c r="T553" s="15"/>
      <c r="U553" s="15"/>
      <c r="V553" s="15"/>
      <c r="W553" s="15"/>
      <c r="X553" s="14"/>
      <c r="Y553" s="14"/>
      <c r="Z553" s="15"/>
      <c r="AA553" s="15"/>
      <c r="AB553" s="3"/>
      <c r="AC553" s="3"/>
      <c r="AD553" s="3"/>
      <c r="AE553" s="3"/>
      <c r="AF553" s="3"/>
      <c r="AG553" s="3"/>
      <c r="AH553" s="3"/>
      <c r="AI553" s="3"/>
      <c r="AJ553" s="154" t="s">
        <v>70</v>
      </c>
      <c r="AN553" s="154" t="s">
        <v>70</v>
      </c>
    </row>
    <row r="554" ht="15.75" customHeight="1">
      <c r="J554" s="15"/>
      <c r="K554" s="238"/>
      <c r="L554" s="15"/>
      <c r="M554" s="15"/>
      <c r="N554" s="15"/>
      <c r="O554" s="15"/>
      <c r="P554" s="15"/>
      <c r="Q554" s="15"/>
      <c r="R554" s="15"/>
      <c r="S554" s="15"/>
      <c r="T554" s="15"/>
      <c r="U554" s="15"/>
      <c r="V554" s="15"/>
      <c r="W554" s="15"/>
      <c r="X554" s="14"/>
      <c r="Y554" s="14"/>
      <c r="Z554" s="15"/>
      <c r="AA554" s="15"/>
      <c r="AB554" s="3"/>
      <c r="AC554" s="3"/>
      <c r="AD554" s="3"/>
      <c r="AE554" s="3"/>
      <c r="AF554" s="3"/>
      <c r="AG554" s="3"/>
      <c r="AH554" s="3"/>
      <c r="AI554" s="3"/>
      <c r="AJ554" s="154" t="s">
        <v>70</v>
      </c>
      <c r="AN554" s="154" t="s">
        <v>70</v>
      </c>
    </row>
    <row r="555" ht="15.75" customHeight="1">
      <c r="J555" s="15"/>
      <c r="K555" s="238"/>
      <c r="L555" s="15"/>
      <c r="M555" s="15"/>
      <c r="N555" s="15"/>
      <c r="O555" s="15"/>
      <c r="P555" s="15"/>
      <c r="Q555" s="15"/>
      <c r="R555" s="15"/>
      <c r="S555" s="15"/>
      <c r="T555" s="15"/>
      <c r="U555" s="15"/>
      <c r="V555" s="15"/>
      <c r="W555" s="15"/>
      <c r="X555" s="14"/>
      <c r="Y555" s="14"/>
      <c r="Z555" s="15"/>
      <c r="AA555" s="15"/>
      <c r="AB555" s="3"/>
      <c r="AC555" s="3"/>
      <c r="AD555" s="3"/>
      <c r="AE555" s="3"/>
      <c r="AF555" s="3"/>
      <c r="AG555" s="3"/>
      <c r="AH555" s="3"/>
      <c r="AI555" s="3"/>
      <c r="AJ555" s="154" t="s">
        <v>70</v>
      </c>
      <c r="AN555" s="154" t="s">
        <v>70</v>
      </c>
    </row>
    <row r="556" ht="15.75" customHeight="1">
      <c r="J556" s="15"/>
      <c r="K556" s="238"/>
      <c r="L556" s="15"/>
      <c r="M556" s="15"/>
      <c r="N556" s="15"/>
      <c r="O556" s="15"/>
      <c r="P556" s="15"/>
      <c r="Q556" s="15"/>
      <c r="R556" s="15"/>
      <c r="S556" s="15"/>
      <c r="T556" s="15"/>
      <c r="U556" s="15"/>
      <c r="V556" s="15"/>
      <c r="W556" s="15"/>
      <c r="X556" s="14"/>
      <c r="Y556" s="14"/>
      <c r="Z556" s="15"/>
      <c r="AA556" s="15"/>
      <c r="AB556" s="3"/>
      <c r="AC556" s="3"/>
      <c r="AD556" s="3"/>
      <c r="AE556" s="3"/>
      <c r="AF556" s="3"/>
      <c r="AG556" s="3"/>
      <c r="AH556" s="3"/>
      <c r="AI556" s="3"/>
      <c r="AJ556" s="154" t="s">
        <v>70</v>
      </c>
      <c r="AN556" s="154" t="s">
        <v>70</v>
      </c>
    </row>
    <row r="557" ht="15.75" customHeight="1">
      <c r="J557" s="15"/>
      <c r="K557" s="238"/>
      <c r="L557" s="15"/>
      <c r="M557" s="15"/>
      <c r="N557" s="15"/>
      <c r="O557" s="15"/>
      <c r="P557" s="15"/>
      <c r="Q557" s="15"/>
      <c r="R557" s="15"/>
      <c r="S557" s="15"/>
      <c r="T557" s="15"/>
      <c r="U557" s="15"/>
      <c r="V557" s="15"/>
      <c r="W557" s="15"/>
      <c r="X557" s="14"/>
      <c r="Y557" s="14"/>
      <c r="Z557" s="15"/>
      <c r="AA557" s="15"/>
      <c r="AB557" s="3"/>
      <c r="AC557" s="3"/>
      <c r="AD557" s="3"/>
      <c r="AE557" s="3"/>
      <c r="AF557" s="3"/>
      <c r="AG557" s="3"/>
      <c r="AH557" s="3"/>
      <c r="AI557" s="3"/>
      <c r="AJ557" s="154" t="s">
        <v>70</v>
      </c>
      <c r="AN557" s="154" t="s">
        <v>70</v>
      </c>
    </row>
    <row r="558" ht="15.75" customHeight="1">
      <c r="J558" s="15"/>
      <c r="K558" s="238"/>
      <c r="L558" s="15"/>
      <c r="M558" s="15"/>
      <c r="N558" s="15"/>
      <c r="O558" s="15"/>
      <c r="P558" s="15"/>
      <c r="Q558" s="15"/>
      <c r="R558" s="15"/>
      <c r="S558" s="15"/>
      <c r="T558" s="15"/>
      <c r="U558" s="15"/>
      <c r="V558" s="15"/>
      <c r="W558" s="15"/>
      <c r="X558" s="14"/>
      <c r="Y558" s="14"/>
      <c r="Z558" s="15"/>
      <c r="AA558" s="15"/>
      <c r="AB558" s="3"/>
      <c r="AC558" s="3"/>
      <c r="AD558" s="3"/>
      <c r="AE558" s="3"/>
      <c r="AF558" s="3"/>
      <c r="AG558" s="3"/>
      <c r="AH558" s="3"/>
      <c r="AI558" s="3"/>
      <c r="AJ558" s="154" t="s">
        <v>70</v>
      </c>
      <c r="AN558" s="154" t="s">
        <v>70</v>
      </c>
    </row>
    <row r="559" ht="15.75" customHeight="1">
      <c r="J559" s="15"/>
      <c r="K559" s="238"/>
      <c r="L559" s="15"/>
      <c r="M559" s="15"/>
      <c r="N559" s="15"/>
      <c r="O559" s="15"/>
      <c r="P559" s="15"/>
      <c r="Q559" s="15"/>
      <c r="R559" s="15"/>
      <c r="S559" s="15"/>
      <c r="T559" s="15"/>
      <c r="U559" s="15"/>
      <c r="V559" s="15"/>
      <c r="W559" s="15"/>
      <c r="X559" s="14"/>
      <c r="Y559" s="14"/>
      <c r="Z559" s="15"/>
      <c r="AA559" s="15"/>
      <c r="AB559" s="3"/>
      <c r="AC559" s="3"/>
      <c r="AD559" s="3"/>
      <c r="AE559" s="3"/>
      <c r="AF559" s="3"/>
      <c r="AG559" s="3"/>
      <c r="AH559" s="3"/>
      <c r="AI559" s="3"/>
      <c r="AJ559" s="154" t="s">
        <v>70</v>
      </c>
      <c r="AN559" s="154" t="s">
        <v>70</v>
      </c>
    </row>
    <row r="560" ht="15.75" customHeight="1">
      <c r="J560" s="15"/>
      <c r="K560" s="238"/>
      <c r="L560" s="15"/>
      <c r="M560" s="15"/>
      <c r="N560" s="15"/>
      <c r="O560" s="15"/>
      <c r="P560" s="15"/>
      <c r="Q560" s="15"/>
      <c r="R560" s="15"/>
      <c r="S560" s="15"/>
      <c r="T560" s="15"/>
      <c r="U560" s="15"/>
      <c r="V560" s="15"/>
      <c r="W560" s="15"/>
      <c r="X560" s="14"/>
      <c r="Y560" s="14"/>
      <c r="Z560" s="15"/>
      <c r="AA560" s="15"/>
      <c r="AB560" s="3"/>
      <c r="AC560" s="3"/>
      <c r="AD560" s="3"/>
      <c r="AE560" s="3"/>
      <c r="AF560" s="3"/>
      <c r="AG560" s="3"/>
      <c r="AH560" s="3"/>
      <c r="AI560" s="3"/>
      <c r="AJ560" s="154" t="s">
        <v>70</v>
      </c>
      <c r="AN560" s="154" t="s">
        <v>70</v>
      </c>
    </row>
    <row r="561" ht="15.75" customHeight="1">
      <c r="J561" s="15"/>
      <c r="K561" s="238"/>
      <c r="L561" s="15"/>
      <c r="M561" s="15"/>
      <c r="N561" s="15"/>
      <c r="O561" s="15"/>
      <c r="P561" s="15"/>
      <c r="Q561" s="15"/>
      <c r="R561" s="15"/>
      <c r="S561" s="15"/>
      <c r="T561" s="15"/>
      <c r="U561" s="15"/>
      <c r="V561" s="15"/>
      <c r="W561" s="15"/>
      <c r="X561" s="14"/>
      <c r="Y561" s="14"/>
      <c r="Z561" s="15"/>
      <c r="AA561" s="15"/>
      <c r="AB561" s="3"/>
      <c r="AC561" s="3"/>
      <c r="AD561" s="3"/>
      <c r="AE561" s="3"/>
      <c r="AF561" s="3"/>
      <c r="AG561" s="3"/>
      <c r="AH561" s="3"/>
      <c r="AI561" s="3"/>
      <c r="AJ561" s="154" t="s">
        <v>70</v>
      </c>
      <c r="AN561" s="154" t="s">
        <v>70</v>
      </c>
    </row>
    <row r="562" ht="15.75" customHeight="1">
      <c r="J562" s="15"/>
      <c r="K562" s="238"/>
      <c r="L562" s="15"/>
      <c r="M562" s="15"/>
      <c r="N562" s="15"/>
      <c r="O562" s="15"/>
      <c r="P562" s="15"/>
      <c r="Q562" s="15"/>
      <c r="R562" s="15"/>
      <c r="S562" s="15"/>
      <c r="T562" s="15"/>
      <c r="U562" s="15"/>
      <c r="V562" s="15"/>
      <c r="W562" s="15"/>
      <c r="X562" s="14"/>
      <c r="Y562" s="14"/>
      <c r="Z562" s="15"/>
      <c r="AA562" s="15"/>
      <c r="AB562" s="3"/>
      <c r="AC562" s="3"/>
      <c r="AD562" s="3"/>
      <c r="AE562" s="3"/>
      <c r="AF562" s="3"/>
      <c r="AG562" s="3"/>
      <c r="AH562" s="3"/>
      <c r="AI562" s="3"/>
      <c r="AJ562" s="154" t="s">
        <v>70</v>
      </c>
      <c r="AN562" s="154" t="s">
        <v>70</v>
      </c>
    </row>
    <row r="563" ht="15.75" customHeight="1">
      <c r="J563" s="15"/>
      <c r="K563" s="238"/>
      <c r="L563" s="15"/>
      <c r="M563" s="15"/>
      <c r="N563" s="15"/>
      <c r="O563" s="15"/>
      <c r="P563" s="15"/>
      <c r="Q563" s="15"/>
      <c r="R563" s="15"/>
      <c r="S563" s="15"/>
      <c r="T563" s="15"/>
      <c r="U563" s="15"/>
      <c r="V563" s="15"/>
      <c r="W563" s="15"/>
      <c r="X563" s="14"/>
      <c r="Y563" s="14"/>
      <c r="Z563" s="15"/>
      <c r="AA563" s="15"/>
      <c r="AB563" s="3"/>
      <c r="AC563" s="3"/>
      <c r="AD563" s="3"/>
      <c r="AE563" s="3"/>
      <c r="AF563" s="3"/>
      <c r="AG563" s="3"/>
      <c r="AH563" s="3"/>
      <c r="AI563" s="3"/>
      <c r="AJ563" s="154" t="s">
        <v>70</v>
      </c>
      <c r="AN563" s="154" t="s">
        <v>70</v>
      </c>
    </row>
    <row r="564" ht="15.75" customHeight="1">
      <c r="J564" s="15"/>
      <c r="K564" s="238"/>
      <c r="L564" s="15"/>
      <c r="M564" s="15"/>
      <c r="N564" s="15"/>
      <c r="O564" s="15"/>
      <c r="P564" s="15"/>
      <c r="Q564" s="15"/>
      <c r="R564" s="15"/>
      <c r="S564" s="15"/>
      <c r="T564" s="15"/>
      <c r="U564" s="15"/>
      <c r="V564" s="15"/>
      <c r="W564" s="15"/>
      <c r="X564" s="14"/>
      <c r="Y564" s="14"/>
      <c r="Z564" s="15"/>
      <c r="AA564" s="15"/>
      <c r="AB564" s="3"/>
      <c r="AC564" s="3"/>
      <c r="AD564" s="3"/>
      <c r="AE564" s="3"/>
      <c r="AF564" s="3"/>
      <c r="AG564" s="3"/>
      <c r="AH564" s="3"/>
      <c r="AI564" s="3"/>
      <c r="AJ564" s="154" t="s">
        <v>70</v>
      </c>
      <c r="AN564" s="154" t="s">
        <v>70</v>
      </c>
    </row>
    <row r="565" ht="15.75" customHeight="1">
      <c r="J565" s="15"/>
      <c r="K565" s="238"/>
      <c r="L565" s="15"/>
      <c r="M565" s="15"/>
      <c r="N565" s="15"/>
      <c r="O565" s="15"/>
      <c r="P565" s="15"/>
      <c r="Q565" s="15"/>
      <c r="R565" s="15"/>
      <c r="S565" s="15"/>
      <c r="T565" s="15"/>
      <c r="U565" s="15"/>
      <c r="V565" s="15"/>
      <c r="W565" s="15"/>
      <c r="X565" s="14"/>
      <c r="Y565" s="14"/>
      <c r="Z565" s="15"/>
      <c r="AA565" s="15"/>
      <c r="AB565" s="3"/>
      <c r="AC565" s="3"/>
      <c r="AD565" s="3"/>
      <c r="AE565" s="3"/>
      <c r="AF565" s="3"/>
      <c r="AG565" s="3"/>
      <c r="AH565" s="3"/>
      <c r="AI565" s="3"/>
      <c r="AJ565" s="154" t="s">
        <v>70</v>
      </c>
      <c r="AN565" s="154" t="s">
        <v>70</v>
      </c>
    </row>
    <row r="566" ht="15.75" customHeight="1">
      <c r="J566" s="15"/>
      <c r="K566" s="238"/>
      <c r="L566" s="15"/>
      <c r="M566" s="15"/>
      <c r="N566" s="15"/>
      <c r="O566" s="15"/>
      <c r="P566" s="15"/>
      <c r="Q566" s="15"/>
      <c r="R566" s="15"/>
      <c r="S566" s="15"/>
      <c r="T566" s="15"/>
      <c r="U566" s="15"/>
      <c r="V566" s="15"/>
      <c r="W566" s="15"/>
      <c r="X566" s="14"/>
      <c r="Y566" s="14"/>
      <c r="Z566" s="15"/>
      <c r="AA566" s="15"/>
      <c r="AB566" s="3"/>
      <c r="AC566" s="3"/>
      <c r="AD566" s="3"/>
      <c r="AE566" s="3"/>
      <c r="AF566" s="3"/>
      <c r="AG566" s="3"/>
      <c r="AH566" s="3"/>
      <c r="AI566" s="3"/>
      <c r="AJ566" s="154" t="s">
        <v>70</v>
      </c>
      <c r="AN566" s="154" t="s">
        <v>70</v>
      </c>
    </row>
    <row r="567" ht="15.75" customHeight="1">
      <c r="J567" s="15"/>
      <c r="K567" s="238"/>
      <c r="L567" s="15"/>
      <c r="M567" s="15"/>
      <c r="N567" s="15"/>
      <c r="O567" s="15"/>
      <c r="P567" s="15"/>
      <c r="Q567" s="15"/>
      <c r="R567" s="15"/>
      <c r="S567" s="15"/>
      <c r="T567" s="15"/>
      <c r="U567" s="15"/>
      <c r="V567" s="15"/>
      <c r="W567" s="15"/>
      <c r="X567" s="14"/>
      <c r="Y567" s="14"/>
      <c r="Z567" s="15"/>
      <c r="AA567" s="15"/>
      <c r="AB567" s="3"/>
      <c r="AC567" s="3"/>
      <c r="AD567" s="3"/>
      <c r="AE567" s="3"/>
      <c r="AF567" s="3"/>
      <c r="AG567" s="3"/>
      <c r="AH567" s="3"/>
      <c r="AI567" s="3"/>
      <c r="AJ567" s="154" t="s">
        <v>70</v>
      </c>
      <c r="AN567" s="154" t="s">
        <v>70</v>
      </c>
    </row>
    <row r="568" ht="15.75" customHeight="1">
      <c r="J568" s="15"/>
      <c r="K568" s="238"/>
      <c r="L568" s="15"/>
      <c r="M568" s="15"/>
      <c r="N568" s="15"/>
      <c r="O568" s="15"/>
      <c r="P568" s="15"/>
      <c r="Q568" s="15"/>
      <c r="R568" s="15"/>
      <c r="S568" s="15"/>
      <c r="T568" s="15"/>
      <c r="U568" s="15"/>
      <c r="V568" s="15"/>
      <c r="W568" s="15"/>
      <c r="X568" s="14"/>
      <c r="Y568" s="14"/>
      <c r="Z568" s="15"/>
      <c r="AA568" s="15"/>
      <c r="AB568" s="3"/>
      <c r="AC568" s="3"/>
      <c r="AD568" s="3"/>
      <c r="AE568" s="3"/>
      <c r="AF568" s="3"/>
      <c r="AG568" s="3"/>
      <c r="AH568" s="3"/>
      <c r="AI568" s="3"/>
      <c r="AJ568" s="154" t="s">
        <v>70</v>
      </c>
      <c r="AN568" s="154" t="s">
        <v>70</v>
      </c>
    </row>
    <row r="569" ht="15.75" customHeight="1">
      <c r="J569" s="15"/>
      <c r="K569" s="238"/>
      <c r="L569" s="15"/>
      <c r="M569" s="15"/>
      <c r="N569" s="15"/>
      <c r="O569" s="15"/>
      <c r="P569" s="15"/>
      <c r="Q569" s="15"/>
      <c r="R569" s="15"/>
      <c r="S569" s="15"/>
      <c r="T569" s="15"/>
      <c r="U569" s="15"/>
      <c r="V569" s="15"/>
      <c r="W569" s="15"/>
      <c r="X569" s="14"/>
      <c r="Y569" s="14"/>
      <c r="Z569" s="15"/>
      <c r="AA569" s="15"/>
      <c r="AB569" s="3"/>
      <c r="AC569" s="3"/>
      <c r="AD569" s="3"/>
      <c r="AE569" s="3"/>
      <c r="AF569" s="3"/>
      <c r="AG569" s="3"/>
      <c r="AH569" s="3"/>
      <c r="AI569" s="3"/>
      <c r="AJ569" s="154" t="s">
        <v>70</v>
      </c>
      <c r="AN569" s="154" t="s">
        <v>70</v>
      </c>
    </row>
    <row r="570" ht="15.75" customHeight="1">
      <c r="J570" s="15"/>
      <c r="K570" s="238"/>
      <c r="L570" s="15"/>
      <c r="M570" s="15"/>
      <c r="N570" s="15"/>
      <c r="O570" s="15"/>
      <c r="P570" s="15"/>
      <c r="Q570" s="15"/>
      <c r="R570" s="15"/>
      <c r="S570" s="15"/>
      <c r="T570" s="15"/>
      <c r="U570" s="15"/>
      <c r="V570" s="15"/>
      <c r="W570" s="15"/>
      <c r="X570" s="14"/>
      <c r="Y570" s="14"/>
      <c r="Z570" s="15"/>
      <c r="AA570" s="15"/>
      <c r="AB570" s="3"/>
      <c r="AC570" s="3"/>
      <c r="AD570" s="3"/>
      <c r="AE570" s="3"/>
      <c r="AF570" s="3"/>
      <c r="AG570" s="3"/>
      <c r="AH570" s="3"/>
      <c r="AI570" s="3"/>
      <c r="AJ570" s="154" t="s">
        <v>70</v>
      </c>
      <c r="AN570" s="154" t="s">
        <v>70</v>
      </c>
    </row>
    <row r="571" ht="15.75" customHeight="1">
      <c r="J571" s="15"/>
      <c r="K571" s="238"/>
      <c r="L571" s="15"/>
      <c r="M571" s="15"/>
      <c r="N571" s="15"/>
      <c r="O571" s="15"/>
      <c r="P571" s="15"/>
      <c r="Q571" s="15"/>
      <c r="R571" s="15"/>
      <c r="S571" s="15"/>
      <c r="T571" s="15"/>
      <c r="U571" s="15"/>
      <c r="V571" s="15"/>
      <c r="W571" s="15"/>
      <c r="X571" s="14"/>
      <c r="Y571" s="14"/>
      <c r="Z571" s="15"/>
      <c r="AA571" s="15"/>
      <c r="AB571" s="3"/>
      <c r="AC571" s="3"/>
      <c r="AD571" s="3"/>
      <c r="AE571" s="3"/>
      <c r="AF571" s="3"/>
      <c r="AG571" s="3"/>
      <c r="AH571" s="3"/>
      <c r="AI571" s="3"/>
      <c r="AJ571" s="154" t="s">
        <v>70</v>
      </c>
      <c r="AN571" s="154" t="s">
        <v>70</v>
      </c>
    </row>
    <row r="572" ht="15.75" customHeight="1">
      <c r="J572" s="15"/>
      <c r="K572" s="238"/>
      <c r="L572" s="15"/>
      <c r="M572" s="15"/>
      <c r="N572" s="15"/>
      <c r="O572" s="15"/>
      <c r="P572" s="15"/>
      <c r="Q572" s="15"/>
      <c r="R572" s="15"/>
      <c r="S572" s="15"/>
      <c r="T572" s="15"/>
      <c r="U572" s="15"/>
      <c r="V572" s="15"/>
      <c r="W572" s="15"/>
      <c r="X572" s="14"/>
      <c r="Y572" s="14"/>
      <c r="Z572" s="15"/>
      <c r="AA572" s="15"/>
      <c r="AB572" s="3"/>
      <c r="AC572" s="3"/>
      <c r="AD572" s="3"/>
      <c r="AE572" s="3"/>
      <c r="AF572" s="3"/>
      <c r="AG572" s="3"/>
      <c r="AH572" s="3"/>
      <c r="AI572" s="3"/>
      <c r="AJ572" s="154" t="s">
        <v>70</v>
      </c>
      <c r="AN572" s="154" t="s">
        <v>70</v>
      </c>
    </row>
    <row r="573" ht="15.75" customHeight="1">
      <c r="J573" s="15"/>
      <c r="K573" s="238"/>
      <c r="L573" s="15"/>
      <c r="M573" s="15"/>
      <c r="N573" s="15"/>
      <c r="O573" s="15"/>
      <c r="P573" s="15"/>
      <c r="Q573" s="15"/>
      <c r="R573" s="15"/>
      <c r="S573" s="15"/>
      <c r="T573" s="15"/>
      <c r="U573" s="15"/>
      <c r="V573" s="15"/>
      <c r="W573" s="15"/>
      <c r="X573" s="14"/>
      <c r="Y573" s="14"/>
      <c r="Z573" s="15"/>
      <c r="AA573" s="15"/>
      <c r="AB573" s="3"/>
      <c r="AC573" s="3"/>
      <c r="AD573" s="3"/>
      <c r="AE573" s="3"/>
      <c r="AF573" s="3"/>
      <c r="AG573" s="3"/>
      <c r="AH573" s="3"/>
      <c r="AI573" s="3"/>
      <c r="AJ573" s="154" t="s">
        <v>70</v>
      </c>
      <c r="AN573" s="154" t="s">
        <v>70</v>
      </c>
    </row>
    <row r="574" ht="15.75" customHeight="1">
      <c r="J574" s="15"/>
      <c r="K574" s="238"/>
      <c r="L574" s="15"/>
      <c r="M574" s="15"/>
      <c r="N574" s="15"/>
      <c r="O574" s="15"/>
      <c r="P574" s="15"/>
      <c r="Q574" s="15"/>
      <c r="R574" s="15"/>
      <c r="S574" s="15"/>
      <c r="T574" s="15"/>
      <c r="U574" s="15"/>
      <c r="V574" s="15"/>
      <c r="W574" s="15"/>
      <c r="X574" s="14"/>
      <c r="Y574" s="14"/>
      <c r="Z574" s="15"/>
      <c r="AA574" s="15"/>
      <c r="AB574" s="3"/>
      <c r="AC574" s="3"/>
      <c r="AD574" s="3"/>
      <c r="AE574" s="3"/>
      <c r="AF574" s="3"/>
      <c r="AG574" s="3"/>
      <c r="AH574" s="3"/>
      <c r="AI574" s="3"/>
      <c r="AJ574" s="154" t="s">
        <v>70</v>
      </c>
      <c r="AN574" s="154" t="s">
        <v>70</v>
      </c>
    </row>
    <row r="575" ht="15.75" customHeight="1">
      <c r="J575" s="15"/>
      <c r="K575" s="238"/>
      <c r="L575" s="15"/>
      <c r="M575" s="15"/>
      <c r="N575" s="15"/>
      <c r="O575" s="15"/>
      <c r="P575" s="15"/>
      <c r="Q575" s="15"/>
      <c r="R575" s="15"/>
      <c r="S575" s="15"/>
      <c r="T575" s="15"/>
      <c r="U575" s="15"/>
      <c r="V575" s="15"/>
      <c r="W575" s="15"/>
      <c r="X575" s="14"/>
      <c r="Y575" s="14"/>
      <c r="Z575" s="15"/>
      <c r="AA575" s="15"/>
      <c r="AB575" s="3"/>
      <c r="AC575" s="3"/>
      <c r="AD575" s="3"/>
      <c r="AE575" s="3"/>
      <c r="AF575" s="3"/>
      <c r="AG575" s="3"/>
      <c r="AH575" s="3"/>
      <c r="AI575" s="3"/>
      <c r="AJ575" s="154" t="s">
        <v>70</v>
      </c>
      <c r="AN575" s="154" t="s">
        <v>70</v>
      </c>
    </row>
    <row r="576" ht="15.75" customHeight="1">
      <c r="J576" s="15"/>
      <c r="K576" s="238"/>
      <c r="L576" s="15"/>
      <c r="M576" s="15"/>
      <c r="N576" s="15"/>
      <c r="O576" s="15"/>
      <c r="P576" s="15"/>
      <c r="Q576" s="15"/>
      <c r="R576" s="15"/>
      <c r="S576" s="15"/>
      <c r="T576" s="15"/>
      <c r="U576" s="15"/>
      <c r="V576" s="15"/>
      <c r="W576" s="15"/>
      <c r="X576" s="14"/>
      <c r="Y576" s="14"/>
      <c r="Z576" s="15"/>
      <c r="AA576" s="15"/>
      <c r="AB576" s="3"/>
      <c r="AC576" s="3"/>
      <c r="AD576" s="3"/>
      <c r="AE576" s="3"/>
      <c r="AF576" s="3"/>
      <c r="AG576" s="3"/>
      <c r="AH576" s="3"/>
      <c r="AI576" s="3"/>
      <c r="AJ576" s="154" t="s">
        <v>70</v>
      </c>
      <c r="AN576" s="154" t="s">
        <v>70</v>
      </c>
    </row>
    <row r="577" ht="15.75" customHeight="1">
      <c r="J577" s="15"/>
      <c r="K577" s="238"/>
      <c r="L577" s="15"/>
      <c r="M577" s="15"/>
      <c r="N577" s="15"/>
      <c r="O577" s="15"/>
      <c r="P577" s="15"/>
      <c r="Q577" s="15"/>
      <c r="R577" s="15"/>
      <c r="S577" s="15"/>
      <c r="T577" s="15"/>
      <c r="U577" s="15"/>
      <c r="V577" s="15"/>
      <c r="W577" s="15"/>
      <c r="X577" s="14"/>
      <c r="Y577" s="14"/>
      <c r="Z577" s="15"/>
      <c r="AA577" s="15"/>
      <c r="AB577" s="3"/>
      <c r="AC577" s="3"/>
      <c r="AD577" s="3"/>
      <c r="AE577" s="3"/>
      <c r="AF577" s="3"/>
      <c r="AG577" s="3"/>
      <c r="AH577" s="3"/>
      <c r="AI577" s="3"/>
      <c r="AJ577" s="154" t="s">
        <v>70</v>
      </c>
      <c r="AN577" s="154" t="s">
        <v>70</v>
      </c>
    </row>
    <row r="578" ht="15.75" customHeight="1">
      <c r="J578" s="15"/>
      <c r="K578" s="238"/>
      <c r="L578" s="15"/>
      <c r="M578" s="15"/>
      <c r="N578" s="15"/>
      <c r="O578" s="15"/>
      <c r="P578" s="15"/>
      <c r="Q578" s="15"/>
      <c r="R578" s="15"/>
      <c r="S578" s="15"/>
      <c r="T578" s="15"/>
      <c r="U578" s="15"/>
      <c r="V578" s="15"/>
      <c r="W578" s="15"/>
      <c r="X578" s="14"/>
      <c r="Y578" s="14"/>
      <c r="Z578" s="15"/>
      <c r="AA578" s="15"/>
      <c r="AB578" s="3"/>
      <c r="AC578" s="3"/>
      <c r="AD578" s="3"/>
      <c r="AE578" s="3"/>
      <c r="AF578" s="3"/>
      <c r="AG578" s="3"/>
      <c r="AH578" s="3"/>
      <c r="AI578" s="3"/>
      <c r="AJ578" s="154" t="s">
        <v>70</v>
      </c>
      <c r="AN578" s="154" t="s">
        <v>70</v>
      </c>
    </row>
    <row r="579" ht="15.75" customHeight="1">
      <c r="J579" s="15"/>
      <c r="K579" s="238"/>
      <c r="L579" s="15"/>
      <c r="M579" s="15"/>
      <c r="N579" s="15"/>
      <c r="O579" s="15"/>
      <c r="P579" s="15"/>
      <c r="Q579" s="15"/>
      <c r="R579" s="15"/>
      <c r="S579" s="15"/>
      <c r="T579" s="15"/>
      <c r="U579" s="15"/>
      <c r="V579" s="15"/>
      <c r="W579" s="15"/>
      <c r="X579" s="14"/>
      <c r="Y579" s="14"/>
      <c r="Z579" s="15"/>
      <c r="AA579" s="15"/>
      <c r="AB579" s="3"/>
      <c r="AC579" s="3"/>
      <c r="AD579" s="3"/>
      <c r="AE579" s="3"/>
      <c r="AF579" s="3"/>
      <c r="AG579" s="3"/>
      <c r="AH579" s="3"/>
      <c r="AI579" s="3"/>
      <c r="AJ579" s="154" t="s">
        <v>70</v>
      </c>
      <c r="AN579" s="154" t="s">
        <v>70</v>
      </c>
    </row>
    <row r="580" ht="15.75" customHeight="1">
      <c r="J580" s="15"/>
      <c r="K580" s="238"/>
      <c r="L580" s="15"/>
      <c r="M580" s="15"/>
      <c r="N580" s="15"/>
      <c r="O580" s="15"/>
      <c r="P580" s="15"/>
      <c r="Q580" s="15"/>
      <c r="R580" s="15"/>
      <c r="S580" s="15"/>
      <c r="T580" s="15"/>
      <c r="U580" s="15"/>
      <c r="V580" s="15"/>
      <c r="W580" s="15"/>
      <c r="X580" s="14"/>
      <c r="Y580" s="14"/>
      <c r="Z580" s="15"/>
      <c r="AA580" s="15"/>
      <c r="AB580" s="3"/>
      <c r="AC580" s="3"/>
      <c r="AD580" s="3"/>
      <c r="AE580" s="3"/>
      <c r="AF580" s="3"/>
      <c r="AG580" s="3"/>
      <c r="AH580" s="3"/>
      <c r="AI580" s="3"/>
      <c r="AJ580" s="154" t="s">
        <v>70</v>
      </c>
      <c r="AN580" s="154" t="s">
        <v>70</v>
      </c>
    </row>
    <row r="581" ht="15.75" customHeight="1">
      <c r="J581" s="15"/>
      <c r="K581" s="238"/>
      <c r="L581" s="15"/>
      <c r="M581" s="15"/>
      <c r="N581" s="15"/>
      <c r="O581" s="15"/>
      <c r="P581" s="15"/>
      <c r="Q581" s="15"/>
      <c r="R581" s="15"/>
      <c r="S581" s="15"/>
      <c r="T581" s="15"/>
      <c r="U581" s="15"/>
      <c r="V581" s="15"/>
      <c r="W581" s="15"/>
      <c r="X581" s="14"/>
      <c r="Y581" s="14"/>
      <c r="Z581" s="15"/>
      <c r="AA581" s="15"/>
      <c r="AB581" s="3"/>
      <c r="AC581" s="3"/>
      <c r="AD581" s="3"/>
      <c r="AE581" s="3"/>
      <c r="AF581" s="3"/>
      <c r="AG581" s="3"/>
      <c r="AH581" s="3"/>
      <c r="AI581" s="3"/>
      <c r="AJ581" s="154" t="s">
        <v>70</v>
      </c>
      <c r="AN581" s="154" t="s">
        <v>70</v>
      </c>
    </row>
    <row r="582" ht="15.75" customHeight="1">
      <c r="J582" s="15"/>
      <c r="K582" s="238"/>
      <c r="L582" s="15"/>
      <c r="M582" s="15"/>
      <c r="N582" s="15"/>
      <c r="O582" s="15"/>
      <c r="P582" s="15"/>
      <c r="Q582" s="15"/>
      <c r="R582" s="15"/>
      <c r="S582" s="15"/>
      <c r="T582" s="15"/>
      <c r="U582" s="15"/>
      <c r="V582" s="15"/>
      <c r="W582" s="15"/>
      <c r="X582" s="14"/>
      <c r="Y582" s="14"/>
      <c r="Z582" s="15"/>
      <c r="AA582" s="15"/>
      <c r="AB582" s="3"/>
      <c r="AC582" s="3"/>
      <c r="AD582" s="3"/>
      <c r="AE582" s="3"/>
      <c r="AF582" s="3"/>
      <c r="AG582" s="3"/>
      <c r="AH582" s="3"/>
      <c r="AI582" s="3"/>
      <c r="AJ582" s="154" t="s">
        <v>70</v>
      </c>
      <c r="AN582" s="154" t="s">
        <v>70</v>
      </c>
    </row>
    <row r="583" ht="15.75" customHeight="1">
      <c r="J583" s="15"/>
      <c r="K583" s="238"/>
      <c r="L583" s="15"/>
      <c r="M583" s="15"/>
      <c r="N583" s="15"/>
      <c r="O583" s="15"/>
      <c r="P583" s="15"/>
      <c r="Q583" s="15"/>
      <c r="R583" s="15"/>
      <c r="S583" s="15"/>
      <c r="T583" s="15"/>
      <c r="U583" s="15"/>
      <c r="V583" s="15"/>
      <c r="W583" s="15"/>
      <c r="X583" s="14"/>
      <c r="Y583" s="14"/>
      <c r="Z583" s="15"/>
      <c r="AA583" s="15"/>
      <c r="AB583" s="3"/>
      <c r="AC583" s="3"/>
      <c r="AD583" s="3"/>
      <c r="AE583" s="3"/>
      <c r="AF583" s="3"/>
      <c r="AG583" s="3"/>
      <c r="AH583" s="3"/>
      <c r="AI583" s="3"/>
      <c r="AJ583" s="154" t="s">
        <v>70</v>
      </c>
      <c r="AN583" s="154" t="s">
        <v>70</v>
      </c>
    </row>
    <row r="584" ht="15.75" customHeight="1">
      <c r="J584" s="15"/>
      <c r="K584" s="238"/>
      <c r="L584" s="15"/>
      <c r="M584" s="15"/>
      <c r="N584" s="15"/>
      <c r="O584" s="15"/>
      <c r="P584" s="15"/>
      <c r="Q584" s="15"/>
      <c r="R584" s="15"/>
      <c r="S584" s="15"/>
      <c r="T584" s="15"/>
      <c r="U584" s="15"/>
      <c r="V584" s="15"/>
      <c r="W584" s="15"/>
      <c r="X584" s="14"/>
      <c r="Y584" s="14"/>
      <c r="Z584" s="15"/>
      <c r="AA584" s="15"/>
      <c r="AB584" s="3"/>
      <c r="AC584" s="3"/>
      <c r="AD584" s="3"/>
      <c r="AE584" s="3"/>
      <c r="AF584" s="3"/>
      <c r="AG584" s="3"/>
      <c r="AH584" s="3"/>
      <c r="AI584" s="3"/>
      <c r="AJ584" s="154" t="s">
        <v>70</v>
      </c>
      <c r="AN584" s="154" t="s">
        <v>70</v>
      </c>
    </row>
    <row r="585" ht="15.75" customHeight="1">
      <c r="J585" s="15"/>
      <c r="K585" s="238"/>
      <c r="L585" s="15"/>
      <c r="M585" s="15"/>
      <c r="N585" s="15"/>
      <c r="O585" s="15"/>
      <c r="P585" s="15"/>
      <c r="Q585" s="15"/>
      <c r="R585" s="15"/>
      <c r="S585" s="15"/>
      <c r="T585" s="15"/>
      <c r="U585" s="15"/>
      <c r="V585" s="15"/>
      <c r="W585" s="15"/>
      <c r="X585" s="14"/>
      <c r="Y585" s="14"/>
      <c r="Z585" s="15"/>
      <c r="AA585" s="15"/>
      <c r="AB585" s="3"/>
      <c r="AC585" s="3"/>
      <c r="AD585" s="3"/>
      <c r="AE585" s="3"/>
      <c r="AF585" s="3"/>
      <c r="AG585" s="3"/>
      <c r="AH585" s="3"/>
      <c r="AI585" s="3"/>
      <c r="AJ585" s="154" t="s">
        <v>70</v>
      </c>
      <c r="AN585" s="154" t="s">
        <v>70</v>
      </c>
    </row>
    <row r="586" ht="15.75" customHeight="1">
      <c r="J586" s="15"/>
      <c r="K586" s="238"/>
      <c r="L586" s="15"/>
      <c r="M586" s="15"/>
      <c r="N586" s="15"/>
      <c r="O586" s="15"/>
      <c r="P586" s="15"/>
      <c r="Q586" s="15"/>
      <c r="R586" s="15"/>
      <c r="S586" s="15"/>
      <c r="T586" s="15"/>
      <c r="U586" s="15"/>
      <c r="V586" s="15"/>
      <c r="W586" s="15"/>
      <c r="X586" s="14"/>
      <c r="Y586" s="14"/>
      <c r="Z586" s="15"/>
      <c r="AA586" s="15"/>
      <c r="AB586" s="3"/>
      <c r="AC586" s="3"/>
      <c r="AD586" s="3"/>
      <c r="AE586" s="3"/>
      <c r="AF586" s="3"/>
      <c r="AG586" s="3"/>
      <c r="AH586" s="3"/>
      <c r="AI586" s="3"/>
      <c r="AJ586" s="154" t="s">
        <v>70</v>
      </c>
      <c r="AN586" s="154" t="s">
        <v>70</v>
      </c>
    </row>
    <row r="587" ht="15.75" customHeight="1">
      <c r="J587" s="15"/>
      <c r="K587" s="238"/>
      <c r="L587" s="15"/>
      <c r="M587" s="15"/>
      <c r="N587" s="15"/>
      <c r="O587" s="15"/>
      <c r="P587" s="15"/>
      <c r="Q587" s="15"/>
      <c r="R587" s="15"/>
      <c r="S587" s="15"/>
      <c r="T587" s="15"/>
      <c r="U587" s="15"/>
      <c r="V587" s="15"/>
      <c r="W587" s="15"/>
      <c r="X587" s="14"/>
      <c r="Y587" s="14"/>
      <c r="Z587" s="15"/>
      <c r="AA587" s="15"/>
      <c r="AB587" s="3"/>
      <c r="AC587" s="3"/>
      <c r="AD587" s="3"/>
      <c r="AE587" s="3"/>
      <c r="AF587" s="3"/>
      <c r="AG587" s="3"/>
      <c r="AH587" s="3"/>
      <c r="AI587" s="3"/>
      <c r="AJ587" s="154" t="s">
        <v>70</v>
      </c>
      <c r="AN587" s="154" t="s">
        <v>70</v>
      </c>
    </row>
    <row r="588" ht="15.75" customHeight="1">
      <c r="J588" s="15"/>
      <c r="K588" s="238"/>
      <c r="L588" s="15"/>
      <c r="M588" s="15"/>
      <c r="N588" s="15"/>
      <c r="O588" s="15"/>
      <c r="P588" s="15"/>
      <c r="Q588" s="15"/>
      <c r="R588" s="15"/>
      <c r="S588" s="15"/>
      <c r="T588" s="15"/>
      <c r="U588" s="15"/>
      <c r="V588" s="15"/>
      <c r="W588" s="15"/>
      <c r="X588" s="14"/>
      <c r="Y588" s="14"/>
      <c r="Z588" s="15"/>
      <c r="AA588" s="15"/>
      <c r="AB588" s="3"/>
      <c r="AC588" s="3"/>
      <c r="AD588" s="3"/>
      <c r="AE588" s="3"/>
      <c r="AF588" s="3"/>
      <c r="AG588" s="3"/>
      <c r="AH588" s="3"/>
      <c r="AI588" s="3"/>
      <c r="AJ588" s="154" t="s">
        <v>70</v>
      </c>
      <c r="AN588" s="154" t="s">
        <v>70</v>
      </c>
    </row>
    <row r="589" ht="15.75" customHeight="1">
      <c r="J589" s="15"/>
      <c r="K589" s="238"/>
      <c r="L589" s="15"/>
      <c r="M589" s="15"/>
      <c r="N589" s="15"/>
      <c r="O589" s="15"/>
      <c r="P589" s="15"/>
      <c r="Q589" s="15"/>
      <c r="R589" s="15"/>
      <c r="S589" s="15"/>
      <c r="T589" s="15"/>
      <c r="U589" s="15"/>
      <c r="V589" s="15"/>
      <c r="W589" s="15"/>
      <c r="X589" s="14"/>
      <c r="Y589" s="14"/>
      <c r="Z589" s="15"/>
      <c r="AA589" s="15"/>
      <c r="AB589" s="3"/>
      <c r="AC589" s="3"/>
      <c r="AD589" s="3"/>
      <c r="AE589" s="3"/>
      <c r="AF589" s="3"/>
      <c r="AG589" s="3"/>
      <c r="AH589" s="3"/>
      <c r="AI589" s="3"/>
      <c r="AJ589" s="154" t="s">
        <v>70</v>
      </c>
      <c r="AN589" s="154" t="s">
        <v>70</v>
      </c>
    </row>
    <row r="590" ht="15.75" customHeight="1">
      <c r="J590" s="15"/>
      <c r="K590" s="238"/>
      <c r="L590" s="15"/>
      <c r="M590" s="15"/>
      <c r="N590" s="15"/>
      <c r="O590" s="15"/>
      <c r="P590" s="15"/>
      <c r="Q590" s="15"/>
      <c r="R590" s="15"/>
      <c r="S590" s="15"/>
      <c r="T590" s="15"/>
      <c r="U590" s="15"/>
      <c r="V590" s="15"/>
      <c r="W590" s="15"/>
      <c r="X590" s="14"/>
      <c r="Y590" s="14"/>
      <c r="Z590" s="15"/>
      <c r="AA590" s="15"/>
      <c r="AB590" s="3"/>
      <c r="AC590" s="3"/>
      <c r="AD590" s="3"/>
      <c r="AE590" s="3"/>
      <c r="AF590" s="3"/>
      <c r="AG590" s="3"/>
      <c r="AH590" s="3"/>
      <c r="AI590" s="3"/>
      <c r="AJ590" s="154" t="s">
        <v>70</v>
      </c>
      <c r="AN590" s="154" t="s">
        <v>70</v>
      </c>
    </row>
    <row r="591" ht="15.75" customHeight="1">
      <c r="J591" s="15"/>
      <c r="K591" s="238"/>
      <c r="L591" s="15"/>
      <c r="M591" s="15"/>
      <c r="N591" s="15"/>
      <c r="O591" s="15"/>
      <c r="P591" s="15"/>
      <c r="Q591" s="15"/>
      <c r="R591" s="15"/>
      <c r="S591" s="15"/>
      <c r="T591" s="15"/>
      <c r="U591" s="15"/>
      <c r="V591" s="15"/>
      <c r="W591" s="15"/>
      <c r="X591" s="14"/>
      <c r="Y591" s="14"/>
      <c r="Z591" s="15"/>
      <c r="AA591" s="15"/>
      <c r="AB591" s="3"/>
      <c r="AC591" s="3"/>
      <c r="AD591" s="3"/>
      <c r="AE591" s="3"/>
      <c r="AF591" s="3"/>
      <c r="AG591" s="3"/>
      <c r="AH591" s="3"/>
      <c r="AI591" s="3"/>
      <c r="AJ591" s="154" t="s">
        <v>70</v>
      </c>
      <c r="AN591" s="154" t="s">
        <v>70</v>
      </c>
    </row>
    <row r="592" ht="15.75" customHeight="1">
      <c r="J592" s="15"/>
      <c r="K592" s="238"/>
      <c r="L592" s="15"/>
      <c r="M592" s="15"/>
      <c r="N592" s="15"/>
      <c r="O592" s="15"/>
      <c r="P592" s="15"/>
      <c r="Q592" s="15"/>
      <c r="R592" s="15"/>
      <c r="S592" s="15"/>
      <c r="T592" s="15"/>
      <c r="U592" s="15"/>
      <c r="V592" s="15"/>
      <c r="W592" s="15"/>
      <c r="X592" s="14"/>
      <c r="Y592" s="14"/>
      <c r="Z592" s="15"/>
      <c r="AA592" s="15"/>
      <c r="AB592" s="3"/>
      <c r="AC592" s="3"/>
      <c r="AD592" s="3"/>
      <c r="AE592" s="3"/>
      <c r="AF592" s="3"/>
      <c r="AG592" s="3"/>
      <c r="AH592" s="3"/>
      <c r="AI592" s="3"/>
      <c r="AJ592" s="154" t="s">
        <v>70</v>
      </c>
      <c r="AN592" s="154" t="s">
        <v>70</v>
      </c>
    </row>
    <row r="593" ht="15.75" customHeight="1">
      <c r="J593" s="15"/>
      <c r="K593" s="238"/>
      <c r="L593" s="15"/>
      <c r="M593" s="15"/>
      <c r="N593" s="15"/>
      <c r="O593" s="15"/>
      <c r="P593" s="15"/>
      <c r="Q593" s="15"/>
      <c r="R593" s="15"/>
      <c r="S593" s="15"/>
      <c r="T593" s="15"/>
      <c r="U593" s="15"/>
      <c r="V593" s="15"/>
      <c r="W593" s="15"/>
      <c r="X593" s="14"/>
      <c r="Y593" s="14"/>
      <c r="Z593" s="15"/>
      <c r="AA593" s="15"/>
      <c r="AB593" s="3"/>
      <c r="AC593" s="3"/>
      <c r="AD593" s="3"/>
      <c r="AE593" s="3"/>
      <c r="AF593" s="3"/>
      <c r="AG593" s="3"/>
      <c r="AH593" s="3"/>
      <c r="AI593" s="3"/>
      <c r="AJ593" s="154" t="s">
        <v>70</v>
      </c>
      <c r="AN593" s="154" t="s">
        <v>70</v>
      </c>
    </row>
    <row r="594" ht="15.75" customHeight="1">
      <c r="J594" s="15"/>
      <c r="K594" s="238"/>
      <c r="L594" s="15"/>
      <c r="M594" s="15"/>
      <c r="N594" s="15"/>
      <c r="O594" s="15"/>
      <c r="P594" s="15"/>
      <c r="Q594" s="15"/>
      <c r="R594" s="15"/>
      <c r="S594" s="15"/>
      <c r="T594" s="15"/>
      <c r="U594" s="15"/>
      <c r="V594" s="15"/>
      <c r="W594" s="15"/>
      <c r="X594" s="14"/>
      <c r="Y594" s="14"/>
      <c r="Z594" s="15"/>
      <c r="AA594" s="15"/>
      <c r="AB594" s="3"/>
      <c r="AC594" s="3"/>
      <c r="AD594" s="3"/>
      <c r="AE594" s="3"/>
      <c r="AF594" s="3"/>
      <c r="AG594" s="3"/>
      <c r="AH594" s="3"/>
      <c r="AI594" s="3"/>
      <c r="AJ594" s="154" t="s">
        <v>70</v>
      </c>
      <c r="AN594" s="154" t="s">
        <v>70</v>
      </c>
    </row>
    <row r="595" ht="15.75" customHeight="1">
      <c r="J595" s="15"/>
      <c r="K595" s="238"/>
      <c r="L595" s="15"/>
      <c r="M595" s="15"/>
      <c r="N595" s="15"/>
      <c r="O595" s="15"/>
      <c r="P595" s="15"/>
      <c r="Q595" s="15"/>
      <c r="R595" s="15"/>
      <c r="S595" s="15"/>
      <c r="T595" s="15"/>
      <c r="U595" s="15"/>
      <c r="V595" s="15"/>
      <c r="W595" s="15"/>
      <c r="X595" s="14"/>
      <c r="Y595" s="14"/>
      <c r="Z595" s="15"/>
      <c r="AA595" s="15"/>
      <c r="AB595" s="3"/>
      <c r="AC595" s="3"/>
      <c r="AD595" s="3"/>
      <c r="AE595" s="3"/>
      <c r="AF595" s="3"/>
      <c r="AG595" s="3"/>
      <c r="AH595" s="3"/>
      <c r="AI595" s="3"/>
      <c r="AJ595" s="154" t="s">
        <v>70</v>
      </c>
      <c r="AN595" s="154" t="s">
        <v>70</v>
      </c>
    </row>
    <row r="596" ht="15.75" customHeight="1">
      <c r="J596" s="15"/>
      <c r="K596" s="238"/>
      <c r="L596" s="15"/>
      <c r="M596" s="15"/>
      <c r="N596" s="15"/>
      <c r="O596" s="15"/>
      <c r="P596" s="15"/>
      <c r="Q596" s="15"/>
      <c r="R596" s="15"/>
      <c r="S596" s="15"/>
      <c r="T596" s="15"/>
      <c r="U596" s="15"/>
      <c r="V596" s="15"/>
      <c r="W596" s="15"/>
      <c r="X596" s="14"/>
      <c r="Y596" s="14"/>
      <c r="Z596" s="15"/>
      <c r="AA596" s="15"/>
      <c r="AB596" s="3"/>
      <c r="AC596" s="3"/>
      <c r="AD596" s="3"/>
      <c r="AE596" s="3"/>
      <c r="AF596" s="3"/>
      <c r="AG596" s="3"/>
      <c r="AH596" s="3"/>
      <c r="AI596" s="3"/>
      <c r="AJ596" s="154" t="s">
        <v>70</v>
      </c>
      <c r="AN596" s="154" t="s">
        <v>70</v>
      </c>
    </row>
    <row r="597" ht="15.75" customHeight="1">
      <c r="J597" s="15"/>
      <c r="K597" s="238"/>
      <c r="L597" s="15"/>
      <c r="M597" s="15"/>
      <c r="N597" s="15"/>
      <c r="O597" s="15"/>
      <c r="P597" s="15"/>
      <c r="Q597" s="15"/>
      <c r="R597" s="15"/>
      <c r="S597" s="15"/>
      <c r="T597" s="15"/>
      <c r="U597" s="15"/>
      <c r="V597" s="15"/>
      <c r="W597" s="15"/>
      <c r="X597" s="14"/>
      <c r="Y597" s="14"/>
      <c r="Z597" s="15"/>
      <c r="AA597" s="15"/>
      <c r="AB597" s="3"/>
      <c r="AC597" s="3"/>
      <c r="AD597" s="3"/>
      <c r="AE597" s="3"/>
      <c r="AF597" s="3"/>
      <c r="AG597" s="3"/>
      <c r="AH597" s="3"/>
      <c r="AI597" s="3"/>
      <c r="AJ597" s="154" t="s">
        <v>70</v>
      </c>
      <c r="AN597" s="154" t="s">
        <v>70</v>
      </c>
    </row>
    <row r="598" ht="15.75" customHeight="1">
      <c r="J598" s="15"/>
      <c r="K598" s="238"/>
      <c r="L598" s="15"/>
      <c r="M598" s="15"/>
      <c r="N598" s="15"/>
      <c r="O598" s="15"/>
      <c r="P598" s="15"/>
      <c r="Q598" s="15"/>
      <c r="R598" s="15"/>
      <c r="S598" s="15"/>
      <c r="T598" s="15"/>
      <c r="U598" s="15"/>
      <c r="V598" s="15"/>
      <c r="W598" s="15"/>
      <c r="X598" s="14"/>
      <c r="Y598" s="14"/>
      <c r="Z598" s="15"/>
      <c r="AA598" s="15"/>
      <c r="AB598" s="3"/>
      <c r="AC598" s="3"/>
      <c r="AD598" s="3"/>
      <c r="AE598" s="3"/>
      <c r="AF598" s="3"/>
      <c r="AG598" s="3"/>
      <c r="AH598" s="3"/>
      <c r="AI598" s="3"/>
      <c r="AJ598" s="154" t="s">
        <v>70</v>
      </c>
      <c r="AN598" s="154" t="s">
        <v>70</v>
      </c>
    </row>
    <row r="599" ht="15.75" customHeight="1">
      <c r="J599" s="15"/>
      <c r="K599" s="238"/>
      <c r="L599" s="15"/>
      <c r="M599" s="15"/>
      <c r="N599" s="15"/>
      <c r="O599" s="15"/>
      <c r="P599" s="15"/>
      <c r="Q599" s="15"/>
      <c r="R599" s="15"/>
      <c r="S599" s="15"/>
      <c r="T599" s="15"/>
      <c r="U599" s="15"/>
      <c r="V599" s="15"/>
      <c r="W599" s="15"/>
      <c r="X599" s="14"/>
      <c r="Y599" s="14"/>
      <c r="Z599" s="15"/>
      <c r="AA599" s="15"/>
      <c r="AB599" s="3"/>
      <c r="AC599" s="3"/>
      <c r="AD599" s="3"/>
      <c r="AE599" s="3"/>
      <c r="AF599" s="3"/>
      <c r="AG599" s="3"/>
      <c r="AH599" s="3"/>
      <c r="AI599" s="3"/>
      <c r="AJ599" s="154" t="s">
        <v>70</v>
      </c>
      <c r="AN599" s="154" t="s">
        <v>70</v>
      </c>
    </row>
    <row r="600" ht="15.75" customHeight="1">
      <c r="J600" s="15"/>
      <c r="K600" s="238"/>
      <c r="L600" s="15"/>
      <c r="M600" s="15"/>
      <c r="N600" s="15"/>
      <c r="O600" s="15"/>
      <c r="P600" s="15"/>
      <c r="Q600" s="15"/>
      <c r="R600" s="15"/>
      <c r="S600" s="15"/>
      <c r="T600" s="15"/>
      <c r="U600" s="15"/>
      <c r="V600" s="15"/>
      <c r="W600" s="15"/>
      <c r="X600" s="14"/>
      <c r="Y600" s="14"/>
      <c r="Z600" s="15"/>
      <c r="AA600" s="15"/>
      <c r="AB600" s="3"/>
      <c r="AC600" s="3"/>
      <c r="AD600" s="3"/>
      <c r="AE600" s="3"/>
      <c r="AF600" s="3"/>
      <c r="AG600" s="3"/>
      <c r="AH600" s="3"/>
      <c r="AI600" s="3"/>
      <c r="AJ600" s="154" t="s">
        <v>70</v>
      </c>
      <c r="AN600" s="154" t="s">
        <v>70</v>
      </c>
    </row>
    <row r="601" ht="15.75" customHeight="1">
      <c r="J601" s="15"/>
      <c r="K601" s="238"/>
      <c r="L601" s="15"/>
      <c r="M601" s="15"/>
      <c r="N601" s="15"/>
      <c r="O601" s="15"/>
      <c r="P601" s="15"/>
      <c r="Q601" s="15"/>
      <c r="R601" s="15"/>
      <c r="S601" s="15"/>
      <c r="T601" s="15"/>
      <c r="U601" s="15"/>
      <c r="V601" s="15"/>
      <c r="W601" s="15"/>
      <c r="X601" s="14"/>
      <c r="Y601" s="14"/>
      <c r="Z601" s="15"/>
      <c r="AA601" s="15"/>
      <c r="AB601" s="3"/>
      <c r="AC601" s="3"/>
      <c r="AD601" s="3"/>
      <c r="AE601" s="3"/>
      <c r="AF601" s="3"/>
      <c r="AG601" s="3"/>
      <c r="AH601" s="3"/>
      <c r="AI601" s="3"/>
      <c r="AJ601" s="154" t="s">
        <v>70</v>
      </c>
      <c r="AN601" s="154" t="s">
        <v>70</v>
      </c>
    </row>
    <row r="602" ht="15.75" customHeight="1">
      <c r="J602" s="15"/>
      <c r="K602" s="238"/>
      <c r="L602" s="15"/>
      <c r="M602" s="15"/>
      <c r="N602" s="15"/>
      <c r="O602" s="15"/>
      <c r="P602" s="15"/>
      <c r="Q602" s="15"/>
      <c r="R602" s="15"/>
      <c r="S602" s="15"/>
      <c r="T602" s="15"/>
      <c r="U602" s="15"/>
      <c r="V602" s="15"/>
      <c r="W602" s="15"/>
      <c r="X602" s="14"/>
      <c r="Y602" s="14"/>
      <c r="Z602" s="15"/>
      <c r="AA602" s="15"/>
      <c r="AB602" s="3"/>
      <c r="AC602" s="3"/>
      <c r="AD602" s="3"/>
      <c r="AE602" s="3"/>
      <c r="AF602" s="3"/>
      <c r="AG602" s="3"/>
      <c r="AH602" s="3"/>
      <c r="AI602" s="3"/>
      <c r="AJ602" s="154" t="s">
        <v>70</v>
      </c>
      <c r="AN602" s="154" t="s">
        <v>70</v>
      </c>
    </row>
    <row r="603" ht="15.75" customHeight="1">
      <c r="J603" s="15"/>
      <c r="K603" s="238"/>
      <c r="L603" s="15"/>
      <c r="M603" s="15"/>
      <c r="N603" s="15"/>
      <c r="O603" s="15"/>
      <c r="P603" s="15"/>
      <c r="Q603" s="15"/>
      <c r="R603" s="15"/>
      <c r="S603" s="15"/>
      <c r="T603" s="15"/>
      <c r="U603" s="15"/>
      <c r="V603" s="15"/>
      <c r="W603" s="15"/>
      <c r="X603" s="14"/>
      <c r="Y603" s="14"/>
      <c r="Z603" s="15"/>
      <c r="AA603" s="15"/>
      <c r="AB603" s="3"/>
      <c r="AC603" s="3"/>
      <c r="AD603" s="3"/>
      <c r="AE603" s="3"/>
      <c r="AF603" s="3"/>
      <c r="AG603" s="3"/>
      <c r="AH603" s="3"/>
      <c r="AI603" s="3"/>
      <c r="AJ603" s="154" t="s">
        <v>70</v>
      </c>
      <c r="AN603" s="154" t="s">
        <v>70</v>
      </c>
    </row>
    <row r="604" ht="15.75" customHeight="1">
      <c r="J604" s="15"/>
      <c r="K604" s="238"/>
      <c r="L604" s="15"/>
      <c r="M604" s="15"/>
      <c r="N604" s="15"/>
      <c r="O604" s="15"/>
      <c r="P604" s="15"/>
      <c r="Q604" s="15"/>
      <c r="R604" s="15"/>
      <c r="S604" s="15"/>
      <c r="T604" s="15"/>
      <c r="U604" s="15"/>
      <c r="V604" s="15"/>
      <c r="W604" s="15"/>
      <c r="X604" s="14"/>
      <c r="Y604" s="14"/>
      <c r="Z604" s="15"/>
      <c r="AA604" s="15"/>
      <c r="AB604" s="3"/>
      <c r="AC604" s="3"/>
      <c r="AD604" s="3"/>
      <c r="AE604" s="3"/>
      <c r="AF604" s="3"/>
      <c r="AG604" s="3"/>
      <c r="AH604" s="3"/>
      <c r="AI604" s="3"/>
      <c r="AJ604" s="154" t="s">
        <v>70</v>
      </c>
      <c r="AN604" s="154" t="s">
        <v>70</v>
      </c>
    </row>
    <row r="605" ht="15.75" customHeight="1">
      <c r="J605" s="15"/>
      <c r="K605" s="238"/>
      <c r="L605" s="15"/>
      <c r="M605" s="15"/>
      <c r="N605" s="15"/>
      <c r="O605" s="15"/>
      <c r="P605" s="15"/>
      <c r="Q605" s="15"/>
      <c r="R605" s="15"/>
      <c r="S605" s="15"/>
      <c r="T605" s="15"/>
      <c r="U605" s="15"/>
      <c r="V605" s="15"/>
      <c r="W605" s="15"/>
      <c r="X605" s="14"/>
      <c r="Y605" s="14"/>
      <c r="Z605" s="15"/>
      <c r="AA605" s="15"/>
      <c r="AB605" s="3"/>
      <c r="AC605" s="3"/>
      <c r="AD605" s="3"/>
      <c r="AE605" s="3"/>
      <c r="AF605" s="3"/>
      <c r="AG605" s="3"/>
      <c r="AH605" s="3"/>
      <c r="AI605" s="3"/>
      <c r="AJ605" s="154" t="s">
        <v>70</v>
      </c>
      <c r="AN605" s="154" t="s">
        <v>70</v>
      </c>
    </row>
    <row r="606" ht="15.75" customHeight="1">
      <c r="J606" s="15"/>
      <c r="K606" s="238"/>
      <c r="L606" s="15"/>
      <c r="M606" s="15"/>
      <c r="N606" s="15"/>
      <c r="O606" s="15"/>
      <c r="P606" s="15"/>
      <c r="Q606" s="15"/>
      <c r="R606" s="15"/>
      <c r="S606" s="15"/>
      <c r="T606" s="15"/>
      <c r="U606" s="15"/>
      <c r="V606" s="15"/>
      <c r="W606" s="15"/>
      <c r="X606" s="14"/>
      <c r="Y606" s="14"/>
      <c r="Z606" s="15"/>
      <c r="AA606" s="15"/>
      <c r="AB606" s="3"/>
      <c r="AC606" s="3"/>
      <c r="AD606" s="3"/>
      <c r="AE606" s="3"/>
      <c r="AF606" s="3"/>
      <c r="AG606" s="3"/>
      <c r="AH606" s="3"/>
      <c r="AI606" s="3"/>
      <c r="AJ606" s="154" t="s">
        <v>70</v>
      </c>
      <c r="AN606" s="154" t="s">
        <v>70</v>
      </c>
    </row>
    <row r="607" ht="15.75" customHeight="1">
      <c r="J607" s="15"/>
      <c r="K607" s="238"/>
      <c r="L607" s="15"/>
      <c r="M607" s="15"/>
      <c r="N607" s="15"/>
      <c r="O607" s="15"/>
      <c r="P607" s="15"/>
      <c r="Q607" s="15"/>
      <c r="R607" s="15"/>
      <c r="S607" s="15"/>
      <c r="T607" s="15"/>
      <c r="U607" s="15"/>
      <c r="V607" s="15"/>
      <c r="W607" s="15"/>
      <c r="X607" s="14"/>
      <c r="Y607" s="14"/>
      <c r="Z607" s="15"/>
      <c r="AA607" s="15"/>
      <c r="AB607" s="3"/>
      <c r="AC607" s="3"/>
      <c r="AD607" s="3"/>
      <c r="AE607" s="3"/>
      <c r="AF607" s="3"/>
      <c r="AG607" s="3"/>
      <c r="AH607" s="3"/>
      <c r="AI607" s="3"/>
      <c r="AJ607" s="154" t="s">
        <v>70</v>
      </c>
      <c r="AN607" s="154" t="s">
        <v>70</v>
      </c>
    </row>
    <row r="608" ht="15.75" customHeight="1">
      <c r="J608" s="15"/>
      <c r="K608" s="238"/>
      <c r="L608" s="15"/>
      <c r="M608" s="15"/>
      <c r="N608" s="15"/>
      <c r="O608" s="15"/>
      <c r="P608" s="15"/>
      <c r="Q608" s="15"/>
      <c r="R608" s="15"/>
      <c r="S608" s="15"/>
      <c r="T608" s="15"/>
      <c r="U608" s="15"/>
      <c r="V608" s="15"/>
      <c r="W608" s="15"/>
      <c r="X608" s="14"/>
      <c r="Y608" s="14"/>
      <c r="Z608" s="15"/>
      <c r="AA608" s="15"/>
      <c r="AB608" s="3"/>
      <c r="AC608" s="3"/>
      <c r="AD608" s="3"/>
      <c r="AE608" s="3"/>
      <c r="AF608" s="3"/>
      <c r="AG608" s="3"/>
      <c r="AH608" s="3"/>
      <c r="AI608" s="3"/>
      <c r="AJ608" s="154" t="s">
        <v>70</v>
      </c>
      <c r="AN608" s="154" t="s">
        <v>70</v>
      </c>
    </row>
    <row r="609" ht="15.75" customHeight="1">
      <c r="J609" s="15"/>
      <c r="K609" s="238"/>
      <c r="L609" s="15"/>
      <c r="M609" s="15"/>
      <c r="N609" s="15"/>
      <c r="O609" s="15"/>
      <c r="P609" s="15"/>
      <c r="Q609" s="15"/>
      <c r="R609" s="15"/>
      <c r="S609" s="15"/>
      <c r="T609" s="15"/>
      <c r="U609" s="15"/>
      <c r="V609" s="15"/>
      <c r="W609" s="15"/>
      <c r="X609" s="14"/>
      <c r="Y609" s="14"/>
      <c r="Z609" s="15"/>
      <c r="AA609" s="15"/>
      <c r="AB609" s="3"/>
      <c r="AC609" s="3"/>
      <c r="AD609" s="3"/>
      <c r="AE609" s="3"/>
      <c r="AF609" s="3"/>
      <c r="AG609" s="3"/>
      <c r="AH609" s="3"/>
      <c r="AI609" s="3"/>
      <c r="AJ609" s="154" t="s">
        <v>70</v>
      </c>
      <c r="AN609" s="154" t="s">
        <v>70</v>
      </c>
    </row>
    <row r="610" ht="15.75" customHeight="1">
      <c r="J610" s="15"/>
      <c r="K610" s="238"/>
      <c r="L610" s="15"/>
      <c r="M610" s="15"/>
      <c r="N610" s="15"/>
      <c r="O610" s="15"/>
      <c r="P610" s="15"/>
      <c r="Q610" s="15"/>
      <c r="R610" s="15"/>
      <c r="S610" s="15"/>
      <c r="T610" s="15"/>
      <c r="U610" s="15"/>
      <c r="V610" s="15"/>
      <c r="W610" s="15"/>
      <c r="X610" s="14"/>
      <c r="Y610" s="14"/>
      <c r="Z610" s="15"/>
      <c r="AA610" s="15"/>
      <c r="AB610" s="3"/>
      <c r="AC610" s="3"/>
      <c r="AD610" s="3"/>
      <c r="AE610" s="3"/>
      <c r="AF610" s="3"/>
      <c r="AG610" s="3"/>
      <c r="AH610" s="3"/>
      <c r="AI610" s="3"/>
      <c r="AJ610" s="154" t="s">
        <v>70</v>
      </c>
      <c r="AN610" s="154" t="s">
        <v>70</v>
      </c>
    </row>
    <row r="611" ht="15.75" customHeight="1">
      <c r="J611" s="15"/>
      <c r="K611" s="238"/>
      <c r="L611" s="15"/>
      <c r="M611" s="15"/>
      <c r="N611" s="15"/>
      <c r="O611" s="15"/>
      <c r="P611" s="15"/>
      <c r="Q611" s="15"/>
      <c r="R611" s="15"/>
      <c r="S611" s="15"/>
      <c r="T611" s="15"/>
      <c r="U611" s="15"/>
      <c r="V611" s="15"/>
      <c r="W611" s="15"/>
      <c r="X611" s="14"/>
      <c r="Y611" s="14"/>
      <c r="Z611" s="15"/>
      <c r="AA611" s="15"/>
      <c r="AB611" s="3"/>
      <c r="AC611" s="3"/>
      <c r="AD611" s="3"/>
      <c r="AE611" s="3"/>
      <c r="AF611" s="3"/>
      <c r="AG611" s="3"/>
      <c r="AH611" s="3"/>
      <c r="AI611" s="3"/>
      <c r="AJ611" s="154" t="s">
        <v>70</v>
      </c>
      <c r="AN611" s="154" t="s">
        <v>70</v>
      </c>
    </row>
    <row r="612" ht="15.75" customHeight="1">
      <c r="J612" s="15"/>
      <c r="K612" s="238"/>
      <c r="L612" s="15"/>
      <c r="M612" s="15"/>
      <c r="N612" s="15"/>
      <c r="O612" s="15"/>
      <c r="P612" s="15"/>
      <c r="Q612" s="15"/>
      <c r="R612" s="15"/>
      <c r="S612" s="15"/>
      <c r="T612" s="15"/>
      <c r="U612" s="15"/>
      <c r="V612" s="15"/>
      <c r="W612" s="15"/>
      <c r="X612" s="14"/>
      <c r="Y612" s="14"/>
      <c r="Z612" s="15"/>
      <c r="AA612" s="15"/>
      <c r="AB612" s="3"/>
      <c r="AC612" s="3"/>
      <c r="AD612" s="3"/>
      <c r="AE612" s="3"/>
      <c r="AF612" s="3"/>
      <c r="AG612" s="3"/>
      <c r="AH612" s="3"/>
      <c r="AI612" s="3"/>
      <c r="AJ612" s="154" t="s">
        <v>70</v>
      </c>
      <c r="AN612" s="154" t="s">
        <v>70</v>
      </c>
    </row>
    <row r="613" ht="15.75" customHeight="1">
      <c r="J613" s="15"/>
      <c r="K613" s="238"/>
      <c r="L613" s="15"/>
      <c r="M613" s="15"/>
      <c r="N613" s="15"/>
      <c r="O613" s="15"/>
      <c r="P613" s="15"/>
      <c r="Q613" s="15"/>
      <c r="R613" s="15"/>
      <c r="S613" s="15"/>
      <c r="T613" s="15"/>
      <c r="U613" s="15"/>
      <c r="V613" s="15"/>
      <c r="W613" s="15"/>
      <c r="X613" s="14"/>
      <c r="Y613" s="14"/>
      <c r="Z613" s="15"/>
      <c r="AA613" s="15"/>
      <c r="AB613" s="3"/>
      <c r="AC613" s="3"/>
      <c r="AD613" s="3"/>
      <c r="AE613" s="3"/>
      <c r="AF613" s="3"/>
      <c r="AG613" s="3"/>
      <c r="AH613" s="3"/>
      <c r="AI613" s="3"/>
      <c r="AJ613" s="154" t="s">
        <v>70</v>
      </c>
      <c r="AN613" s="154" t="s">
        <v>70</v>
      </c>
    </row>
    <row r="614" ht="15.75" customHeight="1">
      <c r="J614" s="15"/>
      <c r="K614" s="238"/>
      <c r="L614" s="15"/>
      <c r="M614" s="15"/>
      <c r="N614" s="15"/>
      <c r="O614" s="15"/>
      <c r="P614" s="15"/>
      <c r="Q614" s="15"/>
      <c r="R614" s="15"/>
      <c r="S614" s="15"/>
      <c r="T614" s="15"/>
      <c r="U614" s="15"/>
      <c r="V614" s="15"/>
      <c r="W614" s="15"/>
      <c r="X614" s="14"/>
      <c r="Y614" s="14"/>
      <c r="Z614" s="15"/>
      <c r="AA614" s="15"/>
      <c r="AB614" s="3"/>
      <c r="AC614" s="3"/>
      <c r="AD614" s="3"/>
      <c r="AE614" s="3"/>
      <c r="AF614" s="3"/>
      <c r="AG614" s="3"/>
      <c r="AH614" s="3"/>
      <c r="AI614" s="3"/>
      <c r="AJ614" s="154" t="s">
        <v>70</v>
      </c>
      <c r="AN614" s="154" t="s">
        <v>70</v>
      </c>
    </row>
    <row r="615" ht="15.75" customHeight="1">
      <c r="J615" s="15"/>
      <c r="K615" s="238"/>
      <c r="L615" s="15"/>
      <c r="M615" s="15"/>
      <c r="N615" s="15"/>
      <c r="O615" s="15"/>
      <c r="P615" s="15"/>
      <c r="Q615" s="15"/>
      <c r="R615" s="15"/>
      <c r="S615" s="15"/>
      <c r="T615" s="15"/>
      <c r="U615" s="15"/>
      <c r="V615" s="15"/>
      <c r="W615" s="15"/>
      <c r="X615" s="14"/>
      <c r="Y615" s="14"/>
      <c r="Z615" s="15"/>
      <c r="AA615" s="15"/>
      <c r="AB615" s="3"/>
      <c r="AC615" s="3"/>
      <c r="AD615" s="3"/>
      <c r="AE615" s="3"/>
      <c r="AF615" s="3"/>
      <c r="AG615" s="3"/>
      <c r="AH615" s="3"/>
      <c r="AI615" s="3"/>
      <c r="AJ615" s="154" t="s">
        <v>70</v>
      </c>
      <c r="AN615" s="154" t="s">
        <v>70</v>
      </c>
    </row>
    <row r="616" ht="15.75" customHeight="1">
      <c r="J616" s="15"/>
      <c r="K616" s="238"/>
      <c r="L616" s="15"/>
      <c r="M616" s="15"/>
      <c r="N616" s="15"/>
      <c r="O616" s="15"/>
      <c r="P616" s="15"/>
      <c r="Q616" s="15"/>
      <c r="R616" s="15"/>
      <c r="S616" s="15"/>
      <c r="T616" s="15"/>
      <c r="U616" s="15"/>
      <c r="V616" s="15"/>
      <c r="W616" s="15"/>
      <c r="X616" s="14"/>
      <c r="Y616" s="14"/>
      <c r="Z616" s="15"/>
      <c r="AA616" s="15"/>
      <c r="AB616" s="3"/>
      <c r="AC616" s="3"/>
      <c r="AD616" s="3"/>
      <c r="AE616" s="3"/>
      <c r="AF616" s="3"/>
      <c r="AG616" s="3"/>
      <c r="AH616" s="3"/>
      <c r="AI616" s="3"/>
      <c r="AJ616" s="154" t="s">
        <v>70</v>
      </c>
      <c r="AN616" s="154" t="s">
        <v>70</v>
      </c>
    </row>
    <row r="617" ht="15.75" customHeight="1">
      <c r="J617" s="15"/>
      <c r="K617" s="238"/>
      <c r="L617" s="15"/>
      <c r="M617" s="15"/>
      <c r="N617" s="15"/>
      <c r="O617" s="15"/>
      <c r="P617" s="15"/>
      <c r="Q617" s="15"/>
      <c r="R617" s="15"/>
      <c r="S617" s="15"/>
      <c r="T617" s="15"/>
      <c r="U617" s="15"/>
      <c r="V617" s="15"/>
      <c r="W617" s="15"/>
      <c r="X617" s="14"/>
      <c r="Y617" s="14"/>
      <c r="Z617" s="15"/>
      <c r="AA617" s="15"/>
      <c r="AB617" s="3"/>
      <c r="AC617" s="3"/>
      <c r="AD617" s="3"/>
      <c r="AE617" s="3"/>
      <c r="AF617" s="3"/>
      <c r="AG617" s="3"/>
      <c r="AH617" s="3"/>
      <c r="AI617" s="3"/>
      <c r="AJ617" s="154" t="s">
        <v>70</v>
      </c>
      <c r="AN617" s="154" t="s">
        <v>70</v>
      </c>
    </row>
    <row r="618" ht="15.75" customHeight="1">
      <c r="J618" s="15"/>
      <c r="K618" s="238"/>
      <c r="L618" s="15"/>
      <c r="M618" s="15"/>
      <c r="N618" s="15"/>
      <c r="O618" s="15"/>
      <c r="P618" s="15"/>
      <c r="Q618" s="15"/>
      <c r="R618" s="15"/>
      <c r="S618" s="15"/>
      <c r="T618" s="15"/>
      <c r="U618" s="15"/>
      <c r="V618" s="15"/>
      <c r="W618" s="15"/>
      <c r="X618" s="14"/>
      <c r="Y618" s="14"/>
      <c r="Z618" s="15"/>
      <c r="AA618" s="15"/>
      <c r="AB618" s="3"/>
      <c r="AC618" s="3"/>
      <c r="AD618" s="3"/>
      <c r="AE618" s="3"/>
      <c r="AF618" s="3"/>
      <c r="AG618" s="3"/>
      <c r="AH618" s="3"/>
      <c r="AI618" s="3"/>
      <c r="AJ618" s="154" t="s">
        <v>70</v>
      </c>
      <c r="AN618" s="154" t="s">
        <v>70</v>
      </c>
    </row>
    <row r="619" ht="15.75" customHeight="1">
      <c r="J619" s="15"/>
      <c r="K619" s="238"/>
      <c r="L619" s="15"/>
      <c r="M619" s="15"/>
      <c r="N619" s="15"/>
      <c r="O619" s="15"/>
      <c r="P619" s="15"/>
      <c r="Q619" s="15"/>
      <c r="R619" s="15"/>
      <c r="S619" s="15"/>
      <c r="T619" s="15"/>
      <c r="U619" s="15"/>
      <c r="V619" s="15"/>
      <c r="W619" s="15"/>
      <c r="X619" s="14"/>
      <c r="Y619" s="14"/>
      <c r="Z619" s="15"/>
      <c r="AA619" s="15"/>
      <c r="AB619" s="3"/>
      <c r="AC619" s="3"/>
      <c r="AD619" s="3"/>
      <c r="AE619" s="3"/>
      <c r="AF619" s="3"/>
      <c r="AG619" s="3"/>
      <c r="AH619" s="3"/>
      <c r="AI619" s="3"/>
      <c r="AJ619" s="154" t="s">
        <v>70</v>
      </c>
      <c r="AN619" s="154" t="s">
        <v>70</v>
      </c>
    </row>
    <row r="620" ht="15.75" customHeight="1">
      <c r="J620" s="15"/>
      <c r="K620" s="238"/>
      <c r="L620" s="15"/>
      <c r="M620" s="15"/>
      <c r="N620" s="15"/>
      <c r="O620" s="15"/>
      <c r="P620" s="15"/>
      <c r="Q620" s="15"/>
      <c r="R620" s="15"/>
      <c r="S620" s="15"/>
      <c r="T620" s="15"/>
      <c r="U620" s="15"/>
      <c r="V620" s="15"/>
      <c r="W620" s="15"/>
      <c r="X620" s="14"/>
      <c r="Y620" s="14"/>
      <c r="Z620" s="15"/>
      <c r="AA620" s="15"/>
      <c r="AB620" s="3"/>
      <c r="AC620" s="3"/>
      <c r="AD620" s="3"/>
      <c r="AE620" s="3"/>
      <c r="AF620" s="3"/>
      <c r="AG620" s="3"/>
      <c r="AH620" s="3"/>
      <c r="AI620" s="3"/>
      <c r="AJ620" s="154" t="s">
        <v>70</v>
      </c>
      <c r="AN620" s="154" t="s">
        <v>70</v>
      </c>
    </row>
    <row r="621" ht="15.75" customHeight="1">
      <c r="J621" s="15"/>
      <c r="K621" s="238"/>
      <c r="L621" s="15"/>
      <c r="M621" s="15"/>
      <c r="N621" s="15"/>
      <c r="O621" s="15"/>
      <c r="P621" s="15"/>
      <c r="Q621" s="15"/>
      <c r="R621" s="15"/>
      <c r="S621" s="15"/>
      <c r="T621" s="15"/>
      <c r="U621" s="15"/>
      <c r="V621" s="15"/>
      <c r="W621" s="15"/>
      <c r="X621" s="14"/>
      <c r="Y621" s="14"/>
      <c r="Z621" s="15"/>
      <c r="AA621" s="15"/>
      <c r="AB621" s="3"/>
      <c r="AC621" s="3"/>
      <c r="AD621" s="3"/>
      <c r="AE621" s="3"/>
      <c r="AF621" s="3"/>
      <c r="AG621" s="3"/>
      <c r="AH621" s="3"/>
      <c r="AI621" s="3"/>
      <c r="AJ621" s="154" t="s">
        <v>70</v>
      </c>
      <c r="AN621" s="154" t="s">
        <v>70</v>
      </c>
    </row>
    <row r="622" ht="15.75" customHeight="1">
      <c r="J622" s="15"/>
      <c r="K622" s="238"/>
      <c r="L622" s="15"/>
      <c r="M622" s="15"/>
      <c r="N622" s="15"/>
      <c r="O622" s="15"/>
      <c r="P622" s="15"/>
      <c r="Q622" s="15"/>
      <c r="R622" s="15"/>
      <c r="S622" s="15"/>
      <c r="T622" s="15"/>
      <c r="U622" s="15"/>
      <c r="V622" s="15"/>
      <c r="W622" s="15"/>
      <c r="X622" s="14"/>
      <c r="Y622" s="14"/>
      <c r="Z622" s="15"/>
      <c r="AA622" s="15"/>
      <c r="AB622" s="3"/>
      <c r="AC622" s="3"/>
      <c r="AD622" s="3"/>
      <c r="AE622" s="3"/>
      <c r="AF622" s="3"/>
      <c r="AG622" s="3"/>
      <c r="AH622" s="3"/>
      <c r="AI622" s="3"/>
      <c r="AJ622" s="154" t="s">
        <v>70</v>
      </c>
      <c r="AN622" s="154" t="s">
        <v>70</v>
      </c>
    </row>
    <row r="623" ht="15.75" customHeight="1">
      <c r="J623" s="15"/>
      <c r="K623" s="238"/>
      <c r="L623" s="15"/>
      <c r="M623" s="15"/>
      <c r="N623" s="15"/>
      <c r="O623" s="15"/>
      <c r="P623" s="15"/>
      <c r="Q623" s="15"/>
      <c r="R623" s="15"/>
      <c r="S623" s="15"/>
      <c r="T623" s="15"/>
      <c r="U623" s="15"/>
      <c r="V623" s="15"/>
      <c r="W623" s="15"/>
      <c r="X623" s="14"/>
      <c r="Y623" s="14"/>
      <c r="Z623" s="15"/>
      <c r="AA623" s="15"/>
      <c r="AB623" s="3"/>
      <c r="AC623" s="3"/>
      <c r="AD623" s="3"/>
      <c r="AE623" s="3"/>
      <c r="AF623" s="3"/>
      <c r="AG623" s="3"/>
      <c r="AH623" s="3"/>
      <c r="AI623" s="3"/>
      <c r="AJ623" s="154" t="s">
        <v>70</v>
      </c>
      <c r="AN623" s="154" t="s">
        <v>70</v>
      </c>
    </row>
    <row r="624" ht="15.75" customHeight="1">
      <c r="J624" s="15"/>
      <c r="K624" s="238"/>
      <c r="L624" s="15"/>
      <c r="M624" s="15"/>
      <c r="N624" s="15"/>
      <c r="O624" s="15"/>
      <c r="P624" s="15"/>
      <c r="Q624" s="15"/>
      <c r="R624" s="15"/>
      <c r="S624" s="15"/>
      <c r="T624" s="15"/>
      <c r="U624" s="15"/>
      <c r="V624" s="15"/>
      <c r="W624" s="15"/>
      <c r="X624" s="14"/>
      <c r="Y624" s="14"/>
      <c r="Z624" s="15"/>
      <c r="AA624" s="15"/>
      <c r="AB624" s="3"/>
      <c r="AC624" s="3"/>
      <c r="AD624" s="3"/>
      <c r="AE624" s="3"/>
      <c r="AF624" s="3"/>
      <c r="AG624" s="3"/>
      <c r="AH624" s="3"/>
      <c r="AI624" s="3"/>
      <c r="AJ624" s="154" t="s">
        <v>70</v>
      </c>
      <c r="AN624" s="154" t="s">
        <v>70</v>
      </c>
    </row>
    <row r="625" ht="15.75" customHeight="1">
      <c r="J625" s="15"/>
      <c r="K625" s="238"/>
      <c r="L625" s="15"/>
      <c r="M625" s="15"/>
      <c r="N625" s="15"/>
      <c r="O625" s="15"/>
      <c r="P625" s="15"/>
      <c r="Q625" s="15"/>
      <c r="R625" s="15"/>
      <c r="S625" s="15"/>
      <c r="T625" s="15"/>
      <c r="U625" s="15"/>
      <c r="V625" s="15"/>
      <c r="W625" s="15"/>
      <c r="X625" s="14"/>
      <c r="Y625" s="14"/>
      <c r="Z625" s="15"/>
      <c r="AA625" s="15"/>
      <c r="AB625" s="3"/>
      <c r="AC625" s="3"/>
      <c r="AD625" s="3"/>
      <c r="AE625" s="3"/>
      <c r="AF625" s="3"/>
      <c r="AG625" s="3"/>
      <c r="AH625" s="3"/>
      <c r="AI625" s="3"/>
      <c r="AJ625" s="154" t="s">
        <v>70</v>
      </c>
      <c r="AN625" s="154" t="s">
        <v>70</v>
      </c>
    </row>
    <row r="626" ht="15.75" customHeight="1">
      <c r="J626" s="15"/>
      <c r="K626" s="238"/>
      <c r="L626" s="15"/>
      <c r="M626" s="15"/>
      <c r="N626" s="15"/>
      <c r="O626" s="15"/>
      <c r="P626" s="15"/>
      <c r="Q626" s="15"/>
      <c r="R626" s="15"/>
      <c r="S626" s="15"/>
      <c r="T626" s="15"/>
      <c r="U626" s="15"/>
      <c r="V626" s="15"/>
      <c r="W626" s="15"/>
      <c r="X626" s="14"/>
      <c r="Y626" s="14"/>
      <c r="Z626" s="15"/>
      <c r="AA626" s="15"/>
      <c r="AB626" s="3"/>
      <c r="AC626" s="3"/>
      <c r="AD626" s="3"/>
      <c r="AE626" s="3"/>
      <c r="AF626" s="3"/>
      <c r="AG626" s="3"/>
      <c r="AH626" s="3"/>
      <c r="AI626" s="3"/>
      <c r="AJ626" s="154" t="s">
        <v>70</v>
      </c>
      <c r="AN626" s="154" t="s">
        <v>70</v>
      </c>
    </row>
    <row r="627" ht="15.75" customHeight="1">
      <c r="J627" s="15"/>
      <c r="K627" s="238"/>
      <c r="L627" s="15"/>
      <c r="M627" s="15"/>
      <c r="N627" s="15"/>
      <c r="O627" s="15"/>
      <c r="P627" s="15"/>
      <c r="Q627" s="15"/>
      <c r="R627" s="15"/>
      <c r="S627" s="15"/>
      <c r="T627" s="15"/>
      <c r="U627" s="15"/>
      <c r="V627" s="15"/>
      <c r="W627" s="15"/>
      <c r="X627" s="14"/>
      <c r="Y627" s="14"/>
      <c r="Z627" s="15"/>
      <c r="AA627" s="15"/>
      <c r="AB627" s="3"/>
      <c r="AC627" s="3"/>
      <c r="AD627" s="3"/>
      <c r="AE627" s="3"/>
      <c r="AF627" s="3"/>
      <c r="AG627" s="3"/>
      <c r="AH627" s="3"/>
      <c r="AI627" s="3"/>
      <c r="AJ627" s="154" t="s">
        <v>70</v>
      </c>
      <c r="AN627" s="154" t="s">
        <v>70</v>
      </c>
    </row>
    <row r="628" ht="15.75" customHeight="1">
      <c r="J628" s="15"/>
      <c r="K628" s="238"/>
      <c r="L628" s="15"/>
      <c r="M628" s="15"/>
      <c r="N628" s="15"/>
      <c r="O628" s="15"/>
      <c r="P628" s="15"/>
      <c r="Q628" s="15"/>
      <c r="R628" s="15"/>
      <c r="S628" s="15"/>
      <c r="T628" s="15"/>
      <c r="U628" s="15"/>
      <c r="V628" s="15"/>
      <c r="W628" s="15"/>
      <c r="X628" s="14"/>
      <c r="Y628" s="14"/>
      <c r="Z628" s="15"/>
      <c r="AA628" s="15"/>
      <c r="AB628" s="3"/>
      <c r="AC628" s="3"/>
      <c r="AD628" s="3"/>
      <c r="AE628" s="3"/>
      <c r="AF628" s="3"/>
      <c r="AG628" s="3"/>
      <c r="AH628" s="3"/>
      <c r="AI628" s="3"/>
      <c r="AJ628" s="154" t="s">
        <v>70</v>
      </c>
      <c r="AN628" s="154" t="s">
        <v>70</v>
      </c>
    </row>
    <row r="629" ht="15.75" customHeight="1">
      <c r="J629" s="15"/>
      <c r="K629" s="238"/>
      <c r="L629" s="15"/>
      <c r="M629" s="15"/>
      <c r="N629" s="15"/>
      <c r="O629" s="15"/>
      <c r="P629" s="15"/>
      <c r="Q629" s="15"/>
      <c r="R629" s="15"/>
      <c r="S629" s="15"/>
      <c r="T629" s="15"/>
      <c r="U629" s="15"/>
      <c r="V629" s="15"/>
      <c r="W629" s="15"/>
      <c r="X629" s="14"/>
      <c r="Y629" s="14"/>
      <c r="Z629" s="15"/>
      <c r="AA629" s="15"/>
      <c r="AB629" s="3"/>
      <c r="AC629" s="3"/>
      <c r="AD629" s="3"/>
      <c r="AE629" s="3"/>
      <c r="AF629" s="3"/>
      <c r="AG629" s="3"/>
      <c r="AH629" s="3"/>
      <c r="AI629" s="3"/>
      <c r="AJ629" s="154" t="s">
        <v>70</v>
      </c>
      <c r="AN629" s="154" t="s">
        <v>70</v>
      </c>
    </row>
    <row r="630" ht="15.75" customHeight="1">
      <c r="J630" s="15"/>
      <c r="K630" s="238"/>
      <c r="L630" s="15"/>
      <c r="M630" s="15"/>
      <c r="N630" s="15"/>
      <c r="O630" s="15"/>
      <c r="P630" s="15"/>
      <c r="Q630" s="15"/>
      <c r="R630" s="15"/>
      <c r="S630" s="15"/>
      <c r="T630" s="15"/>
      <c r="U630" s="15"/>
      <c r="V630" s="15"/>
      <c r="W630" s="15"/>
      <c r="X630" s="14"/>
      <c r="Y630" s="14"/>
      <c r="Z630" s="15"/>
      <c r="AA630" s="15"/>
      <c r="AB630" s="3"/>
      <c r="AC630" s="3"/>
      <c r="AD630" s="3"/>
      <c r="AE630" s="3"/>
      <c r="AF630" s="3"/>
      <c r="AG630" s="3"/>
      <c r="AH630" s="3"/>
      <c r="AI630" s="3"/>
      <c r="AJ630" s="154" t="s">
        <v>70</v>
      </c>
      <c r="AN630" s="154" t="s">
        <v>70</v>
      </c>
    </row>
    <row r="631" ht="15.75" customHeight="1">
      <c r="J631" s="15"/>
      <c r="K631" s="238"/>
      <c r="L631" s="15"/>
      <c r="M631" s="15"/>
      <c r="N631" s="15"/>
      <c r="O631" s="15"/>
      <c r="P631" s="15"/>
      <c r="Q631" s="15"/>
      <c r="R631" s="15"/>
      <c r="S631" s="15"/>
      <c r="T631" s="15"/>
      <c r="U631" s="15"/>
      <c r="V631" s="15"/>
      <c r="W631" s="15"/>
      <c r="X631" s="14"/>
      <c r="Y631" s="14"/>
      <c r="Z631" s="15"/>
      <c r="AA631" s="15"/>
      <c r="AB631" s="3"/>
      <c r="AC631" s="3"/>
      <c r="AD631" s="3"/>
      <c r="AE631" s="3"/>
      <c r="AF631" s="3"/>
      <c r="AG631" s="3"/>
      <c r="AH631" s="3"/>
      <c r="AI631" s="3"/>
      <c r="AJ631" s="154" t="s">
        <v>70</v>
      </c>
      <c r="AN631" s="154" t="s">
        <v>70</v>
      </c>
    </row>
    <row r="632" ht="15.75" customHeight="1">
      <c r="J632" s="15"/>
      <c r="K632" s="238"/>
      <c r="L632" s="15"/>
      <c r="M632" s="15"/>
      <c r="N632" s="15"/>
      <c r="O632" s="15"/>
      <c r="P632" s="15"/>
      <c r="Q632" s="15"/>
      <c r="R632" s="15"/>
      <c r="S632" s="15"/>
      <c r="T632" s="15"/>
      <c r="U632" s="15"/>
      <c r="V632" s="15"/>
      <c r="W632" s="15"/>
      <c r="X632" s="14"/>
      <c r="Y632" s="14"/>
      <c r="Z632" s="15"/>
      <c r="AA632" s="15"/>
      <c r="AB632" s="3"/>
      <c r="AC632" s="3"/>
      <c r="AD632" s="3"/>
      <c r="AE632" s="3"/>
      <c r="AF632" s="3"/>
      <c r="AG632" s="3"/>
      <c r="AH632" s="3"/>
      <c r="AI632" s="3"/>
      <c r="AJ632" s="154" t="s">
        <v>70</v>
      </c>
      <c r="AN632" s="154" t="s">
        <v>70</v>
      </c>
    </row>
    <row r="633" ht="15.75" customHeight="1">
      <c r="J633" s="15"/>
      <c r="K633" s="238"/>
      <c r="L633" s="15"/>
      <c r="M633" s="15"/>
      <c r="N633" s="15"/>
      <c r="O633" s="15"/>
      <c r="P633" s="15"/>
      <c r="Q633" s="15"/>
      <c r="R633" s="15"/>
      <c r="S633" s="15"/>
      <c r="T633" s="15"/>
      <c r="U633" s="15"/>
      <c r="V633" s="15"/>
      <c r="W633" s="15"/>
      <c r="X633" s="14"/>
      <c r="Y633" s="14"/>
      <c r="Z633" s="15"/>
      <c r="AA633" s="15"/>
      <c r="AB633" s="3"/>
      <c r="AC633" s="3"/>
      <c r="AD633" s="3"/>
      <c r="AE633" s="3"/>
      <c r="AF633" s="3"/>
      <c r="AG633" s="3"/>
      <c r="AH633" s="3"/>
      <c r="AI633" s="3"/>
      <c r="AJ633" s="154" t="s">
        <v>70</v>
      </c>
      <c r="AN633" s="154" t="s">
        <v>70</v>
      </c>
    </row>
    <row r="634" ht="15.75" customHeight="1">
      <c r="J634" s="15"/>
      <c r="K634" s="238"/>
      <c r="L634" s="15"/>
      <c r="M634" s="15"/>
      <c r="N634" s="15"/>
      <c r="O634" s="15"/>
      <c r="P634" s="15"/>
      <c r="Q634" s="15"/>
      <c r="R634" s="15"/>
      <c r="S634" s="15"/>
      <c r="T634" s="15"/>
      <c r="U634" s="15"/>
      <c r="V634" s="15"/>
      <c r="W634" s="15"/>
      <c r="X634" s="14"/>
      <c r="Y634" s="14"/>
      <c r="Z634" s="15"/>
      <c r="AA634" s="15"/>
      <c r="AB634" s="3"/>
      <c r="AC634" s="3"/>
      <c r="AD634" s="3"/>
      <c r="AE634" s="3"/>
      <c r="AF634" s="3"/>
      <c r="AG634" s="3"/>
      <c r="AH634" s="3"/>
      <c r="AI634" s="3"/>
      <c r="AJ634" s="154" t="s">
        <v>70</v>
      </c>
      <c r="AN634" s="154" t="s">
        <v>70</v>
      </c>
    </row>
    <row r="635" ht="15.75" customHeight="1">
      <c r="J635" s="15"/>
      <c r="K635" s="238"/>
      <c r="L635" s="15"/>
      <c r="M635" s="15"/>
      <c r="N635" s="15"/>
      <c r="O635" s="15"/>
      <c r="P635" s="15"/>
      <c r="Q635" s="15"/>
      <c r="R635" s="15"/>
      <c r="S635" s="15"/>
      <c r="T635" s="15"/>
      <c r="U635" s="15"/>
      <c r="V635" s="15"/>
      <c r="W635" s="15"/>
      <c r="X635" s="14"/>
      <c r="Y635" s="14"/>
      <c r="Z635" s="15"/>
      <c r="AA635" s="15"/>
      <c r="AB635" s="3"/>
      <c r="AC635" s="3"/>
      <c r="AD635" s="3"/>
      <c r="AE635" s="3"/>
      <c r="AF635" s="3"/>
      <c r="AG635" s="3"/>
      <c r="AH635" s="3"/>
      <c r="AI635" s="3"/>
      <c r="AJ635" s="154" t="s">
        <v>70</v>
      </c>
      <c r="AN635" s="154" t="s">
        <v>70</v>
      </c>
    </row>
    <row r="636" ht="15.75" customHeight="1">
      <c r="J636" s="15"/>
      <c r="K636" s="238"/>
      <c r="L636" s="15"/>
      <c r="M636" s="15"/>
      <c r="N636" s="15"/>
      <c r="O636" s="15"/>
      <c r="P636" s="15"/>
      <c r="Q636" s="15"/>
      <c r="R636" s="15"/>
      <c r="S636" s="15"/>
      <c r="T636" s="15"/>
      <c r="U636" s="15"/>
      <c r="V636" s="15"/>
      <c r="W636" s="15"/>
      <c r="X636" s="14"/>
      <c r="Y636" s="14"/>
      <c r="Z636" s="15"/>
      <c r="AA636" s="15"/>
      <c r="AB636" s="3"/>
      <c r="AC636" s="3"/>
      <c r="AD636" s="3"/>
      <c r="AE636" s="3"/>
      <c r="AF636" s="3"/>
      <c r="AG636" s="3"/>
      <c r="AH636" s="3"/>
      <c r="AI636" s="3"/>
      <c r="AJ636" s="154" t="s">
        <v>70</v>
      </c>
      <c r="AN636" s="154" t="s">
        <v>70</v>
      </c>
    </row>
    <row r="637" ht="15.75" customHeight="1">
      <c r="J637" s="15"/>
      <c r="K637" s="238"/>
      <c r="L637" s="15"/>
      <c r="M637" s="15"/>
      <c r="N637" s="15"/>
      <c r="O637" s="15"/>
      <c r="P637" s="15"/>
      <c r="Q637" s="15"/>
      <c r="R637" s="15"/>
      <c r="S637" s="15"/>
      <c r="T637" s="15"/>
      <c r="U637" s="15"/>
      <c r="V637" s="15"/>
      <c r="W637" s="15"/>
      <c r="X637" s="14"/>
      <c r="Y637" s="14"/>
      <c r="Z637" s="15"/>
      <c r="AA637" s="15"/>
      <c r="AB637" s="3"/>
      <c r="AC637" s="3"/>
      <c r="AD637" s="3"/>
      <c r="AE637" s="3"/>
      <c r="AF637" s="3"/>
      <c r="AG637" s="3"/>
      <c r="AH637" s="3"/>
      <c r="AI637" s="3"/>
      <c r="AJ637" s="154" t="s">
        <v>70</v>
      </c>
      <c r="AN637" s="154" t="s">
        <v>70</v>
      </c>
    </row>
    <row r="638" ht="15.75" customHeight="1">
      <c r="J638" s="15"/>
      <c r="K638" s="238"/>
      <c r="L638" s="15"/>
      <c r="M638" s="15"/>
      <c r="N638" s="15"/>
      <c r="O638" s="15"/>
      <c r="P638" s="15"/>
      <c r="Q638" s="15"/>
      <c r="R638" s="15"/>
      <c r="S638" s="15"/>
      <c r="T638" s="15"/>
      <c r="U638" s="15"/>
      <c r="V638" s="15"/>
      <c r="W638" s="15"/>
      <c r="X638" s="14"/>
      <c r="Y638" s="14"/>
      <c r="Z638" s="15"/>
      <c r="AA638" s="15"/>
      <c r="AB638" s="3"/>
      <c r="AC638" s="3"/>
      <c r="AD638" s="3"/>
      <c r="AE638" s="3"/>
      <c r="AF638" s="3"/>
      <c r="AG638" s="3"/>
      <c r="AH638" s="3"/>
      <c r="AI638" s="3"/>
      <c r="AJ638" s="154" t="s">
        <v>70</v>
      </c>
      <c r="AN638" s="154" t="s">
        <v>70</v>
      </c>
    </row>
    <row r="639" ht="15.75" customHeight="1">
      <c r="J639" s="15"/>
      <c r="K639" s="238"/>
      <c r="L639" s="15"/>
      <c r="M639" s="15"/>
      <c r="N639" s="15"/>
      <c r="O639" s="15"/>
      <c r="P639" s="15"/>
      <c r="Q639" s="15"/>
      <c r="R639" s="15"/>
      <c r="S639" s="15"/>
      <c r="T639" s="15"/>
      <c r="U639" s="15"/>
      <c r="V639" s="15"/>
      <c r="W639" s="15"/>
      <c r="X639" s="14"/>
      <c r="Y639" s="14"/>
      <c r="Z639" s="15"/>
      <c r="AA639" s="15"/>
      <c r="AB639" s="3"/>
      <c r="AC639" s="3"/>
      <c r="AD639" s="3"/>
      <c r="AE639" s="3"/>
      <c r="AF639" s="3"/>
      <c r="AG639" s="3"/>
      <c r="AH639" s="3"/>
      <c r="AI639" s="3"/>
      <c r="AJ639" s="154" t="s">
        <v>70</v>
      </c>
      <c r="AN639" s="154" t="s">
        <v>70</v>
      </c>
    </row>
    <row r="640" ht="15.75" customHeight="1">
      <c r="J640" s="15"/>
      <c r="K640" s="238"/>
      <c r="L640" s="15"/>
      <c r="M640" s="15"/>
      <c r="N640" s="15"/>
      <c r="O640" s="15"/>
      <c r="P640" s="15"/>
      <c r="Q640" s="15"/>
      <c r="R640" s="15"/>
      <c r="S640" s="15"/>
      <c r="T640" s="15"/>
      <c r="U640" s="15"/>
      <c r="V640" s="15"/>
      <c r="W640" s="15"/>
      <c r="X640" s="14"/>
      <c r="Y640" s="14"/>
      <c r="Z640" s="15"/>
      <c r="AA640" s="15"/>
      <c r="AB640" s="3"/>
      <c r="AC640" s="3"/>
      <c r="AD640" s="3"/>
      <c r="AE640" s="3"/>
      <c r="AF640" s="3"/>
      <c r="AG640" s="3"/>
      <c r="AH640" s="3"/>
      <c r="AI640" s="3"/>
      <c r="AJ640" s="154" t="s">
        <v>70</v>
      </c>
      <c r="AN640" s="154" t="s">
        <v>70</v>
      </c>
    </row>
    <row r="641" ht="15.75" customHeight="1">
      <c r="J641" s="15"/>
      <c r="K641" s="238"/>
      <c r="L641" s="15"/>
      <c r="M641" s="15"/>
      <c r="N641" s="15"/>
      <c r="O641" s="15"/>
      <c r="P641" s="15"/>
      <c r="Q641" s="15"/>
      <c r="R641" s="15"/>
      <c r="S641" s="15"/>
      <c r="T641" s="15"/>
      <c r="U641" s="15"/>
      <c r="V641" s="15"/>
      <c r="W641" s="15"/>
      <c r="X641" s="14"/>
      <c r="Y641" s="14"/>
      <c r="Z641" s="15"/>
      <c r="AA641" s="15"/>
      <c r="AB641" s="3"/>
      <c r="AC641" s="3"/>
      <c r="AD641" s="3"/>
      <c r="AE641" s="3"/>
      <c r="AF641" s="3"/>
      <c r="AG641" s="3"/>
      <c r="AH641" s="3"/>
      <c r="AI641" s="3"/>
      <c r="AJ641" s="154" t="s">
        <v>70</v>
      </c>
      <c r="AN641" s="154" t="s">
        <v>70</v>
      </c>
    </row>
    <row r="642" ht="15.75" customHeight="1">
      <c r="J642" s="15"/>
      <c r="K642" s="238"/>
      <c r="L642" s="15"/>
      <c r="M642" s="15"/>
      <c r="N642" s="15"/>
      <c r="O642" s="15"/>
      <c r="P642" s="15"/>
      <c r="Q642" s="15"/>
      <c r="R642" s="15"/>
      <c r="S642" s="15"/>
      <c r="T642" s="15"/>
      <c r="U642" s="15"/>
      <c r="V642" s="15"/>
      <c r="W642" s="15"/>
      <c r="X642" s="14"/>
      <c r="Y642" s="14"/>
      <c r="Z642" s="15"/>
      <c r="AA642" s="15"/>
      <c r="AB642" s="3"/>
      <c r="AC642" s="3"/>
      <c r="AD642" s="3"/>
      <c r="AE642" s="3"/>
      <c r="AF642" s="3"/>
      <c r="AG642" s="3"/>
      <c r="AH642" s="3"/>
      <c r="AI642" s="3"/>
      <c r="AJ642" s="154" t="s">
        <v>70</v>
      </c>
      <c r="AN642" s="154" t="s">
        <v>70</v>
      </c>
    </row>
    <row r="643" ht="15.75" customHeight="1">
      <c r="J643" s="15"/>
      <c r="K643" s="238"/>
      <c r="L643" s="15"/>
      <c r="M643" s="15"/>
      <c r="N643" s="15"/>
      <c r="O643" s="15"/>
      <c r="P643" s="15"/>
      <c r="Q643" s="15"/>
      <c r="R643" s="15"/>
      <c r="S643" s="15"/>
      <c r="T643" s="15"/>
      <c r="U643" s="15"/>
      <c r="V643" s="15"/>
      <c r="W643" s="15"/>
      <c r="X643" s="14"/>
      <c r="Y643" s="14"/>
      <c r="Z643" s="15"/>
      <c r="AA643" s="15"/>
      <c r="AB643" s="3"/>
      <c r="AC643" s="3"/>
      <c r="AD643" s="3"/>
      <c r="AE643" s="3"/>
      <c r="AF643" s="3"/>
      <c r="AG643" s="3"/>
      <c r="AH643" s="3"/>
      <c r="AI643" s="3"/>
      <c r="AJ643" s="154" t="s">
        <v>70</v>
      </c>
      <c r="AN643" s="154" t="s">
        <v>70</v>
      </c>
    </row>
    <row r="644" ht="15.75" customHeight="1">
      <c r="J644" s="15"/>
      <c r="K644" s="238"/>
      <c r="L644" s="15"/>
      <c r="M644" s="15"/>
      <c r="N644" s="15"/>
      <c r="O644" s="15"/>
      <c r="P644" s="15"/>
      <c r="Q644" s="15"/>
      <c r="R644" s="15"/>
      <c r="S644" s="15"/>
      <c r="T644" s="15"/>
      <c r="U644" s="15"/>
      <c r="V644" s="15"/>
      <c r="W644" s="15"/>
      <c r="X644" s="14"/>
      <c r="Y644" s="14"/>
      <c r="Z644" s="15"/>
      <c r="AA644" s="15"/>
      <c r="AB644" s="3"/>
      <c r="AC644" s="3"/>
      <c r="AD644" s="3"/>
      <c r="AE644" s="3"/>
      <c r="AF644" s="3"/>
      <c r="AG644" s="3"/>
      <c r="AH644" s="3"/>
      <c r="AI644" s="3"/>
      <c r="AJ644" s="154" t="s">
        <v>70</v>
      </c>
      <c r="AN644" s="154" t="s">
        <v>70</v>
      </c>
    </row>
    <row r="645" ht="15.75" customHeight="1">
      <c r="J645" s="15"/>
      <c r="K645" s="238"/>
      <c r="L645" s="15"/>
      <c r="M645" s="15"/>
      <c r="N645" s="15"/>
      <c r="O645" s="15"/>
      <c r="P645" s="15"/>
      <c r="Q645" s="15"/>
      <c r="R645" s="15"/>
      <c r="S645" s="15"/>
      <c r="T645" s="15"/>
      <c r="U645" s="15"/>
      <c r="V645" s="15"/>
      <c r="W645" s="15"/>
      <c r="X645" s="14"/>
      <c r="Y645" s="14"/>
      <c r="Z645" s="15"/>
      <c r="AA645" s="15"/>
      <c r="AB645" s="3"/>
      <c r="AC645" s="3"/>
      <c r="AD645" s="3"/>
      <c r="AE645" s="3"/>
      <c r="AF645" s="3"/>
      <c r="AG645" s="3"/>
      <c r="AH645" s="3"/>
      <c r="AI645" s="3"/>
      <c r="AJ645" s="154" t="s">
        <v>70</v>
      </c>
      <c r="AN645" s="154" t="s">
        <v>70</v>
      </c>
    </row>
    <row r="646" ht="15.75" customHeight="1">
      <c r="J646" s="15"/>
      <c r="K646" s="238"/>
      <c r="L646" s="15"/>
      <c r="M646" s="15"/>
      <c r="N646" s="15"/>
      <c r="O646" s="15"/>
      <c r="P646" s="15"/>
      <c r="Q646" s="15"/>
      <c r="R646" s="15"/>
      <c r="S646" s="15"/>
      <c r="T646" s="15"/>
      <c r="U646" s="15"/>
      <c r="V646" s="15"/>
      <c r="W646" s="15"/>
      <c r="X646" s="14"/>
      <c r="Y646" s="14"/>
      <c r="Z646" s="15"/>
      <c r="AA646" s="15"/>
      <c r="AB646" s="3"/>
      <c r="AC646" s="3"/>
      <c r="AD646" s="3"/>
      <c r="AE646" s="3"/>
      <c r="AF646" s="3"/>
      <c r="AG646" s="3"/>
      <c r="AH646" s="3"/>
      <c r="AI646" s="3"/>
      <c r="AJ646" s="154" t="s">
        <v>70</v>
      </c>
      <c r="AN646" s="154" t="s">
        <v>70</v>
      </c>
    </row>
    <row r="647" ht="15.75" customHeight="1">
      <c r="J647" s="15"/>
      <c r="K647" s="238"/>
      <c r="L647" s="15"/>
      <c r="M647" s="15"/>
      <c r="N647" s="15"/>
      <c r="O647" s="15"/>
      <c r="P647" s="15"/>
      <c r="Q647" s="15"/>
      <c r="R647" s="15"/>
      <c r="S647" s="15"/>
      <c r="T647" s="15"/>
      <c r="U647" s="15"/>
      <c r="V647" s="15"/>
      <c r="W647" s="15"/>
      <c r="X647" s="14"/>
      <c r="Y647" s="14"/>
      <c r="Z647" s="15"/>
      <c r="AA647" s="15"/>
      <c r="AB647" s="3"/>
      <c r="AC647" s="3"/>
      <c r="AD647" s="3"/>
      <c r="AE647" s="3"/>
      <c r="AF647" s="3"/>
      <c r="AG647" s="3"/>
      <c r="AH647" s="3"/>
      <c r="AI647" s="3"/>
      <c r="AJ647" s="154" t="s">
        <v>70</v>
      </c>
      <c r="AN647" s="154" t="s">
        <v>70</v>
      </c>
    </row>
    <row r="648" ht="15.75" customHeight="1">
      <c r="J648" s="15"/>
      <c r="K648" s="238"/>
      <c r="L648" s="15"/>
      <c r="M648" s="15"/>
      <c r="N648" s="15"/>
      <c r="O648" s="15"/>
      <c r="P648" s="15"/>
      <c r="Q648" s="15"/>
      <c r="R648" s="15"/>
      <c r="S648" s="15"/>
      <c r="T648" s="15"/>
      <c r="U648" s="15"/>
      <c r="V648" s="15"/>
      <c r="W648" s="15"/>
      <c r="X648" s="14"/>
      <c r="Y648" s="14"/>
      <c r="Z648" s="15"/>
      <c r="AA648" s="15"/>
      <c r="AB648" s="3"/>
      <c r="AC648" s="3"/>
      <c r="AD648" s="3"/>
      <c r="AE648" s="3"/>
      <c r="AF648" s="3"/>
      <c r="AG648" s="3"/>
      <c r="AH648" s="3"/>
      <c r="AI648" s="3"/>
      <c r="AJ648" s="154" t="s">
        <v>70</v>
      </c>
      <c r="AN648" s="154" t="s">
        <v>70</v>
      </c>
    </row>
    <row r="649" ht="15.75" customHeight="1">
      <c r="J649" s="15"/>
      <c r="K649" s="238"/>
      <c r="L649" s="15"/>
      <c r="M649" s="15"/>
      <c r="N649" s="15"/>
      <c r="O649" s="15"/>
      <c r="P649" s="15"/>
      <c r="Q649" s="15"/>
      <c r="R649" s="15"/>
      <c r="S649" s="15"/>
      <c r="T649" s="15"/>
      <c r="U649" s="15"/>
      <c r="V649" s="15"/>
      <c r="W649" s="15"/>
      <c r="X649" s="14"/>
      <c r="Y649" s="14"/>
      <c r="Z649" s="15"/>
      <c r="AA649" s="15"/>
      <c r="AB649" s="3"/>
      <c r="AC649" s="3"/>
      <c r="AD649" s="3"/>
      <c r="AE649" s="3"/>
      <c r="AF649" s="3"/>
      <c r="AG649" s="3"/>
      <c r="AH649" s="3"/>
      <c r="AI649" s="3"/>
      <c r="AJ649" s="154" t="s">
        <v>70</v>
      </c>
      <c r="AN649" s="154" t="s">
        <v>70</v>
      </c>
    </row>
    <row r="650" ht="15.75" customHeight="1">
      <c r="J650" s="15"/>
      <c r="K650" s="238"/>
      <c r="L650" s="15"/>
      <c r="M650" s="15"/>
      <c r="N650" s="15"/>
      <c r="O650" s="15"/>
      <c r="P650" s="15"/>
      <c r="Q650" s="15"/>
      <c r="R650" s="15"/>
      <c r="S650" s="15"/>
      <c r="T650" s="15"/>
      <c r="U650" s="15"/>
      <c r="V650" s="15"/>
      <c r="W650" s="15"/>
      <c r="X650" s="14"/>
      <c r="Y650" s="14"/>
      <c r="Z650" s="15"/>
      <c r="AA650" s="15"/>
      <c r="AB650" s="3"/>
      <c r="AC650" s="3"/>
      <c r="AD650" s="3"/>
      <c r="AE650" s="3"/>
      <c r="AF650" s="3"/>
      <c r="AG650" s="3"/>
      <c r="AH650" s="3"/>
      <c r="AI650" s="3"/>
      <c r="AJ650" s="154" t="s">
        <v>70</v>
      </c>
      <c r="AN650" s="154" t="s">
        <v>70</v>
      </c>
    </row>
    <row r="651" ht="15.75" customHeight="1">
      <c r="J651" s="15"/>
      <c r="K651" s="238"/>
      <c r="L651" s="15"/>
      <c r="M651" s="15"/>
      <c r="N651" s="15"/>
      <c r="O651" s="15"/>
      <c r="P651" s="15"/>
      <c r="Q651" s="15"/>
      <c r="R651" s="15"/>
      <c r="S651" s="15"/>
      <c r="T651" s="15"/>
      <c r="U651" s="15"/>
      <c r="V651" s="15"/>
      <c r="W651" s="15"/>
      <c r="X651" s="14"/>
      <c r="Y651" s="14"/>
      <c r="Z651" s="15"/>
      <c r="AA651" s="15"/>
      <c r="AB651" s="3"/>
      <c r="AC651" s="3"/>
      <c r="AD651" s="3"/>
      <c r="AE651" s="3"/>
      <c r="AF651" s="3"/>
      <c r="AG651" s="3"/>
      <c r="AH651" s="3"/>
      <c r="AI651" s="3"/>
      <c r="AJ651" s="154" t="s">
        <v>70</v>
      </c>
      <c r="AN651" s="154" t="s">
        <v>70</v>
      </c>
    </row>
    <row r="652" ht="15.75" customHeight="1">
      <c r="J652" s="15"/>
      <c r="K652" s="238"/>
      <c r="L652" s="15"/>
      <c r="M652" s="15"/>
      <c r="N652" s="15"/>
      <c r="O652" s="15"/>
      <c r="P652" s="15"/>
      <c r="Q652" s="15"/>
      <c r="R652" s="15"/>
      <c r="S652" s="15"/>
      <c r="T652" s="15"/>
      <c r="U652" s="15"/>
      <c r="V652" s="15"/>
      <c r="W652" s="15"/>
      <c r="X652" s="14"/>
      <c r="Y652" s="14"/>
      <c r="Z652" s="15"/>
      <c r="AA652" s="15"/>
      <c r="AB652" s="3"/>
      <c r="AC652" s="3"/>
      <c r="AD652" s="3"/>
      <c r="AE652" s="3"/>
      <c r="AF652" s="3"/>
      <c r="AG652" s="3"/>
      <c r="AH652" s="3"/>
      <c r="AI652" s="3"/>
      <c r="AJ652" s="154" t="s">
        <v>70</v>
      </c>
      <c r="AN652" s="154" t="s">
        <v>70</v>
      </c>
    </row>
    <row r="653" ht="15.75" customHeight="1">
      <c r="J653" s="15"/>
      <c r="K653" s="238"/>
      <c r="L653" s="15"/>
      <c r="M653" s="15"/>
      <c r="N653" s="15"/>
      <c r="O653" s="15"/>
      <c r="P653" s="15"/>
      <c r="Q653" s="15"/>
      <c r="R653" s="15"/>
      <c r="S653" s="15"/>
      <c r="T653" s="15"/>
      <c r="U653" s="15"/>
      <c r="V653" s="15"/>
      <c r="W653" s="15"/>
      <c r="X653" s="14"/>
      <c r="Y653" s="14"/>
      <c r="Z653" s="15"/>
      <c r="AA653" s="15"/>
      <c r="AB653" s="3"/>
      <c r="AC653" s="3"/>
      <c r="AD653" s="3"/>
      <c r="AE653" s="3"/>
      <c r="AF653" s="3"/>
      <c r="AG653" s="3"/>
      <c r="AH653" s="3"/>
      <c r="AI653" s="3"/>
      <c r="AJ653" s="154" t="s">
        <v>70</v>
      </c>
      <c r="AN653" s="154" t="s">
        <v>70</v>
      </c>
    </row>
    <row r="654" ht="15.75" customHeight="1">
      <c r="J654" s="15"/>
      <c r="K654" s="238"/>
      <c r="L654" s="15"/>
      <c r="M654" s="15"/>
      <c r="N654" s="15"/>
      <c r="O654" s="15"/>
      <c r="P654" s="15"/>
      <c r="Q654" s="15"/>
      <c r="R654" s="15"/>
      <c r="S654" s="15"/>
      <c r="T654" s="15"/>
      <c r="U654" s="15"/>
      <c r="V654" s="15"/>
      <c r="W654" s="15"/>
      <c r="X654" s="14"/>
      <c r="Y654" s="14"/>
      <c r="Z654" s="15"/>
      <c r="AA654" s="15"/>
      <c r="AB654" s="3"/>
      <c r="AC654" s="3"/>
      <c r="AD654" s="3"/>
      <c r="AE654" s="3"/>
      <c r="AF654" s="3"/>
      <c r="AG654" s="3"/>
      <c r="AH654" s="3"/>
      <c r="AI654" s="3"/>
      <c r="AJ654" s="154" t="s">
        <v>70</v>
      </c>
      <c r="AN654" s="154" t="s">
        <v>70</v>
      </c>
    </row>
    <row r="655" ht="15.75" customHeight="1">
      <c r="J655" s="15"/>
      <c r="K655" s="238"/>
      <c r="L655" s="15"/>
      <c r="M655" s="15"/>
      <c r="N655" s="15"/>
      <c r="O655" s="15"/>
      <c r="P655" s="15"/>
      <c r="Q655" s="15"/>
      <c r="R655" s="15"/>
      <c r="S655" s="15"/>
      <c r="T655" s="15"/>
      <c r="U655" s="15"/>
      <c r="V655" s="15"/>
      <c r="W655" s="15"/>
      <c r="X655" s="14"/>
      <c r="Y655" s="14"/>
      <c r="Z655" s="15"/>
      <c r="AA655" s="15"/>
      <c r="AB655" s="3"/>
      <c r="AC655" s="3"/>
      <c r="AD655" s="3"/>
      <c r="AE655" s="3"/>
      <c r="AF655" s="3"/>
      <c r="AG655" s="3"/>
      <c r="AH655" s="3"/>
      <c r="AI655" s="3"/>
      <c r="AJ655" s="154" t="s">
        <v>70</v>
      </c>
      <c r="AN655" s="154" t="s">
        <v>70</v>
      </c>
    </row>
    <row r="656" ht="15.75" customHeight="1">
      <c r="J656" s="15"/>
      <c r="K656" s="238"/>
      <c r="L656" s="15"/>
      <c r="M656" s="15"/>
      <c r="N656" s="15"/>
      <c r="O656" s="15"/>
      <c r="P656" s="15"/>
      <c r="Q656" s="15"/>
      <c r="R656" s="15"/>
      <c r="S656" s="15"/>
      <c r="T656" s="15"/>
      <c r="U656" s="15"/>
      <c r="V656" s="15"/>
      <c r="W656" s="15"/>
      <c r="X656" s="14"/>
      <c r="Y656" s="14"/>
      <c r="Z656" s="15"/>
      <c r="AA656" s="15"/>
      <c r="AB656" s="3"/>
      <c r="AC656" s="3"/>
      <c r="AD656" s="3"/>
      <c r="AE656" s="3"/>
      <c r="AF656" s="3"/>
      <c r="AG656" s="3"/>
      <c r="AH656" s="3"/>
      <c r="AI656" s="3"/>
      <c r="AJ656" s="154" t="s">
        <v>70</v>
      </c>
      <c r="AN656" s="154" t="s">
        <v>70</v>
      </c>
    </row>
    <row r="657" ht="15.75" customHeight="1">
      <c r="J657" s="15"/>
      <c r="K657" s="238"/>
      <c r="L657" s="15"/>
      <c r="M657" s="15"/>
      <c r="N657" s="15"/>
      <c r="O657" s="15"/>
      <c r="P657" s="15"/>
      <c r="Q657" s="15"/>
      <c r="R657" s="15"/>
      <c r="S657" s="15"/>
      <c r="T657" s="15"/>
      <c r="U657" s="15"/>
      <c r="V657" s="15"/>
      <c r="W657" s="15"/>
      <c r="X657" s="14"/>
      <c r="Y657" s="14"/>
      <c r="Z657" s="15"/>
      <c r="AA657" s="15"/>
      <c r="AB657" s="3"/>
      <c r="AC657" s="3"/>
      <c r="AD657" s="3"/>
      <c r="AE657" s="3"/>
      <c r="AF657" s="3"/>
      <c r="AG657" s="3"/>
      <c r="AH657" s="3"/>
      <c r="AI657" s="3"/>
      <c r="AJ657" s="154" t="s">
        <v>70</v>
      </c>
      <c r="AN657" s="154" t="s">
        <v>70</v>
      </c>
    </row>
    <row r="658" ht="15.75" customHeight="1">
      <c r="J658" s="15"/>
      <c r="K658" s="238"/>
      <c r="L658" s="15"/>
      <c r="M658" s="15"/>
      <c r="N658" s="15"/>
      <c r="O658" s="15"/>
      <c r="P658" s="15"/>
      <c r="Q658" s="15"/>
      <c r="R658" s="15"/>
      <c r="S658" s="15"/>
      <c r="T658" s="15"/>
      <c r="U658" s="15"/>
      <c r="V658" s="15"/>
      <c r="W658" s="15"/>
      <c r="X658" s="14"/>
      <c r="Y658" s="14"/>
      <c r="Z658" s="15"/>
      <c r="AA658" s="15"/>
      <c r="AB658" s="3"/>
      <c r="AC658" s="3"/>
      <c r="AD658" s="3"/>
      <c r="AE658" s="3"/>
      <c r="AF658" s="3"/>
      <c r="AG658" s="3"/>
      <c r="AH658" s="3"/>
      <c r="AI658" s="3"/>
      <c r="AJ658" s="154" t="s">
        <v>70</v>
      </c>
      <c r="AN658" s="154" t="s">
        <v>70</v>
      </c>
    </row>
    <row r="659" ht="15.75" customHeight="1">
      <c r="J659" s="15"/>
      <c r="K659" s="238"/>
      <c r="L659" s="15"/>
      <c r="M659" s="15"/>
      <c r="N659" s="15"/>
      <c r="O659" s="15"/>
      <c r="P659" s="15"/>
      <c r="Q659" s="15"/>
      <c r="R659" s="15"/>
      <c r="S659" s="15"/>
      <c r="T659" s="15"/>
      <c r="U659" s="15"/>
      <c r="V659" s="15"/>
      <c r="W659" s="15"/>
      <c r="X659" s="14"/>
      <c r="Y659" s="14"/>
      <c r="Z659" s="15"/>
      <c r="AA659" s="15"/>
      <c r="AB659" s="3"/>
      <c r="AC659" s="3"/>
      <c r="AD659" s="3"/>
      <c r="AE659" s="3"/>
      <c r="AF659" s="3"/>
      <c r="AG659" s="3"/>
      <c r="AH659" s="3"/>
      <c r="AI659" s="3"/>
      <c r="AJ659" s="154" t="s">
        <v>70</v>
      </c>
      <c r="AN659" s="154" t="s">
        <v>70</v>
      </c>
    </row>
    <row r="660" ht="15.75" customHeight="1">
      <c r="J660" s="15"/>
      <c r="K660" s="238"/>
      <c r="L660" s="15"/>
      <c r="M660" s="15"/>
      <c r="N660" s="15"/>
      <c r="O660" s="15"/>
      <c r="P660" s="15"/>
      <c r="Q660" s="15"/>
      <c r="R660" s="15"/>
      <c r="S660" s="15"/>
      <c r="T660" s="15"/>
      <c r="U660" s="15"/>
      <c r="V660" s="15"/>
      <c r="W660" s="15"/>
      <c r="X660" s="14"/>
      <c r="Y660" s="14"/>
      <c r="Z660" s="15"/>
      <c r="AA660" s="15"/>
      <c r="AB660" s="3"/>
      <c r="AC660" s="3"/>
      <c r="AD660" s="3"/>
      <c r="AE660" s="3"/>
      <c r="AF660" s="3"/>
      <c r="AG660" s="3"/>
      <c r="AH660" s="3"/>
      <c r="AI660" s="3"/>
      <c r="AJ660" s="154" t="s">
        <v>70</v>
      </c>
      <c r="AN660" s="154" t="s">
        <v>70</v>
      </c>
    </row>
    <row r="661" ht="15.75" customHeight="1">
      <c r="J661" s="15"/>
      <c r="K661" s="238"/>
      <c r="L661" s="15"/>
      <c r="M661" s="15"/>
      <c r="N661" s="15"/>
      <c r="O661" s="15"/>
      <c r="P661" s="15"/>
      <c r="Q661" s="15"/>
      <c r="R661" s="15"/>
      <c r="S661" s="15"/>
      <c r="T661" s="15"/>
      <c r="U661" s="15"/>
      <c r="V661" s="15"/>
      <c r="W661" s="15"/>
      <c r="X661" s="14"/>
      <c r="Y661" s="14"/>
      <c r="Z661" s="15"/>
      <c r="AA661" s="15"/>
      <c r="AB661" s="3"/>
      <c r="AC661" s="3"/>
      <c r="AD661" s="3"/>
      <c r="AE661" s="3"/>
      <c r="AF661" s="3"/>
      <c r="AG661" s="3"/>
      <c r="AH661" s="3"/>
      <c r="AI661" s="3"/>
      <c r="AJ661" s="154" t="s">
        <v>70</v>
      </c>
      <c r="AN661" s="154" t="s">
        <v>70</v>
      </c>
    </row>
    <row r="662" ht="15.75" customHeight="1">
      <c r="J662" s="15"/>
      <c r="K662" s="238"/>
      <c r="L662" s="15"/>
      <c r="M662" s="15"/>
      <c r="N662" s="15"/>
      <c r="O662" s="15"/>
      <c r="P662" s="15"/>
      <c r="Q662" s="15"/>
      <c r="R662" s="15"/>
      <c r="S662" s="15"/>
      <c r="T662" s="15"/>
      <c r="U662" s="15"/>
      <c r="V662" s="15"/>
      <c r="W662" s="15"/>
      <c r="X662" s="14"/>
      <c r="Y662" s="14"/>
      <c r="Z662" s="15"/>
      <c r="AA662" s="15"/>
      <c r="AB662" s="3"/>
      <c r="AC662" s="3"/>
      <c r="AD662" s="3"/>
      <c r="AE662" s="3"/>
      <c r="AF662" s="3"/>
      <c r="AG662" s="3"/>
      <c r="AH662" s="3"/>
      <c r="AI662" s="3"/>
      <c r="AJ662" s="154" t="s">
        <v>70</v>
      </c>
      <c r="AN662" s="154" t="s">
        <v>70</v>
      </c>
    </row>
    <row r="663" ht="15.75" customHeight="1">
      <c r="J663" s="15"/>
      <c r="K663" s="238"/>
      <c r="L663" s="15"/>
      <c r="M663" s="15"/>
      <c r="N663" s="15"/>
      <c r="O663" s="15"/>
      <c r="P663" s="15"/>
      <c r="Q663" s="15"/>
      <c r="R663" s="15"/>
      <c r="S663" s="15"/>
      <c r="T663" s="15"/>
      <c r="U663" s="15"/>
      <c r="V663" s="15"/>
      <c r="W663" s="15"/>
      <c r="X663" s="14"/>
      <c r="Y663" s="14"/>
      <c r="Z663" s="15"/>
      <c r="AA663" s="15"/>
      <c r="AB663" s="3"/>
      <c r="AC663" s="3"/>
      <c r="AD663" s="3"/>
      <c r="AE663" s="3"/>
      <c r="AF663" s="3"/>
      <c r="AG663" s="3"/>
      <c r="AH663" s="3"/>
      <c r="AI663" s="3"/>
      <c r="AJ663" s="154" t="s">
        <v>70</v>
      </c>
      <c r="AN663" s="154" t="s">
        <v>70</v>
      </c>
    </row>
    <row r="664" ht="15.75" customHeight="1">
      <c r="J664" s="15"/>
      <c r="K664" s="238"/>
      <c r="L664" s="15"/>
      <c r="M664" s="15"/>
      <c r="N664" s="15"/>
      <c r="O664" s="15"/>
      <c r="P664" s="15"/>
      <c r="Q664" s="15"/>
      <c r="R664" s="15"/>
      <c r="S664" s="15"/>
      <c r="T664" s="15"/>
      <c r="U664" s="15"/>
      <c r="V664" s="15"/>
      <c r="W664" s="15"/>
      <c r="X664" s="14"/>
      <c r="Y664" s="14"/>
      <c r="Z664" s="15"/>
      <c r="AA664" s="15"/>
      <c r="AB664" s="3"/>
      <c r="AC664" s="3"/>
      <c r="AD664" s="3"/>
      <c r="AE664" s="3"/>
      <c r="AF664" s="3"/>
      <c r="AG664" s="3"/>
      <c r="AH664" s="3"/>
      <c r="AI664" s="3"/>
      <c r="AJ664" s="154" t="s">
        <v>70</v>
      </c>
      <c r="AN664" s="154" t="s">
        <v>70</v>
      </c>
    </row>
    <row r="665" ht="15.75" customHeight="1">
      <c r="J665" s="15"/>
      <c r="K665" s="238"/>
      <c r="L665" s="15"/>
      <c r="M665" s="15"/>
      <c r="N665" s="15"/>
      <c r="O665" s="15"/>
      <c r="P665" s="15"/>
      <c r="Q665" s="15"/>
      <c r="R665" s="15"/>
      <c r="S665" s="15"/>
      <c r="T665" s="15"/>
      <c r="U665" s="15"/>
      <c r="V665" s="15"/>
      <c r="W665" s="15"/>
      <c r="X665" s="14"/>
      <c r="Y665" s="14"/>
      <c r="Z665" s="15"/>
      <c r="AA665" s="15"/>
      <c r="AB665" s="3"/>
      <c r="AC665" s="3"/>
      <c r="AD665" s="3"/>
      <c r="AE665" s="3"/>
      <c r="AF665" s="3"/>
      <c r="AG665" s="3"/>
      <c r="AH665" s="3"/>
      <c r="AI665" s="3"/>
      <c r="AJ665" s="154" t="s">
        <v>70</v>
      </c>
      <c r="AN665" s="154" t="s">
        <v>70</v>
      </c>
    </row>
    <row r="666" ht="15.75" customHeight="1">
      <c r="J666" s="15"/>
      <c r="K666" s="238"/>
      <c r="L666" s="15"/>
      <c r="M666" s="15"/>
      <c r="N666" s="15"/>
      <c r="O666" s="15"/>
      <c r="P666" s="15"/>
      <c r="Q666" s="15"/>
      <c r="R666" s="15"/>
      <c r="S666" s="15"/>
      <c r="T666" s="15"/>
      <c r="U666" s="15"/>
      <c r="V666" s="15"/>
      <c r="W666" s="15"/>
      <c r="X666" s="14"/>
      <c r="Y666" s="14"/>
      <c r="Z666" s="15"/>
      <c r="AA666" s="15"/>
      <c r="AB666" s="3"/>
      <c r="AC666" s="3"/>
      <c r="AD666" s="3"/>
      <c r="AE666" s="3"/>
      <c r="AF666" s="3"/>
      <c r="AG666" s="3"/>
      <c r="AH666" s="3"/>
      <c r="AI666" s="3"/>
      <c r="AJ666" s="154" t="s">
        <v>70</v>
      </c>
      <c r="AN666" s="154" t="s">
        <v>70</v>
      </c>
    </row>
    <row r="667" ht="15.75" customHeight="1">
      <c r="J667" s="15"/>
      <c r="K667" s="238"/>
      <c r="L667" s="15"/>
      <c r="M667" s="15"/>
      <c r="N667" s="15"/>
      <c r="O667" s="15"/>
      <c r="P667" s="15"/>
      <c r="Q667" s="15"/>
      <c r="R667" s="15"/>
      <c r="S667" s="15"/>
      <c r="T667" s="15"/>
      <c r="U667" s="15"/>
      <c r="V667" s="15"/>
      <c r="W667" s="15"/>
      <c r="X667" s="14"/>
      <c r="Y667" s="14"/>
      <c r="Z667" s="15"/>
      <c r="AA667" s="15"/>
      <c r="AB667" s="3"/>
      <c r="AC667" s="3"/>
      <c r="AD667" s="3"/>
      <c r="AE667" s="3"/>
      <c r="AF667" s="3"/>
      <c r="AG667" s="3"/>
      <c r="AH667" s="3"/>
      <c r="AI667" s="3"/>
      <c r="AJ667" s="154" t="s">
        <v>70</v>
      </c>
      <c r="AN667" s="154" t="s">
        <v>70</v>
      </c>
    </row>
    <row r="668" ht="15.75" customHeight="1">
      <c r="J668" s="15"/>
      <c r="K668" s="238"/>
      <c r="L668" s="15"/>
      <c r="M668" s="15"/>
      <c r="N668" s="15"/>
      <c r="O668" s="15"/>
      <c r="P668" s="15"/>
      <c r="Q668" s="15"/>
      <c r="R668" s="15"/>
      <c r="S668" s="15"/>
      <c r="T668" s="15"/>
      <c r="U668" s="15"/>
      <c r="V668" s="15"/>
      <c r="W668" s="15"/>
      <c r="X668" s="14"/>
      <c r="Y668" s="14"/>
      <c r="Z668" s="15"/>
      <c r="AA668" s="15"/>
      <c r="AB668" s="3"/>
      <c r="AC668" s="3"/>
      <c r="AD668" s="3"/>
      <c r="AE668" s="3"/>
      <c r="AF668" s="3"/>
      <c r="AG668" s="3"/>
      <c r="AH668" s="3"/>
      <c r="AI668" s="3"/>
      <c r="AJ668" s="154" t="s">
        <v>70</v>
      </c>
      <c r="AN668" s="154" t="s">
        <v>70</v>
      </c>
    </row>
    <row r="669" ht="15.75" customHeight="1">
      <c r="J669" s="15"/>
      <c r="K669" s="238"/>
      <c r="L669" s="15"/>
      <c r="M669" s="15"/>
      <c r="N669" s="15"/>
      <c r="O669" s="15"/>
      <c r="P669" s="15"/>
      <c r="Q669" s="15"/>
      <c r="R669" s="15"/>
      <c r="S669" s="15"/>
      <c r="T669" s="15"/>
      <c r="U669" s="15"/>
      <c r="V669" s="15"/>
      <c r="W669" s="15"/>
      <c r="X669" s="14"/>
      <c r="Y669" s="14"/>
      <c r="Z669" s="15"/>
      <c r="AA669" s="15"/>
      <c r="AB669" s="3"/>
      <c r="AC669" s="3"/>
      <c r="AD669" s="3"/>
      <c r="AE669" s="3"/>
      <c r="AF669" s="3"/>
      <c r="AG669" s="3"/>
      <c r="AH669" s="3"/>
      <c r="AI669" s="3"/>
      <c r="AJ669" s="154" t="s">
        <v>70</v>
      </c>
      <c r="AN669" s="154" t="s">
        <v>70</v>
      </c>
    </row>
    <row r="670" ht="15.75" customHeight="1">
      <c r="J670" s="15"/>
      <c r="K670" s="238"/>
      <c r="L670" s="15"/>
      <c r="M670" s="15"/>
      <c r="N670" s="15"/>
      <c r="O670" s="15"/>
      <c r="P670" s="15"/>
      <c r="Q670" s="15"/>
      <c r="R670" s="15"/>
      <c r="S670" s="15"/>
      <c r="T670" s="15"/>
      <c r="U670" s="15"/>
      <c r="V670" s="15"/>
      <c r="W670" s="15"/>
      <c r="X670" s="14"/>
      <c r="Y670" s="14"/>
      <c r="Z670" s="15"/>
      <c r="AA670" s="15"/>
      <c r="AB670" s="3"/>
      <c r="AC670" s="3"/>
      <c r="AD670" s="3"/>
      <c r="AE670" s="3"/>
      <c r="AF670" s="3"/>
      <c r="AG670" s="3"/>
      <c r="AH670" s="3"/>
      <c r="AI670" s="3"/>
      <c r="AJ670" s="154" t="s">
        <v>70</v>
      </c>
      <c r="AN670" s="154" t="s">
        <v>70</v>
      </c>
    </row>
    <row r="671" ht="15.75" customHeight="1">
      <c r="J671" s="15"/>
      <c r="K671" s="238"/>
      <c r="L671" s="15"/>
      <c r="M671" s="15"/>
      <c r="N671" s="15"/>
      <c r="O671" s="15"/>
      <c r="P671" s="15"/>
      <c r="Q671" s="15"/>
      <c r="R671" s="15"/>
      <c r="S671" s="15"/>
      <c r="T671" s="15"/>
      <c r="U671" s="15"/>
      <c r="V671" s="15"/>
      <c r="W671" s="15"/>
      <c r="X671" s="14"/>
      <c r="Y671" s="14"/>
      <c r="Z671" s="15"/>
      <c r="AA671" s="15"/>
      <c r="AB671" s="3"/>
      <c r="AC671" s="3"/>
      <c r="AD671" s="3"/>
      <c r="AE671" s="3"/>
      <c r="AF671" s="3"/>
      <c r="AG671" s="3"/>
      <c r="AH671" s="3"/>
      <c r="AI671" s="3"/>
      <c r="AJ671" s="154" t="s">
        <v>70</v>
      </c>
      <c r="AN671" s="154" t="s">
        <v>70</v>
      </c>
    </row>
    <row r="672" ht="15.75" customHeight="1">
      <c r="J672" s="15"/>
      <c r="K672" s="238"/>
      <c r="L672" s="15"/>
      <c r="M672" s="15"/>
      <c r="N672" s="15"/>
      <c r="O672" s="15"/>
      <c r="P672" s="15"/>
      <c r="Q672" s="15"/>
      <c r="R672" s="15"/>
      <c r="S672" s="15"/>
      <c r="T672" s="15"/>
      <c r="U672" s="15"/>
      <c r="V672" s="15"/>
      <c r="W672" s="15"/>
      <c r="X672" s="14"/>
      <c r="Y672" s="14"/>
      <c r="Z672" s="15"/>
      <c r="AA672" s="15"/>
      <c r="AB672" s="3"/>
      <c r="AC672" s="3"/>
      <c r="AD672" s="3"/>
      <c r="AE672" s="3"/>
      <c r="AF672" s="3"/>
      <c r="AG672" s="3"/>
      <c r="AH672" s="3"/>
      <c r="AI672" s="3"/>
      <c r="AJ672" s="154" t="s">
        <v>70</v>
      </c>
      <c r="AN672" s="154" t="s">
        <v>70</v>
      </c>
    </row>
    <row r="673" ht="15.75" customHeight="1">
      <c r="J673" s="15"/>
      <c r="K673" s="238"/>
      <c r="L673" s="15"/>
      <c r="M673" s="15"/>
      <c r="N673" s="15"/>
      <c r="O673" s="15"/>
      <c r="P673" s="15"/>
      <c r="Q673" s="15"/>
      <c r="R673" s="15"/>
      <c r="S673" s="15"/>
      <c r="T673" s="15"/>
      <c r="U673" s="15"/>
      <c r="V673" s="15"/>
      <c r="W673" s="15"/>
      <c r="X673" s="14"/>
      <c r="Y673" s="14"/>
      <c r="Z673" s="15"/>
      <c r="AA673" s="15"/>
      <c r="AB673" s="3"/>
      <c r="AC673" s="3"/>
      <c r="AD673" s="3"/>
      <c r="AE673" s="3"/>
      <c r="AF673" s="3"/>
      <c r="AG673" s="3"/>
      <c r="AH673" s="3"/>
      <c r="AI673" s="3"/>
      <c r="AJ673" s="154" t="s">
        <v>70</v>
      </c>
      <c r="AN673" s="154" t="s">
        <v>70</v>
      </c>
    </row>
    <row r="674" ht="15.75" customHeight="1">
      <c r="J674" s="15"/>
      <c r="K674" s="238"/>
      <c r="L674" s="15"/>
      <c r="M674" s="15"/>
      <c r="N674" s="15"/>
      <c r="O674" s="15"/>
      <c r="P674" s="15"/>
      <c r="Q674" s="15"/>
      <c r="R674" s="15"/>
      <c r="S674" s="15"/>
      <c r="T674" s="15"/>
      <c r="U674" s="15"/>
      <c r="V674" s="15"/>
      <c r="W674" s="15"/>
      <c r="X674" s="14"/>
      <c r="Y674" s="14"/>
      <c r="Z674" s="15"/>
      <c r="AA674" s="15"/>
      <c r="AB674" s="3"/>
      <c r="AC674" s="3"/>
      <c r="AD674" s="3"/>
      <c r="AE674" s="3"/>
      <c r="AF674" s="3"/>
      <c r="AG674" s="3"/>
      <c r="AH674" s="3"/>
      <c r="AI674" s="3"/>
      <c r="AJ674" s="154" t="s">
        <v>70</v>
      </c>
      <c r="AN674" s="154" t="s">
        <v>70</v>
      </c>
    </row>
    <row r="675" ht="15.75" customHeight="1">
      <c r="J675" s="15"/>
      <c r="K675" s="238"/>
      <c r="L675" s="15"/>
      <c r="M675" s="15"/>
      <c r="N675" s="15"/>
      <c r="O675" s="15"/>
      <c r="P675" s="15"/>
      <c r="Q675" s="15"/>
      <c r="R675" s="15"/>
      <c r="S675" s="15"/>
      <c r="T675" s="15"/>
      <c r="U675" s="15"/>
      <c r="V675" s="15"/>
      <c r="W675" s="15"/>
      <c r="X675" s="14"/>
      <c r="Y675" s="14"/>
      <c r="Z675" s="15"/>
      <c r="AA675" s="15"/>
      <c r="AB675" s="3"/>
      <c r="AC675" s="3"/>
      <c r="AD675" s="3"/>
      <c r="AE675" s="3"/>
      <c r="AF675" s="3"/>
      <c r="AG675" s="3"/>
      <c r="AH675" s="3"/>
      <c r="AI675" s="3"/>
      <c r="AJ675" s="154" t="s">
        <v>70</v>
      </c>
      <c r="AN675" s="154" t="s">
        <v>70</v>
      </c>
    </row>
    <row r="676" ht="15.75" customHeight="1">
      <c r="J676" s="15"/>
      <c r="K676" s="238"/>
      <c r="L676" s="15"/>
      <c r="M676" s="15"/>
      <c r="N676" s="15"/>
      <c r="O676" s="15"/>
      <c r="P676" s="15"/>
      <c r="Q676" s="15"/>
      <c r="R676" s="15"/>
      <c r="S676" s="15"/>
      <c r="T676" s="15"/>
      <c r="U676" s="15"/>
      <c r="V676" s="15"/>
      <c r="W676" s="15"/>
      <c r="X676" s="14"/>
      <c r="Y676" s="14"/>
      <c r="Z676" s="15"/>
      <c r="AA676" s="15"/>
      <c r="AB676" s="3"/>
      <c r="AC676" s="3"/>
      <c r="AD676" s="3"/>
      <c r="AE676" s="3"/>
      <c r="AF676" s="3"/>
      <c r="AG676" s="3"/>
      <c r="AH676" s="3"/>
      <c r="AI676" s="3"/>
      <c r="AJ676" s="154" t="s">
        <v>70</v>
      </c>
      <c r="AN676" s="154" t="s">
        <v>70</v>
      </c>
    </row>
    <row r="677" ht="15.75" customHeight="1">
      <c r="J677" s="15"/>
      <c r="K677" s="238"/>
      <c r="L677" s="15"/>
      <c r="M677" s="15"/>
      <c r="N677" s="15"/>
      <c r="O677" s="15"/>
      <c r="P677" s="15"/>
      <c r="Q677" s="15"/>
      <c r="R677" s="15"/>
      <c r="S677" s="15"/>
      <c r="T677" s="15"/>
      <c r="U677" s="15"/>
      <c r="V677" s="15"/>
      <c r="W677" s="15"/>
      <c r="X677" s="14"/>
      <c r="Y677" s="14"/>
      <c r="Z677" s="15"/>
      <c r="AA677" s="15"/>
      <c r="AB677" s="3"/>
      <c r="AC677" s="3"/>
      <c r="AD677" s="3"/>
      <c r="AE677" s="3"/>
      <c r="AF677" s="3"/>
      <c r="AG677" s="3"/>
      <c r="AH677" s="3"/>
      <c r="AI677" s="3"/>
      <c r="AJ677" s="154" t="s">
        <v>70</v>
      </c>
      <c r="AN677" s="154" t="s">
        <v>70</v>
      </c>
    </row>
    <row r="678" ht="15.75" customHeight="1">
      <c r="J678" s="15"/>
      <c r="K678" s="238"/>
      <c r="L678" s="15"/>
      <c r="M678" s="15"/>
      <c r="N678" s="15"/>
      <c r="O678" s="15"/>
      <c r="P678" s="15"/>
      <c r="Q678" s="15"/>
      <c r="R678" s="15"/>
      <c r="S678" s="15"/>
      <c r="T678" s="15"/>
      <c r="U678" s="15"/>
      <c r="V678" s="15"/>
      <c r="W678" s="15"/>
      <c r="X678" s="14"/>
      <c r="Y678" s="14"/>
      <c r="Z678" s="15"/>
      <c r="AA678" s="15"/>
      <c r="AB678" s="3"/>
      <c r="AC678" s="3"/>
      <c r="AD678" s="3"/>
      <c r="AE678" s="3"/>
      <c r="AF678" s="3"/>
      <c r="AG678" s="3"/>
      <c r="AH678" s="3"/>
      <c r="AI678" s="3"/>
      <c r="AJ678" s="154" t="s">
        <v>70</v>
      </c>
      <c r="AN678" s="154" t="s">
        <v>70</v>
      </c>
    </row>
    <row r="679" ht="15.75" customHeight="1">
      <c r="J679" s="15"/>
      <c r="K679" s="238"/>
      <c r="L679" s="15"/>
      <c r="M679" s="15"/>
      <c r="N679" s="15"/>
      <c r="O679" s="15"/>
      <c r="P679" s="15"/>
      <c r="Q679" s="15"/>
      <c r="R679" s="15"/>
      <c r="S679" s="15"/>
      <c r="T679" s="15"/>
      <c r="U679" s="15"/>
      <c r="V679" s="15"/>
      <c r="W679" s="15"/>
      <c r="X679" s="14"/>
      <c r="Y679" s="14"/>
      <c r="Z679" s="15"/>
      <c r="AA679" s="15"/>
      <c r="AB679" s="3"/>
      <c r="AC679" s="3"/>
      <c r="AD679" s="3"/>
      <c r="AE679" s="3"/>
      <c r="AF679" s="3"/>
      <c r="AG679" s="3"/>
      <c r="AH679" s="3"/>
      <c r="AI679" s="3"/>
      <c r="AJ679" s="154" t="s">
        <v>70</v>
      </c>
      <c r="AN679" s="154" t="s">
        <v>70</v>
      </c>
    </row>
    <row r="680" ht="15.75" customHeight="1">
      <c r="J680" s="15"/>
      <c r="K680" s="238"/>
      <c r="L680" s="15"/>
      <c r="M680" s="15"/>
      <c r="N680" s="15"/>
      <c r="O680" s="15"/>
      <c r="P680" s="15"/>
      <c r="Q680" s="15"/>
      <c r="R680" s="15"/>
      <c r="S680" s="15"/>
      <c r="T680" s="15"/>
      <c r="U680" s="15"/>
      <c r="V680" s="15"/>
      <c r="W680" s="15"/>
      <c r="X680" s="14"/>
      <c r="Y680" s="14"/>
      <c r="Z680" s="15"/>
      <c r="AA680" s="15"/>
      <c r="AB680" s="3"/>
      <c r="AC680" s="3"/>
      <c r="AD680" s="3"/>
      <c r="AE680" s="3"/>
      <c r="AF680" s="3"/>
      <c r="AG680" s="3"/>
      <c r="AH680" s="3"/>
      <c r="AI680" s="3"/>
      <c r="AJ680" s="154" t="s">
        <v>70</v>
      </c>
      <c r="AN680" s="154" t="s">
        <v>70</v>
      </c>
    </row>
    <row r="681" ht="15.75" customHeight="1">
      <c r="J681" s="15"/>
      <c r="K681" s="238"/>
      <c r="L681" s="15"/>
      <c r="M681" s="15"/>
      <c r="N681" s="15"/>
      <c r="O681" s="15"/>
      <c r="P681" s="15"/>
      <c r="Q681" s="15"/>
      <c r="R681" s="15"/>
      <c r="S681" s="15"/>
      <c r="T681" s="15"/>
      <c r="U681" s="15"/>
      <c r="V681" s="15"/>
      <c r="W681" s="15"/>
      <c r="X681" s="14"/>
      <c r="Y681" s="14"/>
      <c r="Z681" s="15"/>
      <c r="AA681" s="15"/>
      <c r="AB681" s="3"/>
      <c r="AC681" s="3"/>
      <c r="AD681" s="3"/>
      <c r="AE681" s="3"/>
      <c r="AF681" s="3"/>
      <c r="AG681" s="3"/>
      <c r="AH681" s="3"/>
      <c r="AI681" s="3"/>
      <c r="AJ681" s="154" t="s">
        <v>70</v>
      </c>
      <c r="AN681" s="154" t="s">
        <v>70</v>
      </c>
    </row>
    <row r="682" ht="15.75" customHeight="1">
      <c r="J682" s="15"/>
      <c r="K682" s="238"/>
      <c r="L682" s="15"/>
      <c r="M682" s="15"/>
      <c r="N682" s="15"/>
      <c r="O682" s="15"/>
      <c r="P682" s="15"/>
      <c r="Q682" s="15"/>
      <c r="R682" s="15"/>
      <c r="S682" s="15"/>
      <c r="T682" s="15"/>
      <c r="U682" s="15"/>
      <c r="V682" s="15"/>
      <c r="W682" s="15"/>
      <c r="X682" s="14"/>
      <c r="Y682" s="14"/>
      <c r="Z682" s="15"/>
      <c r="AA682" s="15"/>
      <c r="AB682" s="3"/>
      <c r="AC682" s="3"/>
      <c r="AD682" s="3"/>
      <c r="AE682" s="3"/>
      <c r="AF682" s="3"/>
      <c r="AG682" s="3"/>
      <c r="AH682" s="3"/>
      <c r="AI682" s="3"/>
      <c r="AJ682" s="154" t="s">
        <v>70</v>
      </c>
      <c r="AN682" s="154" t="s">
        <v>70</v>
      </c>
    </row>
    <row r="683" ht="15.75" customHeight="1">
      <c r="J683" s="15"/>
      <c r="K683" s="238"/>
      <c r="L683" s="15"/>
      <c r="M683" s="15"/>
      <c r="N683" s="15"/>
      <c r="O683" s="15"/>
      <c r="P683" s="15"/>
      <c r="Q683" s="15"/>
      <c r="R683" s="15"/>
      <c r="S683" s="15"/>
      <c r="T683" s="15"/>
      <c r="U683" s="15"/>
      <c r="V683" s="15"/>
      <c r="W683" s="15"/>
      <c r="X683" s="14"/>
      <c r="Y683" s="14"/>
      <c r="Z683" s="15"/>
      <c r="AA683" s="15"/>
      <c r="AB683" s="3"/>
      <c r="AC683" s="3"/>
      <c r="AD683" s="3"/>
      <c r="AE683" s="3"/>
      <c r="AF683" s="3"/>
      <c r="AG683" s="3"/>
      <c r="AH683" s="3"/>
      <c r="AI683" s="3"/>
      <c r="AJ683" s="154" t="s">
        <v>70</v>
      </c>
      <c r="AN683" s="154" t="s">
        <v>70</v>
      </c>
    </row>
    <row r="684" ht="15.75" customHeight="1">
      <c r="J684" s="15"/>
      <c r="K684" s="238"/>
      <c r="L684" s="15"/>
      <c r="M684" s="15"/>
      <c r="N684" s="15"/>
      <c r="O684" s="15"/>
      <c r="P684" s="15"/>
      <c r="Q684" s="15"/>
      <c r="R684" s="15"/>
      <c r="S684" s="15"/>
      <c r="T684" s="15"/>
      <c r="U684" s="15"/>
      <c r="V684" s="15"/>
      <c r="W684" s="15"/>
      <c r="X684" s="14"/>
      <c r="Y684" s="14"/>
      <c r="Z684" s="15"/>
      <c r="AA684" s="15"/>
      <c r="AB684" s="3"/>
      <c r="AC684" s="3"/>
      <c r="AD684" s="3"/>
      <c r="AE684" s="3"/>
      <c r="AF684" s="3"/>
      <c r="AG684" s="3"/>
      <c r="AH684" s="3"/>
      <c r="AI684" s="3"/>
      <c r="AJ684" s="154" t="s">
        <v>70</v>
      </c>
      <c r="AN684" s="154" t="s">
        <v>70</v>
      </c>
    </row>
    <row r="685" ht="15.75" customHeight="1">
      <c r="J685" s="15"/>
      <c r="K685" s="238"/>
      <c r="L685" s="15"/>
      <c r="M685" s="15"/>
      <c r="N685" s="15"/>
      <c r="O685" s="15"/>
      <c r="P685" s="15"/>
      <c r="Q685" s="15"/>
      <c r="R685" s="15"/>
      <c r="S685" s="15"/>
      <c r="T685" s="15"/>
      <c r="U685" s="15"/>
      <c r="V685" s="15"/>
      <c r="W685" s="15"/>
      <c r="X685" s="14"/>
      <c r="Y685" s="14"/>
      <c r="Z685" s="15"/>
      <c r="AA685" s="15"/>
      <c r="AB685" s="3"/>
      <c r="AC685" s="3"/>
      <c r="AD685" s="3"/>
      <c r="AE685" s="3"/>
      <c r="AF685" s="3"/>
      <c r="AG685" s="3"/>
      <c r="AH685" s="3"/>
      <c r="AI685" s="3"/>
      <c r="AJ685" s="154" t="s">
        <v>70</v>
      </c>
      <c r="AN685" s="154" t="s">
        <v>70</v>
      </c>
    </row>
    <row r="686" ht="15.75" customHeight="1">
      <c r="J686" s="15"/>
      <c r="K686" s="238"/>
      <c r="L686" s="15"/>
      <c r="M686" s="15"/>
      <c r="N686" s="15"/>
      <c r="O686" s="15"/>
      <c r="P686" s="15"/>
      <c r="Q686" s="15"/>
      <c r="R686" s="15"/>
      <c r="S686" s="15"/>
      <c r="T686" s="15"/>
      <c r="U686" s="15"/>
      <c r="V686" s="15"/>
      <c r="W686" s="15"/>
      <c r="X686" s="14"/>
      <c r="Y686" s="14"/>
      <c r="Z686" s="15"/>
      <c r="AA686" s="15"/>
      <c r="AB686" s="3"/>
      <c r="AC686" s="3"/>
      <c r="AD686" s="3"/>
      <c r="AE686" s="3"/>
      <c r="AF686" s="3"/>
      <c r="AG686" s="3"/>
      <c r="AH686" s="3"/>
      <c r="AI686" s="3"/>
      <c r="AJ686" s="154" t="s">
        <v>70</v>
      </c>
      <c r="AN686" s="154" t="s">
        <v>70</v>
      </c>
    </row>
    <row r="687" ht="15.75" customHeight="1">
      <c r="J687" s="15"/>
      <c r="K687" s="238"/>
      <c r="L687" s="15"/>
      <c r="M687" s="15"/>
      <c r="N687" s="15"/>
      <c r="O687" s="15"/>
      <c r="P687" s="15"/>
      <c r="Q687" s="15"/>
      <c r="R687" s="15"/>
      <c r="S687" s="15"/>
      <c r="T687" s="15"/>
      <c r="U687" s="15"/>
      <c r="V687" s="15"/>
      <c r="W687" s="15"/>
      <c r="X687" s="14"/>
      <c r="Y687" s="14"/>
      <c r="Z687" s="15"/>
      <c r="AA687" s="15"/>
      <c r="AB687" s="3"/>
      <c r="AC687" s="3"/>
      <c r="AD687" s="3"/>
      <c r="AE687" s="3"/>
      <c r="AF687" s="3"/>
      <c r="AG687" s="3"/>
      <c r="AH687" s="3"/>
      <c r="AI687" s="3"/>
      <c r="AJ687" s="154" t="s">
        <v>70</v>
      </c>
      <c r="AN687" s="154" t="s">
        <v>70</v>
      </c>
    </row>
    <row r="688" ht="15.75" customHeight="1">
      <c r="J688" s="15"/>
      <c r="K688" s="238"/>
      <c r="L688" s="15"/>
      <c r="M688" s="15"/>
      <c r="N688" s="15"/>
      <c r="O688" s="15"/>
      <c r="P688" s="15"/>
      <c r="Q688" s="15"/>
      <c r="R688" s="15"/>
      <c r="S688" s="15"/>
      <c r="T688" s="15"/>
      <c r="U688" s="15"/>
      <c r="V688" s="15"/>
      <c r="W688" s="15"/>
      <c r="X688" s="14"/>
      <c r="Y688" s="14"/>
      <c r="Z688" s="15"/>
      <c r="AA688" s="15"/>
      <c r="AB688" s="3"/>
      <c r="AC688" s="3"/>
      <c r="AD688" s="3"/>
      <c r="AE688" s="3"/>
      <c r="AF688" s="3"/>
      <c r="AG688" s="3"/>
      <c r="AH688" s="3"/>
      <c r="AI688" s="3"/>
      <c r="AJ688" s="154" t="s">
        <v>70</v>
      </c>
      <c r="AN688" s="154" t="s">
        <v>70</v>
      </c>
    </row>
    <row r="689" ht="15.75" customHeight="1">
      <c r="J689" s="15"/>
      <c r="K689" s="238"/>
      <c r="L689" s="15"/>
      <c r="M689" s="15"/>
      <c r="N689" s="15"/>
      <c r="O689" s="15"/>
      <c r="P689" s="15"/>
      <c r="Q689" s="15"/>
      <c r="R689" s="15"/>
      <c r="S689" s="15"/>
      <c r="T689" s="15"/>
      <c r="U689" s="15"/>
      <c r="V689" s="15"/>
      <c r="W689" s="15"/>
      <c r="X689" s="14"/>
      <c r="Y689" s="14"/>
      <c r="Z689" s="15"/>
      <c r="AA689" s="15"/>
      <c r="AB689" s="3"/>
      <c r="AC689" s="3"/>
      <c r="AD689" s="3"/>
      <c r="AE689" s="3"/>
      <c r="AF689" s="3"/>
      <c r="AG689" s="3"/>
      <c r="AH689" s="3"/>
      <c r="AI689" s="3"/>
      <c r="AJ689" s="154" t="s">
        <v>70</v>
      </c>
      <c r="AN689" s="154" t="s">
        <v>70</v>
      </c>
    </row>
    <row r="690" ht="15.75" customHeight="1">
      <c r="J690" s="15"/>
      <c r="K690" s="238"/>
      <c r="L690" s="15"/>
      <c r="M690" s="15"/>
      <c r="N690" s="15"/>
      <c r="O690" s="15"/>
      <c r="P690" s="15"/>
      <c r="Q690" s="15"/>
      <c r="R690" s="15"/>
      <c r="S690" s="15"/>
      <c r="T690" s="15"/>
      <c r="U690" s="15"/>
      <c r="V690" s="15"/>
      <c r="W690" s="15"/>
      <c r="X690" s="14"/>
      <c r="Y690" s="14"/>
      <c r="Z690" s="15"/>
      <c r="AA690" s="15"/>
      <c r="AB690" s="3"/>
      <c r="AC690" s="3"/>
      <c r="AD690" s="3"/>
      <c r="AE690" s="3"/>
      <c r="AF690" s="3"/>
      <c r="AG690" s="3"/>
      <c r="AH690" s="3"/>
      <c r="AI690" s="3"/>
      <c r="AJ690" s="154" t="s">
        <v>70</v>
      </c>
      <c r="AN690" s="154" t="s">
        <v>70</v>
      </c>
    </row>
    <row r="691" ht="15.75" customHeight="1">
      <c r="J691" s="15"/>
      <c r="K691" s="238"/>
      <c r="L691" s="15"/>
      <c r="M691" s="15"/>
      <c r="N691" s="15"/>
      <c r="O691" s="15"/>
      <c r="P691" s="15"/>
      <c r="Q691" s="15"/>
      <c r="R691" s="15"/>
      <c r="S691" s="15"/>
      <c r="T691" s="15"/>
      <c r="U691" s="15"/>
      <c r="V691" s="15"/>
      <c r="W691" s="15"/>
      <c r="X691" s="14"/>
      <c r="Y691" s="14"/>
      <c r="Z691" s="15"/>
      <c r="AA691" s="15"/>
      <c r="AB691" s="3"/>
      <c r="AC691" s="3"/>
      <c r="AD691" s="3"/>
      <c r="AE691" s="3"/>
      <c r="AF691" s="3"/>
      <c r="AG691" s="3"/>
      <c r="AH691" s="3"/>
      <c r="AI691" s="3"/>
      <c r="AJ691" s="154" t="s">
        <v>70</v>
      </c>
      <c r="AN691" s="154" t="s">
        <v>70</v>
      </c>
    </row>
    <row r="692" ht="15.75" customHeight="1">
      <c r="J692" s="15"/>
      <c r="K692" s="238"/>
      <c r="L692" s="15"/>
      <c r="M692" s="15"/>
      <c r="N692" s="15"/>
      <c r="O692" s="15"/>
      <c r="P692" s="15"/>
      <c r="Q692" s="15"/>
      <c r="R692" s="15"/>
      <c r="S692" s="15"/>
      <c r="T692" s="15"/>
      <c r="U692" s="15"/>
      <c r="V692" s="15"/>
      <c r="W692" s="15"/>
      <c r="X692" s="14"/>
      <c r="Y692" s="14"/>
      <c r="Z692" s="15"/>
      <c r="AA692" s="15"/>
      <c r="AB692" s="3"/>
      <c r="AC692" s="3"/>
      <c r="AD692" s="3"/>
      <c r="AE692" s="3"/>
      <c r="AF692" s="3"/>
      <c r="AG692" s="3"/>
      <c r="AH692" s="3"/>
      <c r="AI692" s="3"/>
      <c r="AJ692" s="154" t="s">
        <v>70</v>
      </c>
      <c r="AN692" s="154" t="s">
        <v>70</v>
      </c>
    </row>
    <row r="693" ht="15.75" customHeight="1">
      <c r="J693" s="15"/>
      <c r="K693" s="238"/>
      <c r="L693" s="15"/>
      <c r="M693" s="15"/>
      <c r="N693" s="15"/>
      <c r="O693" s="15"/>
      <c r="P693" s="15"/>
      <c r="Q693" s="15"/>
      <c r="R693" s="15"/>
      <c r="S693" s="15"/>
      <c r="T693" s="15"/>
      <c r="U693" s="15"/>
      <c r="V693" s="15"/>
      <c r="W693" s="15"/>
      <c r="X693" s="14"/>
      <c r="Y693" s="14"/>
      <c r="Z693" s="15"/>
      <c r="AA693" s="15"/>
      <c r="AB693" s="3"/>
      <c r="AC693" s="3"/>
      <c r="AD693" s="3"/>
      <c r="AE693" s="3"/>
      <c r="AF693" s="3"/>
      <c r="AG693" s="3"/>
      <c r="AH693" s="3"/>
      <c r="AI693" s="3"/>
      <c r="AJ693" s="154" t="s">
        <v>70</v>
      </c>
      <c r="AN693" s="154" t="s">
        <v>70</v>
      </c>
    </row>
    <row r="694" ht="15.75" customHeight="1">
      <c r="J694" s="15"/>
      <c r="K694" s="238"/>
      <c r="L694" s="15"/>
      <c r="M694" s="15"/>
      <c r="N694" s="15"/>
      <c r="O694" s="15"/>
      <c r="P694" s="15"/>
      <c r="Q694" s="15"/>
      <c r="R694" s="15"/>
      <c r="S694" s="15"/>
      <c r="T694" s="15"/>
      <c r="U694" s="15"/>
      <c r="V694" s="15"/>
      <c r="W694" s="15"/>
      <c r="X694" s="14"/>
      <c r="Y694" s="14"/>
      <c r="Z694" s="15"/>
      <c r="AA694" s="15"/>
      <c r="AB694" s="3"/>
      <c r="AC694" s="3"/>
      <c r="AD694" s="3"/>
      <c r="AE694" s="3"/>
      <c r="AF694" s="3"/>
      <c r="AG694" s="3"/>
      <c r="AH694" s="3"/>
      <c r="AI694" s="3"/>
      <c r="AJ694" s="154" t="s">
        <v>70</v>
      </c>
      <c r="AN694" s="154" t="s">
        <v>70</v>
      </c>
    </row>
    <row r="695" ht="15.75" customHeight="1">
      <c r="J695" s="15"/>
      <c r="K695" s="238"/>
      <c r="L695" s="15"/>
      <c r="M695" s="15"/>
      <c r="N695" s="15"/>
      <c r="O695" s="15"/>
      <c r="P695" s="15"/>
      <c r="Q695" s="15"/>
      <c r="R695" s="15"/>
      <c r="S695" s="15"/>
      <c r="T695" s="15"/>
      <c r="U695" s="15"/>
      <c r="V695" s="15"/>
      <c r="W695" s="15"/>
      <c r="X695" s="14"/>
      <c r="Y695" s="14"/>
      <c r="Z695" s="15"/>
      <c r="AA695" s="15"/>
      <c r="AB695" s="3"/>
      <c r="AC695" s="3"/>
      <c r="AD695" s="3"/>
      <c r="AE695" s="3"/>
      <c r="AF695" s="3"/>
      <c r="AG695" s="3"/>
      <c r="AH695" s="3"/>
      <c r="AI695" s="3"/>
      <c r="AJ695" s="154" t="s">
        <v>70</v>
      </c>
      <c r="AN695" s="154" t="s">
        <v>70</v>
      </c>
    </row>
    <row r="696" ht="15.75" customHeight="1">
      <c r="J696" s="15"/>
      <c r="K696" s="238"/>
      <c r="L696" s="15"/>
      <c r="M696" s="15"/>
      <c r="N696" s="15"/>
      <c r="O696" s="15"/>
      <c r="P696" s="15"/>
      <c r="Q696" s="15"/>
      <c r="R696" s="15"/>
      <c r="S696" s="15"/>
      <c r="T696" s="15"/>
      <c r="U696" s="15"/>
      <c r="V696" s="15"/>
      <c r="W696" s="15"/>
      <c r="X696" s="14"/>
      <c r="Y696" s="14"/>
      <c r="Z696" s="15"/>
      <c r="AA696" s="15"/>
      <c r="AB696" s="3"/>
      <c r="AC696" s="3"/>
      <c r="AD696" s="3"/>
      <c r="AE696" s="3"/>
      <c r="AF696" s="3"/>
      <c r="AG696" s="3"/>
      <c r="AH696" s="3"/>
      <c r="AI696" s="3"/>
      <c r="AJ696" s="154" t="s">
        <v>70</v>
      </c>
      <c r="AN696" s="154" t="s">
        <v>70</v>
      </c>
    </row>
    <row r="697" ht="15.75" customHeight="1">
      <c r="J697" s="15"/>
      <c r="K697" s="238"/>
      <c r="L697" s="15"/>
      <c r="M697" s="15"/>
      <c r="N697" s="15"/>
      <c r="O697" s="15"/>
      <c r="P697" s="15"/>
      <c r="Q697" s="15"/>
      <c r="R697" s="15"/>
      <c r="S697" s="15"/>
      <c r="T697" s="15"/>
      <c r="U697" s="15"/>
      <c r="V697" s="15"/>
      <c r="W697" s="15"/>
      <c r="X697" s="14"/>
      <c r="Y697" s="14"/>
      <c r="Z697" s="15"/>
      <c r="AA697" s="15"/>
      <c r="AB697" s="3"/>
      <c r="AC697" s="3"/>
      <c r="AD697" s="3"/>
      <c r="AE697" s="3"/>
      <c r="AF697" s="3"/>
      <c r="AG697" s="3"/>
      <c r="AH697" s="3"/>
      <c r="AI697" s="3"/>
      <c r="AJ697" s="154" t="s">
        <v>70</v>
      </c>
      <c r="AN697" s="154" t="s">
        <v>70</v>
      </c>
    </row>
    <row r="698" ht="15.75" customHeight="1">
      <c r="J698" s="15"/>
      <c r="K698" s="238"/>
      <c r="L698" s="15"/>
      <c r="M698" s="15"/>
      <c r="N698" s="15"/>
      <c r="O698" s="15"/>
      <c r="P698" s="15"/>
      <c r="Q698" s="15"/>
      <c r="R698" s="15"/>
      <c r="S698" s="15"/>
      <c r="T698" s="15"/>
      <c r="U698" s="15"/>
      <c r="V698" s="15"/>
      <c r="W698" s="15"/>
      <c r="X698" s="14"/>
      <c r="Y698" s="14"/>
      <c r="Z698" s="15"/>
      <c r="AA698" s="15"/>
      <c r="AB698" s="3"/>
      <c r="AC698" s="3"/>
      <c r="AD698" s="3"/>
      <c r="AE698" s="3"/>
      <c r="AF698" s="3"/>
      <c r="AG698" s="3"/>
      <c r="AH698" s="3"/>
      <c r="AI698" s="3"/>
      <c r="AJ698" s="154" t="s">
        <v>70</v>
      </c>
      <c r="AN698" s="154" t="s">
        <v>70</v>
      </c>
    </row>
    <row r="699" ht="15.75" customHeight="1">
      <c r="J699" s="15"/>
      <c r="K699" s="238"/>
      <c r="L699" s="15"/>
      <c r="M699" s="15"/>
      <c r="N699" s="15"/>
      <c r="O699" s="15"/>
      <c r="P699" s="15"/>
      <c r="Q699" s="15"/>
      <c r="R699" s="15"/>
      <c r="S699" s="15"/>
      <c r="T699" s="15"/>
      <c r="U699" s="15"/>
      <c r="V699" s="15"/>
      <c r="W699" s="15"/>
      <c r="X699" s="14"/>
      <c r="Y699" s="14"/>
      <c r="Z699" s="15"/>
      <c r="AA699" s="15"/>
      <c r="AB699" s="3"/>
      <c r="AC699" s="3"/>
      <c r="AD699" s="3"/>
      <c r="AE699" s="3"/>
      <c r="AF699" s="3"/>
      <c r="AG699" s="3"/>
      <c r="AH699" s="3"/>
      <c r="AI699" s="3"/>
      <c r="AJ699" s="154" t="s">
        <v>70</v>
      </c>
      <c r="AN699" s="154" t="s">
        <v>70</v>
      </c>
    </row>
    <row r="700" ht="15.75" customHeight="1">
      <c r="J700" s="15"/>
      <c r="K700" s="238"/>
      <c r="L700" s="15"/>
      <c r="M700" s="15"/>
      <c r="N700" s="15"/>
      <c r="O700" s="15"/>
      <c r="P700" s="15"/>
      <c r="Q700" s="15"/>
      <c r="R700" s="15"/>
      <c r="S700" s="15"/>
      <c r="T700" s="15"/>
      <c r="U700" s="15"/>
      <c r="V700" s="15"/>
      <c r="W700" s="15"/>
      <c r="X700" s="14"/>
      <c r="Y700" s="14"/>
      <c r="Z700" s="15"/>
      <c r="AA700" s="15"/>
      <c r="AB700" s="3"/>
      <c r="AC700" s="3"/>
      <c r="AD700" s="3"/>
      <c r="AE700" s="3"/>
      <c r="AF700" s="3"/>
      <c r="AG700" s="3"/>
      <c r="AH700" s="3"/>
      <c r="AI700" s="3"/>
      <c r="AJ700" s="154" t="s">
        <v>70</v>
      </c>
      <c r="AN700" s="154" t="s">
        <v>70</v>
      </c>
    </row>
    <row r="701" ht="15.75" customHeight="1">
      <c r="J701" s="15"/>
      <c r="K701" s="238"/>
      <c r="L701" s="15"/>
      <c r="M701" s="15"/>
      <c r="N701" s="15"/>
      <c r="O701" s="15"/>
      <c r="P701" s="15"/>
      <c r="Q701" s="15"/>
      <c r="R701" s="15"/>
      <c r="S701" s="15"/>
      <c r="T701" s="15"/>
      <c r="U701" s="15"/>
      <c r="V701" s="15"/>
      <c r="W701" s="15"/>
      <c r="X701" s="14"/>
      <c r="Y701" s="14"/>
      <c r="Z701" s="15"/>
      <c r="AA701" s="15"/>
      <c r="AB701" s="3"/>
      <c r="AC701" s="3"/>
      <c r="AD701" s="3"/>
      <c r="AE701" s="3"/>
      <c r="AF701" s="3"/>
      <c r="AG701" s="3"/>
      <c r="AH701" s="3"/>
      <c r="AI701" s="3"/>
      <c r="AJ701" s="154" t="s">
        <v>70</v>
      </c>
      <c r="AN701" s="154" t="s">
        <v>70</v>
      </c>
    </row>
    <row r="702" ht="15.75" customHeight="1">
      <c r="J702" s="15"/>
      <c r="K702" s="238"/>
      <c r="L702" s="15"/>
      <c r="M702" s="15"/>
      <c r="N702" s="15"/>
      <c r="O702" s="15"/>
      <c r="P702" s="15"/>
      <c r="Q702" s="15"/>
      <c r="R702" s="15"/>
      <c r="S702" s="15"/>
      <c r="T702" s="15"/>
      <c r="U702" s="15"/>
      <c r="V702" s="15"/>
      <c r="W702" s="15"/>
      <c r="X702" s="14"/>
      <c r="Y702" s="14"/>
      <c r="Z702" s="15"/>
      <c r="AA702" s="15"/>
      <c r="AB702" s="3"/>
      <c r="AC702" s="3"/>
      <c r="AD702" s="3"/>
      <c r="AE702" s="3"/>
      <c r="AF702" s="3"/>
      <c r="AG702" s="3"/>
      <c r="AH702" s="3"/>
      <c r="AI702" s="3"/>
      <c r="AJ702" s="154" t="s">
        <v>70</v>
      </c>
      <c r="AN702" s="154" t="s">
        <v>70</v>
      </c>
    </row>
    <row r="703" ht="15.75" customHeight="1">
      <c r="J703" s="15"/>
      <c r="K703" s="238"/>
      <c r="L703" s="15"/>
      <c r="M703" s="15"/>
      <c r="N703" s="15"/>
      <c r="O703" s="15"/>
      <c r="P703" s="15"/>
      <c r="Q703" s="15"/>
      <c r="R703" s="15"/>
      <c r="S703" s="15"/>
      <c r="T703" s="15"/>
      <c r="U703" s="15"/>
      <c r="V703" s="15"/>
      <c r="W703" s="15"/>
      <c r="X703" s="14"/>
      <c r="Y703" s="14"/>
      <c r="Z703" s="15"/>
      <c r="AA703" s="15"/>
      <c r="AB703" s="3"/>
      <c r="AC703" s="3"/>
      <c r="AD703" s="3"/>
      <c r="AE703" s="3"/>
      <c r="AF703" s="3"/>
      <c r="AG703" s="3"/>
      <c r="AH703" s="3"/>
      <c r="AI703" s="3"/>
      <c r="AJ703" s="154" t="s">
        <v>70</v>
      </c>
      <c r="AN703" s="154" t="s">
        <v>70</v>
      </c>
    </row>
    <row r="704" ht="15.75" customHeight="1">
      <c r="J704" s="15"/>
      <c r="K704" s="238"/>
      <c r="L704" s="15"/>
      <c r="M704" s="15"/>
      <c r="N704" s="15"/>
      <c r="O704" s="15"/>
      <c r="P704" s="15"/>
      <c r="Q704" s="15"/>
      <c r="R704" s="15"/>
      <c r="S704" s="15"/>
      <c r="T704" s="15"/>
      <c r="U704" s="15"/>
      <c r="V704" s="15"/>
      <c r="W704" s="15"/>
      <c r="X704" s="14"/>
      <c r="Y704" s="14"/>
      <c r="Z704" s="15"/>
      <c r="AA704" s="15"/>
      <c r="AB704" s="3"/>
      <c r="AC704" s="3"/>
      <c r="AD704" s="3"/>
      <c r="AE704" s="3"/>
      <c r="AF704" s="3"/>
      <c r="AG704" s="3"/>
      <c r="AH704" s="3"/>
      <c r="AI704" s="3"/>
      <c r="AJ704" s="154" t="s">
        <v>70</v>
      </c>
      <c r="AN704" s="154" t="s">
        <v>70</v>
      </c>
    </row>
    <row r="705" ht="15.75" customHeight="1">
      <c r="J705" s="15"/>
      <c r="K705" s="238"/>
      <c r="L705" s="15"/>
      <c r="M705" s="15"/>
      <c r="N705" s="15"/>
      <c r="O705" s="15"/>
      <c r="P705" s="15"/>
      <c r="Q705" s="15"/>
      <c r="R705" s="15"/>
      <c r="S705" s="15"/>
      <c r="T705" s="15"/>
      <c r="U705" s="15"/>
      <c r="V705" s="15"/>
      <c r="W705" s="15"/>
      <c r="X705" s="14"/>
      <c r="Y705" s="14"/>
      <c r="Z705" s="15"/>
      <c r="AA705" s="15"/>
      <c r="AB705" s="3"/>
      <c r="AC705" s="3"/>
      <c r="AD705" s="3"/>
      <c r="AE705" s="3"/>
      <c r="AF705" s="3"/>
      <c r="AG705" s="3"/>
      <c r="AH705" s="3"/>
      <c r="AI705" s="3"/>
      <c r="AJ705" s="154" t="s">
        <v>70</v>
      </c>
      <c r="AN705" s="154" t="s">
        <v>70</v>
      </c>
    </row>
    <row r="706" ht="15.75" customHeight="1">
      <c r="J706" s="15"/>
      <c r="K706" s="238"/>
      <c r="L706" s="15"/>
      <c r="M706" s="15"/>
      <c r="N706" s="15"/>
      <c r="O706" s="15"/>
      <c r="P706" s="15"/>
      <c r="Q706" s="15"/>
      <c r="R706" s="15"/>
      <c r="S706" s="15"/>
      <c r="T706" s="15"/>
      <c r="U706" s="15"/>
      <c r="V706" s="15"/>
      <c r="W706" s="15"/>
      <c r="X706" s="14"/>
      <c r="Y706" s="14"/>
      <c r="Z706" s="15"/>
      <c r="AA706" s="15"/>
      <c r="AB706" s="3"/>
      <c r="AC706" s="3"/>
      <c r="AD706" s="3"/>
      <c r="AE706" s="3"/>
      <c r="AF706" s="3"/>
      <c r="AG706" s="3"/>
      <c r="AH706" s="3"/>
      <c r="AI706" s="3"/>
      <c r="AJ706" s="154" t="s">
        <v>70</v>
      </c>
      <c r="AN706" s="154" t="s">
        <v>70</v>
      </c>
    </row>
    <row r="707" ht="15.75" customHeight="1">
      <c r="J707" s="15"/>
      <c r="K707" s="238"/>
      <c r="L707" s="15"/>
      <c r="M707" s="15"/>
      <c r="N707" s="15"/>
      <c r="O707" s="15"/>
      <c r="P707" s="15"/>
      <c r="Q707" s="15"/>
      <c r="R707" s="15"/>
      <c r="S707" s="15"/>
      <c r="T707" s="15"/>
      <c r="U707" s="15"/>
      <c r="V707" s="15"/>
      <c r="W707" s="15"/>
      <c r="X707" s="14"/>
      <c r="Y707" s="14"/>
      <c r="Z707" s="15"/>
      <c r="AA707" s="15"/>
      <c r="AB707" s="3"/>
      <c r="AC707" s="3"/>
      <c r="AD707" s="3"/>
      <c r="AE707" s="3"/>
      <c r="AF707" s="3"/>
      <c r="AG707" s="3"/>
      <c r="AH707" s="3"/>
      <c r="AI707" s="3"/>
      <c r="AJ707" s="154" t="s">
        <v>70</v>
      </c>
      <c r="AN707" s="154" t="s">
        <v>70</v>
      </c>
    </row>
    <row r="708" ht="15.75" customHeight="1">
      <c r="J708" s="15"/>
      <c r="K708" s="238"/>
      <c r="L708" s="15"/>
      <c r="M708" s="15"/>
      <c r="N708" s="15"/>
      <c r="O708" s="15"/>
      <c r="P708" s="15"/>
      <c r="Q708" s="15"/>
      <c r="R708" s="15"/>
      <c r="S708" s="15"/>
      <c r="T708" s="15"/>
      <c r="U708" s="15"/>
      <c r="V708" s="15"/>
      <c r="W708" s="15"/>
      <c r="X708" s="14"/>
      <c r="Y708" s="14"/>
      <c r="Z708" s="15"/>
      <c r="AA708" s="15"/>
      <c r="AB708" s="3"/>
      <c r="AC708" s="3"/>
      <c r="AD708" s="3"/>
      <c r="AE708" s="3"/>
      <c r="AF708" s="3"/>
      <c r="AG708" s="3"/>
      <c r="AH708" s="3"/>
      <c r="AI708" s="3"/>
      <c r="AJ708" s="154" t="s">
        <v>70</v>
      </c>
      <c r="AN708" s="154" t="s">
        <v>70</v>
      </c>
    </row>
    <row r="709" ht="15.75" customHeight="1">
      <c r="J709" s="15"/>
      <c r="K709" s="238"/>
      <c r="L709" s="15"/>
      <c r="M709" s="15"/>
      <c r="N709" s="15"/>
      <c r="O709" s="15"/>
      <c r="P709" s="15"/>
      <c r="Q709" s="15"/>
      <c r="R709" s="15"/>
      <c r="S709" s="15"/>
      <c r="T709" s="15"/>
      <c r="U709" s="15"/>
      <c r="V709" s="15"/>
      <c r="W709" s="15"/>
      <c r="X709" s="14"/>
      <c r="Y709" s="14"/>
      <c r="Z709" s="15"/>
      <c r="AA709" s="15"/>
      <c r="AB709" s="3"/>
      <c r="AC709" s="3"/>
      <c r="AD709" s="3"/>
      <c r="AE709" s="3"/>
      <c r="AF709" s="3"/>
      <c r="AG709" s="3"/>
      <c r="AH709" s="3"/>
      <c r="AI709" s="3"/>
      <c r="AJ709" s="154" t="s">
        <v>70</v>
      </c>
      <c r="AN709" s="154" t="s">
        <v>70</v>
      </c>
    </row>
    <row r="710" ht="15.75" customHeight="1">
      <c r="J710" s="15"/>
      <c r="K710" s="238"/>
      <c r="L710" s="15"/>
      <c r="M710" s="15"/>
      <c r="N710" s="15"/>
      <c r="O710" s="15"/>
      <c r="P710" s="15"/>
      <c r="Q710" s="15"/>
      <c r="R710" s="15"/>
      <c r="S710" s="15"/>
      <c r="T710" s="15"/>
      <c r="U710" s="15"/>
      <c r="V710" s="15"/>
      <c r="W710" s="15"/>
      <c r="X710" s="14"/>
      <c r="Y710" s="14"/>
      <c r="Z710" s="15"/>
      <c r="AA710" s="15"/>
      <c r="AB710" s="3"/>
      <c r="AC710" s="3"/>
      <c r="AD710" s="3"/>
      <c r="AE710" s="3"/>
      <c r="AF710" s="3"/>
      <c r="AG710" s="3"/>
      <c r="AH710" s="3"/>
      <c r="AI710" s="3"/>
      <c r="AJ710" s="154" t="s">
        <v>70</v>
      </c>
      <c r="AN710" s="154" t="s">
        <v>70</v>
      </c>
    </row>
    <row r="711" ht="15.75" customHeight="1">
      <c r="J711" s="15"/>
      <c r="K711" s="238"/>
      <c r="L711" s="15"/>
      <c r="M711" s="15"/>
      <c r="N711" s="15"/>
      <c r="O711" s="15"/>
      <c r="P711" s="15"/>
      <c r="Q711" s="15"/>
      <c r="R711" s="15"/>
      <c r="S711" s="15"/>
      <c r="T711" s="15"/>
      <c r="U711" s="15"/>
      <c r="V711" s="15"/>
      <c r="W711" s="15"/>
      <c r="X711" s="14"/>
      <c r="Y711" s="14"/>
      <c r="Z711" s="15"/>
      <c r="AA711" s="15"/>
      <c r="AB711" s="3"/>
      <c r="AC711" s="3"/>
      <c r="AD711" s="3"/>
      <c r="AE711" s="3"/>
      <c r="AF711" s="3"/>
      <c r="AG711" s="3"/>
      <c r="AH711" s="3"/>
      <c r="AI711" s="3"/>
      <c r="AJ711" s="154" t="s">
        <v>70</v>
      </c>
      <c r="AN711" s="154" t="s">
        <v>70</v>
      </c>
    </row>
    <row r="712" ht="15.75" customHeight="1">
      <c r="J712" s="15"/>
      <c r="K712" s="238"/>
      <c r="L712" s="15"/>
      <c r="M712" s="15"/>
      <c r="N712" s="15"/>
      <c r="O712" s="15"/>
      <c r="P712" s="15"/>
      <c r="Q712" s="15"/>
      <c r="R712" s="15"/>
      <c r="S712" s="15"/>
      <c r="T712" s="15"/>
      <c r="U712" s="15"/>
      <c r="V712" s="15"/>
      <c r="W712" s="15"/>
      <c r="X712" s="14"/>
      <c r="Y712" s="14"/>
      <c r="Z712" s="15"/>
      <c r="AA712" s="15"/>
      <c r="AB712" s="3"/>
      <c r="AC712" s="3"/>
      <c r="AD712" s="3"/>
      <c r="AE712" s="3"/>
      <c r="AF712" s="3"/>
      <c r="AG712" s="3"/>
      <c r="AH712" s="3"/>
      <c r="AI712" s="3"/>
      <c r="AJ712" s="154" t="s">
        <v>70</v>
      </c>
      <c r="AN712" s="154" t="s">
        <v>70</v>
      </c>
    </row>
    <row r="713" ht="15.75" customHeight="1">
      <c r="J713" s="15"/>
      <c r="K713" s="238"/>
      <c r="L713" s="15"/>
      <c r="M713" s="15"/>
      <c r="N713" s="15"/>
      <c r="O713" s="15"/>
      <c r="P713" s="15"/>
      <c r="Q713" s="15"/>
      <c r="R713" s="15"/>
      <c r="S713" s="15"/>
      <c r="T713" s="15"/>
      <c r="U713" s="15"/>
      <c r="V713" s="15"/>
      <c r="W713" s="15"/>
      <c r="X713" s="14"/>
      <c r="Y713" s="14"/>
      <c r="Z713" s="15"/>
      <c r="AA713" s="15"/>
      <c r="AB713" s="3"/>
      <c r="AC713" s="3"/>
      <c r="AD713" s="3"/>
      <c r="AE713" s="3"/>
      <c r="AF713" s="3"/>
      <c r="AG713" s="3"/>
      <c r="AH713" s="3"/>
      <c r="AI713" s="3"/>
      <c r="AJ713" s="154" t="s">
        <v>70</v>
      </c>
      <c r="AN713" s="154" t="s">
        <v>70</v>
      </c>
    </row>
    <row r="714" ht="15.75" customHeight="1">
      <c r="J714" s="15"/>
      <c r="K714" s="238"/>
      <c r="L714" s="15"/>
      <c r="M714" s="15"/>
      <c r="N714" s="15"/>
      <c r="O714" s="15"/>
      <c r="P714" s="15"/>
      <c r="Q714" s="15"/>
      <c r="R714" s="15"/>
      <c r="S714" s="15"/>
      <c r="T714" s="15"/>
      <c r="U714" s="15"/>
      <c r="V714" s="15"/>
      <c r="W714" s="15"/>
      <c r="X714" s="14"/>
      <c r="Y714" s="14"/>
      <c r="Z714" s="15"/>
      <c r="AA714" s="15"/>
      <c r="AB714" s="3"/>
      <c r="AC714" s="3"/>
      <c r="AD714" s="3"/>
      <c r="AE714" s="3"/>
      <c r="AF714" s="3"/>
      <c r="AG714" s="3"/>
      <c r="AH714" s="3"/>
      <c r="AI714" s="3"/>
      <c r="AJ714" s="154" t="s">
        <v>70</v>
      </c>
      <c r="AN714" s="154" t="s">
        <v>70</v>
      </c>
    </row>
    <row r="715" ht="15.75" customHeight="1">
      <c r="J715" s="15"/>
      <c r="K715" s="238"/>
      <c r="L715" s="15"/>
      <c r="M715" s="15"/>
      <c r="N715" s="15"/>
      <c r="O715" s="15"/>
      <c r="P715" s="15"/>
      <c r="Q715" s="15"/>
      <c r="R715" s="15"/>
      <c r="S715" s="15"/>
      <c r="T715" s="15"/>
      <c r="U715" s="15"/>
      <c r="V715" s="15"/>
      <c r="W715" s="15"/>
      <c r="X715" s="14"/>
      <c r="Y715" s="14"/>
      <c r="Z715" s="15"/>
      <c r="AA715" s="15"/>
      <c r="AB715" s="3"/>
      <c r="AC715" s="3"/>
      <c r="AD715" s="3"/>
      <c r="AE715" s="3"/>
      <c r="AF715" s="3"/>
      <c r="AG715" s="3"/>
      <c r="AH715" s="3"/>
      <c r="AI715" s="3"/>
      <c r="AJ715" s="154" t="s">
        <v>70</v>
      </c>
      <c r="AN715" s="154" t="s">
        <v>70</v>
      </c>
    </row>
    <row r="716" ht="15.75" customHeight="1">
      <c r="J716" s="15"/>
      <c r="K716" s="238"/>
      <c r="L716" s="15"/>
      <c r="M716" s="15"/>
      <c r="N716" s="15"/>
      <c r="O716" s="15"/>
      <c r="P716" s="15"/>
      <c r="Q716" s="15"/>
      <c r="R716" s="15"/>
      <c r="S716" s="15"/>
      <c r="T716" s="15"/>
      <c r="U716" s="15"/>
      <c r="V716" s="15"/>
      <c r="W716" s="15"/>
      <c r="X716" s="14"/>
      <c r="Y716" s="14"/>
      <c r="Z716" s="15"/>
      <c r="AA716" s="15"/>
      <c r="AB716" s="3"/>
      <c r="AC716" s="3"/>
      <c r="AD716" s="3"/>
      <c r="AE716" s="3"/>
      <c r="AF716" s="3"/>
      <c r="AG716" s="3"/>
      <c r="AH716" s="3"/>
      <c r="AI716" s="3"/>
      <c r="AJ716" s="154" t="s">
        <v>70</v>
      </c>
      <c r="AN716" s="154" t="s">
        <v>70</v>
      </c>
    </row>
    <row r="717" ht="15.75" customHeight="1">
      <c r="J717" s="15"/>
      <c r="K717" s="238"/>
      <c r="L717" s="15"/>
      <c r="M717" s="15"/>
      <c r="N717" s="15"/>
      <c r="O717" s="15"/>
      <c r="P717" s="15"/>
      <c r="Q717" s="15"/>
      <c r="R717" s="15"/>
      <c r="S717" s="15"/>
      <c r="T717" s="15"/>
      <c r="U717" s="15"/>
      <c r="V717" s="15"/>
      <c r="W717" s="15"/>
      <c r="X717" s="14"/>
      <c r="Y717" s="14"/>
      <c r="Z717" s="15"/>
      <c r="AA717" s="15"/>
      <c r="AB717" s="3"/>
      <c r="AC717" s="3"/>
      <c r="AD717" s="3"/>
      <c r="AE717" s="3"/>
      <c r="AF717" s="3"/>
      <c r="AG717" s="3"/>
      <c r="AH717" s="3"/>
      <c r="AI717" s="3"/>
      <c r="AJ717" s="154" t="s">
        <v>70</v>
      </c>
      <c r="AN717" s="154" t="s">
        <v>70</v>
      </c>
    </row>
    <row r="718" ht="15.75" customHeight="1">
      <c r="J718" s="15"/>
      <c r="K718" s="238"/>
      <c r="L718" s="15"/>
      <c r="M718" s="15"/>
      <c r="N718" s="15"/>
      <c r="O718" s="15"/>
      <c r="P718" s="15"/>
      <c r="Q718" s="15"/>
      <c r="R718" s="15"/>
      <c r="S718" s="15"/>
      <c r="T718" s="15"/>
      <c r="U718" s="15"/>
      <c r="V718" s="15"/>
      <c r="W718" s="15"/>
      <c r="X718" s="14"/>
      <c r="Y718" s="14"/>
      <c r="Z718" s="15"/>
      <c r="AA718" s="15"/>
      <c r="AB718" s="3"/>
      <c r="AC718" s="3"/>
      <c r="AD718" s="3"/>
      <c r="AE718" s="3"/>
      <c r="AF718" s="3"/>
      <c r="AG718" s="3"/>
      <c r="AH718" s="3"/>
      <c r="AI718" s="3"/>
      <c r="AJ718" s="154" t="s">
        <v>70</v>
      </c>
      <c r="AN718" s="154" t="s">
        <v>70</v>
      </c>
    </row>
    <row r="719" ht="15.75" customHeight="1">
      <c r="J719" s="15"/>
      <c r="K719" s="238"/>
      <c r="L719" s="15"/>
      <c r="M719" s="15"/>
      <c r="N719" s="15"/>
      <c r="O719" s="15"/>
      <c r="P719" s="15"/>
      <c r="Q719" s="15"/>
      <c r="R719" s="15"/>
      <c r="S719" s="15"/>
      <c r="T719" s="15"/>
      <c r="U719" s="15"/>
      <c r="V719" s="15"/>
      <c r="W719" s="15"/>
      <c r="X719" s="14"/>
      <c r="Y719" s="14"/>
      <c r="Z719" s="15"/>
      <c r="AA719" s="15"/>
      <c r="AB719" s="3"/>
      <c r="AC719" s="3"/>
      <c r="AD719" s="3"/>
      <c r="AE719" s="3"/>
      <c r="AF719" s="3"/>
      <c r="AG719" s="3"/>
      <c r="AH719" s="3"/>
      <c r="AI719" s="3"/>
      <c r="AJ719" s="154" t="s">
        <v>70</v>
      </c>
      <c r="AN719" s="154" t="s">
        <v>70</v>
      </c>
    </row>
    <row r="720" ht="15.75" customHeight="1">
      <c r="J720" s="15"/>
      <c r="K720" s="238"/>
      <c r="L720" s="15"/>
      <c r="M720" s="15"/>
      <c r="N720" s="15"/>
      <c r="O720" s="15"/>
      <c r="P720" s="15"/>
      <c r="Q720" s="15"/>
      <c r="R720" s="15"/>
      <c r="S720" s="15"/>
      <c r="T720" s="15"/>
      <c r="U720" s="15"/>
      <c r="V720" s="15"/>
      <c r="W720" s="15"/>
      <c r="X720" s="14"/>
      <c r="Y720" s="14"/>
      <c r="Z720" s="15"/>
      <c r="AA720" s="15"/>
      <c r="AB720" s="3"/>
      <c r="AC720" s="3"/>
      <c r="AD720" s="3"/>
      <c r="AE720" s="3"/>
      <c r="AF720" s="3"/>
      <c r="AG720" s="3"/>
      <c r="AH720" s="3"/>
      <c r="AI720" s="3"/>
      <c r="AJ720" s="154" t="s">
        <v>70</v>
      </c>
      <c r="AN720" s="154" t="s">
        <v>70</v>
      </c>
    </row>
    <row r="721" ht="15.75" customHeight="1">
      <c r="J721" s="15"/>
      <c r="K721" s="238"/>
      <c r="L721" s="15"/>
      <c r="M721" s="15"/>
      <c r="N721" s="15"/>
      <c r="O721" s="15"/>
      <c r="P721" s="15"/>
      <c r="Q721" s="15"/>
      <c r="R721" s="15"/>
      <c r="S721" s="15"/>
      <c r="T721" s="15"/>
      <c r="U721" s="15"/>
      <c r="V721" s="15"/>
      <c r="W721" s="15"/>
      <c r="X721" s="14"/>
      <c r="Y721" s="14"/>
      <c r="Z721" s="15"/>
      <c r="AA721" s="15"/>
      <c r="AB721" s="3"/>
      <c r="AC721" s="3"/>
      <c r="AD721" s="3"/>
      <c r="AE721" s="3"/>
      <c r="AF721" s="3"/>
      <c r="AG721" s="3"/>
      <c r="AH721" s="3"/>
      <c r="AI721" s="3"/>
      <c r="AJ721" s="154" t="s">
        <v>70</v>
      </c>
      <c r="AN721" s="154" t="s">
        <v>70</v>
      </c>
    </row>
    <row r="722" ht="15.75" customHeight="1">
      <c r="J722" s="15"/>
      <c r="K722" s="238"/>
      <c r="L722" s="15"/>
      <c r="M722" s="15"/>
      <c r="N722" s="15"/>
      <c r="O722" s="15"/>
      <c r="P722" s="15"/>
      <c r="Q722" s="15"/>
      <c r="R722" s="15"/>
      <c r="S722" s="15"/>
      <c r="T722" s="15"/>
      <c r="U722" s="15"/>
      <c r="V722" s="15"/>
      <c r="W722" s="15"/>
      <c r="X722" s="14"/>
      <c r="Y722" s="14"/>
      <c r="Z722" s="15"/>
      <c r="AA722" s="15"/>
      <c r="AB722" s="3"/>
      <c r="AC722" s="3"/>
      <c r="AD722" s="3"/>
      <c r="AE722" s="3"/>
      <c r="AF722" s="3"/>
      <c r="AG722" s="3"/>
      <c r="AH722" s="3"/>
      <c r="AI722" s="3"/>
      <c r="AJ722" s="154" t="s">
        <v>70</v>
      </c>
      <c r="AN722" s="154" t="s">
        <v>70</v>
      </c>
    </row>
    <row r="723" ht="15.75" customHeight="1">
      <c r="J723" s="15"/>
      <c r="K723" s="238"/>
      <c r="L723" s="15"/>
      <c r="M723" s="15"/>
      <c r="N723" s="15"/>
      <c r="O723" s="15"/>
      <c r="P723" s="15"/>
      <c r="Q723" s="15"/>
      <c r="R723" s="15"/>
      <c r="S723" s="15"/>
      <c r="T723" s="15"/>
      <c r="U723" s="15"/>
      <c r="V723" s="15"/>
      <c r="W723" s="15"/>
      <c r="X723" s="14"/>
      <c r="Y723" s="14"/>
      <c r="Z723" s="15"/>
      <c r="AA723" s="15"/>
      <c r="AB723" s="3"/>
      <c r="AC723" s="3"/>
      <c r="AD723" s="3"/>
      <c r="AE723" s="3"/>
      <c r="AF723" s="3"/>
      <c r="AG723" s="3"/>
      <c r="AH723" s="3"/>
      <c r="AI723" s="3"/>
      <c r="AJ723" s="154" t="s">
        <v>70</v>
      </c>
      <c r="AN723" s="154" t="s">
        <v>70</v>
      </c>
    </row>
    <row r="724" ht="15.75" customHeight="1">
      <c r="J724" s="15"/>
      <c r="K724" s="238"/>
      <c r="L724" s="15"/>
      <c r="M724" s="15"/>
      <c r="N724" s="15"/>
      <c r="O724" s="15"/>
      <c r="P724" s="15"/>
      <c r="Q724" s="15"/>
      <c r="R724" s="15"/>
      <c r="S724" s="15"/>
      <c r="T724" s="15"/>
      <c r="U724" s="15"/>
      <c r="V724" s="15"/>
      <c r="W724" s="15"/>
      <c r="X724" s="14"/>
      <c r="Y724" s="14"/>
      <c r="Z724" s="15"/>
      <c r="AA724" s="15"/>
      <c r="AB724" s="3"/>
      <c r="AC724" s="3"/>
      <c r="AD724" s="3"/>
      <c r="AE724" s="3"/>
      <c r="AF724" s="3"/>
      <c r="AG724" s="3"/>
      <c r="AH724" s="3"/>
      <c r="AI724" s="3"/>
      <c r="AJ724" s="154" t="s">
        <v>70</v>
      </c>
      <c r="AN724" s="154" t="s">
        <v>70</v>
      </c>
    </row>
    <row r="725" ht="15.75" customHeight="1">
      <c r="J725" s="15"/>
      <c r="K725" s="238"/>
      <c r="L725" s="15"/>
      <c r="M725" s="15"/>
      <c r="N725" s="15"/>
      <c r="O725" s="15"/>
      <c r="P725" s="15"/>
      <c r="Q725" s="15"/>
      <c r="R725" s="15"/>
      <c r="S725" s="15"/>
      <c r="T725" s="15"/>
      <c r="U725" s="15"/>
      <c r="V725" s="15"/>
      <c r="W725" s="15"/>
      <c r="X725" s="14"/>
      <c r="Y725" s="14"/>
      <c r="Z725" s="15"/>
      <c r="AA725" s="15"/>
      <c r="AB725" s="3"/>
      <c r="AC725" s="3"/>
      <c r="AD725" s="3"/>
      <c r="AE725" s="3"/>
      <c r="AF725" s="3"/>
      <c r="AG725" s="3"/>
      <c r="AH725" s="3"/>
      <c r="AI725" s="3"/>
      <c r="AJ725" s="154" t="s">
        <v>70</v>
      </c>
      <c r="AN725" s="154" t="s">
        <v>70</v>
      </c>
    </row>
    <row r="726" ht="15.75" customHeight="1">
      <c r="J726" s="15"/>
      <c r="K726" s="238"/>
      <c r="L726" s="15"/>
      <c r="M726" s="15"/>
      <c r="N726" s="15"/>
      <c r="O726" s="15"/>
      <c r="P726" s="15"/>
      <c r="Q726" s="15"/>
      <c r="R726" s="15"/>
      <c r="S726" s="15"/>
      <c r="T726" s="15"/>
      <c r="U726" s="15"/>
      <c r="V726" s="15"/>
      <c r="W726" s="15"/>
      <c r="X726" s="14"/>
      <c r="Y726" s="14"/>
      <c r="Z726" s="15"/>
      <c r="AA726" s="15"/>
      <c r="AB726" s="3"/>
      <c r="AC726" s="3"/>
      <c r="AD726" s="3"/>
      <c r="AE726" s="3"/>
      <c r="AF726" s="3"/>
      <c r="AG726" s="3"/>
      <c r="AH726" s="3"/>
      <c r="AI726" s="3"/>
      <c r="AJ726" s="154" t="s">
        <v>70</v>
      </c>
      <c r="AN726" s="154" t="s">
        <v>70</v>
      </c>
    </row>
    <row r="727" ht="15.75" customHeight="1">
      <c r="J727" s="15"/>
      <c r="K727" s="238"/>
      <c r="L727" s="15"/>
      <c r="M727" s="15"/>
      <c r="N727" s="15"/>
      <c r="O727" s="15"/>
      <c r="P727" s="15"/>
      <c r="Q727" s="15"/>
      <c r="R727" s="15"/>
      <c r="S727" s="15"/>
      <c r="T727" s="15"/>
      <c r="U727" s="15"/>
      <c r="V727" s="15"/>
      <c r="W727" s="15"/>
      <c r="X727" s="14"/>
      <c r="Y727" s="14"/>
      <c r="Z727" s="15"/>
      <c r="AA727" s="15"/>
      <c r="AB727" s="3"/>
      <c r="AC727" s="3"/>
      <c r="AD727" s="3"/>
      <c r="AE727" s="3"/>
      <c r="AF727" s="3"/>
      <c r="AG727" s="3"/>
      <c r="AH727" s="3"/>
      <c r="AI727" s="3"/>
      <c r="AJ727" s="154" t="s">
        <v>70</v>
      </c>
      <c r="AN727" s="154" t="s">
        <v>70</v>
      </c>
    </row>
    <row r="728" ht="15.75" customHeight="1">
      <c r="J728" s="15"/>
      <c r="K728" s="238"/>
      <c r="L728" s="15"/>
      <c r="M728" s="15"/>
      <c r="N728" s="15"/>
      <c r="O728" s="15"/>
      <c r="P728" s="15"/>
      <c r="Q728" s="15"/>
      <c r="R728" s="15"/>
      <c r="S728" s="15"/>
      <c r="T728" s="15"/>
      <c r="U728" s="15"/>
      <c r="V728" s="15"/>
      <c r="W728" s="15"/>
      <c r="X728" s="14"/>
      <c r="Y728" s="14"/>
      <c r="Z728" s="15"/>
      <c r="AA728" s="15"/>
      <c r="AB728" s="3"/>
      <c r="AC728" s="3"/>
      <c r="AD728" s="3"/>
      <c r="AE728" s="3"/>
      <c r="AF728" s="3"/>
      <c r="AG728" s="3"/>
      <c r="AH728" s="3"/>
      <c r="AI728" s="3"/>
      <c r="AJ728" s="154" t="s">
        <v>70</v>
      </c>
      <c r="AN728" s="154" t="s">
        <v>70</v>
      </c>
    </row>
    <row r="729" ht="15.75" customHeight="1">
      <c r="J729" s="15"/>
      <c r="K729" s="238"/>
      <c r="L729" s="15"/>
      <c r="M729" s="15"/>
      <c r="N729" s="15"/>
      <c r="O729" s="15"/>
      <c r="P729" s="15"/>
      <c r="Q729" s="15"/>
      <c r="R729" s="15"/>
      <c r="S729" s="15"/>
      <c r="T729" s="15"/>
      <c r="U729" s="15"/>
      <c r="V729" s="15"/>
      <c r="W729" s="15"/>
      <c r="X729" s="14"/>
      <c r="Y729" s="14"/>
      <c r="Z729" s="15"/>
      <c r="AA729" s="15"/>
      <c r="AB729" s="3"/>
      <c r="AC729" s="3"/>
      <c r="AD729" s="3"/>
      <c r="AE729" s="3"/>
      <c r="AF729" s="3"/>
      <c r="AG729" s="3"/>
      <c r="AH729" s="3"/>
      <c r="AI729" s="3"/>
      <c r="AJ729" s="154" t="s">
        <v>70</v>
      </c>
      <c r="AN729" s="154" t="s">
        <v>70</v>
      </c>
    </row>
    <row r="730" ht="15.75" customHeight="1">
      <c r="J730" s="15"/>
      <c r="K730" s="238"/>
      <c r="L730" s="15"/>
      <c r="M730" s="15"/>
      <c r="N730" s="15"/>
      <c r="O730" s="15"/>
      <c r="P730" s="15"/>
      <c r="Q730" s="15"/>
      <c r="R730" s="15"/>
      <c r="S730" s="15"/>
      <c r="T730" s="15"/>
      <c r="U730" s="15"/>
      <c r="V730" s="15"/>
      <c r="W730" s="15"/>
      <c r="X730" s="14"/>
      <c r="Y730" s="14"/>
      <c r="Z730" s="15"/>
      <c r="AA730" s="15"/>
      <c r="AB730" s="3"/>
      <c r="AC730" s="3"/>
      <c r="AD730" s="3"/>
      <c r="AE730" s="3"/>
      <c r="AF730" s="3"/>
      <c r="AG730" s="3"/>
      <c r="AH730" s="3"/>
      <c r="AI730" s="3"/>
      <c r="AJ730" s="154" t="s">
        <v>70</v>
      </c>
      <c r="AN730" s="154" t="s">
        <v>70</v>
      </c>
    </row>
    <row r="731" ht="15.75" customHeight="1">
      <c r="J731" s="15"/>
      <c r="K731" s="238"/>
      <c r="L731" s="15"/>
      <c r="M731" s="15"/>
      <c r="N731" s="15"/>
      <c r="O731" s="15"/>
      <c r="P731" s="15"/>
      <c r="Q731" s="15"/>
      <c r="R731" s="15"/>
      <c r="S731" s="15"/>
      <c r="T731" s="15"/>
      <c r="U731" s="15"/>
      <c r="V731" s="15"/>
      <c r="W731" s="15"/>
      <c r="X731" s="14"/>
      <c r="Y731" s="14"/>
      <c r="Z731" s="15"/>
      <c r="AA731" s="15"/>
      <c r="AB731" s="3"/>
      <c r="AC731" s="3"/>
      <c r="AD731" s="3"/>
      <c r="AE731" s="3"/>
      <c r="AF731" s="3"/>
      <c r="AG731" s="3"/>
      <c r="AH731" s="3"/>
      <c r="AI731" s="3"/>
      <c r="AJ731" s="154" t="s">
        <v>70</v>
      </c>
      <c r="AN731" s="154" t="s">
        <v>70</v>
      </c>
    </row>
    <row r="732" ht="15.75" customHeight="1">
      <c r="J732" s="15"/>
      <c r="K732" s="238"/>
      <c r="L732" s="15"/>
      <c r="M732" s="15"/>
      <c r="N732" s="15"/>
      <c r="O732" s="15"/>
      <c r="P732" s="15"/>
      <c r="Q732" s="15"/>
      <c r="R732" s="15"/>
      <c r="S732" s="15"/>
      <c r="T732" s="15"/>
      <c r="U732" s="15"/>
      <c r="V732" s="15"/>
      <c r="W732" s="15"/>
      <c r="X732" s="14"/>
      <c r="Y732" s="14"/>
      <c r="Z732" s="15"/>
      <c r="AA732" s="15"/>
      <c r="AB732" s="3"/>
      <c r="AC732" s="3"/>
      <c r="AD732" s="3"/>
      <c r="AE732" s="3"/>
      <c r="AF732" s="3"/>
      <c r="AG732" s="3"/>
      <c r="AH732" s="3"/>
      <c r="AI732" s="3"/>
      <c r="AJ732" s="154" t="s">
        <v>70</v>
      </c>
      <c r="AN732" s="154" t="s">
        <v>70</v>
      </c>
    </row>
    <row r="733" ht="15.75" customHeight="1">
      <c r="J733" s="15"/>
      <c r="K733" s="238"/>
      <c r="L733" s="15"/>
      <c r="M733" s="15"/>
      <c r="N733" s="15"/>
      <c r="O733" s="15"/>
      <c r="P733" s="15"/>
      <c r="Q733" s="15"/>
      <c r="R733" s="15"/>
      <c r="S733" s="15"/>
      <c r="T733" s="15"/>
      <c r="U733" s="15"/>
      <c r="V733" s="15"/>
      <c r="W733" s="15"/>
      <c r="X733" s="14"/>
      <c r="Y733" s="14"/>
      <c r="Z733" s="15"/>
      <c r="AA733" s="15"/>
      <c r="AB733" s="3"/>
      <c r="AC733" s="3"/>
      <c r="AD733" s="3"/>
      <c r="AE733" s="3"/>
      <c r="AF733" s="3"/>
      <c r="AG733" s="3"/>
      <c r="AH733" s="3"/>
      <c r="AI733" s="3"/>
      <c r="AJ733" s="154" t="s">
        <v>70</v>
      </c>
      <c r="AN733" s="154" t="s">
        <v>70</v>
      </c>
    </row>
    <row r="734" ht="15.75" customHeight="1">
      <c r="J734" s="15"/>
      <c r="K734" s="238"/>
      <c r="L734" s="15"/>
      <c r="M734" s="15"/>
      <c r="N734" s="15"/>
      <c r="O734" s="15"/>
      <c r="P734" s="15"/>
      <c r="Q734" s="15"/>
      <c r="R734" s="15"/>
      <c r="S734" s="15"/>
      <c r="T734" s="15"/>
      <c r="U734" s="15"/>
      <c r="V734" s="15"/>
      <c r="W734" s="15"/>
      <c r="X734" s="14"/>
      <c r="Y734" s="14"/>
      <c r="Z734" s="15"/>
      <c r="AA734" s="15"/>
      <c r="AB734" s="3"/>
      <c r="AC734" s="3"/>
      <c r="AD734" s="3"/>
      <c r="AE734" s="3"/>
      <c r="AF734" s="3"/>
      <c r="AG734" s="3"/>
      <c r="AH734" s="3"/>
      <c r="AI734" s="3"/>
      <c r="AJ734" s="154" t="s">
        <v>70</v>
      </c>
      <c r="AN734" s="154" t="s">
        <v>70</v>
      </c>
    </row>
    <row r="735" ht="15.75" customHeight="1">
      <c r="J735" s="15"/>
      <c r="K735" s="238"/>
      <c r="L735" s="15"/>
      <c r="M735" s="15"/>
      <c r="N735" s="15"/>
      <c r="O735" s="15"/>
      <c r="P735" s="15"/>
      <c r="Q735" s="15"/>
      <c r="R735" s="15"/>
      <c r="S735" s="15"/>
      <c r="T735" s="15"/>
      <c r="U735" s="15"/>
      <c r="V735" s="15"/>
      <c r="W735" s="15"/>
      <c r="X735" s="14"/>
      <c r="Y735" s="14"/>
      <c r="Z735" s="15"/>
      <c r="AA735" s="15"/>
      <c r="AB735" s="3"/>
      <c r="AC735" s="3"/>
      <c r="AD735" s="3"/>
      <c r="AE735" s="3"/>
      <c r="AF735" s="3"/>
      <c r="AG735" s="3"/>
      <c r="AH735" s="3"/>
      <c r="AI735" s="3"/>
      <c r="AJ735" s="154" t="s">
        <v>70</v>
      </c>
      <c r="AN735" s="154" t="s">
        <v>70</v>
      </c>
    </row>
    <row r="736" ht="15.75" customHeight="1">
      <c r="J736" s="15"/>
      <c r="K736" s="238"/>
      <c r="L736" s="15"/>
      <c r="M736" s="15"/>
      <c r="N736" s="15"/>
      <c r="O736" s="15"/>
      <c r="P736" s="15"/>
      <c r="Q736" s="15"/>
      <c r="R736" s="15"/>
      <c r="S736" s="15"/>
      <c r="T736" s="15"/>
      <c r="U736" s="15"/>
      <c r="V736" s="15"/>
      <c r="W736" s="15"/>
      <c r="X736" s="14"/>
      <c r="Y736" s="14"/>
      <c r="Z736" s="15"/>
      <c r="AA736" s="15"/>
      <c r="AB736" s="3"/>
      <c r="AC736" s="3"/>
      <c r="AD736" s="3"/>
      <c r="AE736" s="3"/>
      <c r="AF736" s="3"/>
      <c r="AG736" s="3"/>
      <c r="AH736" s="3"/>
      <c r="AI736" s="3"/>
      <c r="AJ736" s="154" t="s">
        <v>70</v>
      </c>
      <c r="AN736" s="154" t="s">
        <v>70</v>
      </c>
    </row>
    <row r="737" ht="15.75" customHeight="1">
      <c r="J737" s="15"/>
      <c r="K737" s="238"/>
      <c r="L737" s="15"/>
      <c r="M737" s="15"/>
      <c r="N737" s="15"/>
      <c r="O737" s="15"/>
      <c r="P737" s="15"/>
      <c r="Q737" s="15"/>
      <c r="R737" s="15"/>
      <c r="S737" s="15"/>
      <c r="T737" s="15"/>
      <c r="U737" s="15"/>
      <c r="V737" s="15"/>
      <c r="W737" s="15"/>
      <c r="X737" s="14"/>
      <c r="Y737" s="14"/>
      <c r="Z737" s="15"/>
      <c r="AA737" s="15"/>
      <c r="AB737" s="3"/>
      <c r="AC737" s="3"/>
      <c r="AD737" s="3"/>
      <c r="AE737" s="3"/>
      <c r="AF737" s="3"/>
      <c r="AG737" s="3"/>
      <c r="AH737" s="3"/>
      <c r="AI737" s="3"/>
      <c r="AJ737" s="154" t="s">
        <v>70</v>
      </c>
      <c r="AN737" s="154" t="s">
        <v>70</v>
      </c>
    </row>
    <row r="738" ht="15.75" customHeight="1">
      <c r="J738" s="15"/>
      <c r="K738" s="238"/>
      <c r="L738" s="15"/>
      <c r="M738" s="15"/>
      <c r="N738" s="15"/>
      <c r="O738" s="15"/>
      <c r="P738" s="15"/>
      <c r="Q738" s="15"/>
      <c r="R738" s="15"/>
      <c r="S738" s="15"/>
      <c r="T738" s="15"/>
      <c r="U738" s="15"/>
      <c r="V738" s="15"/>
      <c r="W738" s="15"/>
      <c r="X738" s="14"/>
      <c r="Y738" s="14"/>
      <c r="Z738" s="15"/>
      <c r="AA738" s="15"/>
      <c r="AB738" s="3"/>
      <c r="AC738" s="3"/>
      <c r="AD738" s="3"/>
      <c r="AE738" s="3"/>
      <c r="AF738" s="3"/>
      <c r="AG738" s="3"/>
      <c r="AH738" s="3"/>
      <c r="AI738" s="3"/>
      <c r="AJ738" s="154" t="s">
        <v>70</v>
      </c>
      <c r="AN738" s="154" t="s">
        <v>70</v>
      </c>
    </row>
    <row r="739" ht="15.75" customHeight="1">
      <c r="J739" s="15"/>
      <c r="K739" s="238"/>
      <c r="L739" s="15"/>
      <c r="M739" s="15"/>
      <c r="N739" s="15"/>
      <c r="O739" s="15"/>
      <c r="P739" s="15"/>
      <c r="Q739" s="15"/>
      <c r="R739" s="15"/>
      <c r="S739" s="15"/>
      <c r="T739" s="15"/>
      <c r="U739" s="15"/>
      <c r="V739" s="15"/>
      <c r="W739" s="15"/>
      <c r="X739" s="14"/>
      <c r="Y739" s="14"/>
      <c r="Z739" s="15"/>
      <c r="AA739" s="15"/>
      <c r="AB739" s="3"/>
      <c r="AC739" s="3"/>
      <c r="AD739" s="3"/>
      <c r="AE739" s="3"/>
      <c r="AF739" s="3"/>
      <c r="AG739" s="3"/>
      <c r="AH739" s="3"/>
      <c r="AI739" s="3"/>
      <c r="AJ739" s="154" t="s">
        <v>70</v>
      </c>
      <c r="AN739" s="154" t="s">
        <v>70</v>
      </c>
    </row>
    <row r="740" ht="15.75" customHeight="1">
      <c r="J740" s="15"/>
      <c r="K740" s="238"/>
      <c r="L740" s="15"/>
      <c r="M740" s="15"/>
      <c r="N740" s="15"/>
      <c r="O740" s="15"/>
      <c r="P740" s="15"/>
      <c r="Q740" s="15"/>
      <c r="R740" s="15"/>
      <c r="S740" s="15"/>
      <c r="T740" s="15"/>
      <c r="U740" s="15"/>
      <c r="V740" s="15"/>
      <c r="W740" s="15"/>
      <c r="X740" s="14"/>
      <c r="Y740" s="14"/>
      <c r="Z740" s="15"/>
      <c r="AA740" s="15"/>
      <c r="AB740" s="3"/>
      <c r="AC740" s="3"/>
      <c r="AD740" s="3"/>
      <c r="AE740" s="3"/>
      <c r="AF740" s="3"/>
      <c r="AG740" s="3"/>
      <c r="AH740" s="3"/>
      <c r="AI740" s="3"/>
      <c r="AJ740" s="154" t="s">
        <v>70</v>
      </c>
      <c r="AN740" s="154" t="s">
        <v>70</v>
      </c>
    </row>
    <row r="741" ht="15.75" customHeight="1">
      <c r="J741" s="15"/>
      <c r="K741" s="238"/>
      <c r="L741" s="15"/>
      <c r="M741" s="15"/>
      <c r="N741" s="15"/>
      <c r="O741" s="15"/>
      <c r="P741" s="15"/>
      <c r="Q741" s="15"/>
      <c r="R741" s="15"/>
      <c r="S741" s="15"/>
      <c r="T741" s="15"/>
      <c r="U741" s="15"/>
      <c r="V741" s="15"/>
      <c r="W741" s="15"/>
      <c r="X741" s="14"/>
      <c r="Y741" s="14"/>
      <c r="Z741" s="15"/>
      <c r="AA741" s="15"/>
      <c r="AB741" s="3"/>
      <c r="AC741" s="3"/>
      <c r="AD741" s="3"/>
      <c r="AE741" s="3"/>
      <c r="AF741" s="3"/>
      <c r="AG741" s="3"/>
      <c r="AH741" s="3"/>
      <c r="AI741" s="3"/>
      <c r="AJ741" s="154" t="s">
        <v>70</v>
      </c>
      <c r="AN741" s="154" t="s">
        <v>70</v>
      </c>
    </row>
    <row r="742" ht="15.75" customHeight="1">
      <c r="J742" s="15"/>
      <c r="K742" s="238"/>
      <c r="L742" s="15"/>
      <c r="M742" s="15"/>
      <c r="N742" s="15"/>
      <c r="O742" s="15"/>
      <c r="P742" s="15"/>
      <c r="Q742" s="15"/>
      <c r="R742" s="15"/>
      <c r="S742" s="15"/>
      <c r="T742" s="15"/>
      <c r="U742" s="15"/>
      <c r="V742" s="15"/>
      <c r="W742" s="15"/>
      <c r="X742" s="14"/>
      <c r="Y742" s="14"/>
      <c r="Z742" s="15"/>
      <c r="AA742" s="15"/>
      <c r="AB742" s="3"/>
      <c r="AC742" s="3"/>
      <c r="AD742" s="3"/>
      <c r="AE742" s="3"/>
      <c r="AF742" s="3"/>
      <c r="AG742" s="3"/>
      <c r="AH742" s="3"/>
      <c r="AI742" s="3"/>
      <c r="AJ742" s="154" t="s">
        <v>70</v>
      </c>
      <c r="AN742" s="154" t="s">
        <v>70</v>
      </c>
    </row>
    <row r="743" ht="15.75" customHeight="1">
      <c r="J743" s="15"/>
      <c r="K743" s="238"/>
      <c r="L743" s="15"/>
      <c r="M743" s="15"/>
      <c r="N743" s="15"/>
      <c r="O743" s="15"/>
      <c r="P743" s="15"/>
      <c r="Q743" s="15"/>
      <c r="R743" s="15"/>
      <c r="S743" s="15"/>
      <c r="T743" s="15"/>
      <c r="U743" s="15"/>
      <c r="V743" s="15"/>
      <c r="W743" s="15"/>
      <c r="X743" s="14"/>
      <c r="Y743" s="14"/>
      <c r="Z743" s="15"/>
      <c r="AA743" s="15"/>
      <c r="AB743" s="3"/>
      <c r="AC743" s="3"/>
      <c r="AD743" s="3"/>
      <c r="AE743" s="3"/>
      <c r="AF743" s="3"/>
      <c r="AG743" s="3"/>
      <c r="AH743" s="3"/>
      <c r="AI743" s="3"/>
      <c r="AJ743" s="154" t="s">
        <v>70</v>
      </c>
      <c r="AN743" s="154" t="s">
        <v>70</v>
      </c>
    </row>
    <row r="744" ht="15.75" customHeight="1">
      <c r="J744" s="15"/>
      <c r="K744" s="238"/>
      <c r="L744" s="15"/>
      <c r="M744" s="15"/>
      <c r="N744" s="15"/>
      <c r="O744" s="15"/>
      <c r="P744" s="15"/>
      <c r="Q744" s="15"/>
      <c r="R744" s="15"/>
      <c r="S744" s="15"/>
      <c r="T744" s="15"/>
      <c r="U744" s="15"/>
      <c r="V744" s="15"/>
      <c r="W744" s="15"/>
      <c r="X744" s="14"/>
      <c r="Y744" s="14"/>
      <c r="Z744" s="15"/>
      <c r="AA744" s="15"/>
      <c r="AB744" s="3"/>
      <c r="AC744" s="3"/>
      <c r="AD744" s="3"/>
      <c r="AE744" s="3"/>
      <c r="AF744" s="3"/>
      <c r="AG744" s="3"/>
      <c r="AH744" s="3"/>
      <c r="AI744" s="3"/>
      <c r="AJ744" s="154" t="s">
        <v>70</v>
      </c>
      <c r="AN744" s="154" t="s">
        <v>70</v>
      </c>
    </row>
    <row r="745" ht="15.75" customHeight="1">
      <c r="J745" s="15"/>
      <c r="K745" s="238"/>
      <c r="L745" s="15"/>
      <c r="M745" s="15"/>
      <c r="N745" s="15"/>
      <c r="O745" s="15"/>
      <c r="P745" s="15"/>
      <c r="Q745" s="15"/>
      <c r="R745" s="15"/>
      <c r="S745" s="15"/>
      <c r="T745" s="15"/>
      <c r="U745" s="15"/>
      <c r="V745" s="15"/>
      <c r="W745" s="15"/>
      <c r="X745" s="14"/>
      <c r="Y745" s="14"/>
      <c r="Z745" s="15"/>
      <c r="AA745" s="15"/>
      <c r="AB745" s="3"/>
      <c r="AC745" s="3"/>
      <c r="AD745" s="3"/>
      <c r="AE745" s="3"/>
      <c r="AF745" s="3"/>
      <c r="AG745" s="3"/>
      <c r="AH745" s="3"/>
      <c r="AI745" s="3"/>
      <c r="AJ745" s="154" t="s">
        <v>70</v>
      </c>
      <c r="AN745" s="154" t="s">
        <v>70</v>
      </c>
    </row>
    <row r="746" ht="15.75" customHeight="1">
      <c r="J746" s="15"/>
      <c r="K746" s="238"/>
      <c r="L746" s="15"/>
      <c r="M746" s="15"/>
      <c r="N746" s="15"/>
      <c r="O746" s="15"/>
      <c r="P746" s="15"/>
      <c r="Q746" s="15"/>
      <c r="R746" s="15"/>
      <c r="S746" s="15"/>
      <c r="T746" s="15"/>
      <c r="U746" s="15"/>
      <c r="V746" s="15"/>
      <c r="W746" s="15"/>
      <c r="X746" s="14"/>
      <c r="Y746" s="14"/>
      <c r="Z746" s="15"/>
      <c r="AA746" s="15"/>
      <c r="AB746" s="3"/>
      <c r="AC746" s="3"/>
      <c r="AD746" s="3"/>
      <c r="AE746" s="3"/>
      <c r="AF746" s="3"/>
      <c r="AG746" s="3"/>
      <c r="AH746" s="3"/>
      <c r="AI746" s="3"/>
      <c r="AJ746" s="154" t="s">
        <v>70</v>
      </c>
      <c r="AN746" s="154" t="s">
        <v>70</v>
      </c>
    </row>
    <row r="747" ht="15.75" customHeight="1">
      <c r="J747" s="15"/>
      <c r="K747" s="238"/>
      <c r="L747" s="15"/>
      <c r="M747" s="15"/>
      <c r="N747" s="15"/>
      <c r="O747" s="15"/>
      <c r="P747" s="15"/>
      <c r="Q747" s="15"/>
      <c r="R747" s="15"/>
      <c r="S747" s="15"/>
      <c r="T747" s="15"/>
      <c r="U747" s="15"/>
      <c r="V747" s="15"/>
      <c r="W747" s="15"/>
      <c r="X747" s="14"/>
      <c r="Y747" s="14"/>
      <c r="Z747" s="15"/>
      <c r="AA747" s="15"/>
      <c r="AB747" s="3"/>
      <c r="AC747" s="3"/>
      <c r="AD747" s="3"/>
      <c r="AE747" s="3"/>
      <c r="AF747" s="3"/>
      <c r="AG747" s="3"/>
      <c r="AH747" s="3"/>
      <c r="AI747" s="3"/>
      <c r="AJ747" s="154" t="s">
        <v>70</v>
      </c>
      <c r="AN747" s="154" t="s">
        <v>70</v>
      </c>
    </row>
    <row r="748" ht="15.75" customHeight="1">
      <c r="J748" s="15"/>
      <c r="K748" s="238"/>
      <c r="L748" s="15"/>
      <c r="M748" s="15"/>
      <c r="N748" s="15"/>
      <c r="O748" s="15"/>
      <c r="P748" s="15"/>
      <c r="Q748" s="15"/>
      <c r="R748" s="15"/>
      <c r="S748" s="15"/>
      <c r="T748" s="15"/>
      <c r="U748" s="15"/>
      <c r="V748" s="15"/>
      <c r="W748" s="15"/>
      <c r="X748" s="14"/>
      <c r="Y748" s="14"/>
      <c r="Z748" s="15"/>
      <c r="AA748" s="15"/>
      <c r="AB748" s="3"/>
      <c r="AC748" s="3"/>
      <c r="AD748" s="3"/>
      <c r="AE748" s="3"/>
      <c r="AF748" s="3"/>
      <c r="AG748" s="3"/>
      <c r="AH748" s="3"/>
      <c r="AI748" s="3"/>
      <c r="AJ748" s="154" t="s">
        <v>70</v>
      </c>
      <c r="AN748" s="154" t="s">
        <v>70</v>
      </c>
    </row>
    <row r="749" ht="15.75" customHeight="1">
      <c r="J749" s="15"/>
      <c r="K749" s="238"/>
      <c r="L749" s="15"/>
      <c r="M749" s="15"/>
      <c r="N749" s="15"/>
      <c r="O749" s="15"/>
      <c r="P749" s="15"/>
      <c r="Q749" s="15"/>
      <c r="R749" s="15"/>
      <c r="S749" s="15"/>
      <c r="T749" s="15"/>
      <c r="U749" s="15"/>
      <c r="V749" s="15"/>
      <c r="W749" s="15"/>
      <c r="X749" s="14"/>
      <c r="Y749" s="14"/>
      <c r="Z749" s="15"/>
      <c r="AA749" s="15"/>
      <c r="AB749" s="3"/>
      <c r="AC749" s="3"/>
      <c r="AD749" s="3"/>
      <c r="AE749" s="3"/>
      <c r="AF749" s="3"/>
      <c r="AG749" s="3"/>
      <c r="AH749" s="3"/>
      <c r="AI749" s="3"/>
      <c r="AJ749" s="154" t="s">
        <v>70</v>
      </c>
      <c r="AN749" s="154" t="s">
        <v>70</v>
      </c>
    </row>
    <row r="750" ht="15.75" customHeight="1">
      <c r="J750" s="15"/>
      <c r="K750" s="238"/>
      <c r="L750" s="15"/>
      <c r="M750" s="15"/>
      <c r="N750" s="15"/>
      <c r="O750" s="15"/>
      <c r="P750" s="15"/>
      <c r="Q750" s="15"/>
      <c r="R750" s="15"/>
      <c r="S750" s="15"/>
      <c r="T750" s="15"/>
      <c r="U750" s="15"/>
      <c r="V750" s="15"/>
      <c r="W750" s="15"/>
      <c r="X750" s="14"/>
      <c r="Y750" s="14"/>
      <c r="Z750" s="15"/>
      <c r="AA750" s="15"/>
      <c r="AB750" s="3"/>
      <c r="AC750" s="3"/>
      <c r="AD750" s="3"/>
      <c r="AE750" s="3"/>
      <c r="AF750" s="3"/>
      <c r="AG750" s="3"/>
      <c r="AH750" s="3"/>
      <c r="AI750" s="3"/>
      <c r="AJ750" s="154" t="s">
        <v>70</v>
      </c>
      <c r="AN750" s="154" t="s">
        <v>70</v>
      </c>
    </row>
    <row r="751" ht="15.75" customHeight="1">
      <c r="J751" s="15"/>
      <c r="K751" s="238"/>
      <c r="L751" s="15"/>
      <c r="M751" s="15"/>
      <c r="N751" s="15"/>
      <c r="O751" s="15"/>
      <c r="P751" s="15"/>
      <c r="Q751" s="15"/>
      <c r="R751" s="15"/>
      <c r="S751" s="15"/>
      <c r="T751" s="15"/>
      <c r="U751" s="15"/>
      <c r="V751" s="15"/>
      <c r="W751" s="15"/>
      <c r="X751" s="14"/>
      <c r="Y751" s="14"/>
      <c r="Z751" s="15"/>
      <c r="AA751" s="15"/>
      <c r="AB751" s="3"/>
      <c r="AC751" s="3"/>
      <c r="AD751" s="3"/>
      <c r="AE751" s="3"/>
      <c r="AF751" s="3"/>
      <c r="AG751" s="3"/>
      <c r="AH751" s="3"/>
      <c r="AI751" s="3"/>
      <c r="AJ751" s="154" t="s">
        <v>70</v>
      </c>
      <c r="AN751" s="154" t="s">
        <v>70</v>
      </c>
    </row>
    <row r="752" ht="15.75" customHeight="1">
      <c r="J752" s="15"/>
      <c r="K752" s="238"/>
      <c r="L752" s="15"/>
      <c r="M752" s="15"/>
      <c r="N752" s="15"/>
      <c r="O752" s="15"/>
      <c r="P752" s="15"/>
      <c r="Q752" s="15"/>
      <c r="R752" s="15"/>
      <c r="S752" s="15"/>
      <c r="T752" s="15"/>
      <c r="U752" s="15"/>
      <c r="V752" s="15"/>
      <c r="W752" s="15"/>
      <c r="X752" s="14"/>
      <c r="Y752" s="14"/>
      <c r="Z752" s="15"/>
      <c r="AA752" s="15"/>
      <c r="AB752" s="3"/>
      <c r="AC752" s="3"/>
      <c r="AD752" s="3"/>
      <c r="AE752" s="3"/>
      <c r="AF752" s="3"/>
      <c r="AG752" s="3"/>
      <c r="AH752" s="3"/>
      <c r="AI752" s="3"/>
      <c r="AJ752" s="154" t="s">
        <v>70</v>
      </c>
      <c r="AN752" s="154" t="s">
        <v>70</v>
      </c>
    </row>
    <row r="753" ht="15.75" customHeight="1">
      <c r="J753" s="15"/>
      <c r="K753" s="238"/>
      <c r="L753" s="15"/>
      <c r="M753" s="15"/>
      <c r="N753" s="15"/>
      <c r="O753" s="15"/>
      <c r="P753" s="15"/>
      <c r="Q753" s="15"/>
      <c r="R753" s="15"/>
      <c r="S753" s="15"/>
      <c r="T753" s="15"/>
      <c r="U753" s="15"/>
      <c r="V753" s="15"/>
      <c r="W753" s="15"/>
      <c r="X753" s="14"/>
      <c r="Y753" s="14"/>
      <c r="Z753" s="15"/>
      <c r="AA753" s="15"/>
      <c r="AB753" s="3"/>
      <c r="AC753" s="3"/>
      <c r="AD753" s="3"/>
      <c r="AE753" s="3"/>
      <c r="AF753" s="3"/>
      <c r="AG753" s="3"/>
      <c r="AH753" s="3"/>
      <c r="AI753" s="3"/>
      <c r="AJ753" s="154" t="s">
        <v>70</v>
      </c>
      <c r="AN753" s="154" t="s">
        <v>70</v>
      </c>
    </row>
    <row r="754" ht="15.75" customHeight="1">
      <c r="J754" s="15"/>
      <c r="K754" s="238"/>
      <c r="L754" s="15"/>
      <c r="M754" s="15"/>
      <c r="N754" s="15"/>
      <c r="O754" s="15"/>
      <c r="P754" s="15"/>
      <c r="Q754" s="15"/>
      <c r="R754" s="15"/>
      <c r="S754" s="15"/>
      <c r="T754" s="15"/>
      <c r="U754" s="15"/>
      <c r="V754" s="15"/>
      <c r="W754" s="15"/>
      <c r="X754" s="14"/>
      <c r="Y754" s="14"/>
      <c r="Z754" s="15"/>
      <c r="AA754" s="15"/>
      <c r="AB754" s="3"/>
      <c r="AC754" s="3"/>
      <c r="AD754" s="3"/>
      <c r="AE754" s="3"/>
      <c r="AF754" s="3"/>
      <c r="AG754" s="3"/>
      <c r="AH754" s="3"/>
      <c r="AI754" s="3"/>
      <c r="AJ754" s="154" t="s">
        <v>70</v>
      </c>
      <c r="AN754" s="154" t="s">
        <v>70</v>
      </c>
    </row>
    <row r="755" ht="15.75" customHeight="1">
      <c r="J755" s="15"/>
      <c r="K755" s="238"/>
      <c r="L755" s="15"/>
      <c r="M755" s="15"/>
      <c r="N755" s="15"/>
      <c r="O755" s="15"/>
      <c r="P755" s="15"/>
      <c r="Q755" s="15"/>
      <c r="R755" s="15"/>
      <c r="S755" s="15"/>
      <c r="T755" s="15"/>
      <c r="U755" s="15"/>
      <c r="V755" s="15"/>
      <c r="W755" s="15"/>
      <c r="X755" s="14"/>
      <c r="Y755" s="14"/>
      <c r="Z755" s="15"/>
      <c r="AA755" s="15"/>
      <c r="AB755" s="3"/>
      <c r="AC755" s="3"/>
      <c r="AD755" s="3"/>
      <c r="AE755" s="3"/>
      <c r="AF755" s="3"/>
      <c r="AG755" s="3"/>
      <c r="AH755" s="3"/>
      <c r="AI755" s="3"/>
      <c r="AJ755" s="154" t="s">
        <v>70</v>
      </c>
      <c r="AN755" s="154" t="s">
        <v>70</v>
      </c>
    </row>
    <row r="756" ht="15.75" customHeight="1">
      <c r="J756" s="15"/>
      <c r="K756" s="238"/>
      <c r="L756" s="15"/>
      <c r="M756" s="15"/>
      <c r="N756" s="15"/>
      <c r="O756" s="15"/>
      <c r="P756" s="15"/>
      <c r="Q756" s="15"/>
      <c r="R756" s="15"/>
      <c r="S756" s="15"/>
      <c r="T756" s="15"/>
      <c r="U756" s="15"/>
      <c r="V756" s="15"/>
      <c r="W756" s="15"/>
      <c r="X756" s="14"/>
      <c r="Y756" s="14"/>
      <c r="Z756" s="15"/>
      <c r="AA756" s="15"/>
      <c r="AB756" s="3"/>
      <c r="AC756" s="3"/>
      <c r="AD756" s="3"/>
      <c r="AE756" s="3"/>
      <c r="AF756" s="3"/>
      <c r="AG756" s="3"/>
      <c r="AH756" s="3"/>
      <c r="AI756" s="3"/>
      <c r="AJ756" s="154" t="s">
        <v>70</v>
      </c>
      <c r="AN756" s="154" t="s">
        <v>70</v>
      </c>
    </row>
    <row r="757" ht="15.75" customHeight="1">
      <c r="J757" s="15"/>
      <c r="K757" s="238"/>
      <c r="L757" s="15"/>
      <c r="M757" s="15"/>
      <c r="N757" s="15"/>
      <c r="O757" s="15"/>
      <c r="P757" s="15"/>
      <c r="Q757" s="15"/>
      <c r="R757" s="15"/>
      <c r="S757" s="15"/>
      <c r="T757" s="15"/>
      <c r="U757" s="15"/>
      <c r="V757" s="15"/>
      <c r="W757" s="15"/>
      <c r="X757" s="14"/>
      <c r="Y757" s="14"/>
      <c r="Z757" s="15"/>
      <c r="AA757" s="15"/>
      <c r="AB757" s="3"/>
      <c r="AC757" s="3"/>
      <c r="AD757" s="3"/>
      <c r="AE757" s="3"/>
      <c r="AF757" s="3"/>
      <c r="AG757" s="3"/>
      <c r="AH757" s="3"/>
      <c r="AI757" s="3"/>
      <c r="AJ757" s="154" t="s">
        <v>70</v>
      </c>
      <c r="AN757" s="154" t="s">
        <v>70</v>
      </c>
    </row>
    <row r="758" ht="15.75" customHeight="1">
      <c r="J758" s="15"/>
      <c r="K758" s="238"/>
      <c r="L758" s="15"/>
      <c r="M758" s="15"/>
      <c r="N758" s="15"/>
      <c r="O758" s="15"/>
      <c r="P758" s="15"/>
      <c r="Q758" s="15"/>
      <c r="R758" s="15"/>
      <c r="S758" s="15"/>
      <c r="T758" s="15"/>
      <c r="U758" s="15"/>
      <c r="V758" s="15"/>
      <c r="W758" s="15"/>
      <c r="X758" s="14"/>
      <c r="Y758" s="14"/>
      <c r="Z758" s="15"/>
      <c r="AA758" s="15"/>
      <c r="AB758" s="3"/>
      <c r="AC758" s="3"/>
      <c r="AD758" s="3"/>
      <c r="AE758" s="3"/>
      <c r="AF758" s="3"/>
      <c r="AG758" s="3"/>
      <c r="AH758" s="3"/>
      <c r="AI758" s="3"/>
      <c r="AJ758" s="154" t="s">
        <v>70</v>
      </c>
      <c r="AN758" s="154" t="s">
        <v>70</v>
      </c>
    </row>
    <row r="759" ht="15.75" customHeight="1">
      <c r="J759" s="15"/>
      <c r="K759" s="238"/>
      <c r="L759" s="15"/>
      <c r="M759" s="15"/>
      <c r="N759" s="15"/>
      <c r="O759" s="15"/>
      <c r="P759" s="15"/>
      <c r="Q759" s="15"/>
      <c r="R759" s="15"/>
      <c r="S759" s="15"/>
      <c r="T759" s="15"/>
      <c r="U759" s="15"/>
      <c r="V759" s="15"/>
      <c r="W759" s="15"/>
      <c r="X759" s="14"/>
      <c r="Y759" s="14"/>
      <c r="Z759" s="15"/>
      <c r="AA759" s="15"/>
      <c r="AB759" s="3"/>
      <c r="AC759" s="3"/>
      <c r="AD759" s="3"/>
      <c r="AE759" s="3"/>
      <c r="AF759" s="3"/>
      <c r="AG759" s="3"/>
      <c r="AH759" s="3"/>
      <c r="AI759" s="3"/>
      <c r="AJ759" s="154" t="s">
        <v>70</v>
      </c>
      <c r="AN759" s="154" t="s">
        <v>70</v>
      </c>
    </row>
    <row r="760" ht="15.75" customHeight="1">
      <c r="J760" s="15"/>
      <c r="K760" s="238"/>
      <c r="L760" s="15"/>
      <c r="M760" s="15"/>
      <c r="N760" s="15"/>
      <c r="O760" s="15"/>
      <c r="P760" s="15"/>
      <c r="Q760" s="15"/>
      <c r="R760" s="15"/>
      <c r="S760" s="15"/>
      <c r="T760" s="15"/>
      <c r="U760" s="15"/>
      <c r="V760" s="15"/>
      <c r="W760" s="15"/>
      <c r="X760" s="14"/>
      <c r="Y760" s="14"/>
      <c r="Z760" s="15"/>
      <c r="AA760" s="15"/>
      <c r="AB760" s="3"/>
      <c r="AC760" s="3"/>
      <c r="AD760" s="3"/>
      <c r="AE760" s="3"/>
      <c r="AF760" s="3"/>
      <c r="AG760" s="3"/>
      <c r="AH760" s="3"/>
      <c r="AI760" s="3"/>
      <c r="AJ760" s="154" t="s">
        <v>70</v>
      </c>
      <c r="AN760" s="154" t="s">
        <v>70</v>
      </c>
    </row>
    <row r="761" ht="15.75" customHeight="1">
      <c r="J761" s="15"/>
      <c r="K761" s="238"/>
      <c r="L761" s="15"/>
      <c r="M761" s="15"/>
      <c r="N761" s="15"/>
      <c r="O761" s="15"/>
      <c r="P761" s="15"/>
      <c r="Q761" s="15"/>
      <c r="R761" s="15"/>
      <c r="S761" s="15"/>
      <c r="T761" s="15"/>
      <c r="U761" s="15"/>
      <c r="V761" s="15"/>
      <c r="W761" s="15"/>
      <c r="X761" s="14"/>
      <c r="Y761" s="14"/>
      <c r="Z761" s="15"/>
      <c r="AA761" s="15"/>
      <c r="AB761" s="3"/>
      <c r="AC761" s="3"/>
      <c r="AD761" s="3"/>
      <c r="AE761" s="3"/>
      <c r="AF761" s="3"/>
      <c r="AG761" s="3"/>
      <c r="AH761" s="3"/>
      <c r="AI761" s="3"/>
      <c r="AJ761" s="154" t="s">
        <v>70</v>
      </c>
      <c r="AN761" s="154" t="s">
        <v>70</v>
      </c>
    </row>
    <row r="762" ht="15.75" customHeight="1">
      <c r="J762" s="15"/>
      <c r="K762" s="238"/>
      <c r="L762" s="15"/>
      <c r="M762" s="15"/>
      <c r="N762" s="15"/>
      <c r="O762" s="15"/>
      <c r="P762" s="15"/>
      <c r="Q762" s="15"/>
      <c r="R762" s="15"/>
      <c r="S762" s="15"/>
      <c r="T762" s="15"/>
      <c r="U762" s="15"/>
      <c r="V762" s="15"/>
      <c r="W762" s="15"/>
      <c r="X762" s="14"/>
      <c r="Y762" s="14"/>
      <c r="Z762" s="15"/>
      <c r="AA762" s="15"/>
      <c r="AB762" s="3"/>
      <c r="AC762" s="3"/>
      <c r="AD762" s="3"/>
      <c r="AE762" s="3"/>
      <c r="AF762" s="3"/>
      <c r="AG762" s="3"/>
      <c r="AH762" s="3"/>
      <c r="AI762" s="3"/>
      <c r="AJ762" s="154" t="s">
        <v>70</v>
      </c>
      <c r="AN762" s="154" t="s">
        <v>70</v>
      </c>
    </row>
    <row r="763" ht="15.75" customHeight="1">
      <c r="J763" s="15"/>
      <c r="K763" s="238"/>
      <c r="L763" s="15"/>
      <c r="M763" s="15"/>
      <c r="N763" s="15"/>
      <c r="O763" s="15"/>
      <c r="P763" s="15"/>
      <c r="Q763" s="15"/>
      <c r="R763" s="15"/>
      <c r="S763" s="15"/>
      <c r="T763" s="15"/>
      <c r="U763" s="15"/>
      <c r="V763" s="15"/>
      <c r="W763" s="15"/>
      <c r="X763" s="14"/>
      <c r="Y763" s="14"/>
      <c r="Z763" s="15"/>
      <c r="AA763" s="15"/>
      <c r="AB763" s="3"/>
      <c r="AC763" s="3"/>
      <c r="AD763" s="3"/>
      <c r="AE763" s="3"/>
      <c r="AF763" s="3"/>
      <c r="AG763" s="3"/>
      <c r="AH763" s="3"/>
      <c r="AI763" s="3"/>
      <c r="AJ763" s="154" t="s">
        <v>70</v>
      </c>
      <c r="AN763" s="154" t="s">
        <v>70</v>
      </c>
    </row>
    <row r="764" ht="15.75" customHeight="1">
      <c r="J764" s="15"/>
      <c r="K764" s="238"/>
      <c r="L764" s="15"/>
      <c r="M764" s="15"/>
      <c r="N764" s="15"/>
      <c r="O764" s="15"/>
      <c r="P764" s="15"/>
      <c r="Q764" s="15"/>
      <c r="R764" s="15"/>
      <c r="S764" s="15"/>
      <c r="T764" s="15"/>
      <c r="U764" s="15"/>
      <c r="V764" s="15"/>
      <c r="W764" s="15"/>
      <c r="X764" s="14"/>
      <c r="Y764" s="14"/>
      <c r="Z764" s="15"/>
      <c r="AA764" s="15"/>
      <c r="AB764" s="3"/>
      <c r="AC764" s="3"/>
      <c r="AD764" s="3"/>
      <c r="AE764" s="3"/>
      <c r="AF764" s="3"/>
      <c r="AG764" s="3"/>
      <c r="AH764" s="3"/>
      <c r="AI764" s="3"/>
      <c r="AJ764" s="154" t="s">
        <v>70</v>
      </c>
      <c r="AN764" s="154" t="s">
        <v>70</v>
      </c>
    </row>
    <row r="765" ht="15.75" customHeight="1">
      <c r="J765" s="15"/>
      <c r="K765" s="238"/>
      <c r="L765" s="15"/>
      <c r="M765" s="15"/>
      <c r="N765" s="15"/>
      <c r="O765" s="15"/>
      <c r="P765" s="15"/>
      <c r="Q765" s="15"/>
      <c r="R765" s="15"/>
      <c r="S765" s="15"/>
      <c r="T765" s="15"/>
      <c r="U765" s="15"/>
      <c r="V765" s="15"/>
      <c r="W765" s="15"/>
      <c r="X765" s="14"/>
      <c r="Y765" s="14"/>
      <c r="Z765" s="15"/>
      <c r="AA765" s="15"/>
      <c r="AB765" s="3"/>
      <c r="AC765" s="3"/>
      <c r="AD765" s="3"/>
      <c r="AE765" s="3"/>
      <c r="AF765" s="3"/>
      <c r="AG765" s="3"/>
      <c r="AH765" s="3"/>
      <c r="AI765" s="3"/>
      <c r="AJ765" s="154" t="s">
        <v>70</v>
      </c>
      <c r="AN765" s="154" t="s">
        <v>70</v>
      </c>
    </row>
    <row r="766" ht="15.75" customHeight="1">
      <c r="J766" s="15"/>
      <c r="K766" s="238"/>
      <c r="L766" s="15"/>
      <c r="M766" s="15"/>
      <c r="N766" s="15"/>
      <c r="O766" s="15"/>
      <c r="P766" s="15"/>
      <c r="Q766" s="15"/>
      <c r="R766" s="15"/>
      <c r="S766" s="15"/>
      <c r="T766" s="15"/>
      <c r="U766" s="15"/>
      <c r="V766" s="15"/>
      <c r="W766" s="15"/>
      <c r="X766" s="14"/>
      <c r="Y766" s="14"/>
      <c r="Z766" s="15"/>
      <c r="AA766" s="15"/>
      <c r="AB766" s="3"/>
      <c r="AC766" s="3"/>
      <c r="AD766" s="3"/>
      <c r="AE766" s="3"/>
      <c r="AF766" s="3"/>
      <c r="AG766" s="3"/>
      <c r="AH766" s="3"/>
      <c r="AI766" s="3"/>
      <c r="AJ766" s="154" t="s">
        <v>70</v>
      </c>
      <c r="AN766" s="154" t="s">
        <v>70</v>
      </c>
    </row>
    <row r="767" ht="15.75" customHeight="1">
      <c r="J767" s="15"/>
      <c r="K767" s="238"/>
      <c r="L767" s="15"/>
      <c r="M767" s="15"/>
      <c r="N767" s="15"/>
      <c r="O767" s="15"/>
      <c r="P767" s="15"/>
      <c r="Q767" s="15"/>
      <c r="R767" s="15"/>
      <c r="S767" s="15"/>
      <c r="T767" s="15"/>
      <c r="U767" s="15"/>
      <c r="V767" s="15"/>
      <c r="W767" s="15"/>
      <c r="X767" s="14"/>
      <c r="Y767" s="14"/>
      <c r="Z767" s="15"/>
      <c r="AA767" s="15"/>
      <c r="AB767" s="3"/>
      <c r="AC767" s="3"/>
      <c r="AD767" s="3"/>
      <c r="AE767" s="3"/>
      <c r="AF767" s="3"/>
      <c r="AG767" s="3"/>
      <c r="AH767" s="3"/>
      <c r="AI767" s="3"/>
      <c r="AJ767" s="154" t="s">
        <v>70</v>
      </c>
      <c r="AN767" s="154" t="s">
        <v>70</v>
      </c>
    </row>
    <row r="768" ht="15.75" customHeight="1">
      <c r="J768" s="15"/>
      <c r="K768" s="238"/>
      <c r="L768" s="15"/>
      <c r="M768" s="15"/>
      <c r="N768" s="15"/>
      <c r="O768" s="15"/>
      <c r="P768" s="15"/>
      <c r="Q768" s="15"/>
      <c r="R768" s="15"/>
      <c r="S768" s="15"/>
      <c r="T768" s="15"/>
      <c r="U768" s="15"/>
      <c r="V768" s="15"/>
      <c r="W768" s="15"/>
      <c r="X768" s="14"/>
      <c r="Y768" s="14"/>
      <c r="Z768" s="15"/>
      <c r="AA768" s="15"/>
      <c r="AB768" s="3"/>
      <c r="AC768" s="3"/>
      <c r="AD768" s="3"/>
      <c r="AE768" s="3"/>
      <c r="AF768" s="3"/>
      <c r="AG768" s="3"/>
      <c r="AH768" s="3"/>
      <c r="AI768" s="3"/>
      <c r="AJ768" s="154" t="s">
        <v>70</v>
      </c>
      <c r="AN768" s="154" t="s">
        <v>70</v>
      </c>
    </row>
    <row r="769" ht="15.75" customHeight="1">
      <c r="J769" s="15"/>
      <c r="K769" s="238"/>
      <c r="L769" s="15"/>
      <c r="M769" s="15"/>
      <c r="N769" s="15"/>
      <c r="O769" s="15"/>
      <c r="P769" s="15"/>
      <c r="Q769" s="15"/>
      <c r="R769" s="15"/>
      <c r="S769" s="15"/>
      <c r="T769" s="15"/>
      <c r="U769" s="15"/>
      <c r="V769" s="15"/>
      <c r="W769" s="15"/>
      <c r="X769" s="14"/>
      <c r="Y769" s="14"/>
      <c r="Z769" s="15"/>
      <c r="AA769" s="15"/>
      <c r="AB769" s="3"/>
      <c r="AC769" s="3"/>
      <c r="AD769" s="3"/>
      <c r="AE769" s="3"/>
      <c r="AF769" s="3"/>
      <c r="AG769" s="3"/>
      <c r="AH769" s="3"/>
      <c r="AI769" s="3"/>
      <c r="AJ769" s="154" t="s">
        <v>70</v>
      </c>
      <c r="AN769" s="154" t="s">
        <v>70</v>
      </c>
    </row>
    <row r="770" ht="15.75" customHeight="1">
      <c r="J770" s="15"/>
      <c r="K770" s="238"/>
      <c r="L770" s="15"/>
      <c r="M770" s="15"/>
      <c r="N770" s="15"/>
      <c r="O770" s="15"/>
      <c r="P770" s="15"/>
      <c r="Q770" s="15"/>
      <c r="R770" s="15"/>
      <c r="S770" s="15"/>
      <c r="T770" s="15"/>
      <c r="U770" s="15"/>
      <c r="V770" s="15"/>
      <c r="W770" s="15"/>
      <c r="X770" s="14"/>
      <c r="Y770" s="14"/>
      <c r="Z770" s="15"/>
      <c r="AA770" s="15"/>
      <c r="AB770" s="3"/>
      <c r="AC770" s="3"/>
      <c r="AD770" s="3"/>
      <c r="AE770" s="3"/>
      <c r="AF770" s="3"/>
      <c r="AG770" s="3"/>
      <c r="AH770" s="3"/>
      <c r="AI770" s="3"/>
      <c r="AJ770" s="154" t="s">
        <v>70</v>
      </c>
      <c r="AN770" s="154" t="s">
        <v>70</v>
      </c>
    </row>
    <row r="771" ht="15.75" customHeight="1">
      <c r="J771" s="15"/>
      <c r="K771" s="238"/>
      <c r="L771" s="15"/>
      <c r="M771" s="15"/>
      <c r="N771" s="15"/>
      <c r="O771" s="15"/>
      <c r="P771" s="15"/>
      <c r="Q771" s="15"/>
      <c r="R771" s="15"/>
      <c r="S771" s="15"/>
      <c r="T771" s="15"/>
      <c r="U771" s="15"/>
      <c r="V771" s="15"/>
      <c r="W771" s="15"/>
      <c r="X771" s="14"/>
      <c r="Y771" s="14"/>
      <c r="Z771" s="15"/>
      <c r="AA771" s="15"/>
      <c r="AB771" s="3"/>
      <c r="AC771" s="3"/>
      <c r="AD771" s="3"/>
      <c r="AE771" s="3"/>
      <c r="AF771" s="3"/>
      <c r="AG771" s="3"/>
      <c r="AH771" s="3"/>
      <c r="AI771" s="3"/>
      <c r="AJ771" s="154" t="s">
        <v>70</v>
      </c>
      <c r="AN771" s="154" t="s">
        <v>70</v>
      </c>
    </row>
    <row r="772" ht="15.75" customHeight="1">
      <c r="J772" s="15"/>
      <c r="K772" s="238"/>
      <c r="L772" s="15"/>
      <c r="M772" s="15"/>
      <c r="N772" s="15"/>
      <c r="O772" s="15"/>
      <c r="P772" s="15"/>
      <c r="Q772" s="15"/>
      <c r="R772" s="15"/>
      <c r="S772" s="15"/>
      <c r="T772" s="15"/>
      <c r="U772" s="15"/>
      <c r="V772" s="15"/>
      <c r="W772" s="15"/>
      <c r="X772" s="14"/>
      <c r="Y772" s="14"/>
      <c r="Z772" s="15"/>
      <c r="AA772" s="15"/>
      <c r="AB772" s="3"/>
      <c r="AC772" s="3"/>
      <c r="AD772" s="3"/>
      <c r="AE772" s="3"/>
      <c r="AF772" s="3"/>
      <c r="AG772" s="3"/>
      <c r="AH772" s="3"/>
      <c r="AI772" s="3"/>
      <c r="AJ772" s="154" t="s">
        <v>70</v>
      </c>
      <c r="AN772" s="154" t="s">
        <v>70</v>
      </c>
    </row>
    <row r="773" ht="15.75" customHeight="1">
      <c r="J773" s="15"/>
      <c r="K773" s="238"/>
      <c r="L773" s="15"/>
      <c r="M773" s="15"/>
      <c r="N773" s="15"/>
      <c r="O773" s="15"/>
      <c r="P773" s="15"/>
      <c r="Q773" s="15"/>
      <c r="R773" s="15"/>
      <c r="S773" s="15"/>
      <c r="T773" s="15"/>
      <c r="U773" s="15"/>
      <c r="V773" s="15"/>
      <c r="W773" s="15"/>
      <c r="X773" s="14"/>
      <c r="Y773" s="14"/>
      <c r="Z773" s="15"/>
      <c r="AA773" s="15"/>
      <c r="AB773" s="3"/>
      <c r="AC773" s="3"/>
      <c r="AD773" s="3"/>
      <c r="AE773" s="3"/>
      <c r="AF773" s="3"/>
      <c r="AG773" s="3"/>
      <c r="AH773" s="3"/>
      <c r="AI773" s="3"/>
      <c r="AJ773" s="154" t="s">
        <v>70</v>
      </c>
      <c r="AN773" s="154" t="s">
        <v>70</v>
      </c>
    </row>
    <row r="774" ht="15.75" customHeight="1">
      <c r="J774" s="15"/>
      <c r="K774" s="238"/>
      <c r="L774" s="15"/>
      <c r="M774" s="15"/>
      <c r="N774" s="15"/>
      <c r="O774" s="15"/>
      <c r="P774" s="15"/>
      <c r="Q774" s="15"/>
      <c r="R774" s="15"/>
      <c r="S774" s="15"/>
      <c r="T774" s="15"/>
      <c r="U774" s="15"/>
      <c r="V774" s="15"/>
      <c r="W774" s="15"/>
      <c r="X774" s="14"/>
      <c r="Y774" s="14"/>
      <c r="Z774" s="15"/>
      <c r="AA774" s="15"/>
      <c r="AB774" s="3"/>
      <c r="AC774" s="3"/>
      <c r="AD774" s="3"/>
      <c r="AE774" s="3"/>
      <c r="AF774" s="3"/>
      <c r="AG774" s="3"/>
      <c r="AH774" s="3"/>
      <c r="AI774" s="3"/>
      <c r="AJ774" s="154" t="s">
        <v>70</v>
      </c>
      <c r="AN774" s="154" t="s">
        <v>70</v>
      </c>
    </row>
    <row r="775" ht="15.75" customHeight="1">
      <c r="J775" s="15"/>
      <c r="K775" s="238"/>
      <c r="L775" s="15"/>
      <c r="M775" s="15"/>
      <c r="N775" s="15"/>
      <c r="O775" s="15"/>
      <c r="P775" s="15"/>
      <c r="Q775" s="15"/>
      <c r="R775" s="15"/>
      <c r="S775" s="15"/>
      <c r="T775" s="15"/>
      <c r="U775" s="15"/>
      <c r="V775" s="15"/>
      <c r="W775" s="15"/>
      <c r="X775" s="14"/>
      <c r="Y775" s="14"/>
      <c r="Z775" s="15"/>
      <c r="AA775" s="15"/>
      <c r="AB775" s="3"/>
      <c r="AC775" s="3"/>
      <c r="AD775" s="3"/>
      <c r="AE775" s="3"/>
      <c r="AF775" s="3"/>
      <c r="AG775" s="3"/>
      <c r="AH775" s="3"/>
      <c r="AI775" s="3"/>
      <c r="AJ775" s="154" t="s">
        <v>70</v>
      </c>
      <c r="AN775" s="154" t="s">
        <v>70</v>
      </c>
    </row>
    <row r="776" ht="15.75" customHeight="1">
      <c r="J776" s="15"/>
      <c r="K776" s="238"/>
      <c r="L776" s="15"/>
      <c r="M776" s="15"/>
      <c r="N776" s="15"/>
      <c r="O776" s="15"/>
      <c r="P776" s="15"/>
      <c r="Q776" s="15"/>
      <c r="R776" s="15"/>
      <c r="S776" s="15"/>
      <c r="T776" s="15"/>
      <c r="U776" s="15"/>
      <c r="V776" s="15"/>
      <c r="W776" s="15"/>
      <c r="X776" s="14"/>
      <c r="Y776" s="14"/>
      <c r="Z776" s="15"/>
      <c r="AA776" s="15"/>
      <c r="AB776" s="3"/>
      <c r="AC776" s="3"/>
      <c r="AD776" s="3"/>
      <c r="AE776" s="3"/>
      <c r="AF776" s="3"/>
      <c r="AG776" s="3"/>
      <c r="AH776" s="3"/>
      <c r="AI776" s="3"/>
      <c r="AJ776" s="154" t="s">
        <v>70</v>
      </c>
      <c r="AN776" s="154" t="s">
        <v>70</v>
      </c>
    </row>
    <row r="777" ht="15.75" customHeight="1">
      <c r="J777" s="15"/>
      <c r="K777" s="238"/>
      <c r="L777" s="15"/>
      <c r="M777" s="15"/>
      <c r="N777" s="15"/>
      <c r="O777" s="15"/>
      <c r="P777" s="15"/>
      <c r="Q777" s="15"/>
      <c r="R777" s="15"/>
      <c r="S777" s="15"/>
      <c r="T777" s="15"/>
      <c r="U777" s="15"/>
      <c r="V777" s="15"/>
      <c r="W777" s="15"/>
      <c r="X777" s="14"/>
      <c r="Y777" s="14"/>
      <c r="Z777" s="15"/>
      <c r="AA777" s="15"/>
      <c r="AB777" s="3"/>
      <c r="AC777" s="3"/>
      <c r="AD777" s="3"/>
      <c r="AE777" s="3"/>
      <c r="AF777" s="3"/>
      <c r="AG777" s="3"/>
      <c r="AH777" s="3"/>
      <c r="AI777" s="3"/>
      <c r="AJ777" s="154" t="s">
        <v>70</v>
      </c>
      <c r="AN777" s="154" t="s">
        <v>70</v>
      </c>
    </row>
    <row r="778" ht="15.75" customHeight="1">
      <c r="J778" s="15"/>
      <c r="K778" s="238"/>
      <c r="L778" s="15"/>
      <c r="M778" s="15"/>
      <c r="N778" s="15"/>
      <c r="O778" s="15"/>
      <c r="P778" s="15"/>
      <c r="Q778" s="15"/>
      <c r="R778" s="15"/>
      <c r="S778" s="15"/>
      <c r="T778" s="15"/>
      <c r="U778" s="15"/>
      <c r="V778" s="15"/>
      <c r="W778" s="15"/>
      <c r="X778" s="14"/>
      <c r="Y778" s="14"/>
      <c r="Z778" s="15"/>
      <c r="AA778" s="15"/>
      <c r="AB778" s="3"/>
      <c r="AC778" s="3"/>
      <c r="AD778" s="3"/>
      <c r="AE778" s="3"/>
      <c r="AF778" s="3"/>
      <c r="AG778" s="3"/>
      <c r="AH778" s="3"/>
      <c r="AI778" s="3"/>
      <c r="AJ778" s="154" t="s">
        <v>70</v>
      </c>
      <c r="AN778" s="154" t="s">
        <v>70</v>
      </c>
    </row>
    <row r="779" ht="15.75" customHeight="1">
      <c r="J779" s="15"/>
      <c r="K779" s="238"/>
      <c r="L779" s="15"/>
      <c r="M779" s="15"/>
      <c r="N779" s="15"/>
      <c r="O779" s="15"/>
      <c r="P779" s="15"/>
      <c r="Q779" s="15"/>
      <c r="R779" s="15"/>
      <c r="S779" s="15"/>
      <c r="T779" s="15"/>
      <c r="U779" s="15"/>
      <c r="V779" s="15"/>
      <c r="W779" s="15"/>
      <c r="X779" s="14"/>
      <c r="Y779" s="14"/>
      <c r="Z779" s="15"/>
      <c r="AA779" s="15"/>
      <c r="AB779" s="3"/>
      <c r="AC779" s="3"/>
      <c r="AD779" s="3"/>
      <c r="AE779" s="3"/>
      <c r="AF779" s="3"/>
      <c r="AG779" s="3"/>
      <c r="AH779" s="3"/>
      <c r="AI779" s="3"/>
      <c r="AJ779" s="154" t="s">
        <v>70</v>
      </c>
      <c r="AN779" s="154" t="s">
        <v>70</v>
      </c>
    </row>
    <row r="780" ht="15.75" customHeight="1">
      <c r="J780" s="15"/>
      <c r="K780" s="238"/>
      <c r="L780" s="15"/>
      <c r="M780" s="15"/>
      <c r="N780" s="15"/>
      <c r="O780" s="15"/>
      <c r="P780" s="15"/>
      <c r="Q780" s="15"/>
      <c r="R780" s="15"/>
      <c r="S780" s="15"/>
      <c r="T780" s="15"/>
      <c r="U780" s="15"/>
      <c r="V780" s="15"/>
      <c r="W780" s="15"/>
      <c r="X780" s="14"/>
      <c r="Y780" s="14"/>
      <c r="Z780" s="15"/>
      <c r="AA780" s="15"/>
      <c r="AB780" s="3"/>
      <c r="AC780" s="3"/>
      <c r="AD780" s="3"/>
      <c r="AE780" s="3"/>
      <c r="AF780" s="3"/>
      <c r="AG780" s="3"/>
      <c r="AH780" s="3"/>
      <c r="AI780" s="3"/>
      <c r="AJ780" s="154" t="s">
        <v>70</v>
      </c>
      <c r="AN780" s="154" t="s">
        <v>70</v>
      </c>
    </row>
    <row r="781" ht="15.75" customHeight="1">
      <c r="J781" s="15"/>
      <c r="K781" s="238"/>
      <c r="L781" s="15"/>
      <c r="M781" s="15"/>
      <c r="N781" s="15"/>
      <c r="O781" s="15"/>
      <c r="P781" s="15"/>
      <c r="Q781" s="15"/>
      <c r="R781" s="15"/>
      <c r="S781" s="15"/>
      <c r="T781" s="15"/>
      <c r="U781" s="15"/>
      <c r="V781" s="15"/>
      <c r="W781" s="15"/>
      <c r="X781" s="14"/>
      <c r="Y781" s="14"/>
      <c r="Z781" s="15"/>
      <c r="AA781" s="15"/>
      <c r="AB781" s="3"/>
      <c r="AC781" s="3"/>
      <c r="AD781" s="3"/>
      <c r="AE781" s="3"/>
      <c r="AF781" s="3"/>
      <c r="AG781" s="3"/>
      <c r="AH781" s="3"/>
      <c r="AI781" s="3"/>
      <c r="AJ781" s="154" t="s">
        <v>70</v>
      </c>
      <c r="AN781" s="154" t="s">
        <v>70</v>
      </c>
    </row>
    <row r="782" ht="15.75" customHeight="1">
      <c r="J782" s="15"/>
      <c r="K782" s="238"/>
      <c r="L782" s="15"/>
      <c r="M782" s="15"/>
      <c r="N782" s="15"/>
      <c r="O782" s="15"/>
      <c r="P782" s="15"/>
      <c r="Q782" s="15"/>
      <c r="R782" s="15"/>
      <c r="S782" s="15"/>
      <c r="T782" s="15"/>
      <c r="U782" s="15"/>
      <c r="V782" s="15"/>
      <c r="W782" s="15"/>
      <c r="X782" s="14"/>
      <c r="Y782" s="14"/>
      <c r="Z782" s="15"/>
      <c r="AA782" s="15"/>
      <c r="AB782" s="3"/>
      <c r="AC782" s="3"/>
      <c r="AD782" s="3"/>
      <c r="AE782" s="3"/>
      <c r="AF782" s="3"/>
      <c r="AG782" s="3"/>
      <c r="AH782" s="3"/>
      <c r="AI782" s="3"/>
      <c r="AJ782" s="154" t="s">
        <v>70</v>
      </c>
      <c r="AN782" s="154" t="s">
        <v>70</v>
      </c>
    </row>
    <row r="783" ht="15.75" customHeight="1">
      <c r="J783" s="15"/>
      <c r="K783" s="238"/>
      <c r="L783" s="15"/>
      <c r="M783" s="15"/>
      <c r="N783" s="15"/>
      <c r="O783" s="15"/>
      <c r="P783" s="15"/>
      <c r="Q783" s="15"/>
      <c r="R783" s="15"/>
      <c r="S783" s="15"/>
      <c r="T783" s="15"/>
      <c r="U783" s="15"/>
      <c r="V783" s="15"/>
      <c r="W783" s="15"/>
      <c r="X783" s="14"/>
      <c r="Y783" s="14"/>
      <c r="Z783" s="15"/>
      <c r="AA783" s="15"/>
      <c r="AB783" s="3"/>
      <c r="AC783" s="3"/>
      <c r="AD783" s="3"/>
      <c r="AE783" s="3"/>
      <c r="AF783" s="3"/>
      <c r="AG783" s="3"/>
      <c r="AH783" s="3"/>
      <c r="AI783" s="3"/>
      <c r="AJ783" s="154" t="s">
        <v>70</v>
      </c>
      <c r="AN783" s="154" t="s">
        <v>70</v>
      </c>
    </row>
    <row r="784" ht="15.75" customHeight="1">
      <c r="J784" s="15"/>
      <c r="K784" s="238"/>
      <c r="L784" s="15"/>
      <c r="M784" s="15"/>
      <c r="N784" s="15"/>
      <c r="O784" s="15"/>
      <c r="P784" s="15"/>
      <c r="Q784" s="15"/>
      <c r="R784" s="15"/>
      <c r="S784" s="15"/>
      <c r="T784" s="15"/>
      <c r="U784" s="15"/>
      <c r="V784" s="15"/>
      <c r="W784" s="15"/>
      <c r="X784" s="14"/>
      <c r="Y784" s="14"/>
      <c r="Z784" s="15"/>
      <c r="AA784" s="15"/>
      <c r="AB784" s="3"/>
      <c r="AC784" s="3"/>
      <c r="AD784" s="3"/>
      <c r="AE784" s="3"/>
      <c r="AF784" s="3"/>
      <c r="AG784" s="3"/>
      <c r="AH784" s="3"/>
      <c r="AI784" s="3"/>
      <c r="AJ784" s="154" t="s">
        <v>70</v>
      </c>
      <c r="AN784" s="154" t="s">
        <v>70</v>
      </c>
    </row>
    <row r="785" ht="15.75" customHeight="1">
      <c r="J785" s="15"/>
      <c r="K785" s="238"/>
      <c r="L785" s="15"/>
      <c r="M785" s="15"/>
      <c r="N785" s="15"/>
      <c r="O785" s="15"/>
      <c r="P785" s="15"/>
      <c r="Q785" s="15"/>
      <c r="R785" s="15"/>
      <c r="S785" s="15"/>
      <c r="T785" s="15"/>
      <c r="U785" s="15"/>
      <c r="V785" s="15"/>
      <c r="W785" s="15"/>
      <c r="X785" s="14"/>
      <c r="Y785" s="14"/>
      <c r="Z785" s="15"/>
      <c r="AA785" s="15"/>
      <c r="AB785" s="3"/>
      <c r="AC785" s="3"/>
      <c r="AD785" s="3"/>
      <c r="AE785" s="3"/>
      <c r="AF785" s="3"/>
      <c r="AG785" s="3"/>
      <c r="AH785" s="3"/>
      <c r="AI785" s="3"/>
      <c r="AJ785" s="154" t="s">
        <v>70</v>
      </c>
      <c r="AN785" s="154" t="s">
        <v>70</v>
      </c>
    </row>
    <row r="786" ht="15.75" customHeight="1">
      <c r="J786" s="15"/>
      <c r="K786" s="238"/>
      <c r="L786" s="15"/>
      <c r="M786" s="15"/>
      <c r="N786" s="15"/>
      <c r="O786" s="15"/>
      <c r="P786" s="15"/>
      <c r="Q786" s="15"/>
      <c r="R786" s="15"/>
      <c r="S786" s="15"/>
      <c r="T786" s="15"/>
      <c r="U786" s="15"/>
      <c r="V786" s="15"/>
      <c r="W786" s="15"/>
      <c r="X786" s="14"/>
      <c r="Y786" s="14"/>
      <c r="Z786" s="15"/>
      <c r="AA786" s="15"/>
      <c r="AB786" s="3"/>
      <c r="AC786" s="3"/>
      <c r="AD786" s="3"/>
      <c r="AE786" s="3"/>
      <c r="AF786" s="3"/>
      <c r="AG786" s="3"/>
      <c r="AH786" s="3"/>
      <c r="AI786" s="3"/>
      <c r="AJ786" s="154" t="s">
        <v>70</v>
      </c>
      <c r="AN786" s="154" t="s">
        <v>70</v>
      </c>
    </row>
    <row r="787" ht="15.75" customHeight="1">
      <c r="J787" s="15"/>
      <c r="K787" s="238"/>
      <c r="L787" s="15"/>
      <c r="M787" s="15"/>
      <c r="N787" s="15"/>
      <c r="O787" s="15"/>
      <c r="P787" s="15"/>
      <c r="Q787" s="15"/>
      <c r="R787" s="15"/>
      <c r="S787" s="15"/>
      <c r="T787" s="15"/>
      <c r="U787" s="15"/>
      <c r="V787" s="15"/>
      <c r="W787" s="15"/>
      <c r="X787" s="14"/>
      <c r="Y787" s="14"/>
      <c r="Z787" s="15"/>
      <c r="AA787" s="15"/>
      <c r="AB787" s="3"/>
      <c r="AC787" s="3"/>
      <c r="AD787" s="3"/>
      <c r="AE787" s="3"/>
      <c r="AF787" s="3"/>
      <c r="AG787" s="3"/>
      <c r="AH787" s="3"/>
      <c r="AI787" s="3"/>
      <c r="AJ787" s="154" t="s">
        <v>70</v>
      </c>
      <c r="AN787" s="154" t="s">
        <v>70</v>
      </c>
    </row>
    <row r="788" ht="15.75" customHeight="1">
      <c r="J788" s="15"/>
      <c r="K788" s="238"/>
      <c r="L788" s="15"/>
      <c r="M788" s="15"/>
      <c r="N788" s="15"/>
      <c r="O788" s="15"/>
      <c r="P788" s="15"/>
      <c r="Q788" s="15"/>
      <c r="R788" s="15"/>
      <c r="S788" s="15"/>
      <c r="T788" s="15"/>
      <c r="U788" s="15"/>
      <c r="V788" s="15"/>
      <c r="W788" s="15"/>
      <c r="X788" s="14"/>
      <c r="Y788" s="14"/>
      <c r="Z788" s="15"/>
      <c r="AA788" s="15"/>
      <c r="AB788" s="3"/>
      <c r="AC788" s="3"/>
      <c r="AD788" s="3"/>
      <c r="AE788" s="3"/>
      <c r="AF788" s="3"/>
      <c r="AG788" s="3"/>
      <c r="AH788" s="3"/>
      <c r="AI788" s="3"/>
      <c r="AJ788" s="154" t="s">
        <v>70</v>
      </c>
      <c r="AN788" s="154" t="s">
        <v>70</v>
      </c>
    </row>
    <row r="789" ht="15.75" customHeight="1">
      <c r="J789" s="15"/>
      <c r="K789" s="238"/>
      <c r="L789" s="15"/>
      <c r="M789" s="15"/>
      <c r="N789" s="15"/>
      <c r="O789" s="15"/>
      <c r="P789" s="15"/>
      <c r="Q789" s="15"/>
      <c r="R789" s="15"/>
      <c r="S789" s="15"/>
      <c r="T789" s="15"/>
      <c r="U789" s="15"/>
      <c r="V789" s="15"/>
      <c r="W789" s="15"/>
      <c r="X789" s="14"/>
      <c r="Y789" s="14"/>
      <c r="Z789" s="15"/>
      <c r="AA789" s="15"/>
      <c r="AB789" s="3"/>
      <c r="AC789" s="3"/>
      <c r="AD789" s="3"/>
      <c r="AE789" s="3"/>
      <c r="AF789" s="3"/>
      <c r="AG789" s="3"/>
      <c r="AH789" s="3"/>
      <c r="AI789" s="3"/>
      <c r="AJ789" s="154" t="s">
        <v>70</v>
      </c>
      <c r="AN789" s="154" t="s">
        <v>70</v>
      </c>
    </row>
    <row r="790" ht="15.75" customHeight="1">
      <c r="J790" s="15"/>
      <c r="K790" s="238"/>
      <c r="L790" s="15"/>
      <c r="M790" s="15"/>
      <c r="N790" s="15"/>
      <c r="O790" s="15"/>
      <c r="P790" s="15"/>
      <c r="Q790" s="15"/>
      <c r="R790" s="15"/>
      <c r="S790" s="15"/>
      <c r="T790" s="15"/>
      <c r="U790" s="15"/>
      <c r="V790" s="15"/>
      <c r="W790" s="15"/>
      <c r="X790" s="14"/>
      <c r="Y790" s="14"/>
      <c r="Z790" s="15"/>
      <c r="AA790" s="15"/>
      <c r="AB790" s="3"/>
      <c r="AC790" s="3"/>
      <c r="AD790" s="3"/>
      <c r="AE790" s="3"/>
      <c r="AF790" s="3"/>
      <c r="AG790" s="3"/>
      <c r="AH790" s="3"/>
      <c r="AI790" s="3"/>
      <c r="AJ790" s="154" t="s">
        <v>70</v>
      </c>
      <c r="AN790" s="154" t="s">
        <v>70</v>
      </c>
    </row>
    <row r="791" ht="15.75" customHeight="1">
      <c r="J791" s="15"/>
      <c r="K791" s="238"/>
      <c r="L791" s="15"/>
      <c r="M791" s="15"/>
      <c r="N791" s="15"/>
      <c r="O791" s="15"/>
      <c r="P791" s="15"/>
      <c r="Q791" s="15"/>
      <c r="R791" s="15"/>
      <c r="S791" s="15"/>
      <c r="T791" s="15"/>
      <c r="U791" s="15"/>
      <c r="V791" s="15"/>
      <c r="W791" s="15"/>
      <c r="X791" s="14"/>
      <c r="Y791" s="14"/>
      <c r="Z791" s="15"/>
      <c r="AA791" s="15"/>
      <c r="AB791" s="3"/>
      <c r="AC791" s="3"/>
      <c r="AD791" s="3"/>
      <c r="AE791" s="3"/>
      <c r="AF791" s="3"/>
      <c r="AG791" s="3"/>
      <c r="AH791" s="3"/>
      <c r="AI791" s="3"/>
      <c r="AJ791" s="154" t="s">
        <v>70</v>
      </c>
      <c r="AN791" s="154" t="s">
        <v>70</v>
      </c>
    </row>
    <row r="792" ht="15.75" customHeight="1">
      <c r="J792" s="15"/>
      <c r="K792" s="238"/>
      <c r="L792" s="15"/>
      <c r="M792" s="15"/>
      <c r="N792" s="15"/>
      <c r="O792" s="15"/>
      <c r="P792" s="15"/>
      <c r="Q792" s="15"/>
      <c r="R792" s="15"/>
      <c r="S792" s="15"/>
      <c r="T792" s="15"/>
      <c r="U792" s="15"/>
      <c r="V792" s="15"/>
      <c r="W792" s="15"/>
      <c r="X792" s="14"/>
      <c r="Y792" s="14"/>
      <c r="Z792" s="15"/>
      <c r="AA792" s="15"/>
      <c r="AB792" s="3"/>
      <c r="AC792" s="3"/>
      <c r="AD792" s="3"/>
      <c r="AE792" s="3"/>
      <c r="AF792" s="3"/>
      <c r="AG792" s="3"/>
      <c r="AH792" s="3"/>
      <c r="AI792" s="3"/>
      <c r="AJ792" s="154" t="s">
        <v>70</v>
      </c>
      <c r="AN792" s="154" t="s">
        <v>70</v>
      </c>
    </row>
    <row r="793" ht="15.75" customHeight="1">
      <c r="J793" s="15"/>
      <c r="K793" s="238"/>
      <c r="L793" s="15"/>
      <c r="M793" s="15"/>
      <c r="N793" s="15"/>
      <c r="O793" s="15"/>
      <c r="P793" s="15"/>
      <c r="Q793" s="15"/>
      <c r="R793" s="15"/>
      <c r="S793" s="15"/>
      <c r="T793" s="15"/>
      <c r="U793" s="15"/>
      <c r="V793" s="15"/>
      <c r="W793" s="15"/>
      <c r="X793" s="14"/>
      <c r="Y793" s="14"/>
      <c r="Z793" s="15"/>
      <c r="AA793" s="15"/>
      <c r="AB793" s="3"/>
      <c r="AC793" s="3"/>
      <c r="AD793" s="3"/>
      <c r="AE793" s="3"/>
      <c r="AF793" s="3"/>
      <c r="AG793" s="3"/>
      <c r="AH793" s="3"/>
      <c r="AI793" s="3"/>
      <c r="AJ793" s="154" t="s">
        <v>70</v>
      </c>
      <c r="AN793" s="154" t="s">
        <v>70</v>
      </c>
    </row>
    <row r="794" ht="15.75" customHeight="1">
      <c r="J794" s="15"/>
      <c r="K794" s="238"/>
      <c r="L794" s="15"/>
      <c r="M794" s="15"/>
      <c r="N794" s="15"/>
      <c r="O794" s="15"/>
      <c r="P794" s="15"/>
      <c r="Q794" s="15"/>
      <c r="R794" s="15"/>
      <c r="S794" s="15"/>
      <c r="T794" s="15"/>
      <c r="U794" s="15"/>
      <c r="V794" s="15"/>
      <c r="W794" s="15"/>
      <c r="X794" s="14"/>
      <c r="Y794" s="14"/>
      <c r="Z794" s="15"/>
      <c r="AA794" s="15"/>
      <c r="AB794" s="3"/>
      <c r="AC794" s="3"/>
      <c r="AD794" s="3"/>
      <c r="AE794" s="3"/>
      <c r="AF794" s="3"/>
      <c r="AG794" s="3"/>
      <c r="AH794" s="3"/>
      <c r="AI794" s="3"/>
      <c r="AJ794" s="154" t="s">
        <v>70</v>
      </c>
      <c r="AN794" s="154" t="s">
        <v>70</v>
      </c>
    </row>
    <row r="795" ht="15.75" customHeight="1">
      <c r="J795" s="15"/>
      <c r="K795" s="238"/>
      <c r="L795" s="15"/>
      <c r="M795" s="15"/>
      <c r="N795" s="15"/>
      <c r="O795" s="15"/>
      <c r="P795" s="15"/>
      <c r="Q795" s="15"/>
      <c r="R795" s="15"/>
      <c r="S795" s="15"/>
      <c r="T795" s="15"/>
      <c r="U795" s="15"/>
      <c r="V795" s="15"/>
      <c r="W795" s="15"/>
      <c r="X795" s="14"/>
      <c r="Y795" s="14"/>
      <c r="Z795" s="15"/>
      <c r="AA795" s="15"/>
      <c r="AB795" s="3"/>
      <c r="AC795" s="3"/>
      <c r="AD795" s="3"/>
      <c r="AE795" s="3"/>
      <c r="AF795" s="3"/>
      <c r="AG795" s="3"/>
      <c r="AH795" s="3"/>
      <c r="AI795" s="3"/>
      <c r="AJ795" s="154" t="s">
        <v>70</v>
      </c>
      <c r="AN795" s="154" t="s">
        <v>70</v>
      </c>
    </row>
    <row r="796" ht="15.75" customHeight="1">
      <c r="J796" s="15"/>
      <c r="K796" s="238"/>
      <c r="L796" s="15"/>
      <c r="M796" s="15"/>
      <c r="N796" s="15"/>
      <c r="O796" s="15"/>
      <c r="P796" s="15"/>
      <c r="Q796" s="15"/>
      <c r="R796" s="15"/>
      <c r="S796" s="15"/>
      <c r="T796" s="15"/>
      <c r="U796" s="15"/>
      <c r="V796" s="15"/>
      <c r="W796" s="15"/>
      <c r="X796" s="14"/>
      <c r="Y796" s="14"/>
      <c r="Z796" s="15"/>
      <c r="AA796" s="15"/>
      <c r="AB796" s="3"/>
      <c r="AC796" s="3"/>
      <c r="AD796" s="3"/>
      <c r="AE796" s="3"/>
      <c r="AF796" s="3"/>
      <c r="AG796" s="3"/>
      <c r="AH796" s="3"/>
      <c r="AI796" s="3"/>
      <c r="AJ796" s="154" t="s">
        <v>70</v>
      </c>
      <c r="AN796" s="154" t="s">
        <v>70</v>
      </c>
    </row>
    <row r="797" ht="15.75" customHeight="1">
      <c r="J797" s="15"/>
      <c r="K797" s="238"/>
      <c r="L797" s="15"/>
      <c r="M797" s="15"/>
      <c r="N797" s="15"/>
      <c r="O797" s="15"/>
      <c r="P797" s="15"/>
      <c r="Q797" s="15"/>
      <c r="R797" s="15"/>
      <c r="S797" s="15"/>
      <c r="T797" s="15"/>
      <c r="U797" s="15"/>
      <c r="V797" s="15"/>
      <c r="W797" s="15"/>
      <c r="X797" s="14"/>
      <c r="Y797" s="14"/>
      <c r="Z797" s="15"/>
      <c r="AA797" s="15"/>
      <c r="AB797" s="3"/>
      <c r="AC797" s="3"/>
      <c r="AD797" s="3"/>
      <c r="AE797" s="3"/>
      <c r="AF797" s="3"/>
      <c r="AG797" s="3"/>
      <c r="AH797" s="3"/>
      <c r="AI797" s="3"/>
      <c r="AJ797" s="154" t="s">
        <v>70</v>
      </c>
      <c r="AN797" s="154" t="s">
        <v>70</v>
      </c>
    </row>
    <row r="798" ht="15.75" customHeight="1">
      <c r="J798" s="15"/>
      <c r="K798" s="238"/>
      <c r="L798" s="15"/>
      <c r="M798" s="15"/>
      <c r="N798" s="15"/>
      <c r="O798" s="15"/>
      <c r="P798" s="15"/>
      <c r="Q798" s="15"/>
      <c r="R798" s="15"/>
      <c r="S798" s="15"/>
      <c r="T798" s="15"/>
      <c r="U798" s="15"/>
      <c r="V798" s="15"/>
      <c r="W798" s="15"/>
      <c r="X798" s="14"/>
      <c r="Y798" s="14"/>
      <c r="Z798" s="15"/>
      <c r="AA798" s="15"/>
      <c r="AB798" s="3"/>
      <c r="AC798" s="3"/>
      <c r="AD798" s="3"/>
      <c r="AE798" s="3"/>
      <c r="AF798" s="3"/>
      <c r="AG798" s="3"/>
      <c r="AH798" s="3"/>
      <c r="AI798" s="3"/>
      <c r="AJ798" s="154" t="s">
        <v>70</v>
      </c>
      <c r="AN798" s="154" t="s">
        <v>70</v>
      </c>
    </row>
    <row r="799" ht="15.75" customHeight="1">
      <c r="J799" s="15"/>
      <c r="K799" s="238"/>
      <c r="L799" s="15"/>
      <c r="M799" s="15"/>
      <c r="N799" s="15"/>
      <c r="O799" s="15"/>
      <c r="P799" s="15"/>
      <c r="Q799" s="15"/>
      <c r="R799" s="15"/>
      <c r="S799" s="15"/>
      <c r="T799" s="15"/>
      <c r="U799" s="15"/>
      <c r="V799" s="15"/>
      <c r="W799" s="15"/>
      <c r="X799" s="14"/>
      <c r="Y799" s="14"/>
      <c r="Z799" s="15"/>
      <c r="AA799" s="15"/>
      <c r="AB799" s="3"/>
      <c r="AC799" s="3"/>
      <c r="AD799" s="3"/>
      <c r="AE799" s="3"/>
      <c r="AF799" s="3"/>
      <c r="AG799" s="3"/>
      <c r="AH799" s="3"/>
      <c r="AI799" s="3"/>
      <c r="AJ799" s="154" t="s">
        <v>70</v>
      </c>
      <c r="AN799" s="154" t="s">
        <v>70</v>
      </c>
    </row>
    <row r="800" ht="15.75" customHeight="1">
      <c r="J800" s="15"/>
      <c r="K800" s="238"/>
      <c r="L800" s="15"/>
      <c r="M800" s="15"/>
      <c r="N800" s="15"/>
      <c r="O800" s="15"/>
      <c r="P800" s="15"/>
      <c r="Q800" s="15"/>
      <c r="R800" s="15"/>
      <c r="S800" s="15"/>
      <c r="T800" s="15"/>
      <c r="U800" s="15"/>
      <c r="V800" s="15"/>
      <c r="W800" s="15"/>
      <c r="X800" s="14"/>
      <c r="Y800" s="14"/>
      <c r="Z800" s="15"/>
      <c r="AA800" s="15"/>
      <c r="AB800" s="3"/>
      <c r="AC800" s="3"/>
      <c r="AD800" s="3"/>
      <c r="AE800" s="3"/>
      <c r="AF800" s="3"/>
      <c r="AG800" s="3"/>
      <c r="AH800" s="3"/>
      <c r="AI800" s="3"/>
      <c r="AJ800" s="154" t="s">
        <v>70</v>
      </c>
      <c r="AN800" s="154" t="s">
        <v>70</v>
      </c>
    </row>
    <row r="801" ht="15.75" customHeight="1">
      <c r="J801" s="15"/>
      <c r="K801" s="238"/>
      <c r="L801" s="15"/>
      <c r="M801" s="15"/>
      <c r="N801" s="15"/>
      <c r="O801" s="15"/>
      <c r="P801" s="15"/>
      <c r="Q801" s="15"/>
      <c r="R801" s="15"/>
      <c r="S801" s="15"/>
      <c r="T801" s="15"/>
      <c r="U801" s="15"/>
      <c r="V801" s="15"/>
      <c r="W801" s="15"/>
      <c r="X801" s="14"/>
      <c r="Y801" s="14"/>
      <c r="Z801" s="15"/>
      <c r="AA801" s="15"/>
      <c r="AB801" s="3"/>
      <c r="AC801" s="3"/>
      <c r="AD801" s="3"/>
      <c r="AE801" s="3"/>
      <c r="AF801" s="3"/>
      <c r="AG801" s="3"/>
      <c r="AH801" s="3"/>
      <c r="AI801" s="3"/>
      <c r="AJ801" s="154" t="s">
        <v>70</v>
      </c>
      <c r="AN801" s="154" t="s">
        <v>70</v>
      </c>
    </row>
    <row r="802" ht="15.75" customHeight="1">
      <c r="J802" s="15"/>
      <c r="K802" s="238"/>
      <c r="L802" s="15"/>
      <c r="M802" s="15"/>
      <c r="N802" s="15"/>
      <c r="O802" s="15"/>
      <c r="P802" s="15"/>
      <c r="Q802" s="15"/>
      <c r="R802" s="15"/>
      <c r="S802" s="15"/>
      <c r="T802" s="15"/>
      <c r="U802" s="15"/>
      <c r="V802" s="15"/>
      <c r="W802" s="15"/>
      <c r="X802" s="14"/>
      <c r="Y802" s="14"/>
      <c r="Z802" s="15"/>
      <c r="AA802" s="15"/>
      <c r="AB802" s="3"/>
      <c r="AC802" s="3"/>
      <c r="AD802" s="3"/>
      <c r="AE802" s="3"/>
      <c r="AF802" s="3"/>
      <c r="AG802" s="3"/>
      <c r="AH802" s="3"/>
      <c r="AI802" s="3"/>
      <c r="AJ802" s="154" t="s">
        <v>70</v>
      </c>
      <c r="AN802" s="154" t="s">
        <v>70</v>
      </c>
    </row>
    <row r="803" ht="15.75" customHeight="1">
      <c r="J803" s="15"/>
      <c r="K803" s="238"/>
      <c r="L803" s="15"/>
      <c r="M803" s="15"/>
      <c r="N803" s="15"/>
      <c r="O803" s="15"/>
      <c r="P803" s="15"/>
      <c r="Q803" s="15"/>
      <c r="R803" s="15"/>
      <c r="S803" s="15"/>
      <c r="T803" s="15"/>
      <c r="U803" s="15"/>
      <c r="V803" s="15"/>
      <c r="W803" s="15"/>
      <c r="X803" s="14"/>
      <c r="Y803" s="14"/>
      <c r="Z803" s="15"/>
      <c r="AA803" s="15"/>
      <c r="AB803" s="3"/>
      <c r="AC803" s="3"/>
      <c r="AD803" s="3"/>
      <c r="AE803" s="3"/>
      <c r="AF803" s="3"/>
      <c r="AG803" s="3"/>
      <c r="AH803" s="3"/>
      <c r="AI803" s="3"/>
      <c r="AJ803" s="154" t="s">
        <v>70</v>
      </c>
      <c r="AN803" s="154" t="s">
        <v>70</v>
      </c>
    </row>
    <row r="804" ht="15.75" customHeight="1">
      <c r="J804" s="15"/>
      <c r="K804" s="238"/>
      <c r="L804" s="15"/>
      <c r="M804" s="15"/>
      <c r="N804" s="15"/>
      <c r="O804" s="15"/>
      <c r="P804" s="15"/>
      <c r="Q804" s="15"/>
      <c r="R804" s="15"/>
      <c r="S804" s="15"/>
      <c r="T804" s="15"/>
      <c r="U804" s="15"/>
      <c r="V804" s="15"/>
      <c r="W804" s="15"/>
      <c r="X804" s="14"/>
      <c r="Y804" s="14"/>
      <c r="Z804" s="15"/>
      <c r="AA804" s="15"/>
      <c r="AB804" s="3"/>
      <c r="AC804" s="3"/>
      <c r="AD804" s="3"/>
      <c r="AE804" s="3"/>
      <c r="AF804" s="3"/>
      <c r="AG804" s="3"/>
      <c r="AH804" s="3"/>
      <c r="AI804" s="3"/>
      <c r="AJ804" s="154" t="s">
        <v>70</v>
      </c>
      <c r="AN804" s="154" t="s">
        <v>70</v>
      </c>
    </row>
    <row r="805" ht="15.75" customHeight="1">
      <c r="J805" s="15"/>
      <c r="K805" s="238"/>
      <c r="L805" s="15"/>
      <c r="M805" s="15"/>
      <c r="N805" s="15"/>
      <c r="O805" s="15"/>
      <c r="P805" s="15"/>
      <c r="Q805" s="15"/>
      <c r="R805" s="15"/>
      <c r="S805" s="15"/>
      <c r="T805" s="15"/>
      <c r="U805" s="15"/>
      <c r="V805" s="15"/>
      <c r="W805" s="15"/>
      <c r="X805" s="14"/>
      <c r="Y805" s="14"/>
      <c r="Z805" s="15"/>
      <c r="AA805" s="15"/>
      <c r="AB805" s="3"/>
      <c r="AC805" s="3"/>
      <c r="AD805" s="3"/>
      <c r="AE805" s="3"/>
      <c r="AF805" s="3"/>
      <c r="AG805" s="3"/>
      <c r="AH805" s="3"/>
      <c r="AI805" s="3"/>
      <c r="AJ805" s="154" t="s">
        <v>70</v>
      </c>
      <c r="AN805" s="154" t="s">
        <v>70</v>
      </c>
    </row>
    <row r="806" ht="15.75" customHeight="1">
      <c r="J806" s="15"/>
      <c r="K806" s="238"/>
      <c r="L806" s="15"/>
      <c r="M806" s="15"/>
      <c r="N806" s="15"/>
      <c r="O806" s="15"/>
      <c r="P806" s="15"/>
      <c r="Q806" s="15"/>
      <c r="R806" s="15"/>
      <c r="S806" s="15"/>
      <c r="T806" s="15"/>
      <c r="U806" s="15"/>
      <c r="V806" s="15"/>
      <c r="W806" s="15"/>
      <c r="X806" s="14"/>
      <c r="Y806" s="14"/>
      <c r="Z806" s="15"/>
      <c r="AA806" s="15"/>
      <c r="AB806" s="3"/>
      <c r="AC806" s="3"/>
      <c r="AD806" s="3"/>
      <c r="AE806" s="3"/>
      <c r="AF806" s="3"/>
      <c r="AG806" s="3"/>
      <c r="AH806" s="3"/>
      <c r="AI806" s="3"/>
      <c r="AJ806" s="154" t="s">
        <v>70</v>
      </c>
      <c r="AN806" s="154" t="s">
        <v>70</v>
      </c>
    </row>
    <row r="807" ht="15.75" customHeight="1">
      <c r="J807" s="15"/>
      <c r="K807" s="238"/>
      <c r="L807" s="15"/>
      <c r="M807" s="15"/>
      <c r="N807" s="15"/>
      <c r="O807" s="15"/>
      <c r="P807" s="15"/>
      <c r="Q807" s="15"/>
      <c r="R807" s="15"/>
      <c r="S807" s="15"/>
      <c r="T807" s="15"/>
      <c r="U807" s="15"/>
      <c r="V807" s="15"/>
      <c r="W807" s="15"/>
      <c r="X807" s="14"/>
      <c r="Y807" s="14"/>
      <c r="Z807" s="15"/>
      <c r="AA807" s="15"/>
      <c r="AB807" s="3"/>
      <c r="AC807" s="3"/>
      <c r="AD807" s="3"/>
      <c r="AE807" s="3"/>
      <c r="AF807" s="3"/>
      <c r="AG807" s="3"/>
      <c r="AH807" s="3"/>
      <c r="AI807" s="3"/>
      <c r="AJ807" s="154" t="s">
        <v>70</v>
      </c>
      <c r="AN807" s="154" t="s">
        <v>70</v>
      </c>
    </row>
    <row r="808" ht="15.75" customHeight="1">
      <c r="J808" s="15"/>
      <c r="K808" s="238"/>
      <c r="L808" s="15"/>
      <c r="M808" s="15"/>
      <c r="N808" s="15"/>
      <c r="O808" s="15"/>
      <c r="P808" s="15"/>
      <c r="Q808" s="15"/>
      <c r="R808" s="15"/>
      <c r="S808" s="15"/>
      <c r="T808" s="15"/>
      <c r="U808" s="15"/>
      <c r="V808" s="15"/>
      <c r="W808" s="15"/>
      <c r="X808" s="14"/>
      <c r="Y808" s="14"/>
      <c r="Z808" s="15"/>
      <c r="AA808" s="15"/>
      <c r="AB808" s="3"/>
      <c r="AC808" s="3"/>
      <c r="AD808" s="3"/>
      <c r="AE808" s="3"/>
      <c r="AF808" s="3"/>
      <c r="AG808" s="3"/>
      <c r="AH808" s="3"/>
      <c r="AI808" s="3"/>
      <c r="AJ808" s="154" t="s">
        <v>70</v>
      </c>
      <c r="AN808" s="154" t="s">
        <v>70</v>
      </c>
    </row>
    <row r="809" ht="15.75" customHeight="1">
      <c r="J809" s="15"/>
      <c r="K809" s="238"/>
      <c r="L809" s="15"/>
      <c r="M809" s="15"/>
      <c r="N809" s="15"/>
      <c r="O809" s="15"/>
      <c r="P809" s="15"/>
      <c r="Q809" s="15"/>
      <c r="R809" s="15"/>
      <c r="S809" s="15"/>
      <c r="T809" s="15"/>
      <c r="U809" s="15"/>
      <c r="V809" s="15"/>
      <c r="W809" s="15"/>
      <c r="X809" s="14"/>
      <c r="Y809" s="14"/>
      <c r="Z809" s="15"/>
      <c r="AA809" s="15"/>
      <c r="AB809" s="3"/>
      <c r="AC809" s="3"/>
      <c r="AD809" s="3"/>
      <c r="AE809" s="3"/>
      <c r="AF809" s="3"/>
      <c r="AG809" s="3"/>
      <c r="AH809" s="3"/>
      <c r="AI809" s="3"/>
      <c r="AJ809" s="154" t="s">
        <v>70</v>
      </c>
      <c r="AN809" s="154" t="s">
        <v>70</v>
      </c>
    </row>
    <row r="810" ht="15.75" customHeight="1">
      <c r="J810" s="15"/>
      <c r="K810" s="238"/>
      <c r="L810" s="15"/>
      <c r="M810" s="15"/>
      <c r="N810" s="15"/>
      <c r="O810" s="15"/>
      <c r="P810" s="15"/>
      <c r="Q810" s="15"/>
      <c r="R810" s="15"/>
      <c r="S810" s="15"/>
      <c r="T810" s="15"/>
      <c r="U810" s="15"/>
      <c r="V810" s="15"/>
      <c r="W810" s="15"/>
      <c r="X810" s="14"/>
      <c r="Y810" s="14"/>
      <c r="Z810" s="15"/>
      <c r="AA810" s="15"/>
      <c r="AB810" s="3"/>
      <c r="AC810" s="3"/>
      <c r="AD810" s="3"/>
      <c r="AE810" s="3"/>
      <c r="AF810" s="3"/>
      <c r="AG810" s="3"/>
      <c r="AH810" s="3"/>
      <c r="AI810" s="3"/>
      <c r="AJ810" s="154" t="s">
        <v>70</v>
      </c>
      <c r="AN810" s="154" t="s">
        <v>70</v>
      </c>
    </row>
    <row r="811" ht="15.75" customHeight="1">
      <c r="J811" s="15"/>
      <c r="K811" s="238"/>
      <c r="L811" s="15"/>
      <c r="M811" s="15"/>
      <c r="N811" s="15"/>
      <c r="O811" s="15"/>
      <c r="P811" s="15"/>
      <c r="Q811" s="15"/>
      <c r="R811" s="15"/>
      <c r="S811" s="15"/>
      <c r="T811" s="15"/>
      <c r="U811" s="15"/>
      <c r="V811" s="15"/>
      <c r="W811" s="15"/>
      <c r="X811" s="14"/>
      <c r="Y811" s="14"/>
      <c r="Z811" s="15"/>
      <c r="AA811" s="15"/>
      <c r="AB811" s="3"/>
      <c r="AC811" s="3"/>
      <c r="AD811" s="3"/>
      <c r="AE811" s="3"/>
      <c r="AF811" s="3"/>
      <c r="AG811" s="3"/>
      <c r="AH811" s="3"/>
      <c r="AI811" s="3"/>
      <c r="AJ811" s="154" t="s">
        <v>70</v>
      </c>
      <c r="AN811" s="154" t="s">
        <v>70</v>
      </c>
    </row>
    <row r="812" ht="15.75" customHeight="1">
      <c r="J812" s="15"/>
      <c r="K812" s="238"/>
      <c r="L812" s="15"/>
      <c r="M812" s="15"/>
      <c r="N812" s="15"/>
      <c r="O812" s="15"/>
      <c r="P812" s="15"/>
      <c r="Q812" s="15"/>
      <c r="R812" s="15"/>
      <c r="S812" s="15"/>
      <c r="T812" s="15"/>
      <c r="U812" s="15"/>
      <c r="V812" s="15"/>
      <c r="W812" s="15"/>
      <c r="X812" s="14"/>
      <c r="Y812" s="14"/>
      <c r="Z812" s="15"/>
      <c r="AA812" s="15"/>
      <c r="AB812" s="3"/>
      <c r="AC812" s="3"/>
      <c r="AD812" s="3"/>
      <c r="AE812" s="3"/>
      <c r="AF812" s="3"/>
      <c r="AG812" s="3"/>
      <c r="AH812" s="3"/>
      <c r="AI812" s="3"/>
      <c r="AJ812" s="154" t="s">
        <v>70</v>
      </c>
      <c r="AN812" s="154" t="s">
        <v>70</v>
      </c>
    </row>
    <row r="813" ht="15.75" customHeight="1">
      <c r="J813" s="15"/>
      <c r="K813" s="238"/>
      <c r="L813" s="15"/>
      <c r="M813" s="15"/>
      <c r="N813" s="15"/>
      <c r="O813" s="15"/>
      <c r="P813" s="15"/>
      <c r="Q813" s="15"/>
      <c r="R813" s="15"/>
      <c r="S813" s="15"/>
      <c r="T813" s="15"/>
      <c r="U813" s="15"/>
      <c r="V813" s="15"/>
      <c r="W813" s="15"/>
      <c r="X813" s="14"/>
      <c r="Y813" s="14"/>
      <c r="Z813" s="15"/>
      <c r="AA813" s="15"/>
      <c r="AB813" s="3"/>
      <c r="AC813" s="3"/>
      <c r="AD813" s="3"/>
      <c r="AE813" s="3"/>
      <c r="AF813" s="3"/>
      <c r="AG813" s="3"/>
      <c r="AH813" s="3"/>
      <c r="AI813" s="3"/>
      <c r="AJ813" s="154" t="s">
        <v>70</v>
      </c>
      <c r="AN813" s="154" t="s">
        <v>70</v>
      </c>
    </row>
    <row r="814" ht="15.75" customHeight="1">
      <c r="J814" s="15"/>
      <c r="K814" s="238"/>
      <c r="L814" s="15"/>
      <c r="M814" s="15"/>
      <c r="N814" s="15"/>
      <c r="O814" s="15"/>
      <c r="P814" s="15"/>
      <c r="Q814" s="15"/>
      <c r="R814" s="15"/>
      <c r="S814" s="15"/>
      <c r="T814" s="15"/>
      <c r="U814" s="15"/>
      <c r="V814" s="15"/>
      <c r="W814" s="15"/>
      <c r="X814" s="14"/>
      <c r="Y814" s="14"/>
      <c r="Z814" s="15"/>
      <c r="AA814" s="15"/>
      <c r="AB814" s="3"/>
      <c r="AC814" s="3"/>
      <c r="AD814" s="3"/>
      <c r="AE814" s="3"/>
      <c r="AF814" s="3"/>
      <c r="AG814" s="3"/>
      <c r="AH814" s="3"/>
      <c r="AI814" s="3"/>
      <c r="AJ814" s="154" t="s">
        <v>70</v>
      </c>
      <c r="AN814" s="154" t="s">
        <v>70</v>
      </c>
    </row>
    <row r="815" ht="15.75" customHeight="1">
      <c r="J815" s="15"/>
      <c r="K815" s="238"/>
      <c r="L815" s="15"/>
      <c r="M815" s="15"/>
      <c r="N815" s="15"/>
      <c r="O815" s="15"/>
      <c r="P815" s="15"/>
      <c r="Q815" s="15"/>
      <c r="R815" s="15"/>
      <c r="S815" s="15"/>
      <c r="T815" s="15"/>
      <c r="U815" s="15"/>
      <c r="V815" s="15"/>
      <c r="W815" s="15"/>
      <c r="X815" s="14"/>
      <c r="Y815" s="14"/>
      <c r="Z815" s="15"/>
      <c r="AA815" s="15"/>
      <c r="AB815" s="3"/>
      <c r="AC815" s="3"/>
      <c r="AD815" s="3"/>
      <c r="AE815" s="3"/>
      <c r="AF815" s="3"/>
      <c r="AG815" s="3"/>
      <c r="AH815" s="3"/>
      <c r="AI815" s="3"/>
      <c r="AJ815" s="154" t="s">
        <v>70</v>
      </c>
      <c r="AN815" s="154" t="s">
        <v>70</v>
      </c>
    </row>
    <row r="816" ht="15.75" customHeight="1">
      <c r="J816" s="15"/>
      <c r="K816" s="238"/>
      <c r="L816" s="15"/>
      <c r="M816" s="15"/>
      <c r="N816" s="15"/>
      <c r="O816" s="15"/>
      <c r="P816" s="15"/>
      <c r="Q816" s="15"/>
      <c r="R816" s="15"/>
      <c r="S816" s="15"/>
      <c r="T816" s="15"/>
      <c r="U816" s="15"/>
      <c r="V816" s="15"/>
      <c r="W816" s="15"/>
      <c r="X816" s="14"/>
      <c r="Y816" s="14"/>
      <c r="Z816" s="15"/>
      <c r="AA816" s="15"/>
      <c r="AB816" s="3"/>
      <c r="AC816" s="3"/>
      <c r="AD816" s="3"/>
      <c r="AE816" s="3"/>
      <c r="AF816" s="3"/>
      <c r="AG816" s="3"/>
      <c r="AH816" s="3"/>
      <c r="AI816" s="3"/>
      <c r="AJ816" s="154" t="s">
        <v>70</v>
      </c>
      <c r="AN816" s="154" t="s">
        <v>70</v>
      </c>
    </row>
    <row r="817" ht="15.75" customHeight="1">
      <c r="J817" s="15"/>
      <c r="K817" s="238"/>
      <c r="L817" s="15"/>
      <c r="M817" s="15"/>
      <c r="N817" s="15"/>
      <c r="O817" s="15"/>
      <c r="P817" s="15"/>
      <c r="Q817" s="15"/>
      <c r="R817" s="15"/>
      <c r="S817" s="15"/>
      <c r="T817" s="15"/>
      <c r="U817" s="15"/>
      <c r="V817" s="15"/>
      <c r="W817" s="15"/>
      <c r="X817" s="14"/>
      <c r="Y817" s="14"/>
      <c r="Z817" s="15"/>
      <c r="AA817" s="15"/>
      <c r="AB817" s="3"/>
      <c r="AC817" s="3"/>
      <c r="AD817" s="3"/>
      <c r="AE817" s="3"/>
      <c r="AF817" s="3"/>
      <c r="AG817" s="3"/>
      <c r="AH817" s="3"/>
      <c r="AI817" s="3"/>
      <c r="AJ817" s="154" t="s">
        <v>70</v>
      </c>
      <c r="AN817" s="154" t="s">
        <v>70</v>
      </c>
    </row>
    <row r="818" ht="15.75" customHeight="1">
      <c r="J818" s="15"/>
      <c r="K818" s="238"/>
      <c r="L818" s="15"/>
      <c r="M818" s="15"/>
      <c r="N818" s="15"/>
      <c r="O818" s="15"/>
      <c r="P818" s="15"/>
      <c r="Q818" s="15"/>
      <c r="R818" s="15"/>
      <c r="S818" s="15"/>
      <c r="T818" s="15"/>
      <c r="U818" s="15"/>
      <c r="V818" s="15"/>
      <c r="W818" s="15"/>
      <c r="X818" s="14"/>
      <c r="Y818" s="14"/>
      <c r="Z818" s="15"/>
      <c r="AA818" s="15"/>
      <c r="AB818" s="3"/>
      <c r="AC818" s="3"/>
      <c r="AD818" s="3"/>
      <c r="AE818" s="3"/>
      <c r="AF818" s="3"/>
      <c r="AG818" s="3"/>
      <c r="AH818" s="3"/>
      <c r="AI818" s="3"/>
      <c r="AJ818" s="154" t="s">
        <v>70</v>
      </c>
      <c r="AN818" s="154" t="s">
        <v>70</v>
      </c>
    </row>
    <row r="819" ht="15.75" customHeight="1">
      <c r="J819" s="15"/>
      <c r="K819" s="238"/>
      <c r="L819" s="15"/>
      <c r="M819" s="15"/>
      <c r="N819" s="15"/>
      <c r="O819" s="15"/>
      <c r="P819" s="15"/>
      <c r="Q819" s="15"/>
      <c r="R819" s="15"/>
      <c r="S819" s="15"/>
      <c r="T819" s="15"/>
      <c r="U819" s="15"/>
      <c r="V819" s="15"/>
      <c r="W819" s="15"/>
      <c r="X819" s="14"/>
      <c r="Y819" s="14"/>
      <c r="Z819" s="15"/>
      <c r="AA819" s="15"/>
      <c r="AB819" s="3"/>
      <c r="AC819" s="3"/>
      <c r="AD819" s="3"/>
      <c r="AE819" s="3"/>
      <c r="AF819" s="3"/>
      <c r="AG819" s="3"/>
      <c r="AH819" s="3"/>
      <c r="AI819" s="3"/>
      <c r="AJ819" s="154" t="s">
        <v>70</v>
      </c>
      <c r="AN819" s="154" t="s">
        <v>70</v>
      </c>
    </row>
    <row r="820" ht="15.75" customHeight="1">
      <c r="J820" s="15"/>
      <c r="K820" s="238"/>
      <c r="L820" s="15"/>
      <c r="M820" s="15"/>
      <c r="N820" s="15"/>
      <c r="O820" s="15"/>
      <c r="P820" s="15"/>
      <c r="Q820" s="15"/>
      <c r="R820" s="15"/>
      <c r="S820" s="15"/>
      <c r="T820" s="15"/>
      <c r="U820" s="15"/>
      <c r="V820" s="15"/>
      <c r="W820" s="15"/>
      <c r="X820" s="14"/>
      <c r="Y820" s="14"/>
      <c r="Z820" s="15"/>
      <c r="AA820" s="15"/>
      <c r="AB820" s="3"/>
      <c r="AC820" s="3"/>
      <c r="AD820" s="3"/>
      <c r="AE820" s="3"/>
      <c r="AF820" s="3"/>
      <c r="AG820" s="3"/>
      <c r="AH820" s="3"/>
      <c r="AI820" s="3"/>
      <c r="AJ820" s="154" t="s">
        <v>70</v>
      </c>
      <c r="AN820" s="154" t="s">
        <v>70</v>
      </c>
    </row>
    <row r="821" ht="15.75" customHeight="1">
      <c r="J821" s="15"/>
      <c r="K821" s="238"/>
      <c r="L821" s="15"/>
      <c r="M821" s="15"/>
      <c r="N821" s="15"/>
      <c r="O821" s="15"/>
      <c r="P821" s="15"/>
      <c r="Q821" s="15"/>
      <c r="R821" s="15"/>
      <c r="S821" s="15"/>
      <c r="T821" s="15"/>
      <c r="U821" s="15"/>
      <c r="V821" s="15"/>
      <c r="W821" s="15"/>
      <c r="X821" s="14"/>
      <c r="Y821" s="14"/>
      <c r="Z821" s="15"/>
      <c r="AA821" s="15"/>
      <c r="AB821" s="3"/>
      <c r="AC821" s="3"/>
      <c r="AD821" s="3"/>
      <c r="AE821" s="3"/>
      <c r="AF821" s="3"/>
      <c r="AG821" s="3"/>
      <c r="AH821" s="3"/>
      <c r="AI821" s="3"/>
      <c r="AJ821" s="154" t="s">
        <v>70</v>
      </c>
      <c r="AN821" s="154" t="s">
        <v>70</v>
      </c>
    </row>
    <row r="822" ht="15.75" customHeight="1">
      <c r="J822" s="15"/>
      <c r="K822" s="238"/>
      <c r="L822" s="15"/>
      <c r="M822" s="15"/>
      <c r="N822" s="15"/>
      <c r="O822" s="15"/>
      <c r="P822" s="15"/>
      <c r="Q822" s="15"/>
      <c r="R822" s="15"/>
      <c r="S822" s="15"/>
      <c r="T822" s="15"/>
      <c r="U822" s="15"/>
      <c r="V822" s="15"/>
      <c r="W822" s="15"/>
      <c r="X822" s="14"/>
      <c r="Y822" s="14"/>
      <c r="Z822" s="15"/>
      <c r="AA822" s="15"/>
      <c r="AB822" s="3"/>
      <c r="AC822" s="3"/>
      <c r="AD822" s="3"/>
      <c r="AE822" s="3"/>
      <c r="AF822" s="3"/>
      <c r="AG822" s="3"/>
      <c r="AH822" s="3"/>
      <c r="AI822" s="3"/>
      <c r="AJ822" s="154" t="s">
        <v>70</v>
      </c>
      <c r="AN822" s="154" t="s">
        <v>70</v>
      </c>
    </row>
    <row r="823" ht="15.75" customHeight="1">
      <c r="J823" s="15"/>
      <c r="K823" s="238"/>
      <c r="L823" s="15"/>
      <c r="M823" s="15"/>
      <c r="N823" s="15"/>
      <c r="O823" s="15"/>
      <c r="P823" s="15"/>
      <c r="Q823" s="15"/>
      <c r="R823" s="15"/>
      <c r="S823" s="15"/>
      <c r="T823" s="15"/>
      <c r="U823" s="15"/>
      <c r="V823" s="15"/>
      <c r="W823" s="15"/>
      <c r="X823" s="14"/>
      <c r="Y823" s="14"/>
      <c r="Z823" s="15"/>
      <c r="AA823" s="15"/>
      <c r="AB823" s="3"/>
      <c r="AC823" s="3"/>
      <c r="AD823" s="3"/>
      <c r="AE823" s="3"/>
      <c r="AF823" s="3"/>
      <c r="AG823" s="3"/>
      <c r="AH823" s="3"/>
      <c r="AI823" s="3"/>
      <c r="AJ823" s="154" t="s">
        <v>70</v>
      </c>
      <c r="AN823" s="154" t="s">
        <v>70</v>
      </c>
    </row>
    <row r="824" ht="15.75" customHeight="1">
      <c r="J824" s="15"/>
      <c r="K824" s="238"/>
      <c r="L824" s="15"/>
      <c r="M824" s="15"/>
      <c r="N824" s="15"/>
      <c r="O824" s="15"/>
      <c r="P824" s="15"/>
      <c r="Q824" s="15"/>
      <c r="R824" s="15"/>
      <c r="S824" s="15"/>
      <c r="T824" s="15"/>
      <c r="U824" s="15"/>
      <c r="V824" s="15"/>
      <c r="W824" s="15"/>
      <c r="X824" s="14"/>
      <c r="Y824" s="14"/>
      <c r="Z824" s="15"/>
      <c r="AA824" s="15"/>
      <c r="AB824" s="3"/>
      <c r="AC824" s="3"/>
      <c r="AD824" s="3"/>
      <c r="AE824" s="3"/>
      <c r="AF824" s="3"/>
      <c r="AG824" s="3"/>
      <c r="AH824" s="3"/>
      <c r="AI824" s="3"/>
      <c r="AJ824" s="154" t="s">
        <v>70</v>
      </c>
      <c r="AN824" s="154" t="s">
        <v>70</v>
      </c>
    </row>
    <row r="825" ht="15.75" customHeight="1">
      <c r="J825" s="15"/>
      <c r="K825" s="238"/>
      <c r="L825" s="15"/>
      <c r="M825" s="15"/>
      <c r="N825" s="15"/>
      <c r="O825" s="15"/>
      <c r="P825" s="15"/>
      <c r="Q825" s="15"/>
      <c r="R825" s="15"/>
      <c r="S825" s="15"/>
      <c r="T825" s="15"/>
      <c r="U825" s="15"/>
      <c r="V825" s="15"/>
      <c r="W825" s="15"/>
      <c r="X825" s="14"/>
      <c r="Y825" s="14"/>
      <c r="Z825" s="15"/>
      <c r="AA825" s="15"/>
      <c r="AB825" s="3"/>
      <c r="AC825" s="3"/>
      <c r="AD825" s="3"/>
      <c r="AE825" s="3"/>
      <c r="AF825" s="3"/>
      <c r="AG825" s="3"/>
      <c r="AH825" s="3"/>
      <c r="AI825" s="3"/>
      <c r="AJ825" s="154" t="s">
        <v>70</v>
      </c>
      <c r="AN825" s="154" t="s">
        <v>70</v>
      </c>
    </row>
    <row r="826" ht="15.75" customHeight="1">
      <c r="J826" s="15"/>
      <c r="K826" s="238"/>
      <c r="L826" s="15"/>
      <c r="M826" s="15"/>
      <c r="N826" s="15"/>
      <c r="O826" s="15"/>
      <c r="P826" s="15"/>
      <c r="Q826" s="15"/>
      <c r="R826" s="15"/>
      <c r="S826" s="15"/>
      <c r="T826" s="15"/>
      <c r="U826" s="15"/>
      <c r="V826" s="15"/>
      <c r="W826" s="15"/>
      <c r="X826" s="14"/>
      <c r="Y826" s="14"/>
      <c r="Z826" s="15"/>
      <c r="AA826" s="15"/>
      <c r="AB826" s="3"/>
      <c r="AC826" s="3"/>
      <c r="AD826" s="3"/>
      <c r="AE826" s="3"/>
      <c r="AF826" s="3"/>
      <c r="AG826" s="3"/>
      <c r="AH826" s="3"/>
      <c r="AI826" s="3"/>
      <c r="AJ826" s="154" t="s">
        <v>70</v>
      </c>
      <c r="AN826" s="154" t="s">
        <v>70</v>
      </c>
    </row>
    <row r="827" ht="15.75" customHeight="1">
      <c r="J827" s="15"/>
      <c r="K827" s="238"/>
      <c r="L827" s="15"/>
      <c r="M827" s="15"/>
      <c r="N827" s="15"/>
      <c r="O827" s="15"/>
      <c r="P827" s="15"/>
      <c r="Q827" s="15"/>
      <c r="R827" s="15"/>
      <c r="S827" s="15"/>
      <c r="T827" s="15"/>
      <c r="U827" s="15"/>
      <c r="V827" s="15"/>
      <c r="W827" s="15"/>
      <c r="X827" s="14"/>
      <c r="Y827" s="14"/>
      <c r="Z827" s="15"/>
      <c r="AA827" s="15"/>
      <c r="AB827" s="3"/>
      <c r="AC827" s="3"/>
      <c r="AD827" s="3"/>
      <c r="AE827" s="3"/>
      <c r="AF827" s="3"/>
      <c r="AG827" s="3"/>
      <c r="AH827" s="3"/>
      <c r="AI827" s="3"/>
      <c r="AJ827" s="154" t="s">
        <v>70</v>
      </c>
      <c r="AN827" s="154" t="s">
        <v>70</v>
      </c>
    </row>
    <row r="828" ht="15.75" customHeight="1">
      <c r="J828" s="15"/>
      <c r="K828" s="238"/>
      <c r="L828" s="15"/>
      <c r="M828" s="15"/>
      <c r="N828" s="15"/>
      <c r="O828" s="15"/>
      <c r="P828" s="15"/>
      <c r="Q828" s="15"/>
      <c r="R828" s="15"/>
      <c r="S828" s="15"/>
      <c r="T828" s="15"/>
      <c r="U828" s="15"/>
      <c r="V828" s="15"/>
      <c r="W828" s="15"/>
      <c r="X828" s="14"/>
      <c r="Y828" s="14"/>
      <c r="Z828" s="15"/>
      <c r="AA828" s="15"/>
      <c r="AB828" s="3"/>
      <c r="AC828" s="3"/>
      <c r="AD828" s="3"/>
      <c r="AE828" s="3"/>
      <c r="AF828" s="3"/>
      <c r="AG828" s="3"/>
      <c r="AH828" s="3"/>
      <c r="AI828" s="3"/>
      <c r="AJ828" s="154" t="s">
        <v>70</v>
      </c>
      <c r="AN828" s="154" t="s">
        <v>70</v>
      </c>
    </row>
    <row r="829" ht="15.75" customHeight="1">
      <c r="J829" s="15"/>
      <c r="K829" s="238"/>
      <c r="L829" s="15"/>
      <c r="M829" s="15"/>
      <c r="N829" s="15"/>
      <c r="O829" s="15"/>
      <c r="P829" s="15"/>
      <c r="Q829" s="15"/>
      <c r="R829" s="15"/>
      <c r="S829" s="15"/>
      <c r="T829" s="15"/>
      <c r="U829" s="15"/>
      <c r="V829" s="15"/>
      <c r="W829" s="15"/>
      <c r="X829" s="14"/>
      <c r="Y829" s="14"/>
      <c r="Z829" s="15"/>
      <c r="AA829" s="15"/>
      <c r="AB829" s="3"/>
      <c r="AC829" s="3"/>
      <c r="AD829" s="3"/>
      <c r="AE829" s="3"/>
      <c r="AF829" s="3"/>
      <c r="AG829" s="3"/>
      <c r="AH829" s="3"/>
      <c r="AI829" s="3"/>
      <c r="AJ829" s="154" t="s">
        <v>70</v>
      </c>
      <c r="AN829" s="154" t="s">
        <v>70</v>
      </c>
    </row>
    <row r="830" ht="15.75" customHeight="1">
      <c r="J830" s="15"/>
      <c r="K830" s="238"/>
      <c r="L830" s="15"/>
      <c r="M830" s="15"/>
      <c r="N830" s="15"/>
      <c r="O830" s="15"/>
      <c r="P830" s="15"/>
      <c r="Q830" s="15"/>
      <c r="R830" s="15"/>
      <c r="S830" s="15"/>
      <c r="T830" s="15"/>
      <c r="U830" s="15"/>
      <c r="V830" s="15"/>
      <c r="W830" s="15"/>
      <c r="X830" s="14"/>
      <c r="Y830" s="14"/>
      <c r="Z830" s="15"/>
      <c r="AA830" s="15"/>
      <c r="AB830" s="3"/>
      <c r="AC830" s="3"/>
      <c r="AD830" s="3"/>
      <c r="AE830" s="3"/>
      <c r="AF830" s="3"/>
      <c r="AG830" s="3"/>
      <c r="AH830" s="3"/>
      <c r="AI830" s="3"/>
      <c r="AJ830" s="154" t="s">
        <v>70</v>
      </c>
      <c r="AN830" s="154" t="s">
        <v>70</v>
      </c>
    </row>
    <row r="831" ht="15.75" customHeight="1">
      <c r="J831" s="15"/>
      <c r="K831" s="238"/>
      <c r="L831" s="15"/>
      <c r="M831" s="15"/>
      <c r="N831" s="15"/>
      <c r="O831" s="15"/>
      <c r="P831" s="15"/>
      <c r="Q831" s="15"/>
      <c r="R831" s="15"/>
      <c r="S831" s="15"/>
      <c r="T831" s="15"/>
      <c r="U831" s="15"/>
      <c r="V831" s="15"/>
      <c r="W831" s="15"/>
      <c r="X831" s="14"/>
      <c r="Y831" s="14"/>
      <c r="Z831" s="15"/>
      <c r="AA831" s="15"/>
      <c r="AB831" s="3"/>
      <c r="AC831" s="3"/>
      <c r="AD831" s="3"/>
      <c r="AE831" s="3"/>
      <c r="AF831" s="3"/>
      <c r="AG831" s="3"/>
      <c r="AH831" s="3"/>
      <c r="AI831" s="3"/>
      <c r="AJ831" s="154" t="s">
        <v>70</v>
      </c>
      <c r="AN831" s="154" t="s">
        <v>70</v>
      </c>
    </row>
    <row r="832" ht="15.75" customHeight="1">
      <c r="J832" s="15"/>
      <c r="K832" s="238"/>
      <c r="L832" s="15"/>
      <c r="M832" s="15"/>
      <c r="N832" s="15"/>
      <c r="O832" s="15"/>
      <c r="P832" s="15"/>
      <c r="Q832" s="15"/>
      <c r="R832" s="15"/>
      <c r="S832" s="15"/>
      <c r="T832" s="15"/>
      <c r="U832" s="15"/>
      <c r="V832" s="15"/>
      <c r="W832" s="15"/>
      <c r="X832" s="14"/>
      <c r="Y832" s="14"/>
      <c r="Z832" s="15"/>
      <c r="AA832" s="15"/>
      <c r="AB832" s="3"/>
      <c r="AC832" s="3"/>
      <c r="AD832" s="3"/>
      <c r="AE832" s="3"/>
      <c r="AF832" s="3"/>
      <c r="AG832" s="3"/>
      <c r="AH832" s="3"/>
      <c r="AI832" s="3"/>
      <c r="AJ832" s="154" t="s">
        <v>70</v>
      </c>
      <c r="AN832" s="154" t="s">
        <v>70</v>
      </c>
    </row>
    <row r="833" ht="15.75" customHeight="1">
      <c r="J833" s="15"/>
      <c r="K833" s="238"/>
      <c r="L833" s="15"/>
      <c r="M833" s="15"/>
      <c r="N833" s="15"/>
      <c r="O833" s="15"/>
      <c r="P833" s="15"/>
      <c r="Q833" s="15"/>
      <c r="R833" s="15"/>
      <c r="S833" s="15"/>
      <c r="T833" s="15"/>
      <c r="U833" s="15"/>
      <c r="V833" s="15"/>
      <c r="W833" s="15"/>
      <c r="X833" s="14"/>
      <c r="Y833" s="14"/>
      <c r="Z833" s="15"/>
      <c r="AA833" s="15"/>
      <c r="AB833" s="3"/>
      <c r="AC833" s="3"/>
      <c r="AD833" s="3"/>
      <c r="AE833" s="3"/>
      <c r="AF833" s="3"/>
      <c r="AG833" s="3"/>
      <c r="AH833" s="3"/>
      <c r="AI833" s="3"/>
      <c r="AJ833" s="154" t="s">
        <v>70</v>
      </c>
      <c r="AN833" s="154" t="s">
        <v>70</v>
      </c>
    </row>
    <row r="834" ht="15.75" customHeight="1">
      <c r="J834" s="15"/>
      <c r="K834" s="238"/>
      <c r="L834" s="15"/>
      <c r="M834" s="15"/>
      <c r="N834" s="15"/>
      <c r="O834" s="15"/>
      <c r="P834" s="15"/>
      <c r="Q834" s="15"/>
      <c r="R834" s="15"/>
      <c r="S834" s="15"/>
      <c r="T834" s="15"/>
      <c r="U834" s="15"/>
      <c r="V834" s="15"/>
      <c r="W834" s="15"/>
      <c r="X834" s="14"/>
      <c r="Y834" s="14"/>
      <c r="Z834" s="15"/>
      <c r="AA834" s="15"/>
      <c r="AB834" s="3"/>
      <c r="AC834" s="3"/>
      <c r="AD834" s="3"/>
      <c r="AE834" s="3"/>
      <c r="AF834" s="3"/>
      <c r="AG834" s="3"/>
      <c r="AH834" s="3"/>
      <c r="AI834" s="3"/>
      <c r="AJ834" s="154" t="s">
        <v>70</v>
      </c>
      <c r="AN834" s="154" t="s">
        <v>70</v>
      </c>
    </row>
    <row r="835" ht="15.75" customHeight="1">
      <c r="J835" s="15"/>
      <c r="K835" s="238"/>
      <c r="L835" s="15"/>
      <c r="M835" s="15"/>
      <c r="N835" s="15"/>
      <c r="O835" s="15"/>
      <c r="P835" s="15"/>
      <c r="Q835" s="15"/>
      <c r="R835" s="15"/>
      <c r="S835" s="15"/>
      <c r="T835" s="15"/>
      <c r="U835" s="15"/>
      <c r="V835" s="15"/>
      <c r="W835" s="15"/>
      <c r="X835" s="14"/>
      <c r="Y835" s="14"/>
      <c r="Z835" s="15"/>
      <c r="AA835" s="15"/>
      <c r="AB835" s="3"/>
      <c r="AC835" s="3"/>
      <c r="AD835" s="3"/>
      <c r="AE835" s="3"/>
      <c r="AF835" s="3"/>
      <c r="AG835" s="3"/>
      <c r="AH835" s="3"/>
      <c r="AI835" s="3"/>
      <c r="AJ835" s="154" t="s">
        <v>70</v>
      </c>
      <c r="AN835" s="154" t="s">
        <v>70</v>
      </c>
    </row>
    <row r="836" ht="15.75" customHeight="1">
      <c r="J836" s="15"/>
      <c r="K836" s="238"/>
      <c r="L836" s="15"/>
      <c r="M836" s="15"/>
      <c r="N836" s="15"/>
      <c r="O836" s="15"/>
      <c r="P836" s="15"/>
      <c r="Q836" s="15"/>
      <c r="R836" s="15"/>
      <c r="S836" s="15"/>
      <c r="T836" s="15"/>
      <c r="U836" s="15"/>
      <c r="V836" s="15"/>
      <c r="W836" s="15"/>
      <c r="X836" s="14"/>
      <c r="Y836" s="14"/>
      <c r="Z836" s="15"/>
      <c r="AA836" s="15"/>
      <c r="AB836" s="3"/>
      <c r="AC836" s="3"/>
      <c r="AD836" s="3"/>
      <c r="AE836" s="3"/>
      <c r="AF836" s="3"/>
      <c r="AG836" s="3"/>
      <c r="AH836" s="3"/>
      <c r="AI836" s="3"/>
      <c r="AJ836" s="154" t="s">
        <v>70</v>
      </c>
      <c r="AN836" s="154" t="s">
        <v>70</v>
      </c>
    </row>
    <row r="837" ht="15.75" customHeight="1">
      <c r="J837" s="15"/>
      <c r="K837" s="238"/>
      <c r="L837" s="15"/>
      <c r="M837" s="15"/>
      <c r="N837" s="15"/>
      <c r="O837" s="15"/>
      <c r="P837" s="15"/>
      <c r="Q837" s="15"/>
      <c r="R837" s="15"/>
      <c r="S837" s="15"/>
      <c r="T837" s="15"/>
      <c r="U837" s="15"/>
      <c r="V837" s="15"/>
      <c r="W837" s="15"/>
      <c r="X837" s="14"/>
      <c r="Y837" s="14"/>
      <c r="Z837" s="15"/>
      <c r="AA837" s="15"/>
      <c r="AB837" s="3"/>
      <c r="AC837" s="3"/>
      <c r="AD837" s="3"/>
      <c r="AE837" s="3"/>
      <c r="AF837" s="3"/>
      <c r="AG837" s="3"/>
      <c r="AH837" s="3"/>
      <c r="AI837" s="3"/>
      <c r="AJ837" s="154" t="s">
        <v>70</v>
      </c>
      <c r="AN837" s="154" t="s">
        <v>70</v>
      </c>
    </row>
    <row r="838" ht="15.75" customHeight="1">
      <c r="J838" s="15"/>
      <c r="K838" s="238"/>
      <c r="L838" s="15"/>
      <c r="M838" s="15"/>
      <c r="N838" s="15"/>
      <c r="O838" s="15"/>
      <c r="P838" s="15"/>
      <c r="Q838" s="15"/>
      <c r="R838" s="15"/>
      <c r="S838" s="15"/>
      <c r="T838" s="15"/>
      <c r="U838" s="15"/>
      <c r="V838" s="15"/>
      <c r="W838" s="15"/>
      <c r="X838" s="14"/>
      <c r="Y838" s="14"/>
      <c r="Z838" s="15"/>
      <c r="AA838" s="15"/>
      <c r="AB838" s="3"/>
      <c r="AC838" s="3"/>
      <c r="AD838" s="3"/>
      <c r="AE838" s="3"/>
      <c r="AF838" s="3"/>
      <c r="AG838" s="3"/>
      <c r="AH838" s="3"/>
      <c r="AI838" s="3"/>
      <c r="AJ838" s="154" t="s">
        <v>70</v>
      </c>
      <c r="AN838" s="154" t="s">
        <v>70</v>
      </c>
    </row>
    <row r="839" ht="15.75" customHeight="1">
      <c r="J839" s="15"/>
      <c r="K839" s="238"/>
      <c r="L839" s="15"/>
      <c r="M839" s="15"/>
      <c r="N839" s="15"/>
      <c r="O839" s="15"/>
      <c r="P839" s="15"/>
      <c r="Q839" s="15"/>
      <c r="R839" s="15"/>
      <c r="S839" s="15"/>
      <c r="T839" s="15"/>
      <c r="U839" s="15"/>
      <c r="V839" s="15"/>
      <c r="W839" s="15"/>
      <c r="X839" s="14"/>
      <c r="Y839" s="14"/>
      <c r="Z839" s="15"/>
      <c r="AA839" s="15"/>
      <c r="AB839" s="3"/>
      <c r="AC839" s="3"/>
      <c r="AD839" s="3"/>
      <c r="AE839" s="3"/>
      <c r="AF839" s="3"/>
      <c r="AG839" s="3"/>
      <c r="AH839" s="3"/>
      <c r="AI839" s="3"/>
      <c r="AJ839" s="154" t="s">
        <v>70</v>
      </c>
      <c r="AN839" s="154" t="s">
        <v>70</v>
      </c>
    </row>
    <row r="840" ht="15.75" customHeight="1">
      <c r="J840" s="15"/>
      <c r="K840" s="238"/>
      <c r="L840" s="15"/>
      <c r="M840" s="15"/>
      <c r="N840" s="15"/>
      <c r="O840" s="15"/>
      <c r="P840" s="15"/>
      <c r="Q840" s="15"/>
      <c r="R840" s="15"/>
      <c r="S840" s="15"/>
      <c r="T840" s="15"/>
      <c r="U840" s="15"/>
      <c r="V840" s="15"/>
      <c r="W840" s="15"/>
      <c r="X840" s="14"/>
      <c r="Y840" s="14"/>
      <c r="Z840" s="15"/>
      <c r="AA840" s="15"/>
      <c r="AB840" s="3"/>
      <c r="AC840" s="3"/>
      <c r="AD840" s="3"/>
      <c r="AE840" s="3"/>
      <c r="AF840" s="3"/>
      <c r="AG840" s="3"/>
      <c r="AH840" s="3"/>
      <c r="AI840" s="3"/>
      <c r="AJ840" s="154" t="s">
        <v>70</v>
      </c>
      <c r="AN840" s="154" t="s">
        <v>70</v>
      </c>
    </row>
    <row r="841" ht="15.75" customHeight="1">
      <c r="J841" s="15"/>
      <c r="K841" s="238"/>
      <c r="L841" s="15"/>
      <c r="M841" s="15"/>
      <c r="N841" s="15"/>
      <c r="O841" s="15"/>
      <c r="P841" s="15"/>
      <c r="Q841" s="15"/>
      <c r="R841" s="15"/>
      <c r="S841" s="15"/>
      <c r="T841" s="15"/>
      <c r="U841" s="15"/>
      <c r="V841" s="15"/>
      <c r="W841" s="15"/>
      <c r="X841" s="14"/>
      <c r="Y841" s="14"/>
      <c r="Z841" s="15"/>
      <c r="AA841" s="15"/>
      <c r="AB841" s="3"/>
      <c r="AC841" s="3"/>
      <c r="AD841" s="3"/>
      <c r="AE841" s="3"/>
      <c r="AF841" s="3"/>
      <c r="AG841" s="3"/>
      <c r="AH841" s="3"/>
      <c r="AI841" s="3"/>
      <c r="AJ841" s="154" t="s">
        <v>70</v>
      </c>
      <c r="AN841" s="154" t="s">
        <v>70</v>
      </c>
    </row>
    <row r="842" ht="15.75" customHeight="1">
      <c r="J842" s="15"/>
      <c r="K842" s="238"/>
      <c r="L842" s="15"/>
      <c r="M842" s="15"/>
      <c r="N842" s="15"/>
      <c r="O842" s="15"/>
      <c r="P842" s="15"/>
      <c r="Q842" s="15"/>
      <c r="R842" s="15"/>
      <c r="S842" s="15"/>
      <c r="T842" s="15"/>
      <c r="U842" s="15"/>
      <c r="V842" s="15"/>
      <c r="W842" s="15"/>
      <c r="X842" s="14"/>
      <c r="Y842" s="14"/>
      <c r="Z842" s="15"/>
      <c r="AA842" s="15"/>
      <c r="AB842" s="3"/>
      <c r="AC842" s="3"/>
      <c r="AD842" s="3"/>
      <c r="AE842" s="3"/>
      <c r="AF842" s="3"/>
      <c r="AG842" s="3"/>
      <c r="AH842" s="3"/>
      <c r="AI842" s="3"/>
      <c r="AJ842" s="154" t="s">
        <v>70</v>
      </c>
      <c r="AN842" s="154" t="s">
        <v>70</v>
      </c>
    </row>
    <row r="843" ht="15.75" customHeight="1">
      <c r="J843" s="15"/>
      <c r="K843" s="238"/>
      <c r="L843" s="15"/>
      <c r="M843" s="15"/>
      <c r="N843" s="15"/>
      <c r="O843" s="15"/>
      <c r="P843" s="15"/>
      <c r="Q843" s="15"/>
      <c r="R843" s="15"/>
      <c r="S843" s="15"/>
      <c r="T843" s="15"/>
      <c r="U843" s="15"/>
      <c r="V843" s="15"/>
      <c r="W843" s="15"/>
      <c r="X843" s="14"/>
      <c r="Y843" s="14"/>
      <c r="Z843" s="15"/>
      <c r="AA843" s="15"/>
      <c r="AB843" s="3"/>
      <c r="AC843" s="3"/>
      <c r="AD843" s="3"/>
      <c r="AE843" s="3"/>
      <c r="AF843" s="3"/>
      <c r="AG843" s="3"/>
      <c r="AH843" s="3"/>
      <c r="AI843" s="3"/>
      <c r="AJ843" s="154" t="s">
        <v>70</v>
      </c>
      <c r="AN843" s="154" t="s">
        <v>70</v>
      </c>
    </row>
    <row r="844" ht="15.75" customHeight="1">
      <c r="J844" s="15"/>
      <c r="K844" s="238"/>
      <c r="L844" s="15"/>
      <c r="M844" s="15"/>
      <c r="N844" s="15"/>
      <c r="O844" s="15"/>
      <c r="P844" s="15"/>
      <c r="Q844" s="15"/>
      <c r="R844" s="15"/>
      <c r="S844" s="15"/>
      <c r="T844" s="15"/>
      <c r="U844" s="15"/>
      <c r="V844" s="15"/>
      <c r="W844" s="15"/>
      <c r="X844" s="14"/>
      <c r="Y844" s="14"/>
      <c r="Z844" s="15"/>
      <c r="AA844" s="15"/>
      <c r="AB844" s="3"/>
      <c r="AC844" s="3"/>
      <c r="AD844" s="3"/>
      <c r="AE844" s="3"/>
      <c r="AF844" s="3"/>
      <c r="AG844" s="3"/>
      <c r="AH844" s="3"/>
      <c r="AI844" s="3"/>
      <c r="AJ844" s="154" t="s">
        <v>70</v>
      </c>
      <c r="AN844" s="154" t="s">
        <v>70</v>
      </c>
    </row>
    <row r="845" ht="15.75" customHeight="1">
      <c r="J845" s="15"/>
      <c r="K845" s="238"/>
      <c r="L845" s="15"/>
      <c r="M845" s="15"/>
      <c r="N845" s="15"/>
      <c r="O845" s="15"/>
      <c r="P845" s="15"/>
      <c r="Q845" s="15"/>
      <c r="R845" s="15"/>
      <c r="S845" s="15"/>
      <c r="T845" s="15"/>
      <c r="U845" s="15"/>
      <c r="V845" s="15"/>
      <c r="W845" s="15"/>
      <c r="X845" s="14"/>
      <c r="Y845" s="14"/>
      <c r="Z845" s="15"/>
      <c r="AA845" s="15"/>
      <c r="AB845" s="3"/>
      <c r="AC845" s="3"/>
      <c r="AD845" s="3"/>
      <c r="AE845" s="3"/>
      <c r="AF845" s="3"/>
      <c r="AG845" s="3"/>
      <c r="AH845" s="3"/>
      <c r="AI845" s="3"/>
      <c r="AJ845" s="154" t="s">
        <v>70</v>
      </c>
      <c r="AN845" s="154" t="s">
        <v>70</v>
      </c>
    </row>
    <row r="846" ht="15.75" customHeight="1">
      <c r="J846" s="15"/>
      <c r="K846" s="238"/>
      <c r="L846" s="15"/>
      <c r="M846" s="15"/>
      <c r="N846" s="15"/>
      <c r="O846" s="15"/>
      <c r="P846" s="15"/>
      <c r="Q846" s="15"/>
      <c r="R846" s="15"/>
      <c r="S846" s="15"/>
      <c r="T846" s="15"/>
      <c r="U846" s="15"/>
      <c r="V846" s="15"/>
      <c r="W846" s="15"/>
      <c r="X846" s="14"/>
      <c r="Y846" s="14"/>
      <c r="Z846" s="15"/>
      <c r="AA846" s="15"/>
      <c r="AB846" s="3"/>
      <c r="AC846" s="3"/>
      <c r="AD846" s="3"/>
      <c r="AE846" s="3"/>
      <c r="AF846" s="3"/>
      <c r="AG846" s="3"/>
      <c r="AH846" s="3"/>
      <c r="AI846" s="3"/>
      <c r="AJ846" s="154" t="s">
        <v>70</v>
      </c>
      <c r="AN846" s="154" t="s">
        <v>70</v>
      </c>
    </row>
    <row r="847" ht="15.75" customHeight="1">
      <c r="J847" s="15"/>
      <c r="K847" s="238"/>
      <c r="L847" s="15"/>
      <c r="M847" s="15"/>
      <c r="N847" s="15"/>
      <c r="O847" s="15"/>
      <c r="P847" s="15"/>
      <c r="Q847" s="15"/>
      <c r="R847" s="15"/>
      <c r="S847" s="15"/>
      <c r="T847" s="15"/>
      <c r="U847" s="15"/>
      <c r="V847" s="15"/>
      <c r="W847" s="15"/>
      <c r="X847" s="14"/>
      <c r="Y847" s="14"/>
      <c r="Z847" s="15"/>
      <c r="AA847" s="15"/>
      <c r="AB847" s="3"/>
      <c r="AC847" s="3"/>
      <c r="AD847" s="3"/>
      <c r="AE847" s="3"/>
      <c r="AF847" s="3"/>
      <c r="AG847" s="3"/>
      <c r="AH847" s="3"/>
      <c r="AI847" s="3"/>
      <c r="AJ847" s="154" t="s">
        <v>70</v>
      </c>
      <c r="AN847" s="154" t="s">
        <v>70</v>
      </c>
    </row>
    <row r="848" ht="15.75" customHeight="1">
      <c r="J848" s="15"/>
      <c r="K848" s="238"/>
      <c r="L848" s="15"/>
      <c r="M848" s="15"/>
      <c r="N848" s="15"/>
      <c r="O848" s="15"/>
      <c r="P848" s="15"/>
      <c r="Q848" s="15"/>
      <c r="R848" s="15"/>
      <c r="S848" s="15"/>
      <c r="T848" s="15"/>
      <c r="U848" s="15"/>
      <c r="V848" s="15"/>
      <c r="W848" s="15"/>
      <c r="X848" s="14"/>
      <c r="Y848" s="14"/>
      <c r="Z848" s="15"/>
      <c r="AA848" s="15"/>
      <c r="AB848" s="3"/>
      <c r="AC848" s="3"/>
      <c r="AD848" s="3"/>
      <c r="AE848" s="3"/>
      <c r="AF848" s="3"/>
      <c r="AG848" s="3"/>
      <c r="AH848" s="3"/>
      <c r="AI848" s="3"/>
      <c r="AJ848" s="154" t="s">
        <v>70</v>
      </c>
      <c r="AN848" s="154" t="s">
        <v>70</v>
      </c>
    </row>
    <row r="849" ht="15.75" customHeight="1">
      <c r="J849" s="15"/>
      <c r="K849" s="238"/>
      <c r="L849" s="15"/>
      <c r="M849" s="15"/>
      <c r="N849" s="15"/>
      <c r="O849" s="15"/>
      <c r="P849" s="15"/>
      <c r="Q849" s="15"/>
      <c r="R849" s="15"/>
      <c r="S849" s="15"/>
      <c r="T849" s="15"/>
      <c r="U849" s="15"/>
      <c r="V849" s="15"/>
      <c r="W849" s="15"/>
      <c r="X849" s="14"/>
      <c r="Y849" s="14"/>
      <c r="Z849" s="15"/>
      <c r="AA849" s="15"/>
      <c r="AB849" s="3"/>
      <c r="AC849" s="3"/>
      <c r="AD849" s="3"/>
      <c r="AE849" s="3"/>
      <c r="AF849" s="3"/>
      <c r="AG849" s="3"/>
      <c r="AH849" s="3"/>
      <c r="AI849" s="3"/>
      <c r="AJ849" s="154" t="s">
        <v>70</v>
      </c>
      <c r="AN849" s="154" t="s">
        <v>70</v>
      </c>
    </row>
    <row r="850" ht="15.75" customHeight="1">
      <c r="J850" s="15"/>
      <c r="K850" s="238"/>
      <c r="L850" s="15"/>
      <c r="M850" s="15"/>
      <c r="N850" s="15"/>
      <c r="O850" s="15"/>
      <c r="P850" s="15"/>
      <c r="Q850" s="15"/>
      <c r="R850" s="15"/>
      <c r="S850" s="15"/>
      <c r="T850" s="15"/>
      <c r="U850" s="15"/>
      <c r="V850" s="15"/>
      <c r="W850" s="15"/>
      <c r="X850" s="14"/>
      <c r="Y850" s="14"/>
      <c r="Z850" s="15"/>
      <c r="AA850" s="15"/>
      <c r="AB850" s="3"/>
      <c r="AC850" s="3"/>
      <c r="AD850" s="3"/>
      <c r="AE850" s="3"/>
      <c r="AF850" s="3"/>
      <c r="AG850" s="3"/>
      <c r="AH850" s="3"/>
      <c r="AI850" s="3"/>
      <c r="AJ850" s="154" t="s">
        <v>70</v>
      </c>
      <c r="AN850" s="154" t="s">
        <v>70</v>
      </c>
    </row>
    <row r="851" ht="15.75" customHeight="1">
      <c r="J851" s="15"/>
      <c r="K851" s="238"/>
      <c r="L851" s="15"/>
      <c r="M851" s="15"/>
      <c r="N851" s="15"/>
      <c r="O851" s="15"/>
      <c r="P851" s="15"/>
      <c r="Q851" s="15"/>
      <c r="R851" s="15"/>
      <c r="S851" s="15"/>
      <c r="T851" s="15"/>
      <c r="U851" s="15"/>
      <c r="V851" s="15"/>
      <c r="W851" s="15"/>
      <c r="X851" s="14"/>
      <c r="Y851" s="14"/>
      <c r="Z851" s="15"/>
      <c r="AA851" s="15"/>
      <c r="AB851" s="3"/>
      <c r="AC851" s="3"/>
      <c r="AD851" s="3"/>
      <c r="AE851" s="3"/>
      <c r="AF851" s="3"/>
      <c r="AG851" s="3"/>
      <c r="AH851" s="3"/>
      <c r="AI851" s="3"/>
      <c r="AJ851" s="154" t="s">
        <v>70</v>
      </c>
      <c r="AN851" s="154" t="s">
        <v>70</v>
      </c>
    </row>
    <row r="852" ht="15.75" customHeight="1">
      <c r="J852" s="15"/>
      <c r="K852" s="238"/>
      <c r="L852" s="15"/>
      <c r="M852" s="15"/>
      <c r="N852" s="15"/>
      <c r="O852" s="15"/>
      <c r="P852" s="15"/>
      <c r="Q852" s="15"/>
      <c r="R852" s="15"/>
      <c r="S852" s="15"/>
      <c r="T852" s="15"/>
      <c r="U852" s="15"/>
      <c r="V852" s="15"/>
      <c r="W852" s="15"/>
      <c r="X852" s="14"/>
      <c r="Y852" s="14"/>
      <c r="Z852" s="15"/>
      <c r="AA852" s="15"/>
      <c r="AB852" s="3"/>
      <c r="AC852" s="3"/>
      <c r="AD852" s="3"/>
      <c r="AE852" s="3"/>
      <c r="AF852" s="3"/>
      <c r="AG852" s="3"/>
      <c r="AH852" s="3"/>
      <c r="AI852" s="3"/>
      <c r="AJ852" s="154" t="s">
        <v>70</v>
      </c>
      <c r="AN852" s="154" t="s">
        <v>70</v>
      </c>
    </row>
    <row r="853" ht="15.75" customHeight="1">
      <c r="J853" s="15"/>
      <c r="K853" s="238"/>
      <c r="L853" s="15"/>
      <c r="M853" s="15"/>
      <c r="N853" s="15"/>
      <c r="O853" s="15"/>
      <c r="P853" s="15"/>
      <c r="Q853" s="15"/>
      <c r="R853" s="15"/>
      <c r="S853" s="15"/>
      <c r="T853" s="15"/>
      <c r="U853" s="15"/>
      <c r="V853" s="15"/>
      <c r="W853" s="15"/>
      <c r="X853" s="14"/>
      <c r="Y853" s="14"/>
      <c r="Z853" s="15"/>
      <c r="AA853" s="15"/>
      <c r="AB853" s="3"/>
      <c r="AC853" s="3"/>
      <c r="AD853" s="3"/>
      <c r="AE853" s="3"/>
      <c r="AF853" s="3"/>
      <c r="AG853" s="3"/>
      <c r="AH853" s="3"/>
      <c r="AI853" s="3"/>
      <c r="AJ853" s="154" t="s">
        <v>70</v>
      </c>
      <c r="AN853" s="154" t="s">
        <v>70</v>
      </c>
    </row>
    <row r="854" ht="15.75" customHeight="1">
      <c r="J854" s="15"/>
      <c r="K854" s="238"/>
      <c r="L854" s="15"/>
      <c r="M854" s="15"/>
      <c r="N854" s="15"/>
      <c r="O854" s="15"/>
      <c r="P854" s="15"/>
      <c r="Q854" s="15"/>
      <c r="R854" s="15"/>
      <c r="S854" s="15"/>
      <c r="T854" s="15"/>
      <c r="U854" s="15"/>
      <c r="V854" s="15"/>
      <c r="W854" s="15"/>
      <c r="X854" s="14"/>
      <c r="Y854" s="14"/>
      <c r="Z854" s="15"/>
      <c r="AA854" s="15"/>
      <c r="AB854" s="3"/>
      <c r="AC854" s="3"/>
      <c r="AD854" s="3"/>
      <c r="AE854" s="3"/>
      <c r="AF854" s="3"/>
      <c r="AG854" s="3"/>
      <c r="AH854" s="3"/>
      <c r="AI854" s="3"/>
      <c r="AJ854" s="154" t="s">
        <v>70</v>
      </c>
      <c r="AN854" s="154" t="s">
        <v>70</v>
      </c>
    </row>
    <row r="855" ht="15.75" customHeight="1">
      <c r="J855" s="15"/>
      <c r="K855" s="238"/>
      <c r="L855" s="15"/>
      <c r="M855" s="15"/>
      <c r="N855" s="15"/>
      <c r="O855" s="15"/>
      <c r="P855" s="15"/>
      <c r="Q855" s="15"/>
      <c r="R855" s="15"/>
      <c r="S855" s="15"/>
      <c r="T855" s="15"/>
      <c r="U855" s="15"/>
      <c r="V855" s="15"/>
      <c r="W855" s="15"/>
      <c r="X855" s="14"/>
      <c r="Y855" s="14"/>
      <c r="Z855" s="15"/>
      <c r="AA855" s="15"/>
      <c r="AB855" s="3"/>
      <c r="AC855" s="3"/>
      <c r="AD855" s="3"/>
      <c r="AE855" s="3"/>
      <c r="AF855" s="3"/>
      <c r="AG855" s="3"/>
      <c r="AH855" s="3"/>
      <c r="AI855" s="3"/>
      <c r="AJ855" s="154" t="s">
        <v>70</v>
      </c>
      <c r="AN855" s="154" t="s">
        <v>70</v>
      </c>
    </row>
    <row r="856" ht="15.75" customHeight="1">
      <c r="J856" s="15"/>
      <c r="K856" s="238"/>
      <c r="L856" s="15"/>
      <c r="M856" s="15"/>
      <c r="N856" s="15"/>
      <c r="O856" s="15"/>
      <c r="P856" s="15"/>
      <c r="Q856" s="15"/>
      <c r="R856" s="15"/>
      <c r="S856" s="15"/>
      <c r="T856" s="15"/>
      <c r="U856" s="15"/>
      <c r="V856" s="15"/>
      <c r="W856" s="15"/>
      <c r="X856" s="14"/>
      <c r="Y856" s="14"/>
      <c r="Z856" s="15"/>
      <c r="AA856" s="15"/>
      <c r="AB856" s="3"/>
      <c r="AC856" s="3"/>
      <c r="AD856" s="3"/>
      <c r="AE856" s="3"/>
      <c r="AF856" s="3"/>
      <c r="AG856" s="3"/>
      <c r="AH856" s="3"/>
      <c r="AI856" s="3"/>
      <c r="AJ856" s="154" t="s">
        <v>70</v>
      </c>
      <c r="AN856" s="154" t="s">
        <v>70</v>
      </c>
    </row>
    <row r="857" ht="15.75" customHeight="1">
      <c r="J857" s="15"/>
      <c r="K857" s="238"/>
      <c r="L857" s="15"/>
      <c r="M857" s="15"/>
      <c r="N857" s="15"/>
      <c r="O857" s="15"/>
      <c r="P857" s="15"/>
      <c r="Q857" s="15"/>
      <c r="R857" s="15"/>
      <c r="S857" s="15"/>
      <c r="T857" s="15"/>
      <c r="U857" s="15"/>
      <c r="V857" s="15"/>
      <c r="W857" s="15"/>
      <c r="X857" s="14"/>
      <c r="Y857" s="14"/>
      <c r="Z857" s="15"/>
      <c r="AA857" s="15"/>
      <c r="AB857" s="3"/>
      <c r="AC857" s="3"/>
      <c r="AD857" s="3"/>
      <c r="AE857" s="3"/>
      <c r="AF857" s="3"/>
      <c r="AG857" s="3"/>
      <c r="AH857" s="3"/>
      <c r="AI857" s="3"/>
      <c r="AJ857" s="154" t="s">
        <v>70</v>
      </c>
      <c r="AN857" s="154" t="s">
        <v>70</v>
      </c>
    </row>
    <row r="858" ht="15.75" customHeight="1">
      <c r="J858" s="15"/>
      <c r="K858" s="238"/>
      <c r="L858" s="15"/>
      <c r="M858" s="15"/>
      <c r="N858" s="15"/>
      <c r="O858" s="15"/>
      <c r="P858" s="15"/>
      <c r="Q858" s="15"/>
      <c r="R858" s="15"/>
      <c r="S858" s="15"/>
      <c r="T858" s="15"/>
      <c r="U858" s="15"/>
      <c r="V858" s="15"/>
      <c r="W858" s="15"/>
      <c r="X858" s="14"/>
      <c r="Y858" s="14"/>
      <c r="Z858" s="15"/>
      <c r="AA858" s="15"/>
      <c r="AB858" s="3"/>
      <c r="AC858" s="3"/>
      <c r="AD858" s="3"/>
      <c r="AE858" s="3"/>
      <c r="AF858" s="3"/>
      <c r="AG858" s="3"/>
      <c r="AH858" s="3"/>
      <c r="AI858" s="3"/>
      <c r="AJ858" s="154" t="s">
        <v>70</v>
      </c>
      <c r="AN858" s="154" t="s">
        <v>70</v>
      </c>
    </row>
    <row r="859" ht="15.75" customHeight="1">
      <c r="J859" s="15"/>
      <c r="K859" s="238"/>
      <c r="L859" s="15"/>
      <c r="M859" s="15"/>
      <c r="N859" s="15"/>
      <c r="O859" s="15"/>
      <c r="P859" s="15"/>
      <c r="Q859" s="15"/>
      <c r="R859" s="15"/>
      <c r="S859" s="15"/>
      <c r="T859" s="15"/>
      <c r="U859" s="15"/>
      <c r="V859" s="15"/>
      <c r="W859" s="15"/>
      <c r="X859" s="14"/>
      <c r="Y859" s="14"/>
      <c r="Z859" s="15"/>
      <c r="AA859" s="15"/>
      <c r="AB859" s="3"/>
      <c r="AC859" s="3"/>
      <c r="AD859" s="3"/>
      <c r="AE859" s="3"/>
      <c r="AF859" s="3"/>
      <c r="AG859" s="3"/>
      <c r="AH859" s="3"/>
      <c r="AI859" s="3"/>
      <c r="AJ859" s="154" t="s">
        <v>70</v>
      </c>
      <c r="AN859" s="154" t="s">
        <v>70</v>
      </c>
    </row>
    <row r="860" ht="15.75" customHeight="1">
      <c r="J860" s="15"/>
      <c r="K860" s="238"/>
      <c r="L860" s="15"/>
      <c r="M860" s="15"/>
      <c r="N860" s="15"/>
      <c r="O860" s="15"/>
      <c r="P860" s="15"/>
      <c r="Q860" s="15"/>
      <c r="R860" s="15"/>
      <c r="S860" s="15"/>
      <c r="T860" s="15"/>
      <c r="U860" s="15"/>
      <c r="V860" s="15"/>
      <c r="W860" s="15"/>
      <c r="X860" s="14"/>
      <c r="Y860" s="14"/>
      <c r="Z860" s="15"/>
      <c r="AA860" s="15"/>
      <c r="AB860" s="3"/>
      <c r="AC860" s="3"/>
      <c r="AD860" s="3"/>
      <c r="AE860" s="3"/>
      <c r="AF860" s="3"/>
      <c r="AG860" s="3"/>
      <c r="AH860" s="3"/>
      <c r="AI860" s="3"/>
      <c r="AJ860" s="154" t="s">
        <v>70</v>
      </c>
      <c r="AN860" s="154" t="s">
        <v>70</v>
      </c>
    </row>
    <row r="861" ht="15.75" customHeight="1">
      <c r="J861" s="15"/>
      <c r="K861" s="238"/>
      <c r="L861" s="15"/>
      <c r="M861" s="15"/>
      <c r="N861" s="15"/>
      <c r="O861" s="15"/>
      <c r="P861" s="15"/>
      <c r="Q861" s="15"/>
      <c r="R861" s="15"/>
      <c r="S861" s="15"/>
      <c r="T861" s="15"/>
      <c r="U861" s="15"/>
      <c r="V861" s="15"/>
      <c r="W861" s="15"/>
      <c r="X861" s="14"/>
      <c r="Y861" s="14"/>
      <c r="Z861" s="15"/>
      <c r="AA861" s="15"/>
      <c r="AB861" s="3"/>
      <c r="AC861" s="3"/>
      <c r="AD861" s="3"/>
      <c r="AE861" s="3"/>
      <c r="AF861" s="3"/>
      <c r="AG861" s="3"/>
      <c r="AH861" s="3"/>
      <c r="AI861" s="3"/>
      <c r="AJ861" s="154" t="s">
        <v>70</v>
      </c>
      <c r="AN861" s="154" t="s">
        <v>70</v>
      </c>
    </row>
    <row r="862" ht="15.75" customHeight="1">
      <c r="J862" s="15"/>
      <c r="K862" s="238"/>
      <c r="L862" s="15"/>
      <c r="M862" s="15"/>
      <c r="N862" s="15"/>
      <c r="O862" s="15"/>
      <c r="P862" s="15"/>
      <c r="Q862" s="15"/>
      <c r="R862" s="15"/>
      <c r="S862" s="15"/>
      <c r="T862" s="15"/>
      <c r="U862" s="15"/>
      <c r="V862" s="15"/>
      <c r="W862" s="15"/>
      <c r="X862" s="14"/>
      <c r="Y862" s="14"/>
      <c r="Z862" s="15"/>
      <c r="AA862" s="15"/>
      <c r="AB862" s="3"/>
      <c r="AC862" s="3"/>
      <c r="AD862" s="3"/>
      <c r="AE862" s="3"/>
      <c r="AF862" s="3"/>
      <c r="AG862" s="3"/>
      <c r="AH862" s="3"/>
      <c r="AI862" s="3"/>
      <c r="AJ862" s="154" t="s">
        <v>70</v>
      </c>
      <c r="AN862" s="154" t="s">
        <v>70</v>
      </c>
    </row>
    <row r="863" ht="15.75" customHeight="1">
      <c r="J863" s="15"/>
      <c r="K863" s="238"/>
      <c r="L863" s="15"/>
      <c r="M863" s="15"/>
      <c r="N863" s="15"/>
      <c r="O863" s="15"/>
      <c r="P863" s="15"/>
      <c r="Q863" s="15"/>
      <c r="R863" s="15"/>
      <c r="S863" s="15"/>
      <c r="T863" s="15"/>
      <c r="U863" s="15"/>
      <c r="V863" s="15"/>
      <c r="W863" s="15"/>
      <c r="X863" s="14"/>
      <c r="Y863" s="14"/>
      <c r="Z863" s="15"/>
      <c r="AA863" s="15"/>
      <c r="AB863" s="3"/>
      <c r="AC863" s="3"/>
      <c r="AD863" s="3"/>
      <c r="AE863" s="3"/>
      <c r="AF863" s="3"/>
      <c r="AG863" s="3"/>
      <c r="AH863" s="3"/>
      <c r="AI863" s="3"/>
      <c r="AJ863" s="154" t="s">
        <v>70</v>
      </c>
      <c r="AN863" s="154" t="s">
        <v>70</v>
      </c>
    </row>
    <row r="864" ht="15.75" customHeight="1">
      <c r="J864" s="15"/>
      <c r="K864" s="238"/>
      <c r="L864" s="15"/>
      <c r="M864" s="15"/>
      <c r="N864" s="15"/>
      <c r="O864" s="15"/>
      <c r="P864" s="15"/>
      <c r="Q864" s="15"/>
      <c r="R864" s="15"/>
      <c r="S864" s="15"/>
      <c r="T864" s="15"/>
      <c r="U864" s="15"/>
      <c r="V864" s="15"/>
      <c r="W864" s="15"/>
      <c r="X864" s="14"/>
      <c r="Y864" s="14"/>
      <c r="Z864" s="15"/>
      <c r="AA864" s="15"/>
      <c r="AB864" s="3"/>
      <c r="AC864" s="3"/>
      <c r="AD864" s="3"/>
      <c r="AE864" s="3"/>
      <c r="AF864" s="3"/>
      <c r="AG864" s="3"/>
      <c r="AH864" s="3"/>
      <c r="AI864" s="3"/>
      <c r="AJ864" s="154" t="s">
        <v>70</v>
      </c>
      <c r="AN864" s="154" t="s">
        <v>70</v>
      </c>
    </row>
    <row r="865" ht="15.75" customHeight="1">
      <c r="J865" s="15"/>
      <c r="K865" s="238"/>
      <c r="L865" s="15"/>
      <c r="M865" s="15"/>
      <c r="N865" s="15"/>
      <c r="O865" s="15"/>
      <c r="P865" s="15"/>
      <c r="Q865" s="15"/>
      <c r="R865" s="15"/>
      <c r="S865" s="15"/>
      <c r="T865" s="15"/>
      <c r="U865" s="15"/>
      <c r="V865" s="15"/>
      <c r="W865" s="15"/>
      <c r="X865" s="14"/>
      <c r="Y865" s="14"/>
      <c r="Z865" s="15"/>
      <c r="AA865" s="15"/>
      <c r="AB865" s="3"/>
      <c r="AC865" s="3"/>
      <c r="AD865" s="3"/>
      <c r="AE865" s="3"/>
      <c r="AF865" s="3"/>
      <c r="AG865" s="3"/>
      <c r="AH865" s="3"/>
      <c r="AI865" s="3"/>
      <c r="AJ865" s="154" t="s">
        <v>70</v>
      </c>
      <c r="AN865" s="154" t="s">
        <v>70</v>
      </c>
    </row>
    <row r="866" ht="15.75" customHeight="1">
      <c r="J866" s="15"/>
      <c r="K866" s="238"/>
      <c r="L866" s="15"/>
      <c r="M866" s="15"/>
      <c r="N866" s="15"/>
      <c r="O866" s="15"/>
      <c r="P866" s="15"/>
      <c r="Q866" s="15"/>
      <c r="R866" s="15"/>
      <c r="S866" s="15"/>
      <c r="T866" s="15"/>
      <c r="U866" s="15"/>
      <c r="V866" s="15"/>
      <c r="W866" s="15"/>
      <c r="X866" s="14"/>
      <c r="Y866" s="14"/>
      <c r="Z866" s="15"/>
      <c r="AA866" s="15"/>
      <c r="AB866" s="3"/>
      <c r="AC866" s="3"/>
      <c r="AD866" s="3"/>
      <c r="AE866" s="3"/>
      <c r="AF866" s="3"/>
      <c r="AG866" s="3"/>
      <c r="AH866" s="3"/>
      <c r="AI866" s="3"/>
      <c r="AJ866" s="154" t="s">
        <v>70</v>
      </c>
      <c r="AN866" s="154" t="s">
        <v>70</v>
      </c>
    </row>
    <row r="867" ht="15.75" customHeight="1">
      <c r="J867" s="15"/>
      <c r="K867" s="238"/>
      <c r="L867" s="15"/>
      <c r="M867" s="15"/>
      <c r="N867" s="15"/>
      <c r="O867" s="15"/>
      <c r="P867" s="15"/>
      <c r="Q867" s="15"/>
      <c r="R867" s="15"/>
      <c r="S867" s="15"/>
      <c r="T867" s="15"/>
      <c r="U867" s="15"/>
      <c r="V867" s="15"/>
      <c r="W867" s="15"/>
      <c r="X867" s="14"/>
      <c r="Y867" s="14"/>
      <c r="Z867" s="15"/>
      <c r="AA867" s="15"/>
      <c r="AB867" s="3"/>
      <c r="AC867" s="3"/>
      <c r="AD867" s="3"/>
      <c r="AE867" s="3"/>
      <c r="AF867" s="3"/>
      <c r="AG867" s="3"/>
      <c r="AH867" s="3"/>
      <c r="AI867" s="3"/>
      <c r="AJ867" s="154" t="s">
        <v>70</v>
      </c>
      <c r="AN867" s="154" t="s">
        <v>70</v>
      </c>
    </row>
    <row r="868" ht="15.75" customHeight="1">
      <c r="J868" s="15"/>
      <c r="K868" s="238"/>
      <c r="L868" s="15"/>
      <c r="M868" s="15"/>
      <c r="N868" s="15"/>
      <c r="O868" s="15"/>
      <c r="P868" s="15"/>
      <c r="Q868" s="15"/>
      <c r="R868" s="15"/>
      <c r="S868" s="15"/>
      <c r="T868" s="15"/>
      <c r="U868" s="15"/>
      <c r="V868" s="15"/>
      <c r="W868" s="15"/>
      <c r="X868" s="14"/>
      <c r="Y868" s="14"/>
      <c r="Z868" s="15"/>
      <c r="AA868" s="15"/>
      <c r="AB868" s="3"/>
      <c r="AC868" s="3"/>
      <c r="AD868" s="3"/>
      <c r="AE868" s="3"/>
      <c r="AF868" s="3"/>
      <c r="AG868" s="3"/>
      <c r="AH868" s="3"/>
      <c r="AI868" s="3"/>
      <c r="AJ868" s="154" t="s">
        <v>70</v>
      </c>
      <c r="AN868" s="154" t="s">
        <v>70</v>
      </c>
    </row>
    <row r="869" ht="15.75" customHeight="1">
      <c r="J869" s="15"/>
      <c r="K869" s="238"/>
      <c r="L869" s="15"/>
      <c r="M869" s="15"/>
      <c r="N869" s="15"/>
      <c r="O869" s="15"/>
      <c r="P869" s="15"/>
      <c r="Q869" s="15"/>
      <c r="R869" s="15"/>
      <c r="S869" s="15"/>
      <c r="T869" s="15"/>
      <c r="U869" s="15"/>
      <c r="V869" s="15"/>
      <c r="W869" s="15"/>
      <c r="X869" s="14"/>
      <c r="Y869" s="14"/>
      <c r="Z869" s="15"/>
      <c r="AA869" s="15"/>
      <c r="AB869" s="3"/>
      <c r="AC869" s="3"/>
      <c r="AD869" s="3"/>
      <c r="AE869" s="3"/>
      <c r="AF869" s="3"/>
      <c r="AG869" s="3"/>
      <c r="AH869" s="3"/>
      <c r="AI869" s="3"/>
      <c r="AJ869" s="154" t="s">
        <v>70</v>
      </c>
      <c r="AN869" s="154" t="s">
        <v>70</v>
      </c>
    </row>
    <row r="870" ht="15.75" customHeight="1">
      <c r="J870" s="15"/>
      <c r="K870" s="238"/>
      <c r="L870" s="15"/>
      <c r="M870" s="15"/>
      <c r="N870" s="15"/>
      <c r="O870" s="15"/>
      <c r="P870" s="15"/>
      <c r="Q870" s="15"/>
      <c r="R870" s="15"/>
      <c r="S870" s="15"/>
      <c r="T870" s="15"/>
      <c r="U870" s="15"/>
      <c r="V870" s="15"/>
      <c r="W870" s="15"/>
      <c r="X870" s="14"/>
      <c r="Y870" s="14"/>
      <c r="Z870" s="15"/>
      <c r="AA870" s="15"/>
      <c r="AB870" s="3"/>
      <c r="AC870" s="3"/>
      <c r="AD870" s="3"/>
      <c r="AE870" s="3"/>
      <c r="AF870" s="3"/>
      <c r="AG870" s="3"/>
      <c r="AH870" s="3"/>
      <c r="AI870" s="3"/>
      <c r="AJ870" s="154" t="s">
        <v>70</v>
      </c>
      <c r="AN870" s="154" t="s">
        <v>70</v>
      </c>
    </row>
    <row r="871" ht="15.75" customHeight="1">
      <c r="J871" s="15"/>
      <c r="K871" s="238"/>
      <c r="L871" s="15"/>
      <c r="M871" s="15"/>
      <c r="N871" s="15"/>
      <c r="O871" s="15"/>
      <c r="P871" s="15"/>
      <c r="Q871" s="15"/>
      <c r="R871" s="15"/>
      <c r="S871" s="15"/>
      <c r="T871" s="15"/>
      <c r="U871" s="15"/>
      <c r="V871" s="15"/>
      <c r="W871" s="15"/>
      <c r="X871" s="14"/>
      <c r="Y871" s="14"/>
      <c r="Z871" s="15"/>
      <c r="AA871" s="15"/>
      <c r="AB871" s="3"/>
      <c r="AC871" s="3"/>
      <c r="AD871" s="3"/>
      <c r="AE871" s="3"/>
      <c r="AF871" s="3"/>
      <c r="AG871" s="3"/>
      <c r="AH871" s="3"/>
      <c r="AI871" s="3"/>
      <c r="AJ871" s="154" t="s">
        <v>70</v>
      </c>
      <c r="AN871" s="154" t="s">
        <v>70</v>
      </c>
    </row>
    <row r="872" ht="15.75" customHeight="1">
      <c r="J872" s="15"/>
      <c r="K872" s="238"/>
      <c r="L872" s="15"/>
      <c r="M872" s="15"/>
      <c r="N872" s="15"/>
      <c r="O872" s="15"/>
      <c r="P872" s="15"/>
      <c r="Q872" s="15"/>
      <c r="R872" s="15"/>
      <c r="S872" s="15"/>
      <c r="T872" s="15"/>
      <c r="U872" s="15"/>
      <c r="V872" s="15"/>
      <c r="W872" s="15"/>
      <c r="X872" s="14"/>
      <c r="Y872" s="14"/>
      <c r="Z872" s="15"/>
      <c r="AA872" s="15"/>
      <c r="AB872" s="3"/>
      <c r="AC872" s="3"/>
      <c r="AD872" s="3"/>
      <c r="AE872" s="3"/>
      <c r="AF872" s="3"/>
      <c r="AG872" s="3"/>
      <c r="AH872" s="3"/>
      <c r="AI872" s="3"/>
      <c r="AJ872" s="154" t="s">
        <v>70</v>
      </c>
      <c r="AN872" s="154" t="s">
        <v>70</v>
      </c>
    </row>
    <row r="873" ht="15.75" customHeight="1">
      <c r="J873" s="15"/>
      <c r="K873" s="238"/>
      <c r="L873" s="15"/>
      <c r="M873" s="15"/>
      <c r="N873" s="15"/>
      <c r="O873" s="15"/>
      <c r="P873" s="15"/>
      <c r="Q873" s="15"/>
      <c r="R873" s="15"/>
      <c r="S873" s="15"/>
      <c r="T873" s="15"/>
      <c r="U873" s="15"/>
      <c r="V873" s="15"/>
      <c r="W873" s="15"/>
      <c r="X873" s="14"/>
      <c r="Y873" s="14"/>
      <c r="Z873" s="15"/>
      <c r="AA873" s="15"/>
      <c r="AB873" s="3"/>
      <c r="AC873" s="3"/>
      <c r="AD873" s="3"/>
      <c r="AE873" s="3"/>
      <c r="AF873" s="3"/>
      <c r="AG873" s="3"/>
      <c r="AH873" s="3"/>
      <c r="AI873" s="3"/>
      <c r="AJ873" s="154" t="s">
        <v>70</v>
      </c>
      <c r="AN873" s="154" t="s">
        <v>70</v>
      </c>
    </row>
    <row r="874" ht="15.75" customHeight="1">
      <c r="J874" s="15"/>
      <c r="K874" s="238"/>
      <c r="L874" s="15"/>
      <c r="M874" s="15"/>
      <c r="N874" s="15"/>
      <c r="O874" s="15"/>
      <c r="P874" s="15"/>
      <c r="Q874" s="15"/>
      <c r="R874" s="15"/>
      <c r="S874" s="15"/>
      <c r="T874" s="15"/>
      <c r="U874" s="15"/>
      <c r="V874" s="15"/>
      <c r="W874" s="15"/>
      <c r="X874" s="14"/>
      <c r="Y874" s="14"/>
      <c r="Z874" s="15"/>
      <c r="AA874" s="15"/>
      <c r="AB874" s="3"/>
      <c r="AC874" s="3"/>
      <c r="AD874" s="3"/>
      <c r="AE874" s="3"/>
      <c r="AF874" s="3"/>
      <c r="AG874" s="3"/>
      <c r="AH874" s="3"/>
      <c r="AI874" s="3"/>
      <c r="AJ874" s="154" t="s">
        <v>70</v>
      </c>
      <c r="AN874" s="154" t="s">
        <v>70</v>
      </c>
    </row>
    <row r="875" ht="15.75" customHeight="1">
      <c r="J875" s="15"/>
      <c r="K875" s="238"/>
      <c r="L875" s="15"/>
      <c r="M875" s="15"/>
      <c r="N875" s="15"/>
      <c r="O875" s="15"/>
      <c r="P875" s="15"/>
      <c r="Q875" s="15"/>
      <c r="R875" s="15"/>
      <c r="S875" s="15"/>
      <c r="T875" s="15"/>
      <c r="U875" s="15"/>
      <c r="V875" s="15"/>
      <c r="W875" s="15"/>
      <c r="X875" s="14"/>
      <c r="Y875" s="14"/>
      <c r="Z875" s="15"/>
      <c r="AA875" s="15"/>
      <c r="AB875" s="3"/>
      <c r="AC875" s="3"/>
      <c r="AD875" s="3"/>
      <c r="AE875" s="3"/>
      <c r="AF875" s="3"/>
      <c r="AG875" s="3"/>
      <c r="AH875" s="3"/>
      <c r="AI875" s="3"/>
      <c r="AJ875" s="154" t="s">
        <v>70</v>
      </c>
      <c r="AN875" s="154" t="s">
        <v>70</v>
      </c>
    </row>
    <row r="876" ht="15.75" customHeight="1">
      <c r="J876" s="15"/>
      <c r="K876" s="238"/>
      <c r="L876" s="15"/>
      <c r="M876" s="15"/>
      <c r="N876" s="15"/>
      <c r="O876" s="15"/>
      <c r="P876" s="15"/>
      <c r="Q876" s="15"/>
      <c r="R876" s="15"/>
      <c r="S876" s="15"/>
      <c r="T876" s="15"/>
      <c r="U876" s="15"/>
      <c r="V876" s="15"/>
      <c r="W876" s="15"/>
      <c r="X876" s="14"/>
      <c r="Y876" s="14"/>
      <c r="Z876" s="15"/>
      <c r="AA876" s="15"/>
      <c r="AB876" s="3"/>
      <c r="AC876" s="3"/>
      <c r="AD876" s="3"/>
      <c r="AE876" s="3"/>
      <c r="AF876" s="3"/>
      <c r="AG876" s="3"/>
      <c r="AH876" s="3"/>
      <c r="AI876" s="3"/>
      <c r="AJ876" s="154" t="s">
        <v>70</v>
      </c>
      <c r="AN876" s="154" t="s">
        <v>70</v>
      </c>
    </row>
    <row r="877" ht="15.75" customHeight="1">
      <c r="J877" s="15"/>
      <c r="K877" s="238"/>
      <c r="L877" s="15"/>
      <c r="M877" s="15"/>
      <c r="N877" s="15"/>
      <c r="O877" s="15"/>
      <c r="P877" s="15"/>
      <c r="Q877" s="15"/>
      <c r="R877" s="15"/>
      <c r="S877" s="15"/>
      <c r="T877" s="15"/>
      <c r="U877" s="15"/>
      <c r="V877" s="15"/>
      <c r="W877" s="15"/>
      <c r="X877" s="14"/>
      <c r="Y877" s="14"/>
      <c r="Z877" s="15"/>
      <c r="AA877" s="15"/>
      <c r="AB877" s="3"/>
      <c r="AC877" s="3"/>
      <c r="AD877" s="3"/>
      <c r="AE877" s="3"/>
      <c r="AF877" s="3"/>
      <c r="AG877" s="3"/>
      <c r="AH877" s="3"/>
      <c r="AI877" s="3"/>
      <c r="AJ877" s="154" t="s">
        <v>70</v>
      </c>
      <c r="AN877" s="154" t="s">
        <v>70</v>
      </c>
    </row>
    <row r="878" ht="15.75" customHeight="1">
      <c r="J878" s="15"/>
      <c r="K878" s="238"/>
      <c r="L878" s="15"/>
      <c r="M878" s="15"/>
      <c r="N878" s="15"/>
      <c r="O878" s="15"/>
      <c r="P878" s="15"/>
      <c r="Q878" s="15"/>
      <c r="R878" s="15"/>
      <c r="S878" s="15"/>
      <c r="T878" s="15"/>
      <c r="U878" s="15"/>
      <c r="V878" s="15"/>
      <c r="W878" s="15"/>
      <c r="X878" s="14"/>
      <c r="Y878" s="14"/>
      <c r="Z878" s="15"/>
      <c r="AA878" s="15"/>
      <c r="AB878" s="3"/>
      <c r="AC878" s="3"/>
      <c r="AD878" s="3"/>
      <c r="AE878" s="3"/>
      <c r="AF878" s="3"/>
      <c r="AG878" s="3"/>
      <c r="AH878" s="3"/>
      <c r="AI878" s="3"/>
      <c r="AJ878" s="154" t="s">
        <v>70</v>
      </c>
      <c r="AN878" s="154" t="s">
        <v>70</v>
      </c>
    </row>
    <row r="879" ht="15.75" customHeight="1">
      <c r="J879" s="15"/>
      <c r="K879" s="238"/>
      <c r="L879" s="15"/>
      <c r="M879" s="15"/>
      <c r="N879" s="15"/>
      <c r="O879" s="15"/>
      <c r="P879" s="15"/>
      <c r="Q879" s="15"/>
      <c r="R879" s="15"/>
      <c r="S879" s="15"/>
      <c r="T879" s="15"/>
      <c r="U879" s="15"/>
      <c r="V879" s="15"/>
      <c r="W879" s="15"/>
      <c r="X879" s="14"/>
      <c r="Y879" s="14"/>
      <c r="Z879" s="15"/>
      <c r="AA879" s="15"/>
      <c r="AB879" s="3"/>
      <c r="AC879" s="3"/>
      <c r="AD879" s="3"/>
      <c r="AE879" s="3"/>
      <c r="AF879" s="3"/>
      <c r="AG879" s="3"/>
      <c r="AH879" s="3"/>
      <c r="AI879" s="3"/>
      <c r="AJ879" s="154" t="s">
        <v>70</v>
      </c>
      <c r="AN879" s="154" t="s">
        <v>70</v>
      </c>
    </row>
    <row r="880" ht="15.75" customHeight="1">
      <c r="J880" s="15"/>
      <c r="K880" s="238"/>
      <c r="L880" s="15"/>
      <c r="M880" s="15"/>
      <c r="N880" s="15"/>
      <c r="O880" s="15"/>
      <c r="P880" s="15"/>
      <c r="Q880" s="15"/>
      <c r="R880" s="15"/>
      <c r="S880" s="15"/>
      <c r="T880" s="15"/>
      <c r="U880" s="15"/>
      <c r="V880" s="15"/>
      <c r="W880" s="15"/>
      <c r="X880" s="14"/>
      <c r="Y880" s="14"/>
      <c r="Z880" s="15"/>
      <c r="AA880" s="15"/>
      <c r="AB880" s="3"/>
      <c r="AC880" s="3"/>
      <c r="AD880" s="3"/>
      <c r="AE880" s="3"/>
      <c r="AF880" s="3"/>
      <c r="AG880" s="3"/>
      <c r="AH880" s="3"/>
      <c r="AI880" s="3"/>
      <c r="AJ880" s="154" t="s">
        <v>70</v>
      </c>
      <c r="AN880" s="154" t="s">
        <v>70</v>
      </c>
    </row>
    <row r="881" ht="15.75" customHeight="1">
      <c r="J881" s="15"/>
      <c r="K881" s="238"/>
      <c r="L881" s="15"/>
      <c r="M881" s="15"/>
      <c r="N881" s="15"/>
      <c r="O881" s="15"/>
      <c r="P881" s="15"/>
      <c r="Q881" s="15"/>
      <c r="R881" s="15"/>
      <c r="S881" s="15"/>
      <c r="T881" s="15"/>
      <c r="U881" s="15"/>
      <c r="V881" s="15"/>
      <c r="W881" s="15"/>
      <c r="X881" s="14"/>
      <c r="Y881" s="14"/>
      <c r="Z881" s="15"/>
      <c r="AA881" s="15"/>
      <c r="AB881" s="3"/>
      <c r="AC881" s="3"/>
      <c r="AD881" s="3"/>
      <c r="AE881" s="3"/>
      <c r="AF881" s="3"/>
      <c r="AG881" s="3"/>
      <c r="AH881" s="3"/>
      <c r="AI881" s="3"/>
      <c r="AJ881" s="154" t="s">
        <v>70</v>
      </c>
      <c r="AN881" s="154" t="s">
        <v>70</v>
      </c>
    </row>
    <row r="882" ht="15.75" customHeight="1">
      <c r="J882" s="15"/>
      <c r="K882" s="238"/>
      <c r="L882" s="15"/>
      <c r="M882" s="15"/>
      <c r="N882" s="15"/>
      <c r="O882" s="15"/>
      <c r="P882" s="15"/>
      <c r="Q882" s="15"/>
      <c r="R882" s="15"/>
      <c r="S882" s="15"/>
      <c r="T882" s="15"/>
      <c r="U882" s="15"/>
      <c r="V882" s="15"/>
      <c r="W882" s="15"/>
      <c r="X882" s="14"/>
      <c r="Y882" s="14"/>
      <c r="Z882" s="15"/>
      <c r="AA882" s="15"/>
      <c r="AB882" s="3"/>
      <c r="AC882" s="3"/>
      <c r="AD882" s="3"/>
      <c r="AE882" s="3"/>
      <c r="AF882" s="3"/>
      <c r="AG882" s="3"/>
      <c r="AH882" s="3"/>
      <c r="AI882" s="3"/>
      <c r="AJ882" s="154" t="s">
        <v>70</v>
      </c>
      <c r="AN882" s="154" t="s">
        <v>70</v>
      </c>
    </row>
    <row r="883" ht="15.75" customHeight="1">
      <c r="J883" s="15"/>
      <c r="K883" s="238"/>
      <c r="L883" s="15"/>
      <c r="M883" s="15"/>
      <c r="N883" s="15"/>
      <c r="O883" s="15"/>
      <c r="P883" s="15"/>
      <c r="Q883" s="15"/>
      <c r="R883" s="15"/>
      <c r="S883" s="15"/>
      <c r="T883" s="15"/>
      <c r="U883" s="15"/>
      <c r="V883" s="15"/>
      <c r="W883" s="15"/>
      <c r="X883" s="14"/>
      <c r="Y883" s="14"/>
      <c r="Z883" s="15"/>
      <c r="AA883" s="15"/>
      <c r="AB883" s="3"/>
      <c r="AC883" s="3"/>
      <c r="AD883" s="3"/>
      <c r="AE883" s="3"/>
      <c r="AF883" s="3"/>
      <c r="AG883" s="3"/>
      <c r="AH883" s="3"/>
      <c r="AI883" s="3"/>
      <c r="AJ883" s="154" t="s">
        <v>70</v>
      </c>
      <c r="AN883" s="154" t="s">
        <v>70</v>
      </c>
    </row>
    <row r="884" ht="15.75" customHeight="1">
      <c r="J884" s="15"/>
      <c r="K884" s="238"/>
      <c r="L884" s="15"/>
      <c r="M884" s="15"/>
      <c r="N884" s="15"/>
      <c r="O884" s="15"/>
      <c r="P884" s="15"/>
      <c r="Q884" s="15"/>
      <c r="R884" s="15"/>
      <c r="S884" s="15"/>
      <c r="T884" s="15"/>
      <c r="U884" s="15"/>
      <c r="V884" s="15"/>
      <c r="W884" s="15"/>
      <c r="X884" s="14"/>
      <c r="Y884" s="14"/>
      <c r="Z884" s="15"/>
      <c r="AA884" s="15"/>
      <c r="AB884" s="3"/>
      <c r="AC884" s="3"/>
      <c r="AD884" s="3"/>
      <c r="AE884" s="3"/>
      <c r="AF884" s="3"/>
      <c r="AG884" s="3"/>
      <c r="AH884" s="3"/>
      <c r="AI884" s="3"/>
      <c r="AJ884" s="154" t="s">
        <v>70</v>
      </c>
      <c r="AN884" s="154" t="s">
        <v>70</v>
      </c>
    </row>
    <row r="885" ht="15.75" customHeight="1">
      <c r="J885" s="15"/>
      <c r="K885" s="238"/>
      <c r="L885" s="15"/>
      <c r="M885" s="15"/>
      <c r="N885" s="15"/>
      <c r="O885" s="15"/>
      <c r="P885" s="15"/>
      <c r="Q885" s="15"/>
      <c r="R885" s="15"/>
      <c r="S885" s="15"/>
      <c r="T885" s="15"/>
      <c r="U885" s="15"/>
      <c r="V885" s="15"/>
      <c r="W885" s="15"/>
      <c r="X885" s="14"/>
      <c r="Y885" s="14"/>
      <c r="Z885" s="15"/>
      <c r="AA885" s="15"/>
      <c r="AB885" s="3"/>
      <c r="AC885" s="3"/>
      <c r="AD885" s="3"/>
      <c r="AE885" s="3"/>
      <c r="AF885" s="3"/>
      <c r="AG885" s="3"/>
      <c r="AH885" s="3"/>
      <c r="AI885" s="3"/>
      <c r="AJ885" s="154" t="s">
        <v>70</v>
      </c>
      <c r="AN885" s="154" t="s">
        <v>70</v>
      </c>
    </row>
    <row r="886" ht="15.75" customHeight="1">
      <c r="J886" s="15"/>
      <c r="K886" s="238"/>
      <c r="L886" s="15"/>
      <c r="M886" s="15"/>
      <c r="N886" s="15"/>
      <c r="O886" s="15"/>
      <c r="P886" s="15"/>
      <c r="Q886" s="15"/>
      <c r="R886" s="15"/>
      <c r="S886" s="15"/>
      <c r="T886" s="15"/>
      <c r="U886" s="15"/>
      <c r="V886" s="15"/>
      <c r="W886" s="15"/>
      <c r="X886" s="14"/>
      <c r="Y886" s="14"/>
      <c r="Z886" s="15"/>
      <c r="AA886" s="15"/>
      <c r="AB886" s="3"/>
      <c r="AC886" s="3"/>
      <c r="AD886" s="3"/>
      <c r="AE886" s="3"/>
      <c r="AF886" s="3"/>
      <c r="AG886" s="3"/>
      <c r="AH886" s="3"/>
      <c r="AI886" s="3"/>
      <c r="AJ886" s="154" t="s">
        <v>70</v>
      </c>
      <c r="AN886" s="154" t="s">
        <v>70</v>
      </c>
    </row>
    <row r="887" ht="15.75" customHeight="1">
      <c r="J887" s="15"/>
      <c r="K887" s="238"/>
      <c r="L887" s="15"/>
      <c r="M887" s="15"/>
      <c r="N887" s="15"/>
      <c r="O887" s="15"/>
      <c r="P887" s="15"/>
      <c r="Q887" s="15"/>
      <c r="R887" s="15"/>
      <c r="S887" s="15"/>
      <c r="T887" s="15"/>
      <c r="U887" s="15"/>
      <c r="V887" s="15"/>
      <c r="W887" s="15"/>
      <c r="X887" s="14"/>
      <c r="Y887" s="14"/>
      <c r="Z887" s="15"/>
      <c r="AA887" s="15"/>
      <c r="AB887" s="3"/>
      <c r="AC887" s="3"/>
      <c r="AD887" s="3"/>
      <c r="AE887" s="3"/>
      <c r="AF887" s="3"/>
      <c r="AG887" s="3"/>
      <c r="AH887" s="3"/>
      <c r="AI887" s="3"/>
      <c r="AJ887" s="154" t="s">
        <v>70</v>
      </c>
      <c r="AN887" s="154" t="s">
        <v>70</v>
      </c>
    </row>
    <row r="888" ht="15.75" customHeight="1">
      <c r="J888" s="15"/>
      <c r="K888" s="238"/>
      <c r="L888" s="15"/>
      <c r="M888" s="15"/>
      <c r="N888" s="15"/>
      <c r="O888" s="15"/>
      <c r="P888" s="15"/>
      <c r="Q888" s="15"/>
      <c r="R888" s="15"/>
      <c r="S888" s="15"/>
      <c r="T888" s="15"/>
      <c r="U888" s="15"/>
      <c r="V888" s="15"/>
      <c r="W888" s="15"/>
      <c r="X888" s="14"/>
      <c r="Y888" s="14"/>
      <c r="Z888" s="15"/>
      <c r="AA888" s="15"/>
      <c r="AB888" s="3"/>
      <c r="AC888" s="3"/>
      <c r="AD888" s="3"/>
      <c r="AE888" s="3"/>
      <c r="AF888" s="3"/>
      <c r="AG888" s="3"/>
      <c r="AH888" s="3"/>
      <c r="AI888" s="3"/>
      <c r="AJ888" s="154" t="s">
        <v>70</v>
      </c>
      <c r="AN888" s="154" t="s">
        <v>70</v>
      </c>
    </row>
    <row r="889" ht="15.75" customHeight="1">
      <c r="J889" s="15"/>
      <c r="K889" s="238"/>
      <c r="L889" s="15"/>
      <c r="M889" s="15"/>
      <c r="N889" s="15"/>
      <c r="O889" s="15"/>
      <c r="P889" s="15"/>
      <c r="Q889" s="15"/>
      <c r="R889" s="15"/>
      <c r="S889" s="15"/>
      <c r="T889" s="15"/>
      <c r="U889" s="15"/>
      <c r="V889" s="15"/>
      <c r="W889" s="15"/>
      <c r="X889" s="14"/>
      <c r="Y889" s="14"/>
      <c r="Z889" s="15"/>
      <c r="AA889" s="15"/>
      <c r="AB889" s="3"/>
      <c r="AC889" s="3"/>
      <c r="AD889" s="3"/>
      <c r="AE889" s="3"/>
      <c r="AF889" s="3"/>
      <c r="AG889" s="3"/>
      <c r="AH889" s="3"/>
      <c r="AI889" s="3"/>
      <c r="AJ889" s="154" t="s">
        <v>70</v>
      </c>
      <c r="AN889" s="154" t="s">
        <v>70</v>
      </c>
    </row>
    <row r="890" ht="15.75" customHeight="1">
      <c r="J890" s="15"/>
      <c r="K890" s="238"/>
      <c r="L890" s="15"/>
      <c r="M890" s="15"/>
      <c r="N890" s="15"/>
      <c r="O890" s="15"/>
      <c r="P890" s="15"/>
      <c r="Q890" s="15"/>
      <c r="R890" s="15"/>
      <c r="S890" s="15"/>
      <c r="T890" s="15"/>
      <c r="U890" s="15"/>
      <c r="V890" s="15"/>
      <c r="W890" s="15"/>
      <c r="X890" s="14"/>
      <c r="Y890" s="14"/>
      <c r="Z890" s="15"/>
      <c r="AA890" s="15"/>
      <c r="AB890" s="3"/>
      <c r="AC890" s="3"/>
      <c r="AD890" s="3"/>
      <c r="AE890" s="3"/>
      <c r="AF890" s="3"/>
      <c r="AG890" s="3"/>
      <c r="AH890" s="3"/>
      <c r="AI890" s="3"/>
      <c r="AJ890" s="154" t="s">
        <v>70</v>
      </c>
      <c r="AN890" s="154" t="s">
        <v>70</v>
      </c>
    </row>
    <row r="891" ht="15.75" customHeight="1">
      <c r="J891" s="15"/>
      <c r="K891" s="238"/>
      <c r="L891" s="15"/>
      <c r="M891" s="15"/>
      <c r="N891" s="15"/>
      <c r="O891" s="15"/>
      <c r="P891" s="15"/>
      <c r="Q891" s="15"/>
      <c r="R891" s="15"/>
      <c r="S891" s="15"/>
      <c r="T891" s="15"/>
      <c r="U891" s="15"/>
      <c r="V891" s="15"/>
      <c r="W891" s="15"/>
      <c r="X891" s="14"/>
      <c r="Y891" s="14"/>
      <c r="Z891" s="15"/>
      <c r="AA891" s="15"/>
      <c r="AB891" s="3"/>
      <c r="AC891" s="3"/>
      <c r="AD891" s="3"/>
      <c r="AE891" s="3"/>
      <c r="AF891" s="3"/>
      <c r="AG891" s="3"/>
      <c r="AH891" s="3"/>
      <c r="AI891" s="3"/>
      <c r="AJ891" s="154" t="s">
        <v>70</v>
      </c>
      <c r="AN891" s="154" t="s">
        <v>70</v>
      </c>
    </row>
    <row r="892" ht="15.75" customHeight="1">
      <c r="J892" s="15"/>
      <c r="K892" s="238"/>
      <c r="L892" s="15"/>
      <c r="M892" s="15"/>
      <c r="N892" s="15"/>
      <c r="O892" s="15"/>
      <c r="P892" s="15"/>
      <c r="Q892" s="15"/>
      <c r="R892" s="15"/>
      <c r="S892" s="15"/>
      <c r="T892" s="15"/>
      <c r="U892" s="15"/>
      <c r="V892" s="15"/>
      <c r="W892" s="15"/>
      <c r="X892" s="14"/>
      <c r="Y892" s="14"/>
      <c r="Z892" s="15"/>
      <c r="AA892" s="15"/>
      <c r="AB892" s="3"/>
      <c r="AC892" s="3"/>
      <c r="AD892" s="3"/>
      <c r="AE892" s="3"/>
      <c r="AF892" s="3"/>
      <c r="AG892" s="3"/>
      <c r="AH892" s="3"/>
      <c r="AI892" s="3"/>
      <c r="AJ892" s="154" t="s">
        <v>70</v>
      </c>
      <c r="AN892" s="154" t="s">
        <v>70</v>
      </c>
    </row>
    <row r="893" ht="15.75" customHeight="1">
      <c r="J893" s="15"/>
      <c r="K893" s="238"/>
      <c r="L893" s="15"/>
      <c r="M893" s="15"/>
      <c r="N893" s="15"/>
      <c r="O893" s="15"/>
      <c r="P893" s="15"/>
      <c r="Q893" s="15"/>
      <c r="R893" s="15"/>
      <c r="S893" s="15"/>
      <c r="T893" s="15"/>
      <c r="U893" s="15"/>
      <c r="V893" s="15"/>
      <c r="W893" s="15"/>
      <c r="X893" s="14"/>
      <c r="Y893" s="14"/>
      <c r="Z893" s="15"/>
      <c r="AA893" s="15"/>
      <c r="AB893" s="3"/>
      <c r="AC893" s="3"/>
      <c r="AD893" s="3"/>
      <c r="AE893" s="3"/>
      <c r="AF893" s="3"/>
      <c r="AG893" s="3"/>
      <c r="AH893" s="3"/>
      <c r="AI893" s="3"/>
      <c r="AJ893" s="154" t="s">
        <v>70</v>
      </c>
      <c r="AN893" s="154" t="s">
        <v>70</v>
      </c>
    </row>
    <row r="894" ht="15.75" customHeight="1">
      <c r="J894" s="15"/>
      <c r="K894" s="238"/>
      <c r="L894" s="15"/>
      <c r="M894" s="15"/>
      <c r="N894" s="15"/>
      <c r="O894" s="15"/>
      <c r="P894" s="15"/>
      <c r="Q894" s="15"/>
      <c r="R894" s="15"/>
      <c r="S894" s="15"/>
      <c r="T894" s="15"/>
      <c r="U894" s="15"/>
      <c r="V894" s="15"/>
      <c r="W894" s="15"/>
      <c r="X894" s="14"/>
      <c r="Y894" s="14"/>
      <c r="Z894" s="15"/>
      <c r="AA894" s="15"/>
      <c r="AB894" s="3"/>
      <c r="AC894" s="3"/>
      <c r="AD894" s="3"/>
      <c r="AE894" s="3"/>
      <c r="AF894" s="3"/>
      <c r="AG894" s="3"/>
      <c r="AH894" s="3"/>
      <c r="AI894" s="3"/>
      <c r="AJ894" s="154" t="s">
        <v>70</v>
      </c>
      <c r="AN894" s="154" t="s">
        <v>70</v>
      </c>
    </row>
    <row r="895" ht="15.75" customHeight="1">
      <c r="J895" s="15"/>
      <c r="K895" s="238"/>
      <c r="L895" s="15"/>
      <c r="M895" s="15"/>
      <c r="N895" s="15"/>
      <c r="O895" s="15"/>
      <c r="P895" s="15"/>
      <c r="Q895" s="15"/>
      <c r="R895" s="15"/>
      <c r="S895" s="15"/>
      <c r="T895" s="15"/>
      <c r="U895" s="15"/>
      <c r="V895" s="15"/>
      <c r="W895" s="15"/>
      <c r="X895" s="14"/>
      <c r="Y895" s="14"/>
      <c r="Z895" s="15"/>
      <c r="AA895" s="15"/>
      <c r="AB895" s="3"/>
      <c r="AC895" s="3"/>
      <c r="AD895" s="3"/>
      <c r="AE895" s="3"/>
      <c r="AF895" s="3"/>
      <c r="AG895" s="3"/>
      <c r="AH895" s="3"/>
      <c r="AI895" s="3"/>
      <c r="AJ895" s="154" t="s">
        <v>70</v>
      </c>
      <c r="AN895" s="154" t="s">
        <v>70</v>
      </c>
    </row>
    <row r="896" ht="15.75" customHeight="1">
      <c r="J896" s="15"/>
      <c r="K896" s="238"/>
      <c r="L896" s="15"/>
      <c r="M896" s="15"/>
      <c r="N896" s="15"/>
      <c r="O896" s="15"/>
      <c r="P896" s="15"/>
      <c r="Q896" s="15"/>
      <c r="R896" s="15"/>
      <c r="S896" s="15"/>
      <c r="T896" s="15"/>
      <c r="U896" s="15"/>
      <c r="V896" s="15"/>
      <c r="W896" s="15"/>
      <c r="X896" s="14"/>
      <c r="Y896" s="14"/>
      <c r="Z896" s="15"/>
      <c r="AA896" s="15"/>
      <c r="AB896" s="3"/>
      <c r="AC896" s="3"/>
      <c r="AD896" s="3"/>
      <c r="AE896" s="3"/>
      <c r="AF896" s="3"/>
      <c r="AG896" s="3"/>
      <c r="AH896" s="3"/>
      <c r="AI896" s="3"/>
      <c r="AJ896" s="154" t="s">
        <v>70</v>
      </c>
      <c r="AN896" s="154" t="s">
        <v>70</v>
      </c>
    </row>
    <row r="897" ht="15.75" customHeight="1">
      <c r="J897" s="15"/>
      <c r="K897" s="238"/>
      <c r="L897" s="15"/>
      <c r="M897" s="15"/>
      <c r="N897" s="15"/>
      <c r="O897" s="15"/>
      <c r="P897" s="15"/>
      <c r="Q897" s="15"/>
      <c r="R897" s="15"/>
      <c r="S897" s="15"/>
      <c r="T897" s="15"/>
      <c r="U897" s="15"/>
      <c r="V897" s="15"/>
      <c r="W897" s="15"/>
      <c r="X897" s="14"/>
      <c r="Y897" s="14"/>
      <c r="Z897" s="15"/>
      <c r="AA897" s="15"/>
      <c r="AB897" s="3"/>
      <c r="AC897" s="3"/>
      <c r="AD897" s="3"/>
      <c r="AE897" s="3"/>
      <c r="AF897" s="3"/>
      <c r="AG897" s="3"/>
      <c r="AH897" s="3"/>
      <c r="AI897" s="3"/>
      <c r="AJ897" s="154" t="s">
        <v>70</v>
      </c>
      <c r="AN897" s="154" t="s">
        <v>70</v>
      </c>
    </row>
    <row r="898" ht="15.75" customHeight="1">
      <c r="J898" s="15"/>
      <c r="K898" s="238"/>
      <c r="L898" s="15"/>
      <c r="M898" s="15"/>
      <c r="N898" s="15"/>
      <c r="O898" s="15"/>
      <c r="P898" s="15"/>
      <c r="Q898" s="15"/>
      <c r="R898" s="15"/>
      <c r="S898" s="15"/>
      <c r="T898" s="15"/>
      <c r="U898" s="15"/>
      <c r="V898" s="15"/>
      <c r="W898" s="15"/>
      <c r="X898" s="14"/>
      <c r="Y898" s="14"/>
      <c r="Z898" s="15"/>
      <c r="AA898" s="15"/>
      <c r="AB898" s="3"/>
      <c r="AC898" s="3"/>
      <c r="AD898" s="3"/>
      <c r="AE898" s="3"/>
      <c r="AF898" s="3"/>
      <c r="AG898" s="3"/>
      <c r="AH898" s="3"/>
      <c r="AI898" s="3"/>
      <c r="AJ898" s="154" t="s">
        <v>70</v>
      </c>
      <c r="AN898" s="154" t="s">
        <v>70</v>
      </c>
    </row>
    <row r="899" ht="15.75" customHeight="1">
      <c r="J899" s="15"/>
      <c r="K899" s="238"/>
      <c r="L899" s="15"/>
      <c r="M899" s="15"/>
      <c r="N899" s="15"/>
      <c r="O899" s="15"/>
      <c r="P899" s="15"/>
      <c r="Q899" s="15"/>
      <c r="R899" s="15"/>
      <c r="S899" s="15"/>
      <c r="T899" s="15"/>
      <c r="U899" s="15"/>
      <c r="V899" s="15"/>
      <c r="W899" s="15"/>
      <c r="X899" s="14"/>
      <c r="Y899" s="14"/>
      <c r="Z899" s="15"/>
      <c r="AA899" s="15"/>
      <c r="AB899" s="3"/>
      <c r="AC899" s="3"/>
      <c r="AD899" s="3"/>
      <c r="AE899" s="3"/>
      <c r="AF899" s="3"/>
      <c r="AG899" s="3"/>
      <c r="AH899" s="3"/>
      <c r="AI899" s="3"/>
      <c r="AJ899" s="154" t="s">
        <v>70</v>
      </c>
      <c r="AN899" s="154" t="s">
        <v>70</v>
      </c>
    </row>
    <row r="900" ht="15.75" customHeight="1">
      <c r="J900" s="15"/>
      <c r="K900" s="238"/>
      <c r="L900" s="15"/>
      <c r="M900" s="15"/>
      <c r="N900" s="15"/>
      <c r="O900" s="15"/>
      <c r="P900" s="15"/>
      <c r="Q900" s="15"/>
      <c r="R900" s="15"/>
      <c r="S900" s="15"/>
      <c r="T900" s="15"/>
      <c r="U900" s="15"/>
      <c r="V900" s="15"/>
      <c r="W900" s="15"/>
      <c r="X900" s="14"/>
      <c r="Y900" s="14"/>
      <c r="Z900" s="15"/>
      <c r="AA900" s="15"/>
      <c r="AB900" s="3"/>
      <c r="AC900" s="3"/>
      <c r="AD900" s="3"/>
      <c r="AE900" s="3"/>
      <c r="AF900" s="3"/>
      <c r="AG900" s="3"/>
      <c r="AH900" s="3"/>
      <c r="AI900" s="3"/>
      <c r="AJ900" s="154" t="s">
        <v>70</v>
      </c>
      <c r="AN900" s="154" t="s">
        <v>70</v>
      </c>
    </row>
    <row r="901" ht="15.75" customHeight="1">
      <c r="J901" s="15"/>
      <c r="K901" s="238"/>
      <c r="L901" s="15"/>
      <c r="M901" s="15"/>
      <c r="N901" s="15"/>
      <c r="O901" s="15"/>
      <c r="P901" s="15"/>
      <c r="Q901" s="15"/>
      <c r="R901" s="15"/>
      <c r="S901" s="15"/>
      <c r="T901" s="15"/>
      <c r="U901" s="15"/>
      <c r="V901" s="15"/>
      <c r="W901" s="15"/>
      <c r="X901" s="14"/>
      <c r="Y901" s="14"/>
      <c r="Z901" s="15"/>
      <c r="AA901" s="15"/>
      <c r="AB901" s="3"/>
      <c r="AC901" s="3"/>
      <c r="AD901" s="3"/>
      <c r="AE901" s="3"/>
      <c r="AF901" s="3"/>
      <c r="AG901" s="3"/>
      <c r="AH901" s="3"/>
      <c r="AI901" s="3"/>
      <c r="AJ901" s="154" t="s">
        <v>70</v>
      </c>
      <c r="AN901" s="154" t="s">
        <v>70</v>
      </c>
    </row>
    <row r="902" ht="15.75" customHeight="1">
      <c r="J902" s="15"/>
      <c r="K902" s="238"/>
      <c r="L902" s="15"/>
      <c r="M902" s="15"/>
      <c r="N902" s="15"/>
      <c r="O902" s="15"/>
      <c r="P902" s="15"/>
      <c r="Q902" s="15"/>
      <c r="R902" s="15"/>
      <c r="S902" s="15"/>
      <c r="T902" s="15"/>
      <c r="U902" s="15"/>
      <c r="V902" s="15"/>
      <c r="W902" s="15"/>
      <c r="X902" s="14"/>
      <c r="Y902" s="14"/>
      <c r="Z902" s="15"/>
      <c r="AA902" s="15"/>
      <c r="AB902" s="3"/>
      <c r="AC902" s="3"/>
      <c r="AD902" s="3"/>
      <c r="AE902" s="3"/>
      <c r="AF902" s="3"/>
      <c r="AG902" s="3"/>
      <c r="AH902" s="3"/>
      <c r="AI902" s="3"/>
      <c r="AJ902" s="154" t="s">
        <v>70</v>
      </c>
      <c r="AN902" s="154" t="s">
        <v>70</v>
      </c>
    </row>
    <row r="903" ht="15.75" customHeight="1">
      <c r="J903" s="15"/>
      <c r="K903" s="238"/>
      <c r="L903" s="15"/>
      <c r="M903" s="15"/>
      <c r="N903" s="15"/>
      <c r="O903" s="15"/>
      <c r="P903" s="15"/>
      <c r="Q903" s="15"/>
      <c r="R903" s="15"/>
      <c r="S903" s="15"/>
      <c r="T903" s="15"/>
      <c r="U903" s="15"/>
      <c r="V903" s="15"/>
      <c r="W903" s="15"/>
      <c r="X903" s="14"/>
      <c r="Y903" s="14"/>
      <c r="Z903" s="15"/>
      <c r="AA903" s="15"/>
      <c r="AB903" s="3"/>
      <c r="AC903" s="3"/>
      <c r="AD903" s="3"/>
      <c r="AE903" s="3"/>
      <c r="AF903" s="3"/>
      <c r="AG903" s="3"/>
      <c r="AH903" s="3"/>
      <c r="AI903" s="3"/>
      <c r="AJ903" s="154" t="s">
        <v>70</v>
      </c>
      <c r="AN903" s="154" t="s">
        <v>70</v>
      </c>
    </row>
    <row r="904" ht="15.75" customHeight="1">
      <c r="J904" s="15"/>
      <c r="K904" s="238"/>
      <c r="L904" s="15"/>
      <c r="M904" s="15"/>
      <c r="N904" s="15"/>
      <c r="O904" s="15"/>
      <c r="P904" s="15"/>
      <c r="Q904" s="15"/>
      <c r="R904" s="15"/>
      <c r="S904" s="15"/>
      <c r="T904" s="15"/>
      <c r="U904" s="15"/>
      <c r="V904" s="15"/>
      <c r="W904" s="15"/>
      <c r="X904" s="14"/>
      <c r="Y904" s="14"/>
      <c r="Z904" s="15"/>
      <c r="AA904" s="15"/>
      <c r="AB904" s="3"/>
      <c r="AC904" s="3"/>
      <c r="AD904" s="3"/>
      <c r="AE904" s="3"/>
      <c r="AF904" s="3"/>
      <c r="AG904" s="3"/>
      <c r="AH904" s="3"/>
      <c r="AI904" s="3"/>
      <c r="AJ904" s="154" t="s">
        <v>70</v>
      </c>
      <c r="AN904" s="154" t="s">
        <v>70</v>
      </c>
    </row>
    <row r="905" ht="15.75" customHeight="1">
      <c r="J905" s="15"/>
      <c r="K905" s="238"/>
      <c r="L905" s="15"/>
      <c r="M905" s="15"/>
      <c r="N905" s="15"/>
      <c r="O905" s="15"/>
      <c r="P905" s="15"/>
      <c r="Q905" s="15"/>
      <c r="R905" s="15"/>
      <c r="S905" s="15"/>
      <c r="T905" s="15"/>
      <c r="U905" s="15"/>
      <c r="V905" s="15"/>
      <c r="W905" s="15"/>
      <c r="X905" s="14"/>
      <c r="Y905" s="14"/>
      <c r="Z905" s="15"/>
      <c r="AA905" s="15"/>
      <c r="AB905" s="3"/>
      <c r="AC905" s="3"/>
      <c r="AD905" s="3"/>
      <c r="AE905" s="3"/>
      <c r="AF905" s="3"/>
      <c r="AG905" s="3"/>
      <c r="AH905" s="3"/>
      <c r="AI905" s="3"/>
      <c r="AJ905" s="154" t="s">
        <v>70</v>
      </c>
      <c r="AN905" s="154" t="s">
        <v>70</v>
      </c>
    </row>
    <row r="906" ht="15.75" customHeight="1">
      <c r="J906" s="15"/>
      <c r="K906" s="238"/>
      <c r="L906" s="15"/>
      <c r="M906" s="15"/>
      <c r="N906" s="15"/>
      <c r="O906" s="15"/>
      <c r="P906" s="15"/>
      <c r="Q906" s="15"/>
      <c r="R906" s="15"/>
      <c r="S906" s="15"/>
      <c r="T906" s="15"/>
      <c r="U906" s="15"/>
      <c r="V906" s="15"/>
      <c r="W906" s="15"/>
      <c r="X906" s="14"/>
      <c r="Y906" s="14"/>
      <c r="Z906" s="15"/>
      <c r="AA906" s="15"/>
      <c r="AB906" s="3"/>
      <c r="AC906" s="3"/>
      <c r="AD906" s="3"/>
      <c r="AE906" s="3"/>
      <c r="AF906" s="3"/>
      <c r="AG906" s="3"/>
      <c r="AH906" s="3"/>
      <c r="AI906" s="3"/>
      <c r="AJ906" s="154" t="s">
        <v>70</v>
      </c>
      <c r="AN906" s="154" t="s">
        <v>70</v>
      </c>
    </row>
    <row r="907" ht="15.75" customHeight="1">
      <c r="J907" s="15"/>
      <c r="K907" s="238"/>
      <c r="L907" s="15"/>
      <c r="M907" s="15"/>
      <c r="N907" s="15"/>
      <c r="O907" s="15"/>
      <c r="P907" s="15"/>
      <c r="Q907" s="15"/>
      <c r="R907" s="15"/>
      <c r="S907" s="15"/>
      <c r="T907" s="15"/>
      <c r="U907" s="15"/>
      <c r="V907" s="15"/>
      <c r="W907" s="15"/>
      <c r="X907" s="14"/>
      <c r="Y907" s="14"/>
      <c r="Z907" s="15"/>
      <c r="AA907" s="15"/>
      <c r="AB907" s="3"/>
      <c r="AC907" s="3"/>
      <c r="AD907" s="3"/>
      <c r="AE907" s="3"/>
      <c r="AF907" s="3"/>
      <c r="AG907" s="3"/>
      <c r="AH907" s="3"/>
      <c r="AI907" s="3"/>
      <c r="AJ907" s="154" t="s">
        <v>70</v>
      </c>
      <c r="AN907" s="154" t="s">
        <v>70</v>
      </c>
    </row>
    <row r="908" ht="15.75" customHeight="1">
      <c r="J908" s="15"/>
      <c r="K908" s="238"/>
      <c r="L908" s="15"/>
      <c r="M908" s="15"/>
      <c r="N908" s="15"/>
      <c r="O908" s="15"/>
      <c r="P908" s="15"/>
      <c r="Q908" s="15"/>
      <c r="R908" s="15"/>
      <c r="S908" s="15"/>
      <c r="T908" s="15"/>
      <c r="U908" s="15"/>
      <c r="V908" s="15"/>
      <c r="W908" s="15"/>
      <c r="X908" s="14"/>
      <c r="Y908" s="14"/>
      <c r="Z908" s="15"/>
      <c r="AA908" s="15"/>
      <c r="AB908" s="3"/>
      <c r="AC908" s="3"/>
      <c r="AD908" s="3"/>
      <c r="AE908" s="3"/>
      <c r="AF908" s="3"/>
      <c r="AG908" s="3"/>
      <c r="AH908" s="3"/>
      <c r="AI908" s="3"/>
      <c r="AJ908" s="154" t="s">
        <v>70</v>
      </c>
      <c r="AN908" s="154" t="s">
        <v>70</v>
      </c>
    </row>
    <row r="909" ht="15.75" customHeight="1">
      <c r="J909" s="15"/>
      <c r="K909" s="238"/>
      <c r="L909" s="15"/>
      <c r="M909" s="15"/>
      <c r="N909" s="15"/>
      <c r="O909" s="15"/>
      <c r="P909" s="15"/>
      <c r="Q909" s="15"/>
      <c r="R909" s="15"/>
      <c r="S909" s="15"/>
      <c r="T909" s="15"/>
      <c r="U909" s="15"/>
      <c r="V909" s="15"/>
      <c r="W909" s="15"/>
      <c r="X909" s="14"/>
      <c r="Y909" s="14"/>
      <c r="Z909" s="15"/>
      <c r="AA909" s="15"/>
      <c r="AB909" s="3"/>
      <c r="AC909" s="3"/>
      <c r="AD909" s="3"/>
      <c r="AE909" s="3"/>
      <c r="AF909" s="3"/>
      <c r="AG909" s="3"/>
      <c r="AH909" s="3"/>
      <c r="AI909" s="3"/>
      <c r="AJ909" s="154" t="s">
        <v>70</v>
      </c>
      <c r="AN909" s="154" t="s">
        <v>70</v>
      </c>
    </row>
    <row r="910" ht="15.75" customHeight="1">
      <c r="J910" s="15"/>
      <c r="K910" s="238"/>
      <c r="L910" s="15"/>
      <c r="M910" s="15"/>
      <c r="N910" s="15"/>
      <c r="O910" s="15"/>
      <c r="P910" s="15"/>
      <c r="Q910" s="15"/>
      <c r="R910" s="15"/>
      <c r="S910" s="15"/>
      <c r="T910" s="15"/>
      <c r="U910" s="15"/>
      <c r="V910" s="15"/>
      <c r="W910" s="15"/>
      <c r="X910" s="14"/>
      <c r="Y910" s="14"/>
      <c r="Z910" s="15"/>
      <c r="AA910" s="15"/>
      <c r="AB910" s="3"/>
      <c r="AC910" s="3"/>
      <c r="AD910" s="3"/>
      <c r="AE910" s="3"/>
      <c r="AF910" s="3"/>
      <c r="AG910" s="3"/>
      <c r="AH910" s="3"/>
      <c r="AI910" s="3"/>
      <c r="AJ910" s="154" t="s">
        <v>70</v>
      </c>
      <c r="AN910" s="154" t="s">
        <v>70</v>
      </c>
    </row>
    <row r="911" ht="15.75" customHeight="1">
      <c r="J911" s="15"/>
      <c r="K911" s="238"/>
      <c r="L911" s="15"/>
      <c r="M911" s="15"/>
      <c r="N911" s="15"/>
      <c r="O911" s="15"/>
      <c r="P911" s="15"/>
      <c r="Q911" s="15"/>
      <c r="R911" s="15"/>
      <c r="S911" s="15"/>
      <c r="T911" s="15"/>
      <c r="U911" s="15"/>
      <c r="V911" s="15"/>
      <c r="W911" s="15"/>
      <c r="X911" s="14"/>
      <c r="Y911" s="14"/>
      <c r="Z911" s="15"/>
      <c r="AA911" s="15"/>
      <c r="AB911" s="3"/>
      <c r="AC911" s="3"/>
      <c r="AD911" s="3"/>
      <c r="AE911" s="3"/>
      <c r="AF911" s="3"/>
      <c r="AG911" s="3"/>
      <c r="AH911" s="3"/>
      <c r="AI911" s="3"/>
      <c r="AJ911" s="154" t="s">
        <v>70</v>
      </c>
      <c r="AN911" s="154" t="s">
        <v>70</v>
      </c>
    </row>
    <row r="912" ht="15.75" customHeight="1">
      <c r="J912" s="15"/>
      <c r="K912" s="238"/>
      <c r="L912" s="15"/>
      <c r="M912" s="15"/>
      <c r="N912" s="15"/>
      <c r="O912" s="15"/>
      <c r="P912" s="15"/>
      <c r="Q912" s="15"/>
      <c r="R912" s="15"/>
      <c r="S912" s="15"/>
      <c r="T912" s="15"/>
      <c r="U912" s="15"/>
      <c r="V912" s="15"/>
      <c r="W912" s="15"/>
      <c r="X912" s="14"/>
      <c r="Y912" s="14"/>
      <c r="Z912" s="15"/>
      <c r="AA912" s="15"/>
      <c r="AB912" s="3"/>
      <c r="AC912" s="3"/>
      <c r="AD912" s="3"/>
      <c r="AE912" s="3"/>
      <c r="AF912" s="3"/>
      <c r="AG912" s="3"/>
      <c r="AH912" s="3"/>
      <c r="AI912" s="3"/>
      <c r="AJ912" s="154" t="s">
        <v>70</v>
      </c>
      <c r="AN912" s="154" t="s">
        <v>70</v>
      </c>
    </row>
    <row r="913" ht="15.75" customHeight="1">
      <c r="J913" s="15"/>
      <c r="K913" s="238"/>
      <c r="L913" s="15"/>
      <c r="M913" s="15"/>
      <c r="N913" s="15"/>
      <c r="O913" s="15"/>
      <c r="P913" s="15"/>
      <c r="Q913" s="15"/>
      <c r="R913" s="15"/>
      <c r="S913" s="15"/>
      <c r="T913" s="15"/>
      <c r="U913" s="15"/>
      <c r="V913" s="15"/>
      <c r="W913" s="15"/>
      <c r="X913" s="14"/>
      <c r="Y913" s="14"/>
      <c r="Z913" s="15"/>
      <c r="AA913" s="15"/>
      <c r="AB913" s="3"/>
      <c r="AC913" s="3"/>
      <c r="AD913" s="3"/>
      <c r="AE913" s="3"/>
      <c r="AF913" s="3"/>
      <c r="AG913" s="3"/>
      <c r="AH913" s="3"/>
      <c r="AI913" s="3"/>
      <c r="AJ913" s="154" t="s">
        <v>70</v>
      </c>
      <c r="AN913" s="154" t="s">
        <v>70</v>
      </c>
    </row>
    <row r="914" ht="15.75" customHeight="1">
      <c r="J914" s="15"/>
      <c r="K914" s="238"/>
      <c r="L914" s="15"/>
      <c r="M914" s="15"/>
      <c r="N914" s="15"/>
      <c r="O914" s="15"/>
      <c r="P914" s="15"/>
      <c r="Q914" s="15"/>
      <c r="R914" s="15"/>
      <c r="S914" s="15"/>
      <c r="T914" s="15"/>
      <c r="U914" s="15"/>
      <c r="V914" s="15"/>
      <c r="W914" s="15"/>
      <c r="X914" s="14"/>
      <c r="Y914" s="14"/>
      <c r="Z914" s="15"/>
      <c r="AA914" s="15"/>
      <c r="AB914" s="3"/>
      <c r="AC914" s="3"/>
      <c r="AD914" s="3"/>
      <c r="AE914" s="3"/>
      <c r="AF914" s="3"/>
      <c r="AG914" s="3"/>
      <c r="AH914" s="3"/>
      <c r="AI914" s="3"/>
      <c r="AJ914" s="154" t="s">
        <v>70</v>
      </c>
      <c r="AN914" s="154" t="s">
        <v>70</v>
      </c>
    </row>
    <row r="915" ht="15.75" customHeight="1">
      <c r="J915" s="15"/>
      <c r="K915" s="238"/>
      <c r="L915" s="15"/>
      <c r="M915" s="15"/>
      <c r="N915" s="15"/>
      <c r="O915" s="15"/>
      <c r="P915" s="15"/>
      <c r="Q915" s="15"/>
      <c r="R915" s="15"/>
      <c r="S915" s="15"/>
      <c r="T915" s="15"/>
      <c r="U915" s="15"/>
      <c r="V915" s="15"/>
      <c r="W915" s="15"/>
      <c r="X915" s="14"/>
      <c r="Y915" s="14"/>
      <c r="Z915" s="15"/>
      <c r="AA915" s="15"/>
      <c r="AB915" s="3"/>
      <c r="AC915" s="3"/>
      <c r="AD915" s="3"/>
      <c r="AE915" s="3"/>
      <c r="AF915" s="3"/>
      <c r="AG915" s="3"/>
      <c r="AH915" s="3"/>
      <c r="AI915" s="3"/>
      <c r="AJ915" s="154" t="s">
        <v>70</v>
      </c>
      <c r="AN915" s="154" t="s">
        <v>70</v>
      </c>
    </row>
    <row r="916" ht="15.75" customHeight="1">
      <c r="J916" s="15"/>
      <c r="K916" s="238"/>
      <c r="L916" s="15"/>
      <c r="M916" s="15"/>
      <c r="N916" s="15"/>
      <c r="O916" s="15"/>
      <c r="P916" s="15"/>
      <c r="Q916" s="15"/>
      <c r="R916" s="15"/>
      <c r="S916" s="15"/>
      <c r="T916" s="15"/>
      <c r="U916" s="15"/>
      <c r="V916" s="15"/>
      <c r="W916" s="15"/>
      <c r="X916" s="14"/>
      <c r="Y916" s="14"/>
      <c r="Z916" s="15"/>
      <c r="AA916" s="15"/>
      <c r="AB916" s="3"/>
      <c r="AC916" s="3"/>
      <c r="AD916" s="3"/>
      <c r="AE916" s="3"/>
      <c r="AF916" s="3"/>
      <c r="AG916" s="3"/>
      <c r="AH916" s="3"/>
      <c r="AI916" s="3"/>
      <c r="AJ916" s="154" t="s">
        <v>70</v>
      </c>
      <c r="AN916" s="154" t="s">
        <v>70</v>
      </c>
    </row>
    <row r="917" ht="15.75" customHeight="1">
      <c r="J917" s="15"/>
      <c r="K917" s="238"/>
      <c r="L917" s="15"/>
      <c r="M917" s="15"/>
      <c r="N917" s="15"/>
      <c r="O917" s="15"/>
      <c r="P917" s="15"/>
      <c r="Q917" s="15"/>
      <c r="R917" s="15"/>
      <c r="S917" s="15"/>
      <c r="T917" s="15"/>
      <c r="U917" s="15"/>
      <c r="V917" s="15"/>
      <c r="W917" s="15"/>
      <c r="X917" s="14"/>
      <c r="Y917" s="14"/>
      <c r="Z917" s="15"/>
      <c r="AA917" s="15"/>
      <c r="AB917" s="3"/>
      <c r="AC917" s="3"/>
      <c r="AD917" s="3"/>
      <c r="AE917" s="3"/>
      <c r="AF917" s="3"/>
      <c r="AG917" s="3"/>
      <c r="AH917" s="3"/>
      <c r="AI917" s="3"/>
      <c r="AJ917" s="154" t="s">
        <v>70</v>
      </c>
      <c r="AN917" s="154" t="s">
        <v>70</v>
      </c>
    </row>
    <row r="918" ht="15.75" customHeight="1">
      <c r="J918" s="15"/>
      <c r="K918" s="238"/>
      <c r="L918" s="15"/>
      <c r="M918" s="15"/>
      <c r="N918" s="15"/>
      <c r="O918" s="15"/>
      <c r="P918" s="15"/>
      <c r="Q918" s="15"/>
      <c r="R918" s="15"/>
      <c r="S918" s="15"/>
      <c r="T918" s="15"/>
      <c r="U918" s="15"/>
      <c r="V918" s="15"/>
      <c r="W918" s="15"/>
      <c r="X918" s="14"/>
      <c r="Y918" s="14"/>
      <c r="Z918" s="15"/>
      <c r="AA918" s="15"/>
      <c r="AB918" s="3"/>
      <c r="AC918" s="3"/>
      <c r="AD918" s="3"/>
      <c r="AE918" s="3"/>
      <c r="AF918" s="3"/>
      <c r="AG918" s="3"/>
      <c r="AH918" s="3"/>
      <c r="AI918" s="3"/>
      <c r="AJ918" s="154" t="s">
        <v>70</v>
      </c>
      <c r="AN918" s="154" t="s">
        <v>70</v>
      </c>
    </row>
    <row r="919" ht="15.75" customHeight="1">
      <c r="J919" s="15"/>
      <c r="K919" s="238"/>
      <c r="L919" s="15"/>
      <c r="M919" s="15"/>
      <c r="N919" s="15"/>
      <c r="O919" s="15"/>
      <c r="P919" s="15"/>
      <c r="Q919" s="15"/>
      <c r="R919" s="15"/>
      <c r="S919" s="15"/>
      <c r="T919" s="15"/>
      <c r="U919" s="15"/>
      <c r="V919" s="15"/>
      <c r="W919" s="15"/>
      <c r="X919" s="14"/>
      <c r="Y919" s="14"/>
      <c r="Z919" s="15"/>
      <c r="AA919" s="15"/>
      <c r="AB919" s="3"/>
      <c r="AC919" s="3"/>
      <c r="AD919" s="3"/>
      <c r="AE919" s="3"/>
      <c r="AF919" s="3"/>
      <c r="AG919" s="3"/>
      <c r="AH919" s="3"/>
      <c r="AI919" s="3"/>
      <c r="AJ919" s="154" t="s">
        <v>70</v>
      </c>
      <c r="AN919" s="154" t="s">
        <v>70</v>
      </c>
    </row>
    <row r="920" ht="15.75" customHeight="1">
      <c r="J920" s="15"/>
      <c r="K920" s="238"/>
      <c r="L920" s="15"/>
      <c r="M920" s="15"/>
      <c r="N920" s="15"/>
      <c r="O920" s="15"/>
      <c r="P920" s="15"/>
      <c r="Q920" s="15"/>
      <c r="R920" s="15"/>
      <c r="S920" s="15"/>
      <c r="T920" s="15"/>
      <c r="U920" s="15"/>
      <c r="V920" s="15"/>
      <c r="W920" s="15"/>
      <c r="X920" s="14"/>
      <c r="Y920" s="14"/>
      <c r="Z920" s="15"/>
      <c r="AA920" s="15"/>
      <c r="AB920" s="3"/>
      <c r="AC920" s="3"/>
      <c r="AD920" s="3"/>
      <c r="AE920" s="3"/>
      <c r="AF920" s="3"/>
      <c r="AG920" s="3"/>
      <c r="AH920" s="3"/>
      <c r="AI920" s="3"/>
      <c r="AJ920" s="154" t="s">
        <v>70</v>
      </c>
      <c r="AN920" s="154" t="s">
        <v>70</v>
      </c>
    </row>
    <row r="921" ht="15.75" customHeight="1">
      <c r="J921" s="15"/>
      <c r="K921" s="238"/>
      <c r="L921" s="15"/>
      <c r="M921" s="15"/>
      <c r="N921" s="15"/>
      <c r="O921" s="15"/>
      <c r="P921" s="15"/>
      <c r="Q921" s="15"/>
      <c r="R921" s="15"/>
      <c r="S921" s="15"/>
      <c r="T921" s="15"/>
      <c r="U921" s="15"/>
      <c r="V921" s="15"/>
      <c r="W921" s="15"/>
      <c r="X921" s="14"/>
      <c r="Y921" s="14"/>
      <c r="Z921" s="15"/>
      <c r="AA921" s="15"/>
      <c r="AB921" s="3"/>
      <c r="AC921" s="3"/>
      <c r="AD921" s="3"/>
      <c r="AE921" s="3"/>
      <c r="AF921" s="3"/>
      <c r="AG921" s="3"/>
      <c r="AH921" s="3"/>
      <c r="AI921" s="3"/>
      <c r="AJ921" s="154" t="s">
        <v>70</v>
      </c>
      <c r="AN921" s="154" t="s">
        <v>70</v>
      </c>
    </row>
    <row r="922" ht="15.75" customHeight="1">
      <c r="J922" s="15"/>
      <c r="K922" s="238"/>
      <c r="L922" s="15"/>
      <c r="M922" s="15"/>
      <c r="N922" s="15"/>
      <c r="O922" s="15"/>
      <c r="P922" s="15"/>
      <c r="Q922" s="15"/>
      <c r="R922" s="15"/>
      <c r="S922" s="15"/>
      <c r="T922" s="15"/>
      <c r="U922" s="15"/>
      <c r="V922" s="15"/>
      <c r="W922" s="15"/>
      <c r="X922" s="14"/>
      <c r="Y922" s="14"/>
      <c r="Z922" s="15"/>
      <c r="AA922" s="15"/>
      <c r="AB922" s="3"/>
      <c r="AC922" s="3"/>
      <c r="AD922" s="3"/>
      <c r="AE922" s="3"/>
      <c r="AF922" s="3"/>
      <c r="AG922" s="3"/>
      <c r="AH922" s="3"/>
      <c r="AI922" s="3"/>
      <c r="AJ922" s="154" t="s">
        <v>70</v>
      </c>
      <c r="AN922" s="154" t="s">
        <v>70</v>
      </c>
    </row>
    <row r="923" ht="15.75" customHeight="1">
      <c r="J923" s="15"/>
      <c r="K923" s="238"/>
      <c r="L923" s="15"/>
      <c r="M923" s="15"/>
      <c r="N923" s="15"/>
      <c r="O923" s="15"/>
      <c r="P923" s="15"/>
      <c r="Q923" s="15"/>
      <c r="R923" s="15"/>
      <c r="S923" s="15"/>
      <c r="T923" s="15"/>
      <c r="U923" s="15"/>
      <c r="V923" s="15"/>
      <c r="W923" s="15"/>
      <c r="X923" s="14"/>
      <c r="Y923" s="14"/>
      <c r="Z923" s="15"/>
      <c r="AA923" s="15"/>
      <c r="AB923" s="3"/>
      <c r="AC923" s="3"/>
      <c r="AD923" s="3"/>
      <c r="AE923" s="3"/>
      <c r="AF923" s="3"/>
      <c r="AG923" s="3"/>
      <c r="AH923" s="3"/>
      <c r="AI923" s="3"/>
      <c r="AJ923" s="154" t="s">
        <v>70</v>
      </c>
      <c r="AN923" s="154" t="s">
        <v>70</v>
      </c>
    </row>
    <row r="924" ht="15.75" customHeight="1">
      <c r="J924" s="15"/>
      <c r="K924" s="238"/>
      <c r="L924" s="15"/>
      <c r="M924" s="15"/>
      <c r="N924" s="15"/>
      <c r="O924" s="15"/>
      <c r="P924" s="15"/>
      <c r="Q924" s="15"/>
      <c r="R924" s="15"/>
      <c r="S924" s="15"/>
      <c r="T924" s="15"/>
      <c r="U924" s="15"/>
      <c r="V924" s="15"/>
      <c r="W924" s="15"/>
      <c r="X924" s="14"/>
      <c r="Y924" s="14"/>
      <c r="Z924" s="15"/>
      <c r="AA924" s="15"/>
      <c r="AB924" s="3"/>
      <c r="AC924" s="3"/>
      <c r="AD924" s="3"/>
      <c r="AE924" s="3"/>
      <c r="AF924" s="3"/>
      <c r="AG924" s="3"/>
      <c r="AH924" s="3"/>
      <c r="AI924" s="3"/>
      <c r="AJ924" s="154" t="s">
        <v>70</v>
      </c>
      <c r="AN924" s="154" t="s">
        <v>70</v>
      </c>
    </row>
    <row r="925" ht="15.75" customHeight="1">
      <c r="J925" s="15"/>
      <c r="K925" s="238"/>
      <c r="L925" s="15"/>
      <c r="M925" s="15"/>
      <c r="N925" s="15"/>
      <c r="O925" s="15"/>
      <c r="P925" s="15"/>
      <c r="Q925" s="15"/>
      <c r="R925" s="15"/>
      <c r="S925" s="15"/>
      <c r="T925" s="15"/>
      <c r="U925" s="15"/>
      <c r="V925" s="15"/>
      <c r="W925" s="15"/>
      <c r="X925" s="14"/>
      <c r="Y925" s="14"/>
      <c r="Z925" s="15"/>
      <c r="AA925" s="15"/>
      <c r="AB925" s="3"/>
      <c r="AC925" s="3"/>
      <c r="AD925" s="3"/>
      <c r="AE925" s="3"/>
      <c r="AF925" s="3"/>
      <c r="AG925" s="3"/>
      <c r="AH925" s="3"/>
      <c r="AI925" s="3"/>
      <c r="AJ925" s="154" t="s">
        <v>70</v>
      </c>
      <c r="AN925" s="154" t="s">
        <v>70</v>
      </c>
    </row>
    <row r="926" ht="15.75" customHeight="1">
      <c r="J926" s="15"/>
      <c r="K926" s="238"/>
      <c r="L926" s="15"/>
      <c r="M926" s="15"/>
      <c r="N926" s="15"/>
      <c r="O926" s="15"/>
      <c r="P926" s="15"/>
      <c r="Q926" s="15"/>
      <c r="R926" s="15"/>
      <c r="S926" s="15"/>
      <c r="T926" s="15"/>
      <c r="U926" s="15"/>
      <c r="V926" s="15"/>
      <c r="W926" s="15"/>
      <c r="X926" s="14"/>
      <c r="Y926" s="14"/>
      <c r="Z926" s="15"/>
      <c r="AA926" s="15"/>
      <c r="AB926" s="3"/>
      <c r="AC926" s="3"/>
      <c r="AD926" s="3"/>
      <c r="AE926" s="3"/>
      <c r="AF926" s="3"/>
      <c r="AG926" s="3"/>
      <c r="AH926" s="3"/>
      <c r="AI926" s="3"/>
      <c r="AJ926" s="154" t="s">
        <v>70</v>
      </c>
      <c r="AN926" s="154" t="s">
        <v>70</v>
      </c>
    </row>
    <row r="927" ht="15.75" customHeight="1">
      <c r="J927" s="15"/>
      <c r="K927" s="238"/>
      <c r="L927" s="15"/>
      <c r="M927" s="15"/>
      <c r="N927" s="15"/>
      <c r="O927" s="15"/>
      <c r="P927" s="15"/>
      <c r="Q927" s="15"/>
      <c r="R927" s="15"/>
      <c r="S927" s="15"/>
      <c r="T927" s="15"/>
      <c r="U927" s="15"/>
      <c r="V927" s="15"/>
      <c r="W927" s="15"/>
      <c r="X927" s="14"/>
      <c r="Y927" s="14"/>
      <c r="Z927" s="15"/>
      <c r="AA927" s="15"/>
      <c r="AB927" s="3"/>
      <c r="AC927" s="3"/>
      <c r="AD927" s="3"/>
      <c r="AE927" s="3"/>
      <c r="AF927" s="3"/>
      <c r="AG927" s="3"/>
      <c r="AH927" s="3"/>
      <c r="AI927" s="3"/>
      <c r="AJ927" s="154" t="s">
        <v>70</v>
      </c>
      <c r="AN927" s="154" t="s">
        <v>70</v>
      </c>
    </row>
    <row r="928" ht="15.75" customHeight="1">
      <c r="J928" s="15"/>
      <c r="K928" s="238"/>
      <c r="L928" s="15"/>
      <c r="M928" s="15"/>
      <c r="N928" s="15"/>
      <c r="O928" s="15"/>
      <c r="P928" s="15"/>
      <c r="Q928" s="15"/>
      <c r="R928" s="15"/>
      <c r="S928" s="15"/>
      <c r="T928" s="15"/>
      <c r="U928" s="15"/>
      <c r="V928" s="15"/>
      <c r="W928" s="15"/>
      <c r="X928" s="14"/>
      <c r="Y928" s="14"/>
      <c r="Z928" s="15"/>
      <c r="AA928" s="15"/>
      <c r="AB928" s="3"/>
      <c r="AC928" s="3"/>
      <c r="AD928" s="3"/>
      <c r="AE928" s="3"/>
      <c r="AF928" s="3"/>
      <c r="AG928" s="3"/>
      <c r="AH928" s="3"/>
      <c r="AI928" s="3"/>
      <c r="AJ928" s="154" t="s">
        <v>70</v>
      </c>
      <c r="AN928" s="154" t="s">
        <v>70</v>
      </c>
    </row>
    <row r="929" ht="15.75" customHeight="1">
      <c r="J929" s="15"/>
      <c r="K929" s="238"/>
      <c r="L929" s="15"/>
      <c r="M929" s="15"/>
      <c r="N929" s="15"/>
      <c r="O929" s="15"/>
      <c r="P929" s="15"/>
      <c r="Q929" s="15"/>
      <c r="R929" s="15"/>
      <c r="S929" s="15"/>
      <c r="T929" s="15"/>
      <c r="U929" s="15"/>
      <c r="V929" s="15"/>
      <c r="W929" s="15"/>
      <c r="X929" s="14"/>
      <c r="Y929" s="14"/>
      <c r="Z929" s="15"/>
      <c r="AA929" s="15"/>
      <c r="AB929" s="3"/>
      <c r="AC929" s="3"/>
      <c r="AD929" s="3"/>
      <c r="AE929" s="3"/>
      <c r="AF929" s="3"/>
      <c r="AG929" s="3"/>
      <c r="AH929" s="3"/>
      <c r="AI929" s="3"/>
      <c r="AJ929" s="154" t="s">
        <v>70</v>
      </c>
      <c r="AN929" s="154" t="s">
        <v>70</v>
      </c>
    </row>
    <row r="930" ht="15.75" customHeight="1">
      <c r="J930" s="15"/>
      <c r="K930" s="238"/>
      <c r="L930" s="15"/>
      <c r="M930" s="15"/>
      <c r="N930" s="15"/>
      <c r="O930" s="15"/>
      <c r="P930" s="15"/>
      <c r="Q930" s="15"/>
      <c r="R930" s="15"/>
      <c r="S930" s="15"/>
      <c r="T930" s="15"/>
      <c r="U930" s="15"/>
      <c r="V930" s="15"/>
      <c r="W930" s="15"/>
      <c r="X930" s="14"/>
      <c r="Y930" s="14"/>
      <c r="Z930" s="15"/>
      <c r="AA930" s="15"/>
      <c r="AB930" s="3"/>
      <c r="AC930" s="3"/>
      <c r="AD930" s="3"/>
      <c r="AE930" s="3"/>
      <c r="AF930" s="3"/>
      <c r="AG930" s="3"/>
      <c r="AH930" s="3"/>
      <c r="AI930" s="3"/>
      <c r="AJ930" s="154" t="s">
        <v>70</v>
      </c>
      <c r="AN930" s="154" t="s">
        <v>70</v>
      </c>
    </row>
    <row r="931" ht="15.75" customHeight="1">
      <c r="J931" s="15"/>
      <c r="K931" s="238"/>
      <c r="L931" s="15"/>
      <c r="M931" s="15"/>
      <c r="N931" s="15"/>
      <c r="O931" s="15"/>
      <c r="P931" s="15"/>
      <c r="Q931" s="15"/>
      <c r="R931" s="15"/>
      <c r="S931" s="15"/>
      <c r="T931" s="15"/>
      <c r="U931" s="15"/>
      <c r="V931" s="15"/>
      <c r="W931" s="15"/>
      <c r="X931" s="14"/>
      <c r="Y931" s="14"/>
      <c r="Z931" s="15"/>
      <c r="AA931" s="15"/>
      <c r="AB931" s="3"/>
      <c r="AC931" s="3"/>
      <c r="AD931" s="3"/>
      <c r="AE931" s="3"/>
      <c r="AF931" s="3"/>
      <c r="AG931" s="3"/>
      <c r="AH931" s="3"/>
      <c r="AI931" s="3"/>
      <c r="AJ931" s="154" t="s">
        <v>70</v>
      </c>
      <c r="AN931" s="154" t="s">
        <v>70</v>
      </c>
    </row>
    <row r="932" ht="15.75" customHeight="1">
      <c r="J932" s="15"/>
      <c r="K932" s="238"/>
      <c r="L932" s="15"/>
      <c r="M932" s="15"/>
      <c r="N932" s="15"/>
      <c r="O932" s="15"/>
      <c r="P932" s="15"/>
      <c r="Q932" s="15"/>
      <c r="R932" s="15"/>
      <c r="S932" s="15"/>
      <c r="T932" s="15"/>
      <c r="U932" s="15"/>
      <c r="V932" s="15"/>
      <c r="W932" s="15"/>
      <c r="X932" s="14"/>
      <c r="Y932" s="14"/>
      <c r="Z932" s="15"/>
      <c r="AA932" s="15"/>
      <c r="AB932" s="3"/>
      <c r="AC932" s="3"/>
      <c r="AD932" s="3"/>
      <c r="AE932" s="3"/>
      <c r="AF932" s="3"/>
      <c r="AG932" s="3"/>
      <c r="AH932" s="3"/>
      <c r="AI932" s="3"/>
      <c r="AJ932" s="154" t="s">
        <v>70</v>
      </c>
      <c r="AN932" s="154" t="s">
        <v>70</v>
      </c>
    </row>
    <row r="933" ht="15.75" customHeight="1">
      <c r="J933" s="15"/>
      <c r="K933" s="238"/>
      <c r="L933" s="15"/>
      <c r="M933" s="15"/>
      <c r="N933" s="15"/>
      <c r="O933" s="15"/>
      <c r="P933" s="15"/>
      <c r="Q933" s="15"/>
      <c r="R933" s="15"/>
      <c r="S933" s="15"/>
      <c r="T933" s="15"/>
      <c r="U933" s="15"/>
      <c r="V933" s="15"/>
      <c r="W933" s="15"/>
      <c r="X933" s="14"/>
      <c r="Y933" s="14"/>
      <c r="Z933" s="15"/>
      <c r="AA933" s="15"/>
      <c r="AB933" s="3"/>
      <c r="AC933" s="3"/>
      <c r="AD933" s="3"/>
      <c r="AE933" s="3"/>
      <c r="AF933" s="3"/>
      <c r="AG933" s="3"/>
      <c r="AH933" s="3"/>
      <c r="AI933" s="3"/>
      <c r="AJ933" s="154" t="s">
        <v>70</v>
      </c>
      <c r="AN933" s="154" t="s">
        <v>70</v>
      </c>
    </row>
    <row r="934" ht="15.75" customHeight="1">
      <c r="J934" s="15"/>
      <c r="K934" s="238"/>
      <c r="L934" s="15"/>
      <c r="M934" s="15"/>
      <c r="N934" s="15"/>
      <c r="O934" s="15"/>
      <c r="P934" s="15"/>
      <c r="Q934" s="15"/>
      <c r="R934" s="15"/>
      <c r="S934" s="15"/>
      <c r="T934" s="15"/>
      <c r="U934" s="15"/>
      <c r="V934" s="15"/>
      <c r="W934" s="15"/>
      <c r="X934" s="14"/>
      <c r="Y934" s="14"/>
      <c r="Z934" s="15"/>
      <c r="AA934" s="15"/>
      <c r="AB934" s="3"/>
      <c r="AC934" s="3"/>
      <c r="AD934" s="3"/>
      <c r="AE934" s="3"/>
      <c r="AF934" s="3"/>
      <c r="AG934" s="3"/>
      <c r="AH934" s="3"/>
      <c r="AI934" s="3"/>
      <c r="AJ934" s="154" t="s">
        <v>70</v>
      </c>
      <c r="AN934" s="154" t="s">
        <v>70</v>
      </c>
    </row>
    <row r="935" ht="15.75" customHeight="1">
      <c r="J935" s="15"/>
      <c r="K935" s="238"/>
      <c r="L935" s="15"/>
      <c r="M935" s="15"/>
      <c r="N935" s="15"/>
      <c r="O935" s="15"/>
      <c r="P935" s="15"/>
      <c r="Q935" s="15"/>
      <c r="R935" s="15"/>
      <c r="S935" s="15"/>
      <c r="T935" s="15"/>
      <c r="U935" s="15"/>
      <c r="V935" s="15"/>
      <c r="W935" s="15"/>
      <c r="X935" s="14"/>
      <c r="Y935" s="14"/>
      <c r="Z935" s="15"/>
      <c r="AA935" s="15"/>
      <c r="AB935" s="3"/>
      <c r="AC935" s="3"/>
      <c r="AD935" s="3"/>
      <c r="AE935" s="3"/>
      <c r="AF935" s="3"/>
      <c r="AG935" s="3"/>
      <c r="AH935" s="3"/>
      <c r="AI935" s="3"/>
      <c r="AJ935" s="154" t="s">
        <v>70</v>
      </c>
      <c r="AN935" s="154" t="s">
        <v>70</v>
      </c>
    </row>
    <row r="936" ht="15.75" customHeight="1">
      <c r="J936" s="15"/>
      <c r="K936" s="238"/>
      <c r="L936" s="15"/>
      <c r="M936" s="15"/>
      <c r="N936" s="15"/>
      <c r="O936" s="15"/>
      <c r="P936" s="15"/>
      <c r="Q936" s="15"/>
      <c r="R936" s="15"/>
      <c r="S936" s="15"/>
      <c r="T936" s="15"/>
      <c r="U936" s="15"/>
      <c r="V936" s="15"/>
      <c r="W936" s="15"/>
      <c r="X936" s="14"/>
      <c r="Y936" s="14"/>
      <c r="Z936" s="15"/>
      <c r="AA936" s="15"/>
      <c r="AB936" s="3"/>
      <c r="AC936" s="3"/>
      <c r="AD936" s="3"/>
      <c r="AE936" s="3"/>
      <c r="AF936" s="3"/>
      <c r="AG936" s="3"/>
      <c r="AH936" s="3"/>
      <c r="AI936" s="3"/>
      <c r="AJ936" s="154" t="s">
        <v>70</v>
      </c>
      <c r="AN936" s="154" t="s">
        <v>70</v>
      </c>
    </row>
    <row r="937" ht="15.75" customHeight="1">
      <c r="J937" s="15"/>
      <c r="K937" s="238"/>
      <c r="L937" s="15"/>
      <c r="M937" s="15"/>
      <c r="N937" s="15"/>
      <c r="O937" s="15"/>
      <c r="P937" s="15"/>
      <c r="Q937" s="15"/>
      <c r="R937" s="15"/>
      <c r="S937" s="15"/>
      <c r="T937" s="15"/>
      <c r="U937" s="15"/>
      <c r="V937" s="15"/>
      <c r="W937" s="15"/>
      <c r="X937" s="14"/>
      <c r="Y937" s="14"/>
      <c r="Z937" s="15"/>
      <c r="AA937" s="15"/>
      <c r="AB937" s="3"/>
      <c r="AC937" s="3"/>
      <c r="AD937" s="3"/>
      <c r="AE937" s="3"/>
      <c r="AF937" s="3"/>
      <c r="AG937" s="3"/>
      <c r="AH937" s="3"/>
      <c r="AI937" s="3"/>
      <c r="AJ937" s="154" t="s">
        <v>70</v>
      </c>
      <c r="AN937" s="154" t="s">
        <v>70</v>
      </c>
    </row>
    <row r="938" ht="15.75" customHeight="1">
      <c r="J938" s="15"/>
      <c r="K938" s="238"/>
      <c r="L938" s="15"/>
      <c r="M938" s="15"/>
      <c r="N938" s="15"/>
      <c r="O938" s="15"/>
      <c r="P938" s="15"/>
      <c r="Q938" s="15"/>
      <c r="R938" s="15"/>
      <c r="S938" s="15"/>
      <c r="T938" s="15"/>
      <c r="U938" s="15"/>
      <c r="V938" s="15"/>
      <c r="W938" s="15"/>
      <c r="X938" s="14"/>
      <c r="Y938" s="14"/>
      <c r="Z938" s="15"/>
      <c r="AA938" s="15"/>
      <c r="AB938" s="3"/>
      <c r="AC938" s="3"/>
      <c r="AD938" s="3"/>
      <c r="AE938" s="3"/>
      <c r="AF938" s="3"/>
      <c r="AG938" s="3"/>
      <c r="AH938" s="3"/>
      <c r="AI938" s="3"/>
      <c r="AJ938" s="154" t="s">
        <v>70</v>
      </c>
      <c r="AN938" s="154" t="s">
        <v>70</v>
      </c>
    </row>
    <row r="939" ht="15.75" customHeight="1">
      <c r="J939" s="15"/>
      <c r="K939" s="238"/>
      <c r="L939" s="15"/>
      <c r="M939" s="15"/>
      <c r="N939" s="15"/>
      <c r="O939" s="15"/>
      <c r="P939" s="15"/>
      <c r="Q939" s="15"/>
      <c r="R939" s="15"/>
      <c r="S939" s="15"/>
      <c r="T939" s="15"/>
      <c r="U939" s="15"/>
      <c r="V939" s="15"/>
      <c r="W939" s="15"/>
      <c r="X939" s="14"/>
      <c r="Y939" s="14"/>
      <c r="Z939" s="15"/>
      <c r="AA939" s="15"/>
      <c r="AB939" s="3"/>
      <c r="AC939" s="3"/>
      <c r="AD939" s="3"/>
      <c r="AE939" s="3"/>
      <c r="AF939" s="3"/>
      <c r="AG939" s="3"/>
      <c r="AH939" s="3"/>
      <c r="AI939" s="3"/>
      <c r="AJ939" s="154" t="s">
        <v>70</v>
      </c>
      <c r="AN939" s="154" t="s">
        <v>70</v>
      </c>
    </row>
    <row r="940" ht="15.75" customHeight="1">
      <c r="J940" s="15"/>
      <c r="K940" s="238"/>
      <c r="L940" s="15"/>
      <c r="M940" s="15"/>
      <c r="N940" s="15"/>
      <c r="O940" s="15"/>
      <c r="P940" s="15"/>
      <c r="Q940" s="15"/>
      <c r="R940" s="15"/>
      <c r="S940" s="15"/>
      <c r="T940" s="15"/>
      <c r="U940" s="15"/>
      <c r="V940" s="15"/>
      <c r="W940" s="15"/>
      <c r="X940" s="14"/>
      <c r="Y940" s="14"/>
      <c r="Z940" s="15"/>
      <c r="AA940" s="15"/>
      <c r="AB940" s="3"/>
      <c r="AC940" s="3"/>
      <c r="AD940" s="3"/>
      <c r="AE940" s="3"/>
      <c r="AF940" s="3"/>
      <c r="AG940" s="3"/>
      <c r="AH940" s="3"/>
      <c r="AI940" s="3"/>
      <c r="AJ940" s="154" t="s">
        <v>70</v>
      </c>
      <c r="AN940" s="154" t="s">
        <v>70</v>
      </c>
    </row>
    <row r="941" ht="15.75" customHeight="1">
      <c r="J941" s="15"/>
      <c r="K941" s="238"/>
      <c r="L941" s="15"/>
      <c r="M941" s="15"/>
      <c r="N941" s="15"/>
      <c r="O941" s="15"/>
      <c r="P941" s="15"/>
      <c r="Q941" s="15"/>
      <c r="R941" s="15"/>
      <c r="S941" s="15"/>
      <c r="T941" s="15"/>
      <c r="U941" s="15"/>
      <c r="V941" s="15"/>
      <c r="W941" s="15"/>
      <c r="X941" s="14"/>
      <c r="Y941" s="14"/>
      <c r="Z941" s="15"/>
      <c r="AA941" s="15"/>
      <c r="AB941" s="3"/>
      <c r="AC941" s="3"/>
      <c r="AD941" s="3"/>
      <c r="AE941" s="3"/>
      <c r="AF941" s="3"/>
      <c r="AG941" s="3"/>
      <c r="AH941" s="3"/>
      <c r="AI941" s="3"/>
      <c r="AJ941" s="154" t="s">
        <v>70</v>
      </c>
      <c r="AN941" s="154" t="s">
        <v>70</v>
      </c>
    </row>
    <row r="942" ht="15.75" customHeight="1">
      <c r="J942" s="15"/>
      <c r="K942" s="238"/>
      <c r="L942" s="15"/>
      <c r="M942" s="15"/>
      <c r="N942" s="15"/>
      <c r="O942" s="15"/>
      <c r="P942" s="15"/>
      <c r="Q942" s="15"/>
      <c r="R942" s="15"/>
      <c r="S942" s="15"/>
      <c r="T942" s="15"/>
      <c r="U942" s="15"/>
      <c r="V942" s="15"/>
      <c r="W942" s="15"/>
      <c r="X942" s="14"/>
      <c r="Y942" s="14"/>
      <c r="Z942" s="15"/>
      <c r="AA942" s="15"/>
      <c r="AB942" s="3"/>
      <c r="AC942" s="3"/>
      <c r="AD942" s="3"/>
      <c r="AE942" s="3"/>
      <c r="AF942" s="3"/>
      <c r="AG942" s="3"/>
      <c r="AH942" s="3"/>
      <c r="AI942" s="3"/>
      <c r="AJ942" s="154" t="s">
        <v>70</v>
      </c>
      <c r="AN942" s="154" t="s">
        <v>70</v>
      </c>
    </row>
    <row r="943" ht="15.75" customHeight="1">
      <c r="J943" s="15"/>
      <c r="K943" s="238"/>
      <c r="L943" s="15"/>
      <c r="M943" s="15"/>
      <c r="N943" s="15"/>
      <c r="O943" s="15"/>
      <c r="P943" s="15"/>
      <c r="Q943" s="15"/>
      <c r="R943" s="15"/>
      <c r="S943" s="15"/>
      <c r="T943" s="15"/>
      <c r="U943" s="15"/>
      <c r="V943" s="15"/>
      <c r="W943" s="15"/>
      <c r="X943" s="14"/>
      <c r="Y943" s="14"/>
      <c r="Z943" s="15"/>
      <c r="AA943" s="15"/>
      <c r="AB943" s="3"/>
      <c r="AC943" s="3"/>
      <c r="AD943" s="3"/>
      <c r="AE943" s="3"/>
      <c r="AF943" s="3"/>
      <c r="AG943" s="3"/>
      <c r="AH943" s="3"/>
      <c r="AI943" s="3"/>
      <c r="AJ943" s="154" t="s">
        <v>70</v>
      </c>
      <c r="AN943" s="154" t="s">
        <v>70</v>
      </c>
    </row>
    <row r="944" ht="15.75" customHeight="1">
      <c r="J944" s="15"/>
      <c r="K944" s="238"/>
      <c r="L944" s="15"/>
      <c r="M944" s="15"/>
      <c r="N944" s="15"/>
      <c r="O944" s="15"/>
      <c r="P944" s="15"/>
      <c r="Q944" s="15"/>
      <c r="R944" s="15"/>
      <c r="S944" s="15"/>
      <c r="T944" s="15"/>
      <c r="U944" s="15"/>
      <c r="V944" s="15"/>
      <c r="W944" s="15"/>
      <c r="X944" s="14"/>
      <c r="Y944" s="14"/>
      <c r="Z944" s="15"/>
      <c r="AA944" s="15"/>
      <c r="AB944" s="3"/>
      <c r="AC944" s="3"/>
      <c r="AD944" s="3"/>
      <c r="AE944" s="3"/>
      <c r="AF944" s="3"/>
      <c r="AG944" s="3"/>
      <c r="AH944" s="3"/>
      <c r="AI944" s="3"/>
      <c r="AJ944" s="154" t="s">
        <v>70</v>
      </c>
      <c r="AN944" s="154" t="s">
        <v>70</v>
      </c>
    </row>
    <row r="945" ht="15.75" customHeight="1">
      <c r="J945" s="15"/>
      <c r="K945" s="238"/>
      <c r="L945" s="15"/>
      <c r="M945" s="15"/>
      <c r="N945" s="15"/>
      <c r="O945" s="15"/>
      <c r="P945" s="15"/>
      <c r="Q945" s="15"/>
      <c r="R945" s="15"/>
      <c r="S945" s="15"/>
      <c r="T945" s="15"/>
      <c r="U945" s="15"/>
      <c r="V945" s="15"/>
      <c r="W945" s="15"/>
      <c r="X945" s="14"/>
      <c r="Y945" s="14"/>
      <c r="Z945" s="15"/>
      <c r="AA945" s="15"/>
      <c r="AB945" s="3"/>
      <c r="AC945" s="3"/>
      <c r="AD945" s="3"/>
      <c r="AE945" s="3"/>
      <c r="AF945" s="3"/>
      <c r="AG945" s="3"/>
      <c r="AH945" s="3"/>
      <c r="AI945" s="3"/>
      <c r="AJ945" s="154" t="s">
        <v>70</v>
      </c>
      <c r="AN945" s="154" t="s">
        <v>70</v>
      </c>
    </row>
    <row r="946" ht="15.75" customHeight="1">
      <c r="J946" s="15"/>
      <c r="K946" s="238"/>
      <c r="L946" s="15"/>
      <c r="M946" s="15"/>
      <c r="N946" s="15"/>
      <c r="O946" s="15"/>
      <c r="P946" s="15"/>
      <c r="Q946" s="15"/>
      <c r="R946" s="15"/>
      <c r="S946" s="15"/>
      <c r="T946" s="15"/>
      <c r="U946" s="15"/>
      <c r="V946" s="15"/>
      <c r="W946" s="15"/>
      <c r="X946" s="14"/>
      <c r="Y946" s="14"/>
      <c r="Z946" s="15"/>
      <c r="AA946" s="15"/>
      <c r="AB946" s="3"/>
      <c r="AC946" s="3"/>
      <c r="AD946" s="3"/>
      <c r="AE946" s="3"/>
      <c r="AF946" s="3"/>
      <c r="AG946" s="3"/>
      <c r="AH946" s="3"/>
      <c r="AI946" s="3"/>
      <c r="AJ946" s="154" t="s">
        <v>70</v>
      </c>
      <c r="AN946" s="154" t="s">
        <v>70</v>
      </c>
    </row>
    <row r="947" ht="15.75" customHeight="1">
      <c r="J947" s="15"/>
      <c r="K947" s="238"/>
      <c r="L947" s="15"/>
      <c r="M947" s="15"/>
      <c r="N947" s="15"/>
      <c r="O947" s="15"/>
      <c r="P947" s="15"/>
      <c r="Q947" s="15"/>
      <c r="R947" s="15"/>
      <c r="S947" s="15"/>
      <c r="T947" s="15"/>
      <c r="U947" s="15"/>
      <c r="V947" s="15"/>
      <c r="W947" s="15"/>
      <c r="X947" s="14"/>
      <c r="Y947" s="14"/>
      <c r="Z947" s="15"/>
      <c r="AA947" s="15"/>
      <c r="AB947" s="3"/>
      <c r="AC947" s="3"/>
      <c r="AD947" s="3"/>
      <c r="AE947" s="3"/>
      <c r="AF947" s="3"/>
      <c r="AG947" s="3"/>
      <c r="AH947" s="3"/>
      <c r="AI947" s="3"/>
      <c r="AJ947" s="154" t="s">
        <v>70</v>
      </c>
      <c r="AN947" s="154" t="s">
        <v>70</v>
      </c>
    </row>
    <row r="948" ht="15.75" customHeight="1">
      <c r="J948" s="15"/>
      <c r="K948" s="238"/>
      <c r="L948" s="15"/>
      <c r="M948" s="15"/>
      <c r="N948" s="15"/>
      <c r="O948" s="15"/>
      <c r="P948" s="15"/>
      <c r="Q948" s="15"/>
      <c r="R948" s="15"/>
      <c r="S948" s="15"/>
      <c r="T948" s="15"/>
      <c r="U948" s="15"/>
      <c r="V948" s="15"/>
      <c r="W948" s="15"/>
      <c r="X948" s="14"/>
      <c r="Y948" s="14"/>
      <c r="Z948" s="15"/>
      <c r="AA948" s="15"/>
      <c r="AB948" s="3"/>
      <c r="AC948" s="3"/>
      <c r="AD948" s="3"/>
      <c r="AE948" s="3"/>
      <c r="AF948" s="3"/>
      <c r="AG948" s="3"/>
      <c r="AH948" s="3"/>
      <c r="AI948" s="3"/>
      <c r="AJ948" s="154" t="s">
        <v>70</v>
      </c>
      <c r="AN948" s="154" t="s">
        <v>70</v>
      </c>
    </row>
    <row r="949" ht="15.75" customHeight="1">
      <c r="J949" s="15"/>
      <c r="K949" s="238"/>
      <c r="L949" s="15"/>
      <c r="M949" s="15"/>
      <c r="N949" s="15"/>
      <c r="O949" s="15"/>
      <c r="P949" s="15"/>
      <c r="Q949" s="15"/>
      <c r="R949" s="15"/>
      <c r="S949" s="15"/>
      <c r="T949" s="15"/>
      <c r="U949" s="15"/>
      <c r="V949" s="15"/>
      <c r="W949" s="15"/>
      <c r="X949" s="14"/>
      <c r="Y949" s="14"/>
      <c r="Z949" s="15"/>
      <c r="AA949" s="15"/>
      <c r="AB949" s="3"/>
      <c r="AC949" s="3"/>
      <c r="AD949" s="3"/>
      <c r="AE949" s="3"/>
      <c r="AF949" s="3"/>
      <c r="AG949" s="3"/>
      <c r="AH949" s="3"/>
      <c r="AI949" s="3"/>
      <c r="AJ949" s="154" t="s">
        <v>70</v>
      </c>
      <c r="AN949" s="154" t="s">
        <v>70</v>
      </c>
    </row>
    <row r="950" ht="15.75" customHeight="1">
      <c r="J950" s="15"/>
      <c r="K950" s="238"/>
      <c r="L950" s="15"/>
      <c r="M950" s="15"/>
      <c r="N950" s="15"/>
      <c r="O950" s="15"/>
      <c r="P950" s="15"/>
      <c r="Q950" s="15"/>
      <c r="R950" s="15"/>
      <c r="S950" s="15"/>
      <c r="T950" s="15"/>
      <c r="U950" s="15"/>
      <c r="V950" s="15"/>
      <c r="W950" s="15"/>
      <c r="X950" s="14"/>
      <c r="Y950" s="14"/>
      <c r="Z950" s="15"/>
      <c r="AA950" s="15"/>
      <c r="AB950" s="3"/>
      <c r="AC950" s="3"/>
      <c r="AD950" s="3"/>
      <c r="AE950" s="3"/>
      <c r="AF950" s="3"/>
      <c r="AG950" s="3"/>
      <c r="AH950" s="3"/>
      <c r="AI950" s="3"/>
      <c r="AJ950" s="154" t="s">
        <v>70</v>
      </c>
      <c r="AN950" s="154" t="s">
        <v>70</v>
      </c>
    </row>
    <row r="951" ht="15.75" customHeight="1">
      <c r="J951" s="15"/>
      <c r="K951" s="238"/>
      <c r="L951" s="15"/>
      <c r="M951" s="15"/>
      <c r="N951" s="15"/>
      <c r="O951" s="15"/>
      <c r="P951" s="15"/>
      <c r="Q951" s="15"/>
      <c r="R951" s="15"/>
      <c r="S951" s="15"/>
      <c r="T951" s="15"/>
      <c r="U951" s="15"/>
      <c r="V951" s="15"/>
      <c r="W951" s="15"/>
      <c r="X951" s="14"/>
      <c r="Y951" s="14"/>
      <c r="Z951" s="15"/>
      <c r="AA951" s="15"/>
      <c r="AB951" s="3"/>
      <c r="AC951" s="3"/>
      <c r="AD951" s="3"/>
      <c r="AE951" s="3"/>
      <c r="AF951" s="3"/>
      <c r="AG951" s="3"/>
      <c r="AH951" s="3"/>
      <c r="AI951" s="3"/>
      <c r="AJ951" s="154" t="s">
        <v>70</v>
      </c>
      <c r="AN951" s="154" t="s">
        <v>70</v>
      </c>
    </row>
    <row r="952" ht="15.75" customHeight="1">
      <c r="J952" s="15"/>
      <c r="K952" s="238"/>
      <c r="L952" s="15"/>
      <c r="M952" s="15"/>
      <c r="N952" s="15"/>
      <c r="O952" s="15"/>
      <c r="P952" s="15"/>
      <c r="Q952" s="15"/>
      <c r="R952" s="15"/>
      <c r="S952" s="15"/>
      <c r="T952" s="15"/>
      <c r="U952" s="15"/>
      <c r="V952" s="15"/>
      <c r="W952" s="15"/>
      <c r="X952" s="14"/>
      <c r="Y952" s="14"/>
      <c r="Z952" s="15"/>
      <c r="AA952" s="15"/>
      <c r="AB952" s="3"/>
      <c r="AC952" s="3"/>
      <c r="AD952" s="3"/>
      <c r="AE952" s="3"/>
      <c r="AF952" s="3"/>
      <c r="AG952" s="3"/>
      <c r="AH952" s="3"/>
      <c r="AI952" s="3"/>
      <c r="AJ952" s="154" t="s">
        <v>70</v>
      </c>
      <c r="AN952" s="154" t="s">
        <v>70</v>
      </c>
    </row>
    <row r="953" ht="15.75" customHeight="1">
      <c r="J953" s="15"/>
      <c r="K953" s="238"/>
      <c r="L953" s="15"/>
      <c r="M953" s="15"/>
      <c r="N953" s="15"/>
      <c r="O953" s="15"/>
      <c r="P953" s="15"/>
      <c r="Q953" s="15"/>
      <c r="R953" s="15"/>
      <c r="S953" s="15"/>
      <c r="T953" s="15"/>
      <c r="U953" s="15"/>
      <c r="V953" s="15"/>
      <c r="W953" s="15"/>
      <c r="X953" s="14"/>
      <c r="Y953" s="14"/>
      <c r="Z953" s="15"/>
      <c r="AA953" s="15"/>
      <c r="AB953" s="3"/>
      <c r="AC953" s="3"/>
      <c r="AD953" s="3"/>
      <c r="AE953" s="3"/>
      <c r="AF953" s="3"/>
      <c r="AG953" s="3"/>
      <c r="AH953" s="3"/>
      <c r="AI953" s="3"/>
      <c r="AJ953" s="154" t="s">
        <v>70</v>
      </c>
      <c r="AN953" s="154" t="s">
        <v>70</v>
      </c>
    </row>
    <row r="954" ht="15.75" customHeight="1">
      <c r="J954" s="15"/>
      <c r="K954" s="238"/>
      <c r="L954" s="15"/>
      <c r="M954" s="15"/>
      <c r="N954" s="15"/>
      <c r="O954" s="15"/>
      <c r="P954" s="15"/>
      <c r="Q954" s="15"/>
      <c r="R954" s="15"/>
      <c r="S954" s="15"/>
      <c r="T954" s="15"/>
      <c r="U954" s="15"/>
      <c r="V954" s="15"/>
      <c r="W954" s="15"/>
      <c r="X954" s="14"/>
      <c r="Y954" s="14"/>
      <c r="Z954" s="15"/>
      <c r="AA954" s="15"/>
      <c r="AB954" s="3"/>
      <c r="AC954" s="3"/>
      <c r="AD954" s="3"/>
      <c r="AE954" s="3"/>
      <c r="AF954" s="3"/>
      <c r="AG954" s="3"/>
      <c r="AH954" s="3"/>
      <c r="AI954" s="3"/>
      <c r="AJ954" s="154" t="s">
        <v>70</v>
      </c>
      <c r="AN954" s="154" t="s">
        <v>70</v>
      </c>
    </row>
    <row r="955" ht="15.75" customHeight="1">
      <c r="J955" s="15"/>
      <c r="K955" s="238"/>
      <c r="L955" s="15"/>
      <c r="M955" s="15"/>
      <c r="N955" s="15"/>
      <c r="O955" s="15"/>
      <c r="P955" s="15"/>
      <c r="Q955" s="15"/>
      <c r="R955" s="15"/>
      <c r="S955" s="15"/>
      <c r="T955" s="15"/>
      <c r="U955" s="15"/>
      <c r="V955" s="15"/>
      <c r="W955" s="15"/>
      <c r="X955" s="14"/>
      <c r="Y955" s="14"/>
      <c r="Z955" s="15"/>
      <c r="AA955" s="15"/>
      <c r="AB955" s="3"/>
      <c r="AC955" s="3"/>
      <c r="AD955" s="3"/>
      <c r="AE955" s="3"/>
      <c r="AF955" s="3"/>
      <c r="AG955" s="3"/>
      <c r="AH955" s="3"/>
      <c r="AI955" s="3"/>
      <c r="AJ955" s="154" t="s">
        <v>70</v>
      </c>
      <c r="AN955" s="154" t="s">
        <v>70</v>
      </c>
    </row>
    <row r="956" ht="15.75" customHeight="1">
      <c r="J956" s="15"/>
      <c r="K956" s="238"/>
      <c r="L956" s="15"/>
      <c r="M956" s="15"/>
      <c r="N956" s="15"/>
      <c r="O956" s="15"/>
      <c r="P956" s="15"/>
      <c r="Q956" s="15"/>
      <c r="R956" s="15"/>
      <c r="S956" s="15"/>
      <c r="T956" s="15"/>
      <c r="U956" s="15"/>
      <c r="V956" s="15"/>
      <c r="W956" s="15"/>
      <c r="X956" s="14"/>
      <c r="Y956" s="14"/>
      <c r="Z956" s="15"/>
      <c r="AA956" s="15"/>
      <c r="AB956" s="3"/>
      <c r="AC956" s="3"/>
      <c r="AD956" s="3"/>
      <c r="AE956" s="3"/>
      <c r="AF956" s="3"/>
      <c r="AG956" s="3"/>
      <c r="AH956" s="3"/>
      <c r="AI956" s="3"/>
      <c r="AJ956" s="154" t="s">
        <v>70</v>
      </c>
      <c r="AN956" s="154" t="s">
        <v>70</v>
      </c>
    </row>
    <row r="957" ht="15.75" customHeight="1">
      <c r="J957" s="15"/>
      <c r="K957" s="238"/>
      <c r="L957" s="15"/>
      <c r="M957" s="15"/>
      <c r="N957" s="15"/>
      <c r="O957" s="15"/>
      <c r="P957" s="15"/>
      <c r="Q957" s="15"/>
      <c r="R957" s="15"/>
      <c r="S957" s="15"/>
      <c r="T957" s="15"/>
      <c r="U957" s="15"/>
      <c r="V957" s="15"/>
      <c r="W957" s="15"/>
      <c r="X957" s="14"/>
      <c r="Y957" s="14"/>
      <c r="Z957" s="15"/>
      <c r="AA957" s="15"/>
      <c r="AB957" s="3"/>
      <c r="AC957" s="3"/>
      <c r="AD957" s="3"/>
      <c r="AE957" s="3"/>
      <c r="AF957" s="3"/>
      <c r="AG957" s="3"/>
      <c r="AH957" s="3"/>
      <c r="AI957" s="3"/>
      <c r="AJ957" s="154" t="s">
        <v>70</v>
      </c>
      <c r="AN957" s="154" t="s">
        <v>70</v>
      </c>
    </row>
    <row r="958" ht="15.75" customHeight="1">
      <c r="J958" s="15"/>
      <c r="K958" s="238"/>
      <c r="L958" s="15"/>
      <c r="M958" s="15"/>
      <c r="N958" s="15"/>
      <c r="O958" s="15"/>
      <c r="P958" s="15"/>
      <c r="Q958" s="15"/>
      <c r="R958" s="15"/>
      <c r="S958" s="15"/>
      <c r="T958" s="15"/>
      <c r="U958" s="15"/>
      <c r="V958" s="15"/>
      <c r="W958" s="15"/>
      <c r="X958" s="14"/>
      <c r="Y958" s="14"/>
      <c r="Z958" s="15"/>
      <c r="AA958" s="15"/>
      <c r="AB958" s="3"/>
      <c r="AC958" s="3"/>
      <c r="AD958" s="3"/>
      <c r="AE958" s="3"/>
      <c r="AF958" s="3"/>
      <c r="AG958" s="3"/>
      <c r="AH958" s="3"/>
      <c r="AI958" s="3"/>
      <c r="AJ958" s="154" t="s">
        <v>70</v>
      </c>
      <c r="AN958" s="154" t="s">
        <v>70</v>
      </c>
    </row>
    <row r="959" ht="15.75" customHeight="1">
      <c r="J959" s="15"/>
      <c r="K959" s="238"/>
      <c r="L959" s="15"/>
      <c r="M959" s="15"/>
      <c r="N959" s="15"/>
      <c r="O959" s="15"/>
      <c r="P959" s="15"/>
      <c r="Q959" s="15"/>
      <c r="R959" s="15"/>
      <c r="S959" s="15"/>
      <c r="T959" s="15"/>
      <c r="U959" s="15"/>
      <c r="V959" s="15"/>
      <c r="W959" s="15"/>
      <c r="X959" s="14"/>
      <c r="Y959" s="14"/>
      <c r="Z959" s="15"/>
      <c r="AA959" s="15"/>
      <c r="AB959" s="3"/>
      <c r="AC959" s="3"/>
      <c r="AD959" s="3"/>
      <c r="AE959" s="3"/>
      <c r="AF959" s="3"/>
      <c r="AG959" s="3"/>
      <c r="AH959" s="3"/>
      <c r="AI959" s="3"/>
      <c r="AJ959" s="154" t="s">
        <v>70</v>
      </c>
      <c r="AN959" s="154" t="s">
        <v>70</v>
      </c>
    </row>
    <row r="960" ht="15.75" customHeight="1">
      <c r="J960" s="15"/>
      <c r="K960" s="238"/>
      <c r="L960" s="15"/>
      <c r="M960" s="15"/>
      <c r="N960" s="15"/>
      <c r="O960" s="15"/>
      <c r="P960" s="15"/>
      <c r="Q960" s="15"/>
      <c r="R960" s="15"/>
      <c r="S960" s="15"/>
      <c r="T960" s="15"/>
      <c r="U960" s="15"/>
      <c r="V960" s="15"/>
      <c r="W960" s="15"/>
      <c r="X960" s="14"/>
      <c r="Y960" s="14"/>
      <c r="Z960" s="15"/>
      <c r="AA960" s="15"/>
      <c r="AB960" s="3"/>
      <c r="AC960" s="3"/>
      <c r="AD960" s="3"/>
      <c r="AE960" s="3"/>
      <c r="AF960" s="3"/>
      <c r="AG960" s="3"/>
      <c r="AH960" s="3"/>
      <c r="AI960" s="3"/>
      <c r="AJ960" s="154" t="s">
        <v>70</v>
      </c>
      <c r="AN960" s="154" t="s">
        <v>70</v>
      </c>
    </row>
    <row r="961" ht="15.75" customHeight="1">
      <c r="J961" s="15"/>
      <c r="K961" s="238"/>
      <c r="L961" s="15"/>
      <c r="M961" s="15"/>
      <c r="N961" s="15"/>
      <c r="O961" s="15"/>
      <c r="P961" s="15"/>
      <c r="Q961" s="15"/>
      <c r="R961" s="15"/>
      <c r="S961" s="15"/>
      <c r="T961" s="15"/>
      <c r="U961" s="15"/>
      <c r="V961" s="15"/>
      <c r="W961" s="15"/>
      <c r="X961" s="14"/>
      <c r="Y961" s="14"/>
      <c r="Z961" s="15"/>
      <c r="AA961" s="15"/>
      <c r="AB961" s="3"/>
      <c r="AC961" s="3"/>
      <c r="AD961" s="3"/>
      <c r="AE961" s="3"/>
      <c r="AF961" s="3"/>
      <c r="AG961" s="3"/>
      <c r="AH961" s="3"/>
      <c r="AI961" s="3"/>
      <c r="AJ961" s="154" t="s">
        <v>70</v>
      </c>
      <c r="AN961" s="154" t="s">
        <v>70</v>
      </c>
    </row>
    <row r="962" ht="15.75" customHeight="1">
      <c r="J962" s="15"/>
      <c r="K962" s="238"/>
      <c r="L962" s="15"/>
      <c r="M962" s="15"/>
      <c r="N962" s="15"/>
      <c r="O962" s="15"/>
      <c r="P962" s="15"/>
      <c r="Q962" s="15"/>
      <c r="R962" s="15"/>
      <c r="S962" s="15"/>
      <c r="T962" s="15"/>
      <c r="U962" s="15"/>
      <c r="V962" s="15"/>
      <c r="W962" s="15"/>
      <c r="X962" s="14"/>
      <c r="Y962" s="14"/>
      <c r="Z962" s="15"/>
      <c r="AA962" s="15"/>
      <c r="AB962" s="3"/>
      <c r="AC962" s="3"/>
      <c r="AD962" s="3"/>
      <c r="AE962" s="3"/>
      <c r="AF962" s="3"/>
      <c r="AG962" s="3"/>
      <c r="AH962" s="3"/>
      <c r="AI962" s="3"/>
      <c r="AJ962" s="154" t="s">
        <v>70</v>
      </c>
      <c r="AN962" s="154" t="s">
        <v>70</v>
      </c>
    </row>
    <row r="963" ht="15.75" customHeight="1">
      <c r="J963" s="15"/>
      <c r="K963" s="238"/>
      <c r="L963" s="15"/>
      <c r="M963" s="15"/>
      <c r="N963" s="15"/>
      <c r="O963" s="15"/>
      <c r="P963" s="15"/>
      <c r="Q963" s="15"/>
      <c r="R963" s="15"/>
      <c r="S963" s="15"/>
      <c r="T963" s="15"/>
      <c r="U963" s="15"/>
      <c r="V963" s="15"/>
      <c r="W963" s="15"/>
      <c r="X963" s="14"/>
      <c r="Y963" s="14"/>
      <c r="Z963" s="15"/>
      <c r="AA963" s="15"/>
      <c r="AB963" s="3"/>
      <c r="AC963" s="3"/>
      <c r="AD963" s="3"/>
      <c r="AE963" s="3"/>
      <c r="AF963" s="3"/>
      <c r="AG963" s="3"/>
      <c r="AH963" s="3"/>
      <c r="AI963" s="3"/>
      <c r="AJ963" s="154" t="s">
        <v>70</v>
      </c>
      <c r="AN963" s="154" t="s">
        <v>70</v>
      </c>
    </row>
    <row r="964" ht="15.75" customHeight="1">
      <c r="J964" s="15"/>
      <c r="K964" s="238"/>
      <c r="L964" s="15"/>
      <c r="M964" s="15"/>
      <c r="N964" s="15"/>
      <c r="O964" s="15"/>
      <c r="P964" s="15"/>
      <c r="Q964" s="15"/>
      <c r="R964" s="15"/>
      <c r="S964" s="15"/>
      <c r="T964" s="15"/>
      <c r="U964" s="15"/>
      <c r="V964" s="15"/>
      <c r="W964" s="15"/>
      <c r="X964" s="14"/>
      <c r="Y964" s="14"/>
      <c r="Z964" s="15"/>
      <c r="AA964" s="15"/>
      <c r="AB964" s="3"/>
      <c r="AC964" s="3"/>
      <c r="AD964" s="3"/>
      <c r="AE964" s="3"/>
      <c r="AF964" s="3"/>
      <c r="AG964" s="3"/>
      <c r="AH964" s="3"/>
      <c r="AI964" s="3"/>
      <c r="AJ964" s="154" t="s">
        <v>70</v>
      </c>
      <c r="AN964" s="154" t="s">
        <v>70</v>
      </c>
    </row>
    <row r="965" ht="15.75" customHeight="1">
      <c r="J965" s="15"/>
      <c r="K965" s="238"/>
      <c r="L965" s="15"/>
      <c r="M965" s="15"/>
      <c r="N965" s="15"/>
      <c r="O965" s="15"/>
      <c r="P965" s="15"/>
      <c r="Q965" s="15"/>
      <c r="R965" s="15"/>
      <c r="S965" s="15"/>
      <c r="T965" s="15"/>
      <c r="U965" s="15"/>
      <c r="V965" s="15"/>
      <c r="W965" s="15"/>
      <c r="X965" s="14"/>
      <c r="Y965" s="14"/>
      <c r="Z965" s="15"/>
      <c r="AA965" s="15"/>
      <c r="AB965" s="3"/>
      <c r="AC965" s="3"/>
      <c r="AD965" s="3"/>
      <c r="AE965" s="3"/>
      <c r="AF965" s="3"/>
      <c r="AG965" s="3"/>
      <c r="AH965" s="3"/>
      <c r="AI965" s="3"/>
      <c r="AJ965" s="154" t="s">
        <v>70</v>
      </c>
      <c r="AN965" s="154" t="s">
        <v>70</v>
      </c>
    </row>
    <row r="966" ht="15.75" customHeight="1">
      <c r="J966" s="15"/>
      <c r="K966" s="238"/>
      <c r="L966" s="15"/>
      <c r="M966" s="15"/>
      <c r="N966" s="15"/>
      <c r="O966" s="15"/>
      <c r="P966" s="15"/>
      <c r="Q966" s="15"/>
      <c r="R966" s="15"/>
      <c r="S966" s="15"/>
      <c r="T966" s="15"/>
      <c r="U966" s="15"/>
      <c r="V966" s="15"/>
      <c r="W966" s="15"/>
      <c r="X966" s="14"/>
      <c r="Y966" s="14"/>
      <c r="Z966" s="15"/>
      <c r="AA966" s="15"/>
      <c r="AB966" s="3"/>
      <c r="AC966" s="3"/>
      <c r="AD966" s="3"/>
      <c r="AE966" s="3"/>
      <c r="AF966" s="3"/>
      <c r="AG966" s="3"/>
      <c r="AH966" s="3"/>
      <c r="AI966" s="3"/>
      <c r="AJ966" s="154" t="s">
        <v>70</v>
      </c>
      <c r="AN966" s="154" t="s">
        <v>70</v>
      </c>
    </row>
    <row r="967" ht="15.75" customHeight="1">
      <c r="J967" s="15"/>
      <c r="K967" s="238"/>
      <c r="L967" s="15"/>
      <c r="M967" s="15"/>
      <c r="N967" s="15"/>
      <c r="O967" s="15"/>
      <c r="P967" s="15"/>
      <c r="Q967" s="15"/>
      <c r="R967" s="15"/>
      <c r="S967" s="15"/>
      <c r="T967" s="15"/>
      <c r="U967" s="15"/>
      <c r="V967" s="15"/>
      <c r="W967" s="15"/>
      <c r="X967" s="14"/>
      <c r="Y967" s="14"/>
      <c r="Z967" s="15"/>
      <c r="AA967" s="15"/>
      <c r="AB967" s="3"/>
      <c r="AC967" s="3"/>
      <c r="AD967" s="3"/>
      <c r="AE967" s="3"/>
      <c r="AF967" s="3"/>
      <c r="AG967" s="3"/>
      <c r="AH967" s="3"/>
      <c r="AI967" s="3"/>
      <c r="AJ967" s="154" t="s">
        <v>70</v>
      </c>
      <c r="AN967" s="154" t="s">
        <v>70</v>
      </c>
    </row>
    <row r="968" ht="15.75" customHeight="1">
      <c r="J968" s="15"/>
      <c r="K968" s="238"/>
      <c r="L968" s="15"/>
      <c r="M968" s="15"/>
      <c r="N968" s="15"/>
      <c r="O968" s="15"/>
      <c r="P968" s="15"/>
      <c r="Q968" s="15"/>
      <c r="R968" s="15"/>
      <c r="S968" s="15"/>
      <c r="T968" s="15"/>
      <c r="U968" s="15"/>
      <c r="V968" s="15"/>
      <c r="W968" s="15"/>
      <c r="X968" s="14"/>
      <c r="Y968" s="14"/>
      <c r="Z968" s="15"/>
      <c r="AA968" s="15"/>
      <c r="AB968" s="3"/>
      <c r="AC968" s="3"/>
      <c r="AD968" s="3"/>
      <c r="AE968" s="3"/>
      <c r="AF968" s="3"/>
      <c r="AG968" s="3"/>
      <c r="AH968" s="3"/>
      <c r="AI968" s="3"/>
      <c r="AJ968" s="154" t="s">
        <v>70</v>
      </c>
      <c r="AN968" s="154" t="s">
        <v>70</v>
      </c>
    </row>
    <row r="969" ht="15.75" customHeight="1">
      <c r="J969" s="15"/>
      <c r="K969" s="238"/>
      <c r="L969" s="15"/>
      <c r="M969" s="15"/>
      <c r="N969" s="15"/>
      <c r="O969" s="15"/>
      <c r="P969" s="15"/>
      <c r="Q969" s="15"/>
      <c r="R969" s="15"/>
      <c r="S969" s="15"/>
      <c r="T969" s="15"/>
      <c r="U969" s="15"/>
      <c r="V969" s="15"/>
      <c r="W969" s="15"/>
      <c r="X969" s="14"/>
      <c r="Y969" s="14"/>
      <c r="Z969" s="15"/>
      <c r="AA969" s="15"/>
      <c r="AB969" s="3"/>
      <c r="AC969" s="3"/>
      <c r="AD969" s="3"/>
      <c r="AE969" s="3"/>
      <c r="AF969" s="3"/>
      <c r="AG969" s="3"/>
      <c r="AH969" s="3"/>
      <c r="AI969" s="3"/>
      <c r="AJ969" s="154" t="s">
        <v>70</v>
      </c>
      <c r="AN969" s="154" t="s">
        <v>70</v>
      </c>
    </row>
    <row r="970" ht="15.75" customHeight="1">
      <c r="J970" s="15"/>
      <c r="K970" s="238"/>
      <c r="L970" s="15"/>
      <c r="M970" s="15"/>
      <c r="N970" s="15"/>
      <c r="O970" s="15"/>
      <c r="P970" s="15"/>
      <c r="Q970" s="15"/>
      <c r="R970" s="15"/>
      <c r="S970" s="15"/>
      <c r="T970" s="15"/>
      <c r="U970" s="15"/>
      <c r="V970" s="15"/>
      <c r="W970" s="15"/>
      <c r="X970" s="14"/>
      <c r="Y970" s="14"/>
      <c r="Z970" s="15"/>
      <c r="AA970" s="15"/>
      <c r="AB970" s="3"/>
      <c r="AC970" s="3"/>
      <c r="AD970" s="3"/>
      <c r="AE970" s="3"/>
      <c r="AF970" s="3"/>
      <c r="AG970" s="3"/>
      <c r="AH970" s="3"/>
      <c r="AI970" s="3"/>
      <c r="AJ970" s="154" t="s">
        <v>70</v>
      </c>
      <c r="AN970" s="154" t="s">
        <v>70</v>
      </c>
    </row>
    <row r="971" ht="15.75" customHeight="1">
      <c r="J971" s="15"/>
      <c r="K971" s="238"/>
      <c r="L971" s="15"/>
      <c r="M971" s="15"/>
      <c r="N971" s="15"/>
      <c r="O971" s="15"/>
      <c r="P971" s="15"/>
      <c r="Q971" s="15"/>
      <c r="R971" s="15"/>
      <c r="S971" s="15"/>
      <c r="T971" s="15"/>
      <c r="U971" s="15"/>
      <c r="V971" s="15"/>
      <c r="W971" s="15"/>
      <c r="X971" s="14"/>
      <c r="Y971" s="14"/>
      <c r="Z971" s="15"/>
      <c r="AA971" s="15"/>
      <c r="AB971" s="3"/>
      <c r="AC971" s="3"/>
      <c r="AD971" s="3"/>
      <c r="AE971" s="3"/>
      <c r="AF971" s="3"/>
      <c r="AG971" s="3"/>
      <c r="AH971" s="3"/>
      <c r="AI971" s="3"/>
      <c r="AJ971" s="154" t="s">
        <v>70</v>
      </c>
      <c r="AN971" s="154" t="s">
        <v>70</v>
      </c>
    </row>
    <row r="972" ht="15.75" customHeight="1">
      <c r="J972" s="15"/>
      <c r="K972" s="238"/>
      <c r="L972" s="15"/>
      <c r="M972" s="15"/>
      <c r="N972" s="15"/>
      <c r="O972" s="15"/>
      <c r="P972" s="15"/>
      <c r="Q972" s="15"/>
      <c r="R972" s="15"/>
      <c r="S972" s="15"/>
      <c r="T972" s="15"/>
      <c r="U972" s="15"/>
      <c r="V972" s="15"/>
      <c r="W972" s="15"/>
      <c r="X972" s="14"/>
      <c r="Y972" s="14"/>
      <c r="Z972" s="15"/>
      <c r="AA972" s="15"/>
      <c r="AB972" s="3"/>
      <c r="AC972" s="3"/>
      <c r="AD972" s="3"/>
      <c r="AE972" s="3"/>
      <c r="AF972" s="3"/>
      <c r="AG972" s="3"/>
      <c r="AH972" s="3"/>
      <c r="AI972" s="3"/>
      <c r="AJ972" s="154" t="s">
        <v>70</v>
      </c>
      <c r="AN972" s="154" t="s">
        <v>70</v>
      </c>
    </row>
    <row r="973" ht="15.75" customHeight="1">
      <c r="J973" s="15"/>
      <c r="K973" s="238"/>
      <c r="L973" s="15"/>
      <c r="M973" s="15"/>
      <c r="N973" s="15"/>
      <c r="O973" s="15"/>
      <c r="P973" s="15"/>
      <c r="Q973" s="15"/>
      <c r="R973" s="15"/>
      <c r="S973" s="15"/>
      <c r="T973" s="15"/>
      <c r="U973" s="15"/>
      <c r="V973" s="15"/>
      <c r="W973" s="15"/>
      <c r="X973" s="14"/>
      <c r="Y973" s="14"/>
      <c r="Z973" s="15"/>
      <c r="AA973" s="15"/>
      <c r="AB973" s="3"/>
      <c r="AC973" s="3"/>
      <c r="AD973" s="3"/>
      <c r="AE973" s="3"/>
      <c r="AF973" s="3"/>
      <c r="AG973" s="3"/>
      <c r="AH973" s="3"/>
      <c r="AI973" s="3"/>
      <c r="AJ973" s="154" t="s">
        <v>70</v>
      </c>
      <c r="AN973" s="154" t="s">
        <v>70</v>
      </c>
    </row>
    <row r="974" ht="15.75" customHeight="1">
      <c r="J974" s="15"/>
      <c r="K974" s="238"/>
      <c r="L974" s="15"/>
      <c r="M974" s="15"/>
      <c r="N974" s="15"/>
      <c r="O974" s="15"/>
      <c r="P974" s="15"/>
      <c r="Q974" s="15"/>
      <c r="R974" s="15"/>
      <c r="S974" s="15"/>
      <c r="T974" s="15"/>
      <c r="U974" s="15"/>
      <c r="V974" s="15"/>
      <c r="W974" s="15"/>
      <c r="X974" s="14"/>
      <c r="Y974" s="14"/>
      <c r="Z974" s="15"/>
      <c r="AA974" s="15"/>
      <c r="AB974" s="3"/>
      <c r="AC974" s="3"/>
      <c r="AD974" s="3"/>
      <c r="AE974" s="3"/>
      <c r="AF974" s="3"/>
      <c r="AG974" s="3"/>
      <c r="AH974" s="3"/>
      <c r="AI974" s="3"/>
      <c r="AJ974" s="154" t="s">
        <v>70</v>
      </c>
      <c r="AN974" s="154" t="s">
        <v>70</v>
      </c>
    </row>
    <row r="975" ht="15.75" customHeight="1">
      <c r="J975" s="15"/>
      <c r="K975" s="238"/>
      <c r="L975" s="15"/>
      <c r="M975" s="15"/>
      <c r="N975" s="15"/>
      <c r="O975" s="15"/>
      <c r="P975" s="15"/>
      <c r="Q975" s="15"/>
      <c r="R975" s="15"/>
      <c r="S975" s="15"/>
      <c r="T975" s="15"/>
      <c r="U975" s="15"/>
      <c r="V975" s="15"/>
      <c r="W975" s="15"/>
      <c r="X975" s="14"/>
      <c r="Y975" s="14"/>
      <c r="Z975" s="15"/>
      <c r="AA975" s="15"/>
      <c r="AB975" s="3"/>
      <c r="AC975" s="3"/>
      <c r="AD975" s="3"/>
      <c r="AE975" s="3"/>
      <c r="AF975" s="3"/>
      <c r="AG975" s="3"/>
      <c r="AH975" s="3"/>
      <c r="AI975" s="3"/>
      <c r="AJ975" s="154" t="s">
        <v>70</v>
      </c>
      <c r="AN975" s="154" t="s">
        <v>70</v>
      </c>
    </row>
    <row r="976" ht="15.75" customHeight="1">
      <c r="J976" s="15"/>
      <c r="K976" s="238"/>
      <c r="L976" s="15"/>
      <c r="M976" s="15"/>
      <c r="N976" s="15"/>
      <c r="O976" s="15"/>
      <c r="P976" s="15"/>
      <c r="Q976" s="15"/>
      <c r="R976" s="15"/>
      <c r="S976" s="15"/>
      <c r="T976" s="15"/>
      <c r="U976" s="15"/>
      <c r="V976" s="15"/>
      <c r="W976" s="15"/>
      <c r="X976" s="14"/>
      <c r="Y976" s="14"/>
      <c r="Z976" s="15"/>
      <c r="AA976" s="15"/>
      <c r="AB976" s="3"/>
      <c r="AC976" s="3"/>
      <c r="AD976" s="3"/>
      <c r="AE976" s="3"/>
      <c r="AF976" s="3"/>
      <c r="AG976" s="3"/>
      <c r="AH976" s="3"/>
      <c r="AI976" s="3"/>
      <c r="AJ976" s="154" t="s">
        <v>70</v>
      </c>
      <c r="AN976" s="154" t="s">
        <v>70</v>
      </c>
    </row>
    <row r="977" ht="15.75" customHeight="1">
      <c r="J977" s="15"/>
      <c r="K977" s="238"/>
      <c r="L977" s="15"/>
      <c r="M977" s="15"/>
      <c r="N977" s="15"/>
      <c r="O977" s="15"/>
      <c r="P977" s="15"/>
      <c r="Q977" s="15"/>
      <c r="R977" s="15"/>
      <c r="S977" s="15"/>
      <c r="T977" s="15"/>
      <c r="U977" s="15"/>
      <c r="V977" s="15"/>
      <c r="W977" s="15"/>
      <c r="X977" s="14"/>
      <c r="Y977" s="14"/>
      <c r="Z977" s="15"/>
      <c r="AA977" s="15"/>
      <c r="AB977" s="3"/>
      <c r="AC977" s="3"/>
      <c r="AD977" s="3"/>
      <c r="AE977" s="3"/>
      <c r="AF977" s="3"/>
      <c r="AG977" s="3"/>
      <c r="AH977" s="3"/>
      <c r="AI977" s="3"/>
      <c r="AJ977" s="154" t="s">
        <v>70</v>
      </c>
      <c r="AN977" s="154" t="s">
        <v>70</v>
      </c>
    </row>
    <row r="978" ht="15.75" customHeight="1">
      <c r="J978" s="15"/>
      <c r="K978" s="238"/>
      <c r="L978" s="15"/>
      <c r="M978" s="15"/>
      <c r="N978" s="15"/>
      <c r="O978" s="15"/>
      <c r="P978" s="15"/>
      <c r="Q978" s="15"/>
      <c r="R978" s="15"/>
      <c r="S978" s="15"/>
      <c r="T978" s="15"/>
      <c r="U978" s="15"/>
      <c r="V978" s="15"/>
      <c r="W978" s="15"/>
      <c r="X978" s="14"/>
      <c r="Y978" s="14"/>
      <c r="Z978" s="15"/>
      <c r="AA978" s="15"/>
      <c r="AB978" s="3"/>
      <c r="AC978" s="3"/>
      <c r="AD978" s="3"/>
      <c r="AE978" s="3"/>
      <c r="AF978" s="3"/>
      <c r="AG978" s="3"/>
      <c r="AH978" s="3"/>
      <c r="AI978" s="3"/>
      <c r="AJ978" s="154" t="s">
        <v>70</v>
      </c>
      <c r="AN978" s="154" t="s">
        <v>70</v>
      </c>
    </row>
    <row r="979" ht="15.75" customHeight="1">
      <c r="J979" s="15"/>
      <c r="K979" s="238"/>
      <c r="L979" s="15"/>
      <c r="M979" s="15"/>
      <c r="N979" s="15"/>
      <c r="O979" s="15"/>
      <c r="P979" s="15"/>
      <c r="Q979" s="15"/>
      <c r="R979" s="15"/>
      <c r="S979" s="15"/>
      <c r="T979" s="15"/>
      <c r="U979" s="15"/>
      <c r="V979" s="15"/>
      <c r="W979" s="15"/>
      <c r="X979" s="14"/>
      <c r="Y979" s="14"/>
      <c r="Z979" s="15"/>
      <c r="AA979" s="15"/>
      <c r="AB979" s="3"/>
      <c r="AC979" s="3"/>
      <c r="AD979" s="3"/>
      <c r="AE979" s="3"/>
      <c r="AF979" s="3"/>
      <c r="AG979" s="3"/>
      <c r="AH979" s="3"/>
      <c r="AI979" s="3"/>
      <c r="AJ979" s="154" t="s">
        <v>70</v>
      </c>
      <c r="AN979" s="154" t="s">
        <v>70</v>
      </c>
    </row>
    <row r="980" ht="15.75" customHeight="1">
      <c r="J980" s="15"/>
      <c r="K980" s="238"/>
      <c r="L980" s="15"/>
      <c r="M980" s="15"/>
      <c r="N980" s="15"/>
      <c r="O980" s="15"/>
      <c r="P980" s="15"/>
      <c r="Q980" s="15"/>
      <c r="R980" s="15"/>
      <c r="S980" s="15"/>
      <c r="T980" s="15"/>
      <c r="U980" s="15"/>
      <c r="V980" s="15"/>
      <c r="W980" s="15"/>
      <c r="X980" s="14"/>
      <c r="Y980" s="14"/>
      <c r="Z980" s="15"/>
      <c r="AA980" s="15"/>
      <c r="AB980" s="3"/>
      <c r="AC980" s="3"/>
      <c r="AD980" s="3"/>
      <c r="AE980" s="3"/>
      <c r="AF980" s="3"/>
      <c r="AG980" s="3"/>
      <c r="AH980" s="3"/>
      <c r="AI980" s="3"/>
      <c r="AJ980" s="154" t="s">
        <v>70</v>
      </c>
      <c r="AN980" s="154" t="s">
        <v>70</v>
      </c>
    </row>
    <row r="981" ht="15.75" customHeight="1">
      <c r="J981" s="15"/>
      <c r="K981" s="238"/>
      <c r="L981" s="15"/>
      <c r="M981" s="15"/>
      <c r="N981" s="15"/>
      <c r="O981" s="15"/>
      <c r="P981" s="15"/>
      <c r="Q981" s="15"/>
      <c r="R981" s="15"/>
      <c r="S981" s="15"/>
      <c r="T981" s="15"/>
      <c r="U981" s="15"/>
      <c r="V981" s="15"/>
      <c r="W981" s="15"/>
      <c r="X981" s="14"/>
      <c r="Y981" s="14"/>
      <c r="Z981" s="15"/>
      <c r="AA981" s="15"/>
      <c r="AB981" s="3"/>
      <c r="AC981" s="3"/>
      <c r="AD981" s="3"/>
      <c r="AE981" s="3"/>
      <c r="AF981" s="3"/>
      <c r="AG981" s="3"/>
      <c r="AH981" s="3"/>
      <c r="AI981" s="3"/>
      <c r="AJ981" s="154" t="s">
        <v>70</v>
      </c>
      <c r="AN981" s="154" t="s">
        <v>70</v>
      </c>
    </row>
    <row r="982" ht="15.75" customHeight="1">
      <c r="J982" s="15"/>
      <c r="K982" s="238"/>
      <c r="L982" s="15"/>
      <c r="M982" s="15"/>
      <c r="N982" s="15"/>
      <c r="O982" s="15"/>
      <c r="P982" s="15"/>
      <c r="Q982" s="15"/>
      <c r="R982" s="15"/>
      <c r="S982" s="15"/>
      <c r="T982" s="15"/>
      <c r="U982" s="15"/>
      <c r="V982" s="15"/>
      <c r="W982" s="15"/>
      <c r="X982" s="14"/>
      <c r="Y982" s="14"/>
      <c r="Z982" s="15"/>
      <c r="AA982" s="15"/>
      <c r="AB982" s="3"/>
      <c r="AC982" s="3"/>
      <c r="AD982" s="3"/>
      <c r="AE982" s="3"/>
      <c r="AF982" s="3"/>
      <c r="AG982" s="3"/>
      <c r="AH982" s="3"/>
      <c r="AI982" s="3"/>
      <c r="AJ982" s="154" t="s">
        <v>70</v>
      </c>
      <c r="AN982" s="154" t="s">
        <v>70</v>
      </c>
    </row>
    <row r="983" ht="15.75" customHeight="1">
      <c r="J983" s="15"/>
      <c r="K983" s="238"/>
      <c r="L983" s="15"/>
      <c r="M983" s="15"/>
      <c r="N983" s="15"/>
      <c r="O983" s="15"/>
      <c r="P983" s="15"/>
      <c r="Q983" s="15"/>
      <c r="R983" s="15"/>
      <c r="S983" s="15"/>
      <c r="T983" s="15"/>
      <c r="U983" s="15"/>
      <c r="V983" s="15"/>
      <c r="W983" s="15"/>
      <c r="X983" s="14"/>
      <c r="Y983" s="14"/>
      <c r="Z983" s="15"/>
      <c r="AA983" s="15"/>
      <c r="AB983" s="3"/>
      <c r="AC983" s="3"/>
      <c r="AD983" s="3"/>
      <c r="AE983" s="3"/>
      <c r="AF983" s="3"/>
      <c r="AG983" s="3"/>
      <c r="AH983" s="3"/>
      <c r="AI983" s="3"/>
      <c r="AJ983" s="154" t="s">
        <v>70</v>
      </c>
      <c r="AN983" s="154" t="s">
        <v>70</v>
      </c>
    </row>
    <row r="984" ht="15.75" customHeight="1">
      <c r="J984" s="15"/>
      <c r="K984" s="238"/>
      <c r="L984" s="15"/>
      <c r="M984" s="15"/>
      <c r="N984" s="15"/>
      <c r="O984" s="15"/>
      <c r="P984" s="15"/>
      <c r="Q984" s="15"/>
      <c r="R984" s="15"/>
      <c r="S984" s="15"/>
      <c r="T984" s="15"/>
      <c r="U984" s="15"/>
      <c r="V984" s="15"/>
      <c r="W984" s="15"/>
      <c r="X984" s="14"/>
      <c r="Y984" s="14"/>
      <c r="Z984" s="15"/>
      <c r="AA984" s="15"/>
      <c r="AB984" s="3"/>
      <c r="AC984" s="3"/>
      <c r="AD984" s="3"/>
      <c r="AE984" s="3"/>
      <c r="AF984" s="3"/>
      <c r="AG984" s="3"/>
      <c r="AH984" s="3"/>
      <c r="AI984" s="3"/>
      <c r="AJ984" s="154" t="s">
        <v>70</v>
      </c>
      <c r="AN984" s="154" t="s">
        <v>70</v>
      </c>
    </row>
    <row r="985" ht="15.75" customHeight="1">
      <c r="J985" s="15"/>
      <c r="K985" s="238"/>
      <c r="L985" s="15"/>
      <c r="M985" s="15"/>
      <c r="N985" s="15"/>
      <c r="O985" s="15"/>
      <c r="P985" s="15"/>
      <c r="Q985" s="15"/>
      <c r="R985" s="15"/>
      <c r="S985" s="15"/>
      <c r="T985" s="15"/>
      <c r="U985" s="15"/>
      <c r="V985" s="15"/>
      <c r="W985" s="15"/>
      <c r="X985" s="14"/>
      <c r="Y985" s="14"/>
      <c r="Z985" s="15"/>
      <c r="AA985" s="15"/>
      <c r="AB985" s="3"/>
      <c r="AC985" s="3"/>
      <c r="AD985" s="3"/>
      <c r="AE985" s="3"/>
      <c r="AF985" s="3"/>
      <c r="AG985" s="3"/>
      <c r="AH985" s="3"/>
      <c r="AI985" s="3"/>
      <c r="AJ985" s="154" t="s">
        <v>70</v>
      </c>
      <c r="AN985" s="154" t="s">
        <v>70</v>
      </c>
    </row>
    <row r="986" ht="15.75" customHeight="1">
      <c r="J986" s="15"/>
      <c r="K986" s="238"/>
      <c r="L986" s="15"/>
      <c r="M986" s="15"/>
      <c r="N986" s="15"/>
      <c r="O986" s="15"/>
      <c r="P986" s="15"/>
      <c r="Q986" s="15"/>
      <c r="R986" s="15"/>
      <c r="S986" s="15"/>
      <c r="T986" s="15"/>
      <c r="U986" s="15"/>
      <c r="V986" s="15"/>
      <c r="W986" s="15"/>
      <c r="X986" s="14"/>
      <c r="Y986" s="14"/>
      <c r="Z986" s="15"/>
      <c r="AA986" s="15"/>
      <c r="AB986" s="3"/>
      <c r="AC986" s="3"/>
      <c r="AD986" s="3"/>
      <c r="AE986" s="3"/>
      <c r="AF986" s="3"/>
      <c r="AG986" s="3"/>
      <c r="AH986" s="3"/>
      <c r="AI986" s="3"/>
      <c r="AJ986" s="154" t="s">
        <v>70</v>
      </c>
      <c r="AN986" s="154" t="s">
        <v>70</v>
      </c>
    </row>
    <row r="987" ht="15.75" customHeight="1">
      <c r="J987" s="15"/>
      <c r="K987" s="238"/>
      <c r="L987" s="15"/>
      <c r="M987" s="15"/>
      <c r="N987" s="15"/>
      <c r="O987" s="15"/>
      <c r="P987" s="15"/>
      <c r="Q987" s="15"/>
      <c r="R987" s="15"/>
      <c r="S987" s="15"/>
      <c r="T987" s="15"/>
      <c r="U987" s="15"/>
      <c r="V987" s="15"/>
      <c r="W987" s="15"/>
      <c r="X987" s="14"/>
      <c r="Y987" s="14"/>
      <c r="Z987" s="15"/>
      <c r="AA987" s="15"/>
      <c r="AB987" s="3"/>
      <c r="AC987" s="3"/>
      <c r="AD987" s="3"/>
      <c r="AE987" s="3"/>
      <c r="AF987" s="3"/>
      <c r="AG987" s="3"/>
      <c r="AH987" s="3"/>
      <c r="AI987" s="3"/>
      <c r="AJ987" s="154" t="s">
        <v>70</v>
      </c>
      <c r="AN987" s="154" t="s">
        <v>70</v>
      </c>
    </row>
    <row r="988" ht="15.75" customHeight="1">
      <c r="J988" s="15"/>
      <c r="K988" s="238"/>
      <c r="L988" s="15"/>
      <c r="M988" s="15"/>
      <c r="N988" s="15"/>
      <c r="O988" s="15"/>
      <c r="P988" s="15"/>
      <c r="Q988" s="15"/>
      <c r="R988" s="15"/>
      <c r="S988" s="15"/>
      <c r="T988" s="15"/>
      <c r="U988" s="15"/>
      <c r="V988" s="15"/>
      <c r="W988" s="15"/>
      <c r="X988" s="14"/>
      <c r="Y988" s="14"/>
      <c r="Z988" s="15"/>
      <c r="AA988" s="15"/>
      <c r="AB988" s="3"/>
      <c r="AC988" s="3"/>
      <c r="AD988" s="3"/>
      <c r="AE988" s="3"/>
      <c r="AF988" s="3"/>
      <c r="AG988" s="3"/>
      <c r="AH988" s="3"/>
      <c r="AI988" s="3"/>
      <c r="AJ988" s="154" t="s">
        <v>70</v>
      </c>
      <c r="AN988" s="154" t="s">
        <v>70</v>
      </c>
    </row>
    <row r="989" ht="15.75" customHeight="1">
      <c r="J989" s="15"/>
      <c r="K989" s="238"/>
      <c r="L989" s="15"/>
      <c r="M989" s="15"/>
      <c r="N989" s="15"/>
      <c r="O989" s="15"/>
      <c r="P989" s="15"/>
      <c r="Q989" s="15"/>
      <c r="R989" s="15"/>
      <c r="S989" s="15"/>
      <c r="T989" s="15"/>
      <c r="U989" s="15"/>
      <c r="V989" s="15"/>
      <c r="W989" s="15"/>
      <c r="X989" s="14"/>
      <c r="Y989" s="14"/>
      <c r="Z989" s="15"/>
      <c r="AA989" s="15"/>
      <c r="AB989" s="3"/>
      <c r="AC989" s="3"/>
      <c r="AD989" s="3"/>
      <c r="AE989" s="3"/>
      <c r="AF989" s="3"/>
      <c r="AG989" s="3"/>
      <c r="AH989" s="3"/>
      <c r="AI989" s="3"/>
      <c r="AJ989" s="154" t="s">
        <v>70</v>
      </c>
      <c r="AN989" s="154" t="s">
        <v>70</v>
      </c>
    </row>
    <row r="990" ht="15.75" customHeight="1">
      <c r="J990" s="15"/>
      <c r="K990" s="238"/>
      <c r="L990" s="15"/>
      <c r="M990" s="15"/>
      <c r="N990" s="15"/>
      <c r="O990" s="15"/>
      <c r="P990" s="15"/>
      <c r="Q990" s="15"/>
      <c r="R990" s="15"/>
      <c r="S990" s="15"/>
      <c r="T990" s="15"/>
      <c r="U990" s="15"/>
      <c r="V990" s="15"/>
      <c r="W990" s="15"/>
      <c r="X990" s="14"/>
      <c r="Y990" s="14"/>
      <c r="Z990" s="15"/>
      <c r="AA990" s="15"/>
      <c r="AB990" s="3"/>
      <c r="AC990" s="3"/>
      <c r="AD990" s="3"/>
      <c r="AE990" s="3"/>
      <c r="AF990" s="3"/>
      <c r="AG990" s="3"/>
      <c r="AH990" s="3"/>
      <c r="AI990" s="3"/>
      <c r="AJ990" s="154" t="s">
        <v>70</v>
      </c>
      <c r="AN990" s="154" t="s">
        <v>70</v>
      </c>
    </row>
    <row r="991" ht="15.75" customHeight="1">
      <c r="J991" s="15"/>
      <c r="K991" s="238"/>
      <c r="L991" s="15"/>
      <c r="M991" s="15"/>
      <c r="N991" s="15"/>
      <c r="O991" s="15"/>
      <c r="P991" s="15"/>
      <c r="Q991" s="15"/>
      <c r="R991" s="15"/>
      <c r="S991" s="15"/>
      <c r="T991" s="15"/>
      <c r="U991" s="15"/>
      <c r="V991" s="15"/>
      <c r="W991" s="15"/>
      <c r="X991" s="14"/>
      <c r="Y991" s="14"/>
      <c r="Z991" s="15"/>
      <c r="AA991" s="15"/>
      <c r="AB991" s="3"/>
      <c r="AC991" s="3"/>
      <c r="AD991" s="3"/>
      <c r="AE991" s="3"/>
      <c r="AF991" s="3"/>
      <c r="AG991" s="3"/>
      <c r="AH991" s="3"/>
      <c r="AI991" s="3"/>
      <c r="AJ991" s="154" t="s">
        <v>70</v>
      </c>
      <c r="AN991" s="154" t="s">
        <v>70</v>
      </c>
    </row>
    <row r="992" ht="15.75" customHeight="1">
      <c r="J992" s="15"/>
      <c r="K992" s="238"/>
      <c r="L992" s="15"/>
      <c r="M992" s="15"/>
      <c r="N992" s="15"/>
      <c r="O992" s="15"/>
      <c r="P992" s="15"/>
      <c r="Q992" s="15"/>
      <c r="R992" s="15"/>
      <c r="S992" s="15"/>
      <c r="T992" s="15"/>
      <c r="U992" s="15"/>
      <c r="V992" s="15"/>
      <c r="W992" s="15"/>
      <c r="X992" s="14"/>
      <c r="Y992" s="14"/>
      <c r="Z992" s="15"/>
      <c r="AA992" s="15"/>
      <c r="AB992" s="3"/>
      <c r="AC992" s="3"/>
      <c r="AD992" s="3"/>
      <c r="AE992" s="3"/>
      <c r="AF992" s="3"/>
      <c r="AG992" s="3"/>
      <c r="AH992" s="3"/>
      <c r="AI992" s="3"/>
      <c r="AJ992" s="154" t="s">
        <v>70</v>
      </c>
      <c r="AN992" s="154" t="s">
        <v>70</v>
      </c>
    </row>
    <row r="993" ht="15.75" customHeight="1">
      <c r="J993" s="15"/>
      <c r="K993" s="238"/>
      <c r="L993" s="15"/>
      <c r="M993" s="15"/>
      <c r="N993" s="15"/>
      <c r="O993" s="15"/>
      <c r="P993" s="15"/>
      <c r="Q993" s="15"/>
      <c r="R993" s="15"/>
      <c r="S993" s="15"/>
      <c r="T993" s="15"/>
      <c r="U993" s="15"/>
      <c r="V993" s="15"/>
      <c r="W993" s="15"/>
      <c r="X993" s="14"/>
      <c r="Y993" s="14"/>
      <c r="Z993" s="15"/>
      <c r="AA993" s="15"/>
      <c r="AB993" s="3"/>
      <c r="AC993" s="3"/>
      <c r="AD993" s="3"/>
      <c r="AE993" s="3"/>
      <c r="AF993" s="3"/>
      <c r="AG993" s="3"/>
      <c r="AH993" s="3"/>
      <c r="AI993" s="3"/>
      <c r="AJ993" s="154" t="s">
        <v>70</v>
      </c>
      <c r="AN993" s="154" t="s">
        <v>70</v>
      </c>
    </row>
    <row r="994" ht="15.75" customHeight="1">
      <c r="J994" s="15"/>
      <c r="K994" s="238"/>
      <c r="L994" s="15"/>
      <c r="M994" s="15"/>
      <c r="N994" s="15"/>
      <c r="O994" s="15"/>
      <c r="P994" s="15"/>
      <c r="Q994" s="15"/>
      <c r="R994" s="15"/>
      <c r="S994" s="15"/>
      <c r="T994" s="15"/>
      <c r="U994" s="15"/>
      <c r="V994" s="15"/>
      <c r="W994" s="15"/>
      <c r="X994" s="14"/>
      <c r="Y994" s="14"/>
      <c r="Z994" s="15"/>
      <c r="AA994" s="15"/>
      <c r="AB994" s="3"/>
      <c r="AC994" s="3"/>
      <c r="AD994" s="3"/>
      <c r="AE994" s="3"/>
      <c r="AF994" s="3"/>
      <c r="AG994" s="3"/>
      <c r="AH994" s="3"/>
      <c r="AI994" s="3"/>
      <c r="AJ994" s="154" t="s">
        <v>70</v>
      </c>
      <c r="AN994" s="154" t="s">
        <v>70</v>
      </c>
    </row>
    <row r="995" ht="15.75" customHeight="1">
      <c r="J995" s="15"/>
      <c r="K995" s="238"/>
      <c r="L995" s="15"/>
      <c r="M995" s="15"/>
      <c r="N995" s="15"/>
      <c r="O995" s="15"/>
      <c r="P995" s="15"/>
      <c r="Q995" s="15"/>
      <c r="R995" s="15"/>
      <c r="S995" s="15"/>
      <c r="T995" s="15"/>
      <c r="U995" s="15"/>
      <c r="V995" s="15"/>
      <c r="W995" s="15"/>
      <c r="X995" s="14"/>
      <c r="Y995" s="14"/>
      <c r="Z995" s="15"/>
      <c r="AA995" s="15"/>
      <c r="AB995" s="3"/>
      <c r="AC995" s="3"/>
      <c r="AD995" s="3"/>
      <c r="AE995" s="3"/>
      <c r="AF995" s="3"/>
      <c r="AG995" s="3"/>
      <c r="AH995" s="3"/>
      <c r="AI995" s="3"/>
      <c r="AJ995" s="154" t="s">
        <v>70</v>
      </c>
      <c r="AN995" s="154" t="s">
        <v>70</v>
      </c>
    </row>
    <row r="996" ht="15.75" customHeight="1">
      <c r="J996" s="15"/>
      <c r="K996" s="238"/>
      <c r="L996" s="15"/>
      <c r="M996" s="15"/>
      <c r="N996" s="15"/>
      <c r="O996" s="15"/>
      <c r="P996" s="15"/>
      <c r="Q996" s="15"/>
      <c r="R996" s="15"/>
      <c r="S996" s="15"/>
      <c r="T996" s="15"/>
      <c r="U996" s="15"/>
      <c r="V996" s="15"/>
      <c r="W996" s="15"/>
      <c r="X996" s="14"/>
      <c r="Y996" s="14"/>
      <c r="Z996" s="15"/>
      <c r="AA996" s="15"/>
      <c r="AB996" s="3"/>
      <c r="AC996" s="3"/>
      <c r="AD996" s="3"/>
      <c r="AE996" s="3"/>
      <c r="AF996" s="3"/>
      <c r="AG996" s="3"/>
      <c r="AH996" s="3"/>
      <c r="AI996" s="3"/>
      <c r="AJ996" s="154" t="s">
        <v>70</v>
      </c>
      <c r="AN996" s="154" t="s">
        <v>70</v>
      </c>
    </row>
    <row r="997" ht="15.75" customHeight="1">
      <c r="J997" s="15"/>
      <c r="K997" s="238"/>
      <c r="L997" s="15"/>
      <c r="M997" s="15"/>
      <c r="N997" s="15"/>
      <c r="O997" s="15"/>
      <c r="P997" s="15"/>
      <c r="Q997" s="15"/>
      <c r="R997" s="15"/>
      <c r="S997" s="15"/>
      <c r="T997" s="15"/>
      <c r="U997" s="15"/>
      <c r="V997" s="15"/>
      <c r="W997" s="15"/>
      <c r="X997" s="14"/>
      <c r="Y997" s="14"/>
      <c r="Z997" s="15"/>
      <c r="AA997" s="15"/>
      <c r="AB997" s="3"/>
      <c r="AC997" s="3"/>
      <c r="AD997" s="3"/>
      <c r="AE997" s="3"/>
      <c r="AF997" s="3"/>
      <c r="AG997" s="3"/>
      <c r="AH997" s="3"/>
      <c r="AI997" s="3"/>
      <c r="AJ997" s="154" t="s">
        <v>70</v>
      </c>
      <c r="AN997" s="154" t="s">
        <v>70</v>
      </c>
    </row>
    <row r="998" ht="15.75" customHeight="1">
      <c r="J998" s="15"/>
      <c r="K998" s="238"/>
      <c r="L998" s="15"/>
      <c r="M998" s="15"/>
      <c r="N998" s="15"/>
      <c r="O998" s="15"/>
      <c r="P998" s="15"/>
      <c r="Q998" s="15"/>
      <c r="R998" s="15"/>
      <c r="S998" s="15"/>
      <c r="T998" s="15"/>
      <c r="U998" s="15"/>
      <c r="V998" s="15"/>
      <c r="W998" s="15"/>
      <c r="X998" s="14"/>
      <c r="Y998" s="14"/>
      <c r="Z998" s="15"/>
      <c r="AA998" s="15"/>
      <c r="AB998" s="3"/>
      <c r="AC998" s="3"/>
      <c r="AD998" s="3"/>
      <c r="AE998" s="3"/>
      <c r="AF998" s="3"/>
      <c r="AG998" s="3"/>
      <c r="AH998" s="3"/>
      <c r="AI998" s="3"/>
      <c r="AJ998" s="154" t="s">
        <v>70</v>
      </c>
      <c r="AN998" s="154" t="s">
        <v>70</v>
      </c>
    </row>
    <row r="999" ht="15.75" customHeight="1">
      <c r="J999" s="15"/>
      <c r="K999" s="238"/>
      <c r="L999" s="15"/>
      <c r="M999" s="15"/>
      <c r="N999" s="15"/>
      <c r="O999" s="15"/>
      <c r="P999" s="15"/>
      <c r="Q999" s="15"/>
      <c r="R999" s="15"/>
      <c r="S999" s="15"/>
      <c r="T999" s="15"/>
      <c r="U999" s="15"/>
      <c r="V999" s="15"/>
      <c r="W999" s="15"/>
      <c r="X999" s="14"/>
      <c r="Y999" s="14"/>
      <c r="Z999" s="15"/>
      <c r="AA999" s="15"/>
      <c r="AB999" s="3"/>
      <c r="AC999" s="3"/>
      <c r="AD999" s="3"/>
      <c r="AE999" s="3"/>
      <c r="AF999" s="3"/>
      <c r="AG999" s="3"/>
      <c r="AH999" s="3"/>
      <c r="AI999" s="3"/>
      <c r="AJ999" s="154" t="s">
        <v>70</v>
      </c>
      <c r="AN999" s="154" t="s">
        <v>70</v>
      </c>
    </row>
    <row r="1000" ht="15.75" customHeight="1">
      <c r="J1000" s="15"/>
      <c r="K1000" s="238"/>
      <c r="L1000" s="15"/>
      <c r="M1000" s="15"/>
      <c r="N1000" s="15"/>
      <c r="O1000" s="15"/>
      <c r="P1000" s="15"/>
      <c r="Q1000" s="15"/>
      <c r="R1000" s="15"/>
      <c r="S1000" s="15"/>
      <c r="T1000" s="15"/>
      <c r="U1000" s="15"/>
      <c r="V1000" s="15"/>
      <c r="W1000" s="15"/>
      <c r="X1000" s="14"/>
      <c r="Y1000" s="14"/>
      <c r="Z1000" s="15"/>
      <c r="AA1000" s="15"/>
      <c r="AB1000" s="3"/>
      <c r="AC1000" s="3"/>
      <c r="AD1000" s="3"/>
      <c r="AE1000" s="3"/>
      <c r="AF1000" s="3"/>
      <c r="AG1000" s="3"/>
      <c r="AH1000" s="3"/>
      <c r="AI1000" s="3"/>
      <c r="AJ1000" s="154" t="s">
        <v>70</v>
      </c>
      <c r="AN1000" s="154" t="s">
        <v>70</v>
      </c>
    </row>
    <row r="1001" ht="15.75" customHeight="1">
      <c r="J1001" s="15"/>
      <c r="K1001" s="238"/>
      <c r="L1001" s="15"/>
      <c r="M1001" s="15"/>
      <c r="N1001" s="15"/>
      <c r="O1001" s="15"/>
      <c r="P1001" s="15"/>
      <c r="Q1001" s="15"/>
      <c r="R1001" s="15"/>
      <c r="S1001" s="15"/>
      <c r="T1001" s="15"/>
      <c r="U1001" s="15"/>
      <c r="V1001" s="15"/>
      <c r="W1001" s="15"/>
      <c r="X1001" s="14"/>
      <c r="Y1001" s="14"/>
      <c r="Z1001" s="15"/>
      <c r="AA1001" s="15"/>
      <c r="AB1001" s="3"/>
      <c r="AC1001" s="3"/>
      <c r="AD1001" s="3"/>
      <c r="AE1001" s="3"/>
      <c r="AF1001" s="3"/>
      <c r="AG1001" s="3"/>
      <c r="AH1001" s="3"/>
      <c r="AI1001" s="3"/>
      <c r="AJ1001" s="154" t="s">
        <v>70</v>
      </c>
      <c r="AN1001" s="154" t="s">
        <v>70</v>
      </c>
    </row>
    <row r="1002" ht="15.75" customHeight="1">
      <c r="J1002" s="15"/>
      <c r="K1002" s="238"/>
      <c r="L1002" s="15"/>
      <c r="M1002" s="15"/>
      <c r="N1002" s="15"/>
      <c r="O1002" s="15"/>
      <c r="P1002" s="15"/>
      <c r="Q1002" s="15"/>
      <c r="R1002" s="15"/>
      <c r="S1002" s="15"/>
      <c r="T1002" s="15"/>
      <c r="U1002" s="15"/>
      <c r="V1002" s="15"/>
      <c r="W1002" s="15"/>
      <c r="X1002" s="14"/>
      <c r="Y1002" s="14"/>
      <c r="Z1002" s="15"/>
      <c r="AA1002" s="15"/>
      <c r="AB1002" s="3"/>
      <c r="AC1002" s="3"/>
      <c r="AD1002" s="3"/>
      <c r="AE1002" s="3"/>
      <c r="AF1002" s="3"/>
      <c r="AG1002" s="3"/>
      <c r="AH1002" s="3"/>
      <c r="AI1002" s="3"/>
      <c r="AJ1002" s="154" t="s">
        <v>70</v>
      </c>
      <c r="AN1002" s="154" t="s">
        <v>70</v>
      </c>
    </row>
    <row r="1003" ht="15.75" customHeight="1">
      <c r="J1003" s="15"/>
      <c r="K1003" s="238"/>
      <c r="L1003" s="15"/>
      <c r="M1003" s="15"/>
      <c r="N1003" s="15"/>
      <c r="O1003" s="15"/>
      <c r="P1003" s="15"/>
      <c r="Q1003" s="15"/>
      <c r="R1003" s="15"/>
      <c r="S1003" s="15"/>
      <c r="T1003" s="15"/>
      <c r="U1003" s="15"/>
      <c r="V1003" s="15"/>
      <c r="W1003" s="15"/>
      <c r="X1003" s="14"/>
      <c r="Y1003" s="14"/>
      <c r="Z1003" s="15"/>
      <c r="AA1003" s="15"/>
      <c r="AB1003" s="3"/>
      <c r="AC1003" s="3"/>
      <c r="AD1003" s="3"/>
      <c r="AE1003" s="3"/>
      <c r="AF1003" s="3"/>
      <c r="AG1003" s="3"/>
      <c r="AH1003" s="3"/>
      <c r="AI1003" s="3"/>
      <c r="AJ1003" s="154" t="s">
        <v>70</v>
      </c>
      <c r="AN1003" s="154" t="s">
        <v>70</v>
      </c>
    </row>
    <row r="1004" ht="15.75" customHeight="1">
      <c r="J1004" s="15"/>
      <c r="K1004" s="238"/>
      <c r="L1004" s="15"/>
      <c r="M1004" s="15"/>
      <c r="N1004" s="15"/>
      <c r="O1004" s="15"/>
      <c r="P1004" s="15"/>
      <c r="Q1004" s="15"/>
      <c r="R1004" s="15"/>
      <c r="S1004" s="15"/>
      <c r="T1004" s="15"/>
      <c r="U1004" s="15"/>
      <c r="V1004" s="15"/>
      <c r="W1004" s="15"/>
      <c r="X1004" s="14"/>
      <c r="Y1004" s="14"/>
      <c r="Z1004" s="15"/>
      <c r="AA1004" s="15"/>
      <c r="AB1004" s="3"/>
      <c r="AC1004" s="3"/>
      <c r="AD1004" s="3"/>
      <c r="AE1004" s="3"/>
      <c r="AF1004" s="3"/>
      <c r="AG1004" s="3"/>
      <c r="AH1004" s="3"/>
      <c r="AI1004" s="3"/>
      <c r="AJ1004" s="154" t="s">
        <v>70</v>
      </c>
      <c r="AN1004" s="154" t="s">
        <v>70</v>
      </c>
    </row>
    <row r="1005" ht="15.75" customHeight="1">
      <c r="J1005" s="15"/>
      <c r="K1005" s="238"/>
      <c r="L1005" s="15"/>
      <c r="M1005" s="15"/>
      <c r="N1005" s="15"/>
      <c r="O1005" s="15"/>
      <c r="P1005" s="15"/>
      <c r="Q1005" s="15"/>
      <c r="R1005" s="15"/>
      <c r="S1005" s="15"/>
      <c r="T1005" s="15"/>
      <c r="U1005" s="15"/>
      <c r="V1005" s="15"/>
      <c r="W1005" s="15"/>
      <c r="X1005" s="14"/>
      <c r="Y1005" s="14"/>
      <c r="Z1005" s="15"/>
      <c r="AA1005" s="15"/>
      <c r="AB1005" s="3"/>
      <c r="AC1005" s="3"/>
      <c r="AD1005" s="3"/>
      <c r="AE1005" s="3"/>
      <c r="AF1005" s="3"/>
      <c r="AG1005" s="3"/>
      <c r="AH1005" s="3"/>
      <c r="AI1005" s="3"/>
      <c r="AJ1005" s="154" t="s">
        <v>70</v>
      </c>
      <c r="AN1005" s="154" t="s">
        <v>70</v>
      </c>
    </row>
    <row r="1006" ht="15.75" customHeight="1">
      <c r="J1006" s="15"/>
      <c r="K1006" s="238"/>
      <c r="L1006" s="15"/>
      <c r="M1006" s="15"/>
      <c r="N1006" s="15"/>
      <c r="O1006" s="15"/>
      <c r="P1006" s="15"/>
      <c r="Q1006" s="15"/>
      <c r="R1006" s="15"/>
      <c r="S1006" s="15"/>
      <c r="T1006" s="15"/>
      <c r="U1006" s="15"/>
      <c r="V1006" s="15"/>
      <c r="W1006" s="15"/>
      <c r="X1006" s="14"/>
      <c r="Y1006" s="14"/>
      <c r="Z1006" s="15"/>
      <c r="AA1006" s="15"/>
      <c r="AB1006" s="3"/>
      <c r="AC1006" s="3"/>
      <c r="AD1006" s="3"/>
      <c r="AE1006" s="3"/>
      <c r="AF1006" s="3"/>
      <c r="AG1006" s="3"/>
      <c r="AH1006" s="3"/>
      <c r="AI1006" s="3"/>
      <c r="AJ1006" s="154" t="s">
        <v>70</v>
      </c>
      <c r="AN1006" s="154" t="s">
        <v>70</v>
      </c>
    </row>
    <row r="1007" ht="15.75" customHeight="1">
      <c r="J1007" s="15"/>
      <c r="K1007" s="238"/>
      <c r="L1007" s="15"/>
      <c r="M1007" s="15"/>
      <c r="N1007" s="15"/>
      <c r="O1007" s="15"/>
      <c r="P1007" s="15"/>
      <c r="Q1007" s="15"/>
      <c r="R1007" s="15"/>
      <c r="S1007" s="15"/>
      <c r="T1007" s="15"/>
      <c r="U1007" s="15"/>
      <c r="V1007" s="15"/>
      <c r="W1007" s="15"/>
      <c r="X1007" s="14"/>
      <c r="Y1007" s="14"/>
      <c r="Z1007" s="15"/>
      <c r="AA1007" s="15"/>
      <c r="AB1007" s="3"/>
      <c r="AC1007" s="3"/>
      <c r="AD1007" s="3"/>
      <c r="AE1007" s="3"/>
      <c r="AF1007" s="3"/>
      <c r="AG1007" s="3"/>
      <c r="AH1007" s="3"/>
      <c r="AI1007" s="3"/>
      <c r="AJ1007" s="154" t="s">
        <v>70</v>
      </c>
      <c r="AN1007" s="154" t="s">
        <v>70</v>
      </c>
    </row>
    <row r="1008" ht="15.75" customHeight="1">
      <c r="J1008" s="15"/>
      <c r="K1008" s="238"/>
      <c r="L1008" s="15"/>
      <c r="M1008" s="15"/>
      <c r="N1008" s="15"/>
      <c r="O1008" s="15"/>
      <c r="P1008" s="15"/>
      <c r="Q1008" s="15"/>
      <c r="R1008" s="15"/>
      <c r="S1008" s="15"/>
      <c r="T1008" s="15"/>
      <c r="U1008" s="15"/>
      <c r="V1008" s="15"/>
      <c r="W1008" s="15"/>
      <c r="X1008" s="14"/>
      <c r="Y1008" s="14"/>
      <c r="Z1008" s="15"/>
      <c r="AA1008" s="15"/>
      <c r="AB1008" s="3"/>
      <c r="AC1008" s="3"/>
      <c r="AD1008" s="3"/>
      <c r="AE1008" s="3"/>
      <c r="AF1008" s="3"/>
      <c r="AG1008" s="3"/>
      <c r="AH1008" s="3"/>
      <c r="AI1008" s="3"/>
      <c r="AJ1008" s="154" t="s">
        <v>70</v>
      </c>
      <c r="AN1008" s="154" t="s">
        <v>70</v>
      </c>
    </row>
    <row r="1009" ht="15.75" customHeight="1">
      <c r="J1009" s="15"/>
      <c r="K1009" s="238"/>
      <c r="L1009" s="15"/>
      <c r="M1009" s="15"/>
      <c r="N1009" s="15"/>
      <c r="O1009" s="15"/>
      <c r="P1009" s="15"/>
      <c r="Q1009" s="15"/>
      <c r="R1009" s="15"/>
      <c r="S1009" s="15"/>
      <c r="T1009" s="15"/>
      <c r="U1009" s="15"/>
      <c r="V1009" s="15"/>
      <c r="W1009" s="15"/>
      <c r="X1009" s="14"/>
      <c r="Y1009" s="14"/>
      <c r="Z1009" s="15"/>
      <c r="AA1009" s="15"/>
      <c r="AB1009" s="3"/>
      <c r="AC1009" s="3"/>
      <c r="AD1009" s="3"/>
      <c r="AE1009" s="3"/>
      <c r="AF1009" s="3"/>
      <c r="AG1009" s="3"/>
      <c r="AH1009" s="3"/>
      <c r="AI1009" s="3"/>
      <c r="AJ1009" s="154" t="s">
        <v>70</v>
      </c>
      <c r="AN1009" s="154" t="s">
        <v>70</v>
      </c>
    </row>
    <row r="1010" ht="15.75" customHeight="1">
      <c r="J1010" s="15"/>
      <c r="K1010" s="238"/>
      <c r="L1010" s="15"/>
      <c r="M1010" s="15"/>
      <c r="N1010" s="15"/>
      <c r="O1010" s="15"/>
      <c r="P1010" s="15"/>
      <c r="Q1010" s="15"/>
      <c r="R1010" s="15"/>
      <c r="S1010" s="15"/>
      <c r="T1010" s="15"/>
      <c r="U1010" s="15"/>
      <c r="V1010" s="15"/>
      <c r="W1010" s="15"/>
      <c r="X1010" s="14"/>
      <c r="Y1010" s="14"/>
      <c r="Z1010" s="15"/>
      <c r="AA1010" s="15"/>
      <c r="AB1010" s="3"/>
      <c r="AC1010" s="3"/>
      <c r="AD1010" s="3"/>
      <c r="AE1010" s="3"/>
      <c r="AF1010" s="3"/>
      <c r="AG1010" s="3"/>
      <c r="AH1010" s="3"/>
      <c r="AI1010" s="3"/>
      <c r="AJ1010" s="154" t="s">
        <v>70</v>
      </c>
      <c r="AN1010" s="154" t="s">
        <v>70</v>
      </c>
    </row>
    <row r="1011" ht="15.75" customHeight="1">
      <c r="J1011" s="15"/>
      <c r="K1011" s="238"/>
      <c r="L1011" s="15"/>
      <c r="M1011" s="15"/>
      <c r="N1011" s="15"/>
      <c r="O1011" s="15"/>
      <c r="P1011" s="15"/>
      <c r="Q1011" s="15"/>
      <c r="R1011" s="15"/>
      <c r="S1011" s="15"/>
      <c r="T1011" s="15"/>
      <c r="U1011" s="15"/>
      <c r="V1011" s="15"/>
      <c r="W1011" s="15"/>
      <c r="X1011" s="14"/>
      <c r="Y1011" s="14"/>
      <c r="Z1011" s="15"/>
      <c r="AA1011" s="15"/>
      <c r="AB1011" s="3"/>
      <c r="AC1011" s="3"/>
      <c r="AD1011" s="3"/>
      <c r="AE1011" s="3"/>
      <c r="AF1011" s="3"/>
      <c r="AG1011" s="3"/>
      <c r="AH1011" s="3"/>
      <c r="AI1011" s="3"/>
      <c r="AJ1011" s="154" t="s">
        <v>70</v>
      </c>
      <c r="AN1011" s="154" t="s">
        <v>70</v>
      </c>
    </row>
    <row r="1012" ht="15.75" customHeight="1">
      <c r="J1012" s="15"/>
      <c r="K1012" s="238"/>
      <c r="L1012" s="15"/>
      <c r="M1012" s="15"/>
      <c r="N1012" s="15"/>
      <c r="O1012" s="15"/>
      <c r="P1012" s="15"/>
      <c r="Q1012" s="15"/>
      <c r="R1012" s="15"/>
      <c r="S1012" s="15"/>
      <c r="T1012" s="15"/>
      <c r="U1012" s="15"/>
      <c r="V1012" s="15"/>
      <c r="W1012" s="15"/>
      <c r="X1012" s="14"/>
      <c r="Y1012" s="14"/>
      <c r="Z1012" s="15"/>
      <c r="AA1012" s="15"/>
      <c r="AB1012" s="3"/>
      <c r="AC1012" s="3"/>
      <c r="AD1012" s="3"/>
      <c r="AE1012" s="3"/>
      <c r="AF1012" s="3"/>
      <c r="AG1012" s="3"/>
      <c r="AH1012" s="3"/>
      <c r="AI1012" s="3"/>
      <c r="AJ1012" s="154" t="s">
        <v>70</v>
      </c>
      <c r="AN1012" s="154" t="s">
        <v>70</v>
      </c>
    </row>
    <row r="1013" ht="15.75" customHeight="1">
      <c r="J1013" s="15"/>
      <c r="K1013" s="238"/>
      <c r="L1013" s="15"/>
      <c r="M1013" s="15"/>
      <c r="N1013" s="15"/>
      <c r="O1013" s="15"/>
      <c r="P1013" s="15"/>
      <c r="Q1013" s="15"/>
      <c r="R1013" s="15"/>
      <c r="S1013" s="15"/>
      <c r="T1013" s="15"/>
      <c r="U1013" s="15"/>
      <c r="V1013" s="15"/>
      <c r="W1013" s="15"/>
      <c r="X1013" s="14"/>
      <c r="Y1013" s="14"/>
      <c r="Z1013" s="15"/>
      <c r="AA1013" s="15"/>
      <c r="AB1013" s="3"/>
      <c r="AC1013" s="3"/>
      <c r="AD1013" s="3"/>
      <c r="AE1013" s="3"/>
      <c r="AF1013" s="3"/>
      <c r="AG1013" s="3"/>
      <c r="AH1013" s="3"/>
      <c r="AI1013" s="3"/>
      <c r="AJ1013" s="154" t="s">
        <v>70</v>
      </c>
      <c r="AN1013" s="154" t="s">
        <v>70</v>
      </c>
    </row>
    <row r="1014" ht="15.75" customHeight="1">
      <c r="J1014" s="15"/>
      <c r="K1014" s="238"/>
      <c r="L1014" s="15"/>
      <c r="M1014" s="15"/>
      <c r="N1014" s="15"/>
      <c r="O1014" s="15"/>
      <c r="P1014" s="15"/>
      <c r="Q1014" s="15"/>
      <c r="R1014" s="15"/>
      <c r="S1014" s="15"/>
      <c r="T1014" s="15"/>
      <c r="U1014" s="15"/>
      <c r="V1014" s="15"/>
      <c r="W1014" s="15"/>
      <c r="X1014" s="14"/>
      <c r="Y1014" s="14"/>
      <c r="Z1014" s="15"/>
      <c r="AA1014" s="15"/>
      <c r="AB1014" s="3"/>
      <c r="AC1014" s="3"/>
      <c r="AD1014" s="3"/>
      <c r="AE1014" s="3"/>
      <c r="AF1014" s="3"/>
      <c r="AG1014" s="3"/>
      <c r="AH1014" s="3"/>
      <c r="AI1014" s="3"/>
      <c r="AJ1014" s="154" t="s">
        <v>70</v>
      </c>
      <c r="AN1014" s="154" t="s">
        <v>70</v>
      </c>
    </row>
    <row r="1015" ht="15.75" customHeight="1">
      <c r="J1015" s="15"/>
      <c r="K1015" s="238"/>
      <c r="L1015" s="15"/>
      <c r="M1015" s="15"/>
      <c r="N1015" s="15"/>
      <c r="O1015" s="15"/>
      <c r="P1015" s="15"/>
      <c r="Q1015" s="15"/>
      <c r="R1015" s="15"/>
      <c r="S1015" s="15"/>
      <c r="T1015" s="15"/>
      <c r="U1015" s="15"/>
      <c r="V1015" s="15"/>
      <c r="W1015" s="15"/>
      <c r="X1015" s="14"/>
      <c r="Y1015" s="14"/>
      <c r="Z1015" s="15"/>
      <c r="AA1015" s="15"/>
      <c r="AB1015" s="3"/>
      <c r="AC1015" s="3"/>
      <c r="AD1015" s="3"/>
      <c r="AE1015" s="3"/>
      <c r="AF1015" s="3"/>
      <c r="AG1015" s="3"/>
      <c r="AH1015" s="3"/>
      <c r="AI1015" s="3"/>
      <c r="AJ1015" s="154" t="s">
        <v>70</v>
      </c>
      <c r="AN1015" s="154" t="s">
        <v>70</v>
      </c>
    </row>
    <row r="1016" ht="15.75" customHeight="1">
      <c r="J1016" s="15"/>
      <c r="K1016" s="238"/>
      <c r="L1016" s="15"/>
      <c r="M1016" s="15"/>
      <c r="N1016" s="15"/>
      <c r="O1016" s="15"/>
      <c r="P1016" s="15"/>
      <c r="Q1016" s="15"/>
      <c r="R1016" s="15"/>
      <c r="S1016" s="15"/>
      <c r="T1016" s="15"/>
      <c r="U1016" s="15"/>
      <c r="V1016" s="15"/>
      <c r="W1016" s="15"/>
      <c r="X1016" s="14"/>
      <c r="Y1016" s="14"/>
      <c r="Z1016" s="15"/>
      <c r="AA1016" s="15"/>
      <c r="AB1016" s="3"/>
      <c r="AC1016" s="3"/>
      <c r="AD1016" s="3"/>
      <c r="AE1016" s="3"/>
      <c r="AF1016" s="3"/>
      <c r="AG1016" s="3"/>
      <c r="AH1016" s="3"/>
      <c r="AI1016" s="3"/>
      <c r="AJ1016" s="154" t="s">
        <v>70</v>
      </c>
      <c r="AN1016" s="154" t="s">
        <v>70</v>
      </c>
    </row>
    <row r="1017" ht="15.75" customHeight="1">
      <c r="J1017" s="15"/>
      <c r="K1017" s="238"/>
      <c r="L1017" s="15"/>
      <c r="M1017" s="15"/>
      <c r="N1017" s="15"/>
      <c r="O1017" s="15"/>
      <c r="P1017" s="15"/>
      <c r="Q1017" s="15"/>
      <c r="R1017" s="15"/>
      <c r="S1017" s="15"/>
      <c r="T1017" s="15"/>
      <c r="U1017" s="15"/>
      <c r="V1017" s="15"/>
      <c r="W1017" s="15"/>
      <c r="X1017" s="14"/>
      <c r="Y1017" s="14"/>
      <c r="Z1017" s="15"/>
      <c r="AA1017" s="15"/>
      <c r="AB1017" s="3"/>
      <c r="AC1017" s="3"/>
      <c r="AD1017" s="3"/>
      <c r="AE1017" s="3"/>
      <c r="AF1017" s="3"/>
      <c r="AG1017" s="3"/>
      <c r="AH1017" s="3"/>
      <c r="AI1017" s="3"/>
      <c r="AJ1017" s="154" t="s">
        <v>70</v>
      </c>
      <c r="AN1017" s="154" t="s">
        <v>70</v>
      </c>
    </row>
    <row r="1018" ht="15.75" customHeight="1">
      <c r="J1018" s="15"/>
      <c r="K1018" s="238"/>
      <c r="L1018" s="15"/>
      <c r="M1018" s="15"/>
      <c r="N1018" s="15"/>
      <c r="O1018" s="15"/>
      <c r="P1018" s="15"/>
      <c r="Q1018" s="15"/>
      <c r="R1018" s="15"/>
      <c r="S1018" s="15"/>
      <c r="T1018" s="15"/>
      <c r="U1018" s="15"/>
      <c r="V1018" s="15"/>
      <c r="W1018" s="15"/>
      <c r="X1018" s="14"/>
      <c r="Y1018" s="14"/>
      <c r="Z1018" s="15"/>
      <c r="AA1018" s="15"/>
      <c r="AB1018" s="3"/>
      <c r="AC1018" s="3"/>
      <c r="AD1018" s="3"/>
      <c r="AE1018" s="3"/>
      <c r="AF1018" s="3"/>
      <c r="AG1018" s="3"/>
      <c r="AH1018" s="3"/>
      <c r="AI1018" s="3"/>
      <c r="AJ1018" s="154" t="s">
        <v>70</v>
      </c>
      <c r="AN1018" s="154" t="s">
        <v>70</v>
      </c>
    </row>
    <row r="1019" ht="15.75" customHeight="1">
      <c r="J1019" s="15"/>
      <c r="K1019" s="238"/>
      <c r="L1019" s="15"/>
      <c r="M1019" s="15"/>
      <c r="N1019" s="15"/>
      <c r="O1019" s="15"/>
      <c r="P1019" s="15"/>
      <c r="Q1019" s="15"/>
      <c r="R1019" s="15"/>
      <c r="S1019" s="15"/>
      <c r="T1019" s="15"/>
      <c r="U1019" s="15"/>
      <c r="V1019" s="15"/>
      <c r="W1019" s="15"/>
      <c r="X1019" s="14"/>
      <c r="Y1019" s="14"/>
      <c r="Z1019" s="15"/>
      <c r="AA1019" s="15"/>
      <c r="AB1019" s="3"/>
      <c r="AC1019" s="3"/>
      <c r="AD1019" s="3"/>
      <c r="AE1019" s="3"/>
      <c r="AF1019" s="3"/>
      <c r="AG1019" s="3"/>
      <c r="AH1019" s="3"/>
      <c r="AI1019" s="3"/>
      <c r="AJ1019" s="154" t="s">
        <v>70</v>
      </c>
      <c r="AN1019" s="154" t="s">
        <v>70</v>
      </c>
    </row>
    <row r="1020" ht="15.75" customHeight="1">
      <c r="J1020" s="15"/>
      <c r="K1020" s="238"/>
      <c r="L1020" s="15"/>
      <c r="M1020" s="15"/>
      <c r="N1020" s="15"/>
      <c r="O1020" s="15"/>
      <c r="P1020" s="15"/>
      <c r="Q1020" s="15"/>
      <c r="R1020" s="15"/>
      <c r="S1020" s="15"/>
      <c r="T1020" s="15"/>
      <c r="U1020" s="15"/>
      <c r="V1020" s="15"/>
      <c r="W1020" s="15"/>
      <c r="X1020" s="14"/>
      <c r="Y1020" s="14"/>
      <c r="Z1020" s="15"/>
      <c r="AA1020" s="15"/>
      <c r="AB1020" s="3"/>
      <c r="AC1020" s="3"/>
      <c r="AD1020" s="3"/>
      <c r="AE1020" s="3"/>
      <c r="AF1020" s="3"/>
      <c r="AG1020" s="3"/>
      <c r="AH1020" s="3"/>
      <c r="AI1020" s="3"/>
      <c r="AJ1020" s="154" t="s">
        <v>70</v>
      </c>
      <c r="AN1020" s="154" t="s">
        <v>70</v>
      </c>
    </row>
    <row r="1021" ht="15.75" customHeight="1">
      <c r="J1021" s="15"/>
      <c r="K1021" s="238"/>
      <c r="L1021" s="15"/>
      <c r="M1021" s="15"/>
      <c r="N1021" s="15"/>
      <c r="O1021" s="15"/>
      <c r="P1021" s="15"/>
      <c r="Q1021" s="15"/>
      <c r="R1021" s="15"/>
      <c r="S1021" s="15"/>
      <c r="T1021" s="15"/>
      <c r="U1021" s="15"/>
      <c r="V1021" s="15"/>
      <c r="W1021" s="15"/>
      <c r="X1021" s="14"/>
      <c r="Y1021" s="14"/>
      <c r="Z1021" s="15"/>
      <c r="AA1021" s="15"/>
      <c r="AB1021" s="3"/>
      <c r="AC1021" s="3"/>
      <c r="AD1021" s="3"/>
      <c r="AE1021" s="3"/>
      <c r="AF1021" s="3"/>
      <c r="AG1021" s="3"/>
      <c r="AH1021" s="3"/>
      <c r="AI1021" s="3"/>
      <c r="AJ1021" s="154" t="s">
        <v>70</v>
      </c>
      <c r="AN1021" s="154" t="s">
        <v>70</v>
      </c>
    </row>
    <row r="1022" ht="15.75" customHeight="1">
      <c r="J1022" s="15"/>
      <c r="K1022" s="238"/>
      <c r="L1022" s="15"/>
      <c r="M1022" s="15"/>
      <c r="N1022" s="15"/>
      <c r="O1022" s="15"/>
      <c r="P1022" s="15"/>
      <c r="Q1022" s="15"/>
      <c r="R1022" s="15"/>
      <c r="S1022" s="15"/>
      <c r="T1022" s="15"/>
      <c r="U1022" s="15"/>
      <c r="V1022" s="15"/>
      <c r="W1022" s="15"/>
      <c r="X1022" s="14"/>
      <c r="Y1022" s="14"/>
      <c r="Z1022" s="15"/>
      <c r="AA1022" s="15"/>
      <c r="AB1022" s="3"/>
      <c r="AC1022" s="3"/>
      <c r="AD1022" s="3"/>
      <c r="AE1022" s="3"/>
      <c r="AF1022" s="3"/>
      <c r="AG1022" s="3"/>
      <c r="AH1022" s="3"/>
      <c r="AI1022" s="3"/>
      <c r="AJ1022" s="154" t="s">
        <v>70</v>
      </c>
      <c r="AN1022" s="154" t="s">
        <v>70</v>
      </c>
    </row>
    <row r="1023" ht="15.75" customHeight="1">
      <c r="J1023" s="15"/>
      <c r="K1023" s="238"/>
      <c r="L1023" s="15"/>
      <c r="M1023" s="15"/>
      <c r="N1023" s="15"/>
      <c r="O1023" s="15"/>
      <c r="P1023" s="15"/>
      <c r="Q1023" s="15"/>
      <c r="R1023" s="15"/>
      <c r="S1023" s="15"/>
      <c r="T1023" s="15"/>
      <c r="U1023" s="15"/>
      <c r="V1023" s="15"/>
      <c r="W1023" s="15"/>
      <c r="X1023" s="14"/>
      <c r="Y1023" s="14"/>
      <c r="Z1023" s="15"/>
      <c r="AA1023" s="15"/>
      <c r="AB1023" s="3"/>
      <c r="AC1023" s="3"/>
      <c r="AD1023" s="3"/>
      <c r="AE1023" s="3"/>
      <c r="AF1023" s="3"/>
      <c r="AG1023" s="3"/>
      <c r="AH1023" s="3"/>
      <c r="AI1023" s="3"/>
      <c r="AJ1023" s="154" t="s">
        <v>70</v>
      </c>
      <c r="AN1023" s="154" t="s">
        <v>70</v>
      </c>
    </row>
    <row r="1024" ht="15.75" customHeight="1">
      <c r="J1024" s="15"/>
      <c r="K1024" s="238"/>
      <c r="L1024" s="15"/>
      <c r="M1024" s="15"/>
      <c r="N1024" s="15"/>
      <c r="O1024" s="15"/>
      <c r="P1024" s="15"/>
      <c r="Q1024" s="15"/>
      <c r="R1024" s="15"/>
      <c r="S1024" s="15"/>
      <c r="T1024" s="15"/>
      <c r="U1024" s="15"/>
      <c r="V1024" s="15"/>
      <c r="W1024" s="15"/>
      <c r="X1024" s="14"/>
      <c r="Y1024" s="14"/>
      <c r="Z1024" s="15"/>
      <c r="AA1024" s="15"/>
      <c r="AB1024" s="3"/>
      <c r="AC1024" s="3"/>
      <c r="AD1024" s="3"/>
      <c r="AE1024" s="3"/>
      <c r="AF1024" s="3"/>
      <c r="AG1024" s="3"/>
      <c r="AH1024" s="3"/>
      <c r="AI1024" s="3"/>
      <c r="AJ1024" s="154" t="s">
        <v>70</v>
      </c>
      <c r="AN1024" s="154" t="s">
        <v>70</v>
      </c>
    </row>
    <row r="1025" ht="15.75" customHeight="1">
      <c r="J1025" s="15"/>
      <c r="K1025" s="238"/>
      <c r="L1025" s="15"/>
      <c r="M1025" s="15"/>
      <c r="N1025" s="15"/>
      <c r="O1025" s="15"/>
      <c r="P1025" s="15"/>
      <c r="Q1025" s="15"/>
      <c r="R1025" s="15"/>
      <c r="S1025" s="15"/>
      <c r="T1025" s="15"/>
      <c r="U1025" s="15"/>
      <c r="V1025" s="15"/>
      <c r="W1025" s="15"/>
      <c r="X1025" s="14"/>
      <c r="Y1025" s="14"/>
      <c r="Z1025" s="15"/>
      <c r="AA1025" s="15"/>
      <c r="AB1025" s="3"/>
      <c r="AC1025" s="3"/>
      <c r="AD1025" s="3"/>
      <c r="AE1025" s="3"/>
      <c r="AF1025" s="3"/>
      <c r="AG1025" s="3"/>
      <c r="AH1025" s="3"/>
      <c r="AI1025" s="3"/>
      <c r="AJ1025" s="154" t="s">
        <v>70</v>
      </c>
      <c r="AN1025" s="154" t="s">
        <v>70</v>
      </c>
    </row>
    <row r="1026" ht="15.75" customHeight="1">
      <c r="J1026" s="15"/>
      <c r="K1026" s="238"/>
      <c r="L1026" s="15"/>
      <c r="M1026" s="15"/>
      <c r="N1026" s="15"/>
      <c r="O1026" s="15"/>
      <c r="P1026" s="15"/>
      <c r="Q1026" s="15"/>
      <c r="R1026" s="15"/>
      <c r="S1026" s="15"/>
      <c r="T1026" s="15"/>
      <c r="U1026" s="15"/>
      <c r="V1026" s="15"/>
      <c r="W1026" s="15"/>
      <c r="X1026" s="14"/>
      <c r="Y1026" s="14"/>
      <c r="Z1026" s="15"/>
      <c r="AA1026" s="15"/>
      <c r="AB1026" s="3"/>
      <c r="AC1026" s="3"/>
      <c r="AD1026" s="3"/>
      <c r="AE1026" s="3"/>
      <c r="AF1026" s="3"/>
      <c r="AG1026" s="3"/>
      <c r="AH1026" s="3"/>
      <c r="AI1026" s="3"/>
      <c r="AJ1026" s="154" t="s">
        <v>70</v>
      </c>
      <c r="AN1026" s="154" t="s">
        <v>70</v>
      </c>
    </row>
    <row r="1027" ht="15.75" customHeight="1">
      <c r="J1027" s="15"/>
      <c r="K1027" s="238"/>
      <c r="L1027" s="15"/>
      <c r="M1027" s="15"/>
      <c r="N1027" s="15"/>
      <c r="O1027" s="15"/>
      <c r="P1027" s="15"/>
      <c r="Q1027" s="15"/>
      <c r="R1027" s="15"/>
      <c r="S1027" s="15"/>
      <c r="T1027" s="15"/>
      <c r="U1027" s="15"/>
      <c r="V1027" s="15"/>
      <c r="W1027" s="15"/>
      <c r="X1027" s="14"/>
      <c r="Y1027" s="14"/>
      <c r="Z1027" s="15"/>
      <c r="AA1027" s="15"/>
      <c r="AB1027" s="3"/>
      <c r="AC1027" s="3"/>
      <c r="AD1027" s="3"/>
      <c r="AE1027" s="3"/>
      <c r="AF1027" s="3"/>
      <c r="AG1027" s="3"/>
      <c r="AH1027" s="3"/>
      <c r="AI1027" s="3"/>
      <c r="AJ1027" s="154" t="s">
        <v>70</v>
      </c>
      <c r="AN1027" s="154" t="s">
        <v>70</v>
      </c>
    </row>
    <row r="1028" ht="15.75" customHeight="1">
      <c r="J1028" s="15"/>
      <c r="K1028" s="238"/>
      <c r="L1028" s="15"/>
      <c r="M1028" s="15"/>
      <c r="N1028" s="15"/>
      <c r="O1028" s="15"/>
      <c r="P1028" s="15"/>
      <c r="Q1028" s="15"/>
      <c r="R1028" s="15"/>
      <c r="S1028" s="15"/>
      <c r="T1028" s="15"/>
      <c r="U1028" s="15"/>
      <c r="V1028" s="15"/>
      <c r="W1028" s="15"/>
      <c r="X1028" s="14"/>
      <c r="Y1028" s="14"/>
      <c r="Z1028" s="15"/>
      <c r="AA1028" s="15"/>
      <c r="AB1028" s="3"/>
      <c r="AC1028" s="3"/>
      <c r="AD1028" s="3"/>
      <c r="AE1028" s="3"/>
      <c r="AF1028" s="3"/>
      <c r="AG1028" s="3"/>
      <c r="AH1028" s="3"/>
      <c r="AI1028" s="3"/>
      <c r="AJ1028" s="154" t="s">
        <v>70</v>
      </c>
      <c r="AN1028" s="154" t="s">
        <v>70</v>
      </c>
    </row>
    <row r="1029" ht="15.75" customHeight="1">
      <c r="J1029" s="15"/>
      <c r="K1029" s="238"/>
      <c r="L1029" s="15"/>
      <c r="M1029" s="15"/>
      <c r="N1029" s="15"/>
      <c r="O1029" s="15"/>
      <c r="P1029" s="15"/>
      <c r="Q1029" s="15"/>
      <c r="R1029" s="15"/>
      <c r="S1029" s="15"/>
      <c r="T1029" s="15"/>
      <c r="U1029" s="15"/>
      <c r="V1029" s="15"/>
      <c r="W1029" s="15"/>
      <c r="X1029" s="14"/>
      <c r="Y1029" s="14"/>
      <c r="Z1029" s="15"/>
      <c r="AA1029" s="15"/>
      <c r="AB1029" s="3"/>
      <c r="AC1029" s="3"/>
      <c r="AD1029" s="3"/>
      <c r="AE1029" s="3"/>
      <c r="AF1029" s="3"/>
      <c r="AG1029" s="3"/>
      <c r="AH1029" s="3"/>
      <c r="AI1029" s="3"/>
      <c r="AJ1029" s="154" t="s">
        <v>70</v>
      </c>
      <c r="AN1029" s="154" t="s">
        <v>70</v>
      </c>
    </row>
    <row r="1030" ht="15.75" customHeight="1">
      <c r="J1030" s="15"/>
      <c r="K1030" s="238"/>
      <c r="L1030" s="15"/>
      <c r="M1030" s="15"/>
      <c r="N1030" s="15"/>
      <c r="O1030" s="15"/>
      <c r="P1030" s="15"/>
      <c r="Q1030" s="15"/>
      <c r="R1030" s="15"/>
      <c r="S1030" s="15"/>
      <c r="T1030" s="15"/>
      <c r="U1030" s="15"/>
      <c r="V1030" s="15"/>
      <c r="W1030" s="15"/>
      <c r="X1030" s="14"/>
      <c r="Y1030" s="14"/>
      <c r="Z1030" s="15"/>
      <c r="AA1030" s="15"/>
      <c r="AB1030" s="3"/>
      <c r="AC1030" s="3"/>
      <c r="AD1030" s="3"/>
      <c r="AE1030" s="3"/>
      <c r="AF1030" s="3"/>
      <c r="AG1030" s="3"/>
      <c r="AH1030" s="3"/>
      <c r="AI1030" s="3"/>
      <c r="AJ1030" s="154" t="s">
        <v>70</v>
      </c>
      <c r="AN1030" s="154" t="s">
        <v>70</v>
      </c>
    </row>
    <row r="1031" ht="15.75" customHeight="1">
      <c r="J1031" s="15"/>
      <c r="K1031" s="238"/>
      <c r="L1031" s="15"/>
      <c r="M1031" s="15"/>
      <c r="N1031" s="15"/>
      <c r="O1031" s="15"/>
      <c r="P1031" s="15"/>
      <c r="Q1031" s="15"/>
      <c r="R1031" s="15"/>
      <c r="S1031" s="15"/>
      <c r="T1031" s="15"/>
      <c r="U1031" s="15"/>
      <c r="V1031" s="15"/>
      <c r="W1031" s="15"/>
      <c r="X1031" s="14"/>
      <c r="Y1031" s="14"/>
      <c r="Z1031" s="15"/>
      <c r="AA1031" s="15"/>
      <c r="AB1031" s="3"/>
      <c r="AC1031" s="3"/>
      <c r="AD1031" s="3"/>
      <c r="AE1031" s="3"/>
      <c r="AF1031" s="3"/>
      <c r="AG1031" s="3"/>
      <c r="AH1031" s="3"/>
      <c r="AI1031" s="3"/>
      <c r="AJ1031" s="154" t="s">
        <v>70</v>
      </c>
      <c r="AN1031" s="154" t="s">
        <v>70</v>
      </c>
    </row>
    <row r="1032" ht="15.75" customHeight="1">
      <c r="J1032" s="15"/>
      <c r="K1032" s="238"/>
      <c r="L1032" s="15"/>
      <c r="M1032" s="15"/>
      <c r="N1032" s="15"/>
      <c r="O1032" s="15"/>
      <c r="P1032" s="15"/>
      <c r="Q1032" s="15"/>
      <c r="R1032" s="15"/>
      <c r="S1032" s="15"/>
      <c r="T1032" s="15"/>
      <c r="U1032" s="15"/>
      <c r="V1032" s="15"/>
      <c r="W1032" s="15"/>
      <c r="X1032" s="14"/>
      <c r="Y1032" s="14"/>
      <c r="Z1032" s="15"/>
      <c r="AA1032" s="15"/>
      <c r="AB1032" s="3"/>
      <c r="AC1032" s="3"/>
      <c r="AD1032" s="3"/>
      <c r="AE1032" s="3"/>
      <c r="AF1032" s="3"/>
      <c r="AG1032" s="3"/>
      <c r="AH1032" s="3"/>
      <c r="AI1032" s="3"/>
      <c r="AJ1032" s="154" t="s">
        <v>70</v>
      </c>
      <c r="AN1032" s="154" t="s">
        <v>70</v>
      </c>
    </row>
    <row r="1033" ht="15.75" customHeight="1">
      <c r="J1033" s="15"/>
      <c r="K1033" s="238"/>
      <c r="L1033" s="15"/>
      <c r="M1033" s="15"/>
      <c r="N1033" s="15"/>
      <c r="O1033" s="15"/>
      <c r="P1033" s="15"/>
      <c r="Q1033" s="15"/>
      <c r="R1033" s="15"/>
      <c r="S1033" s="15"/>
      <c r="T1033" s="15"/>
      <c r="U1033" s="15"/>
      <c r="V1033" s="15"/>
      <c r="W1033" s="15"/>
      <c r="X1033" s="14"/>
      <c r="Y1033" s="14"/>
      <c r="Z1033" s="15"/>
      <c r="AA1033" s="15"/>
      <c r="AB1033" s="3"/>
      <c r="AC1033" s="3"/>
      <c r="AD1033" s="3"/>
      <c r="AE1033" s="3"/>
      <c r="AF1033" s="3"/>
      <c r="AG1033" s="3"/>
      <c r="AH1033" s="3"/>
      <c r="AI1033" s="3"/>
      <c r="AJ1033" s="154" t="s">
        <v>70</v>
      </c>
      <c r="AN1033" s="154" t="s">
        <v>70</v>
      </c>
    </row>
    <row r="1034" ht="15.75" customHeight="1">
      <c r="J1034" s="15"/>
      <c r="K1034" s="238"/>
      <c r="L1034" s="15"/>
      <c r="M1034" s="15"/>
      <c r="N1034" s="15"/>
      <c r="O1034" s="15"/>
      <c r="P1034" s="15"/>
      <c r="Q1034" s="15"/>
      <c r="R1034" s="15"/>
      <c r="S1034" s="15"/>
      <c r="T1034" s="15"/>
      <c r="U1034" s="15"/>
      <c r="V1034" s="15"/>
      <c r="W1034" s="15"/>
      <c r="X1034" s="14"/>
      <c r="Y1034" s="14"/>
      <c r="Z1034" s="15"/>
      <c r="AA1034" s="15"/>
      <c r="AB1034" s="3"/>
      <c r="AC1034" s="3"/>
      <c r="AD1034" s="3"/>
      <c r="AE1034" s="3"/>
      <c r="AF1034" s="3"/>
      <c r="AG1034" s="3"/>
      <c r="AH1034" s="3"/>
      <c r="AI1034" s="3"/>
      <c r="AJ1034" s="154" t="s">
        <v>70</v>
      </c>
      <c r="AN1034" s="154" t="s">
        <v>70</v>
      </c>
    </row>
    <row r="1035" ht="15.75" customHeight="1">
      <c r="J1035" s="15"/>
      <c r="K1035" s="238"/>
      <c r="L1035" s="15"/>
      <c r="M1035" s="15"/>
      <c r="N1035" s="15"/>
      <c r="O1035" s="15"/>
      <c r="P1035" s="15"/>
      <c r="Q1035" s="15"/>
      <c r="R1035" s="15"/>
      <c r="S1035" s="15"/>
      <c r="T1035" s="15"/>
      <c r="U1035" s="15"/>
      <c r="V1035" s="15"/>
      <c r="W1035" s="15"/>
      <c r="X1035" s="14"/>
      <c r="Y1035" s="14"/>
      <c r="Z1035" s="15"/>
      <c r="AA1035" s="15"/>
      <c r="AB1035" s="3"/>
      <c r="AC1035" s="3"/>
      <c r="AD1035" s="3"/>
      <c r="AE1035" s="3"/>
      <c r="AF1035" s="3"/>
      <c r="AG1035" s="3"/>
      <c r="AH1035" s="3"/>
      <c r="AI1035" s="3"/>
      <c r="AJ1035" s="154" t="s">
        <v>70</v>
      </c>
      <c r="AN1035" s="154" t="s">
        <v>70</v>
      </c>
    </row>
    <row r="1036" ht="15.75" customHeight="1">
      <c r="J1036" s="15"/>
      <c r="K1036" s="238"/>
      <c r="L1036" s="15"/>
      <c r="M1036" s="15"/>
      <c r="N1036" s="15"/>
      <c r="O1036" s="15"/>
      <c r="P1036" s="15"/>
      <c r="Q1036" s="15"/>
      <c r="R1036" s="15"/>
      <c r="S1036" s="15"/>
      <c r="T1036" s="15"/>
      <c r="U1036" s="15"/>
      <c r="V1036" s="15"/>
      <c r="W1036" s="15"/>
      <c r="X1036" s="14"/>
      <c r="Y1036" s="14"/>
      <c r="Z1036" s="15"/>
      <c r="AA1036" s="15"/>
      <c r="AB1036" s="3"/>
      <c r="AC1036" s="3"/>
      <c r="AD1036" s="3"/>
      <c r="AE1036" s="3"/>
      <c r="AF1036" s="3"/>
      <c r="AG1036" s="3"/>
      <c r="AH1036" s="3"/>
      <c r="AI1036" s="3"/>
      <c r="AJ1036" s="154" t="s">
        <v>70</v>
      </c>
      <c r="AN1036" s="154" t="s">
        <v>70</v>
      </c>
    </row>
    <row r="1037" ht="15.75" customHeight="1">
      <c r="J1037" s="15"/>
      <c r="K1037" s="238"/>
      <c r="L1037" s="15"/>
      <c r="M1037" s="15"/>
      <c r="N1037" s="15"/>
      <c r="O1037" s="15"/>
      <c r="P1037" s="15"/>
      <c r="Q1037" s="15"/>
      <c r="R1037" s="15"/>
      <c r="S1037" s="15"/>
      <c r="T1037" s="15"/>
      <c r="U1037" s="15"/>
      <c r="V1037" s="15"/>
      <c r="W1037" s="15"/>
      <c r="X1037" s="14"/>
      <c r="Y1037" s="14"/>
      <c r="Z1037" s="15"/>
      <c r="AA1037" s="15"/>
      <c r="AB1037" s="3"/>
      <c r="AC1037" s="3"/>
      <c r="AD1037" s="3"/>
      <c r="AE1037" s="3"/>
      <c r="AF1037" s="3"/>
      <c r="AG1037" s="3"/>
      <c r="AH1037" s="3"/>
      <c r="AI1037" s="3"/>
      <c r="AJ1037" s="154" t="s">
        <v>70</v>
      </c>
      <c r="AN1037" s="154" t="s">
        <v>70</v>
      </c>
    </row>
    <row r="1038" ht="15.75" customHeight="1">
      <c r="J1038" s="15"/>
      <c r="K1038" s="238"/>
      <c r="L1038" s="15"/>
      <c r="M1038" s="15"/>
      <c r="N1038" s="15"/>
      <c r="O1038" s="15"/>
      <c r="P1038" s="15"/>
      <c r="Q1038" s="15"/>
      <c r="R1038" s="15"/>
      <c r="S1038" s="15"/>
      <c r="T1038" s="15"/>
      <c r="U1038" s="15"/>
      <c r="V1038" s="15"/>
      <c r="W1038" s="15"/>
      <c r="X1038" s="14"/>
      <c r="Y1038" s="14"/>
      <c r="Z1038" s="15"/>
      <c r="AA1038" s="15"/>
      <c r="AB1038" s="3"/>
      <c r="AC1038" s="3"/>
      <c r="AD1038" s="3"/>
      <c r="AE1038" s="3"/>
      <c r="AF1038" s="3"/>
      <c r="AG1038" s="3"/>
      <c r="AH1038" s="3"/>
      <c r="AI1038" s="3"/>
      <c r="AJ1038" s="154" t="s">
        <v>70</v>
      </c>
      <c r="AN1038" s="154" t="s">
        <v>70</v>
      </c>
    </row>
    <row r="1039" ht="15.75" customHeight="1">
      <c r="J1039" s="15"/>
      <c r="K1039" s="238"/>
      <c r="L1039" s="15"/>
      <c r="M1039" s="15"/>
      <c r="N1039" s="15"/>
      <c r="O1039" s="15"/>
      <c r="P1039" s="15"/>
      <c r="Q1039" s="15"/>
      <c r="R1039" s="15"/>
      <c r="S1039" s="15"/>
      <c r="T1039" s="15"/>
      <c r="U1039" s="15"/>
      <c r="V1039" s="15"/>
      <c r="W1039" s="15"/>
      <c r="X1039" s="14"/>
      <c r="Y1039" s="14"/>
      <c r="Z1039" s="15"/>
      <c r="AA1039" s="15"/>
      <c r="AB1039" s="3"/>
      <c r="AC1039" s="3"/>
      <c r="AD1039" s="3"/>
      <c r="AE1039" s="3"/>
      <c r="AF1039" s="3"/>
      <c r="AG1039" s="3"/>
      <c r="AH1039" s="3"/>
      <c r="AI1039" s="3"/>
      <c r="AJ1039" s="154" t="s">
        <v>70</v>
      </c>
      <c r="AN1039" s="154" t="s">
        <v>70</v>
      </c>
    </row>
    <row r="1040" ht="15.75" customHeight="1">
      <c r="J1040" s="15"/>
      <c r="K1040" s="238"/>
      <c r="L1040" s="15"/>
      <c r="M1040" s="15"/>
      <c r="N1040" s="15"/>
      <c r="O1040" s="15"/>
      <c r="P1040" s="15"/>
      <c r="Q1040" s="15"/>
      <c r="R1040" s="15"/>
      <c r="S1040" s="15"/>
      <c r="T1040" s="15"/>
      <c r="U1040" s="15"/>
      <c r="V1040" s="15"/>
      <c r="W1040" s="15"/>
      <c r="X1040" s="14"/>
      <c r="Y1040" s="14"/>
      <c r="Z1040" s="15"/>
      <c r="AA1040" s="15"/>
      <c r="AB1040" s="3"/>
      <c r="AC1040" s="3"/>
      <c r="AD1040" s="3"/>
      <c r="AE1040" s="3"/>
      <c r="AF1040" s="3"/>
      <c r="AG1040" s="3"/>
      <c r="AH1040" s="3"/>
      <c r="AI1040" s="3"/>
      <c r="AJ1040" s="154" t="s">
        <v>70</v>
      </c>
      <c r="AN1040" s="154" t="s">
        <v>70</v>
      </c>
    </row>
    <row r="1041" ht="15.75" customHeight="1">
      <c r="J1041" s="15"/>
      <c r="K1041" s="238"/>
      <c r="L1041" s="15"/>
      <c r="M1041" s="15"/>
      <c r="N1041" s="15"/>
      <c r="O1041" s="15"/>
      <c r="P1041" s="15"/>
      <c r="Q1041" s="15"/>
      <c r="R1041" s="15"/>
      <c r="S1041" s="15"/>
      <c r="T1041" s="15"/>
      <c r="U1041" s="15"/>
      <c r="V1041" s="15"/>
      <c r="W1041" s="15"/>
      <c r="X1041" s="14"/>
      <c r="Y1041" s="14"/>
      <c r="Z1041" s="15"/>
      <c r="AA1041" s="15"/>
      <c r="AB1041" s="3"/>
      <c r="AC1041" s="3"/>
      <c r="AD1041" s="3"/>
      <c r="AE1041" s="3"/>
      <c r="AF1041" s="3"/>
      <c r="AG1041" s="3"/>
      <c r="AH1041" s="3"/>
      <c r="AI1041" s="3"/>
      <c r="AJ1041" s="154" t="s">
        <v>70</v>
      </c>
      <c r="AN1041" s="154" t="s">
        <v>70</v>
      </c>
    </row>
    <row r="1042" ht="15.75" customHeight="1">
      <c r="J1042" s="15"/>
      <c r="K1042" s="238"/>
      <c r="L1042" s="15"/>
      <c r="M1042" s="15"/>
      <c r="N1042" s="15"/>
      <c r="O1042" s="15"/>
      <c r="P1042" s="15"/>
      <c r="Q1042" s="15"/>
      <c r="R1042" s="15"/>
      <c r="S1042" s="15"/>
      <c r="T1042" s="15"/>
      <c r="U1042" s="15"/>
      <c r="V1042" s="15"/>
      <c r="W1042" s="15"/>
      <c r="X1042" s="14"/>
      <c r="Y1042" s="14"/>
      <c r="Z1042" s="15"/>
      <c r="AA1042" s="15"/>
      <c r="AB1042" s="3"/>
      <c r="AC1042" s="3"/>
      <c r="AD1042" s="3"/>
      <c r="AE1042" s="3"/>
      <c r="AF1042" s="3"/>
      <c r="AG1042" s="3"/>
      <c r="AH1042" s="3"/>
      <c r="AI1042" s="3"/>
      <c r="AJ1042" s="154" t="s">
        <v>70</v>
      </c>
      <c r="AN1042" s="154" t="s">
        <v>70</v>
      </c>
    </row>
    <row r="1043" ht="15.75" customHeight="1">
      <c r="J1043" s="15"/>
      <c r="K1043" s="238"/>
      <c r="L1043" s="15"/>
      <c r="M1043" s="15"/>
      <c r="N1043" s="15"/>
      <c r="O1043" s="15"/>
      <c r="P1043" s="15"/>
      <c r="Q1043" s="15"/>
      <c r="R1043" s="15"/>
      <c r="S1043" s="15"/>
      <c r="T1043" s="15"/>
      <c r="U1043" s="15"/>
      <c r="V1043" s="15"/>
      <c r="W1043" s="15"/>
      <c r="X1043" s="14"/>
      <c r="Y1043" s="14"/>
      <c r="Z1043" s="15"/>
      <c r="AA1043" s="15"/>
      <c r="AB1043" s="3"/>
      <c r="AC1043" s="3"/>
      <c r="AD1043" s="3"/>
      <c r="AE1043" s="3"/>
      <c r="AF1043" s="3"/>
      <c r="AG1043" s="3"/>
      <c r="AH1043" s="3"/>
      <c r="AI1043" s="3"/>
      <c r="AJ1043" s="154" t="s">
        <v>70</v>
      </c>
      <c r="AN1043" s="154" t="s">
        <v>70</v>
      </c>
    </row>
    <row r="1044" ht="15.75" customHeight="1">
      <c r="J1044" s="15"/>
      <c r="K1044" s="238"/>
      <c r="L1044" s="15"/>
      <c r="M1044" s="15"/>
      <c r="N1044" s="15"/>
      <c r="O1044" s="15"/>
      <c r="P1044" s="15"/>
      <c r="Q1044" s="15"/>
      <c r="R1044" s="15"/>
      <c r="S1044" s="15"/>
      <c r="T1044" s="15"/>
      <c r="U1044" s="15"/>
      <c r="V1044" s="15"/>
      <c r="W1044" s="15"/>
      <c r="X1044" s="14"/>
      <c r="Y1044" s="14"/>
      <c r="Z1044" s="15"/>
      <c r="AA1044" s="15"/>
      <c r="AB1044" s="3"/>
      <c r="AC1044" s="3"/>
      <c r="AD1044" s="3"/>
      <c r="AE1044" s="3"/>
      <c r="AF1044" s="3"/>
      <c r="AG1044" s="3"/>
      <c r="AH1044" s="3"/>
      <c r="AI1044" s="3"/>
      <c r="AJ1044" s="154" t="s">
        <v>70</v>
      </c>
      <c r="AN1044" s="154" t="s">
        <v>70</v>
      </c>
    </row>
    <row r="1045" ht="15.75" customHeight="1">
      <c r="J1045" s="15"/>
      <c r="K1045" s="238"/>
      <c r="L1045" s="15"/>
      <c r="M1045" s="15"/>
      <c r="N1045" s="15"/>
      <c r="O1045" s="15"/>
      <c r="P1045" s="15"/>
      <c r="Q1045" s="15"/>
      <c r="R1045" s="15"/>
      <c r="S1045" s="15"/>
      <c r="T1045" s="15"/>
      <c r="U1045" s="15"/>
      <c r="V1045" s="15"/>
      <c r="W1045" s="15"/>
      <c r="X1045" s="14"/>
      <c r="Y1045" s="14"/>
      <c r="Z1045" s="15"/>
      <c r="AA1045" s="15"/>
      <c r="AB1045" s="3"/>
      <c r="AC1045" s="3"/>
      <c r="AD1045" s="3"/>
      <c r="AE1045" s="3"/>
      <c r="AF1045" s="3"/>
      <c r="AG1045" s="3"/>
      <c r="AH1045" s="3"/>
      <c r="AI1045" s="3"/>
      <c r="AJ1045" s="154" t="s">
        <v>70</v>
      </c>
      <c r="AN1045" s="154" t="s">
        <v>70</v>
      </c>
    </row>
    <row r="1046" ht="15.0" customHeight="1">
      <c r="J1046" s="15"/>
      <c r="K1046" s="238"/>
      <c r="L1046" s="15"/>
      <c r="M1046" s="15"/>
      <c r="N1046" s="15"/>
      <c r="O1046" s="15"/>
      <c r="P1046" s="15"/>
      <c r="Q1046" s="15"/>
      <c r="R1046" s="15"/>
      <c r="S1046" s="15"/>
      <c r="T1046" s="15"/>
      <c r="U1046" s="15"/>
      <c r="V1046" s="15"/>
      <c r="W1046" s="15"/>
      <c r="X1046" s="14"/>
      <c r="Y1046" s="14"/>
      <c r="Z1046" s="15"/>
      <c r="AA1046" s="15"/>
      <c r="AJ1046" s="154" t="s">
        <v>70</v>
      </c>
      <c r="AN1046" s="154" t="s">
        <v>70</v>
      </c>
    </row>
    <row r="1047" ht="15.0" customHeight="1">
      <c r="J1047" s="15"/>
      <c r="K1047" s="238"/>
      <c r="L1047" s="15"/>
      <c r="M1047" s="15"/>
      <c r="N1047" s="15"/>
      <c r="O1047" s="15"/>
      <c r="P1047" s="15"/>
      <c r="Q1047" s="15"/>
      <c r="R1047" s="15"/>
      <c r="S1047" s="15"/>
      <c r="T1047" s="15"/>
      <c r="U1047" s="15"/>
      <c r="V1047" s="15"/>
      <c r="W1047" s="15"/>
      <c r="X1047" s="14"/>
      <c r="Y1047" s="14"/>
      <c r="Z1047" s="15"/>
      <c r="AA1047" s="15"/>
      <c r="AJ1047" s="154" t="s">
        <v>70</v>
      </c>
      <c r="AN1047" s="154" t="s">
        <v>70</v>
      </c>
    </row>
    <row r="1048" ht="15.0" customHeight="1">
      <c r="J1048" s="15"/>
      <c r="K1048" s="238"/>
      <c r="L1048" s="15"/>
      <c r="M1048" s="15"/>
      <c r="N1048" s="15"/>
      <c r="O1048" s="15"/>
      <c r="P1048" s="15"/>
      <c r="Q1048" s="15"/>
      <c r="R1048" s="15"/>
      <c r="S1048" s="15"/>
      <c r="T1048" s="15"/>
      <c r="U1048" s="15"/>
      <c r="V1048" s="15"/>
      <c r="W1048" s="15"/>
      <c r="X1048" s="14"/>
      <c r="Y1048" s="14"/>
      <c r="Z1048" s="15"/>
      <c r="AA1048" s="15"/>
      <c r="AJ1048" s="154" t="s">
        <v>70</v>
      </c>
      <c r="AN1048" s="154" t="s">
        <v>70</v>
      </c>
    </row>
    <row r="1049" ht="15.0" customHeight="1">
      <c r="J1049" s="15"/>
      <c r="K1049" s="238"/>
      <c r="L1049" s="15"/>
      <c r="M1049" s="15"/>
      <c r="N1049" s="15"/>
      <c r="O1049" s="15"/>
      <c r="P1049" s="15"/>
      <c r="Q1049" s="15"/>
      <c r="R1049" s="15"/>
      <c r="S1049" s="15"/>
      <c r="T1049" s="15"/>
      <c r="U1049" s="15"/>
      <c r="V1049" s="15"/>
      <c r="W1049" s="15"/>
      <c r="X1049" s="14"/>
      <c r="Y1049" s="14"/>
      <c r="Z1049" s="15"/>
      <c r="AA1049" s="15"/>
      <c r="AJ1049" s="154" t="s">
        <v>70</v>
      </c>
      <c r="AN1049" s="154" t="s">
        <v>70</v>
      </c>
    </row>
    <row r="1050" ht="15.0" customHeight="1">
      <c r="J1050" s="15"/>
      <c r="K1050" s="238"/>
      <c r="L1050" s="15"/>
      <c r="M1050" s="15"/>
      <c r="N1050" s="15"/>
      <c r="O1050" s="15"/>
      <c r="P1050" s="15"/>
      <c r="Q1050" s="15"/>
      <c r="R1050" s="15"/>
      <c r="S1050" s="15"/>
      <c r="T1050" s="15"/>
      <c r="U1050" s="15"/>
      <c r="V1050" s="15"/>
      <c r="W1050" s="15"/>
      <c r="X1050" s="14"/>
      <c r="Y1050" s="14"/>
      <c r="Z1050" s="15"/>
      <c r="AA1050" s="15"/>
    </row>
    <row r="1051" ht="15.0" customHeight="1">
      <c r="J1051" s="15"/>
      <c r="K1051" s="238"/>
      <c r="L1051" s="15"/>
      <c r="M1051" s="15"/>
      <c r="N1051" s="15"/>
      <c r="O1051" s="15"/>
      <c r="P1051" s="15"/>
      <c r="Q1051" s="15"/>
      <c r="R1051" s="15"/>
      <c r="S1051" s="15"/>
      <c r="T1051" s="15"/>
      <c r="U1051" s="15"/>
      <c r="V1051" s="15"/>
      <c r="W1051" s="15"/>
      <c r="X1051" s="14"/>
      <c r="Y1051" s="14"/>
      <c r="Z1051" s="15"/>
      <c r="AA1051" s="15"/>
    </row>
    <row r="1052" ht="15.0" customHeight="1">
      <c r="J1052" s="15"/>
      <c r="K1052" s="238"/>
      <c r="L1052" s="15"/>
      <c r="M1052" s="15"/>
      <c r="N1052" s="15"/>
      <c r="O1052" s="15"/>
      <c r="P1052" s="15"/>
      <c r="Q1052" s="15"/>
      <c r="R1052" s="15"/>
      <c r="S1052" s="15"/>
      <c r="T1052" s="15"/>
      <c r="U1052" s="15"/>
      <c r="V1052" s="15"/>
      <c r="W1052" s="15"/>
      <c r="X1052" s="14"/>
      <c r="Y1052" s="14"/>
      <c r="Z1052" s="15"/>
      <c r="AA1052" s="15"/>
    </row>
    <row r="1053" ht="15.0" customHeight="1">
      <c r="J1053" s="15"/>
      <c r="K1053" s="238"/>
      <c r="L1053" s="15"/>
      <c r="M1053" s="15"/>
      <c r="N1053" s="15"/>
      <c r="O1053" s="15"/>
      <c r="P1053" s="15"/>
      <c r="Q1053" s="15"/>
      <c r="R1053" s="15"/>
      <c r="S1053" s="15"/>
      <c r="T1053" s="15"/>
      <c r="U1053" s="15"/>
      <c r="V1053" s="15"/>
      <c r="W1053" s="15"/>
      <c r="X1053" s="14"/>
      <c r="Y1053" s="14"/>
      <c r="Z1053" s="15"/>
      <c r="AA1053" s="15"/>
    </row>
    <row r="1054" ht="15.0" customHeight="1">
      <c r="J1054" s="15"/>
      <c r="K1054" s="238"/>
      <c r="L1054" s="15"/>
      <c r="M1054" s="15"/>
      <c r="N1054" s="15"/>
      <c r="O1054" s="15"/>
      <c r="P1054" s="15"/>
      <c r="Q1054" s="15"/>
      <c r="R1054" s="15"/>
      <c r="S1054" s="15"/>
      <c r="T1054" s="15"/>
      <c r="U1054" s="15"/>
      <c r="V1054" s="15"/>
      <c r="W1054" s="15"/>
      <c r="X1054" s="14"/>
      <c r="Y1054" s="14"/>
      <c r="Z1054" s="15"/>
      <c r="AA1054" s="15"/>
    </row>
    <row r="1055" ht="15.0" customHeight="1">
      <c r="J1055" s="15"/>
      <c r="K1055" s="238"/>
      <c r="L1055" s="15"/>
      <c r="M1055" s="15"/>
      <c r="N1055" s="15"/>
      <c r="O1055" s="15"/>
      <c r="P1055" s="15"/>
      <c r="Q1055" s="15"/>
      <c r="R1055" s="15"/>
      <c r="S1055" s="15"/>
      <c r="T1055" s="15"/>
      <c r="U1055" s="15"/>
      <c r="V1055" s="15"/>
      <c r="W1055" s="15"/>
      <c r="X1055" s="14"/>
      <c r="Y1055" s="14"/>
      <c r="Z1055" s="15"/>
      <c r="AA1055" s="15"/>
    </row>
    <row r="1056" ht="15.0" customHeight="1">
      <c r="J1056" s="15"/>
      <c r="K1056" s="238"/>
      <c r="L1056" s="15"/>
      <c r="M1056" s="15"/>
      <c r="N1056" s="15"/>
      <c r="O1056" s="15"/>
      <c r="P1056" s="15"/>
      <c r="Q1056" s="15"/>
      <c r="R1056" s="15"/>
      <c r="S1056" s="15"/>
      <c r="T1056" s="15"/>
      <c r="U1056" s="15"/>
      <c r="V1056" s="15"/>
      <c r="W1056" s="15"/>
      <c r="X1056" s="14"/>
      <c r="Y1056" s="14"/>
      <c r="Z1056" s="15"/>
      <c r="AA1056" s="15"/>
    </row>
    <row r="1057" ht="15.0" customHeight="1">
      <c r="J1057" s="15"/>
      <c r="K1057" s="238"/>
      <c r="L1057" s="15"/>
      <c r="M1057" s="15"/>
      <c r="N1057" s="15"/>
      <c r="O1057" s="15"/>
      <c r="P1057" s="15"/>
      <c r="Q1057" s="15"/>
      <c r="R1057" s="15"/>
      <c r="S1057" s="15"/>
      <c r="T1057" s="15"/>
      <c r="U1057" s="15"/>
      <c r="V1057" s="15"/>
      <c r="W1057" s="15"/>
      <c r="X1057" s="14"/>
      <c r="Y1057" s="14"/>
      <c r="Z1057" s="15"/>
      <c r="AA1057" s="15"/>
    </row>
    <row r="1058" ht="15.0" customHeight="1">
      <c r="J1058" s="15"/>
      <c r="K1058" s="238"/>
      <c r="L1058" s="15"/>
      <c r="M1058" s="15"/>
      <c r="N1058" s="15"/>
      <c r="O1058" s="15"/>
      <c r="P1058" s="15"/>
      <c r="Q1058" s="15"/>
      <c r="R1058" s="15"/>
      <c r="S1058" s="15"/>
      <c r="T1058" s="15"/>
      <c r="U1058" s="15"/>
      <c r="V1058" s="15"/>
      <c r="W1058" s="15"/>
      <c r="X1058" s="14"/>
      <c r="Y1058" s="14"/>
      <c r="Z1058" s="15"/>
      <c r="AA1058" s="15"/>
    </row>
    <row r="1059" ht="15.0" customHeight="1">
      <c r="J1059" s="15"/>
      <c r="K1059" s="238"/>
      <c r="L1059" s="15"/>
      <c r="M1059" s="15"/>
      <c r="N1059" s="15"/>
      <c r="O1059" s="15"/>
      <c r="P1059" s="15"/>
      <c r="Q1059" s="15"/>
      <c r="R1059" s="15"/>
      <c r="S1059" s="15"/>
      <c r="T1059" s="15"/>
      <c r="U1059" s="15"/>
      <c r="V1059" s="15"/>
      <c r="W1059" s="15"/>
      <c r="X1059" s="14"/>
      <c r="Y1059" s="14"/>
      <c r="Z1059" s="15"/>
      <c r="AA1059" s="15"/>
    </row>
    <row r="1060" ht="15.0" customHeight="1">
      <c r="J1060" s="15"/>
      <c r="K1060" s="238"/>
      <c r="L1060" s="15"/>
      <c r="M1060" s="15"/>
      <c r="N1060" s="15"/>
      <c r="O1060" s="15"/>
      <c r="P1060" s="15"/>
      <c r="Q1060" s="15"/>
      <c r="R1060" s="15"/>
      <c r="S1060" s="15"/>
      <c r="T1060" s="15"/>
      <c r="U1060" s="15"/>
      <c r="V1060" s="15"/>
      <c r="W1060" s="15"/>
      <c r="X1060" s="14"/>
      <c r="Y1060" s="14"/>
      <c r="Z1060" s="15"/>
      <c r="AA1060" s="15"/>
    </row>
    <row r="1061" ht="15.0" customHeight="1">
      <c r="J1061" s="15"/>
      <c r="K1061" s="238"/>
      <c r="L1061" s="15"/>
      <c r="M1061" s="15"/>
      <c r="N1061" s="15"/>
      <c r="O1061" s="15"/>
      <c r="P1061" s="15"/>
      <c r="Q1061" s="15"/>
      <c r="R1061" s="15"/>
      <c r="S1061" s="15"/>
      <c r="T1061" s="15"/>
      <c r="U1061" s="15"/>
      <c r="V1061" s="15"/>
      <c r="W1061" s="15"/>
      <c r="X1061" s="14"/>
      <c r="Y1061" s="14"/>
      <c r="Z1061" s="15"/>
      <c r="AA1061" s="15"/>
    </row>
    <row r="1062" ht="15.0" customHeight="1">
      <c r="J1062" s="15"/>
      <c r="K1062" s="238"/>
      <c r="L1062" s="15"/>
      <c r="M1062" s="15"/>
      <c r="N1062" s="15"/>
      <c r="O1062" s="15"/>
      <c r="P1062" s="15"/>
      <c r="Q1062" s="15"/>
      <c r="R1062" s="15"/>
      <c r="S1062" s="15"/>
      <c r="T1062" s="15"/>
      <c r="U1062" s="15"/>
      <c r="V1062" s="15"/>
      <c r="W1062" s="15"/>
      <c r="X1062" s="14"/>
      <c r="Y1062" s="14"/>
      <c r="Z1062" s="15"/>
      <c r="AA1062" s="15"/>
    </row>
    <row r="1063" ht="15.0" customHeight="1">
      <c r="J1063" s="15"/>
      <c r="K1063" s="238"/>
      <c r="L1063" s="15"/>
      <c r="M1063" s="15"/>
      <c r="N1063" s="15"/>
      <c r="O1063" s="15"/>
      <c r="P1063" s="15"/>
      <c r="Q1063" s="15"/>
      <c r="R1063" s="15"/>
      <c r="S1063" s="15"/>
      <c r="T1063" s="15"/>
      <c r="U1063" s="15"/>
      <c r="V1063" s="15"/>
      <c r="W1063" s="15"/>
      <c r="X1063" s="14"/>
      <c r="Y1063" s="14"/>
      <c r="Z1063" s="15"/>
      <c r="AA1063" s="15"/>
    </row>
    <row r="1064" ht="15.0" customHeight="1">
      <c r="J1064" s="15"/>
      <c r="K1064" s="238"/>
      <c r="L1064" s="15"/>
      <c r="M1064" s="15"/>
      <c r="N1064" s="15"/>
      <c r="O1064" s="15"/>
      <c r="P1064" s="15"/>
      <c r="Q1064" s="15"/>
      <c r="R1064" s="15"/>
      <c r="S1064" s="15"/>
      <c r="T1064" s="15"/>
      <c r="U1064" s="15"/>
      <c r="V1064" s="15"/>
      <c r="W1064" s="15"/>
      <c r="X1064" s="14"/>
      <c r="Y1064" s="14"/>
      <c r="Z1064" s="15"/>
      <c r="AA1064" s="15"/>
    </row>
    <row r="1065" ht="15.0" customHeight="1">
      <c r="J1065" s="15"/>
      <c r="K1065" s="238"/>
      <c r="L1065" s="15"/>
      <c r="M1065" s="15"/>
      <c r="N1065" s="15"/>
      <c r="O1065" s="15"/>
      <c r="P1065" s="15"/>
      <c r="Q1065" s="15"/>
      <c r="R1065" s="15"/>
      <c r="S1065" s="15"/>
      <c r="T1065" s="15"/>
      <c r="U1065" s="15"/>
      <c r="V1065" s="15"/>
      <c r="W1065" s="15"/>
      <c r="X1065" s="14"/>
      <c r="Y1065" s="14"/>
      <c r="Z1065" s="15"/>
      <c r="AA1065" s="15"/>
    </row>
    <row r="1066" ht="15.0" customHeight="1">
      <c r="J1066" s="15"/>
      <c r="K1066" s="238"/>
      <c r="L1066" s="15"/>
      <c r="M1066" s="15"/>
      <c r="N1066" s="15"/>
      <c r="O1066" s="15"/>
      <c r="P1066" s="15"/>
      <c r="Q1066" s="15"/>
      <c r="R1066" s="15"/>
      <c r="S1066" s="15"/>
      <c r="T1066" s="15"/>
      <c r="U1066" s="15"/>
      <c r="V1066" s="15"/>
      <c r="W1066" s="15"/>
      <c r="X1066" s="14"/>
      <c r="Y1066" s="14"/>
      <c r="Z1066" s="15"/>
      <c r="AA1066" s="15"/>
    </row>
    <row r="1067" ht="15.0" customHeight="1">
      <c r="J1067" s="15"/>
      <c r="K1067" s="238"/>
      <c r="L1067" s="15"/>
      <c r="M1067" s="15"/>
      <c r="N1067" s="15"/>
      <c r="O1067" s="15"/>
      <c r="P1067" s="15"/>
      <c r="Q1067" s="15"/>
      <c r="R1067" s="15"/>
      <c r="S1067" s="15"/>
      <c r="T1067" s="15"/>
      <c r="U1067" s="15"/>
      <c r="V1067" s="15"/>
      <c r="W1067" s="15"/>
      <c r="X1067" s="14"/>
      <c r="Y1067" s="14"/>
      <c r="Z1067" s="15"/>
      <c r="AA1067" s="15"/>
    </row>
    <row r="1068" ht="15.0" customHeight="1">
      <c r="J1068" s="15"/>
      <c r="K1068" s="238"/>
      <c r="L1068" s="15"/>
      <c r="M1068" s="15"/>
      <c r="N1068" s="15"/>
      <c r="O1068" s="15"/>
      <c r="P1068" s="15"/>
      <c r="Q1068" s="15"/>
      <c r="R1068" s="15"/>
      <c r="S1068" s="15"/>
      <c r="T1068" s="15"/>
      <c r="U1068" s="15"/>
      <c r="V1068" s="15"/>
      <c r="W1068" s="15"/>
      <c r="X1068" s="14"/>
      <c r="Y1068" s="14"/>
      <c r="Z1068" s="15"/>
      <c r="AA1068" s="15"/>
    </row>
    <row r="1069" ht="15.0" customHeight="1">
      <c r="J1069" s="15"/>
      <c r="K1069" s="238"/>
      <c r="L1069" s="15"/>
      <c r="M1069" s="15"/>
      <c r="N1069" s="15"/>
      <c r="O1069" s="15"/>
      <c r="P1069" s="15"/>
      <c r="Q1069" s="15"/>
      <c r="R1069" s="15"/>
      <c r="S1069" s="15"/>
      <c r="T1069" s="15"/>
      <c r="U1069" s="15"/>
      <c r="V1069" s="15"/>
      <c r="W1069" s="15"/>
      <c r="X1069" s="14"/>
      <c r="Y1069" s="14"/>
      <c r="Z1069" s="15"/>
      <c r="AA1069" s="15"/>
    </row>
    <row r="1070" ht="15.0" customHeight="1">
      <c r="J1070" s="15"/>
      <c r="K1070" s="238"/>
      <c r="L1070" s="15"/>
      <c r="M1070" s="15"/>
      <c r="N1070" s="15"/>
      <c r="O1070" s="15"/>
      <c r="P1070" s="15"/>
      <c r="Q1070" s="15"/>
      <c r="R1070" s="15"/>
      <c r="S1070" s="15"/>
      <c r="T1070" s="15"/>
      <c r="U1070" s="15"/>
      <c r="V1070" s="15"/>
      <c r="W1070" s="15"/>
      <c r="X1070" s="14"/>
      <c r="Y1070" s="14"/>
      <c r="Z1070" s="15"/>
      <c r="AA1070" s="15"/>
    </row>
    <row r="1071" ht="15.0" customHeight="1">
      <c r="J1071" s="15"/>
      <c r="K1071" s="238"/>
      <c r="L1071" s="15"/>
      <c r="M1071" s="15"/>
      <c r="N1071" s="15"/>
      <c r="O1071" s="15"/>
      <c r="P1071" s="15"/>
      <c r="Q1071" s="15"/>
      <c r="R1071" s="15"/>
      <c r="S1071" s="15"/>
      <c r="T1071" s="15"/>
      <c r="U1071" s="15"/>
      <c r="V1071" s="15"/>
      <c r="W1071" s="15"/>
      <c r="X1071" s="14"/>
      <c r="Y1071" s="14"/>
      <c r="Z1071" s="15"/>
      <c r="AA1071" s="15"/>
    </row>
    <row r="1072" ht="15.0" customHeight="1">
      <c r="J1072" s="15"/>
      <c r="K1072" s="238"/>
      <c r="L1072" s="15"/>
      <c r="M1072" s="15"/>
      <c r="N1072" s="15"/>
      <c r="O1072" s="15"/>
      <c r="P1072" s="15"/>
      <c r="Q1072" s="15"/>
      <c r="R1072" s="15"/>
      <c r="S1072" s="15"/>
      <c r="T1072" s="15"/>
      <c r="U1072" s="15"/>
      <c r="V1072" s="15"/>
      <c r="W1072" s="15"/>
      <c r="X1072" s="14"/>
      <c r="Y1072" s="14"/>
      <c r="Z1072" s="15"/>
      <c r="AA1072" s="15"/>
    </row>
    <row r="1073" ht="15.0" customHeight="1">
      <c r="J1073" s="15"/>
      <c r="K1073" s="238"/>
      <c r="L1073" s="15"/>
      <c r="M1073" s="15"/>
      <c r="N1073" s="15"/>
      <c r="O1073" s="15"/>
      <c r="P1073" s="15"/>
      <c r="Q1073" s="15"/>
      <c r="R1073" s="15"/>
      <c r="S1073" s="15"/>
      <c r="T1073" s="15"/>
      <c r="U1073" s="15"/>
      <c r="V1073" s="15"/>
      <c r="W1073" s="15"/>
      <c r="X1073" s="14"/>
      <c r="Y1073" s="14"/>
      <c r="Z1073" s="15"/>
      <c r="AA1073" s="15"/>
    </row>
    <row r="1074" ht="15.0" customHeight="1">
      <c r="J1074" s="15"/>
      <c r="K1074" s="238"/>
      <c r="L1074" s="15"/>
      <c r="M1074" s="15"/>
      <c r="N1074" s="15"/>
      <c r="O1074" s="15"/>
      <c r="P1074" s="15"/>
      <c r="Q1074" s="15"/>
      <c r="R1074" s="15"/>
      <c r="S1074" s="15"/>
      <c r="T1074" s="15"/>
      <c r="U1074" s="15"/>
      <c r="V1074" s="15"/>
      <c r="W1074" s="15"/>
      <c r="X1074" s="14"/>
      <c r="Y1074" s="14"/>
      <c r="Z1074" s="15"/>
      <c r="AA1074" s="15"/>
    </row>
    <row r="1075" ht="15.0" customHeight="1">
      <c r="J1075" s="15"/>
      <c r="K1075" s="238"/>
      <c r="L1075" s="15"/>
      <c r="M1075" s="15"/>
      <c r="N1075" s="15"/>
      <c r="O1075" s="15"/>
      <c r="P1075" s="15"/>
      <c r="Q1075" s="15"/>
      <c r="R1075" s="15"/>
      <c r="S1075" s="15"/>
      <c r="T1075" s="15"/>
      <c r="U1075" s="15"/>
      <c r="V1075" s="15"/>
      <c r="W1075" s="15"/>
      <c r="X1075" s="14"/>
      <c r="Y1075" s="14"/>
      <c r="Z1075" s="15"/>
      <c r="AA1075" s="15"/>
    </row>
    <row r="1076" ht="15.0" customHeight="1">
      <c r="J1076" s="15"/>
      <c r="K1076" s="238"/>
      <c r="L1076" s="15"/>
      <c r="M1076" s="15"/>
      <c r="N1076" s="15"/>
      <c r="O1076" s="15"/>
      <c r="P1076" s="15"/>
      <c r="Q1076" s="15"/>
      <c r="R1076" s="15"/>
      <c r="S1076" s="15"/>
      <c r="T1076" s="15"/>
      <c r="U1076" s="15"/>
      <c r="V1076" s="15"/>
      <c r="W1076" s="15"/>
      <c r="X1076" s="14"/>
      <c r="Y1076" s="14"/>
      <c r="Z1076" s="15"/>
      <c r="AA1076" s="15"/>
    </row>
    <row r="1077" ht="15.0" customHeight="1">
      <c r="J1077" s="15"/>
      <c r="K1077" s="238"/>
      <c r="L1077" s="15"/>
      <c r="M1077" s="15"/>
      <c r="N1077" s="15"/>
      <c r="O1077" s="15"/>
      <c r="P1077" s="15"/>
      <c r="Q1077" s="15"/>
      <c r="R1077" s="15"/>
      <c r="S1077" s="15"/>
      <c r="T1077" s="15"/>
      <c r="U1077" s="15"/>
      <c r="V1077" s="15"/>
      <c r="W1077" s="15"/>
      <c r="X1077" s="14"/>
      <c r="Y1077" s="14"/>
      <c r="Z1077" s="15"/>
      <c r="AA1077" s="15"/>
    </row>
    <row r="1078" ht="15.0" customHeight="1">
      <c r="J1078" s="15"/>
      <c r="K1078" s="238"/>
      <c r="L1078" s="15"/>
      <c r="M1078" s="15"/>
      <c r="N1078" s="15"/>
      <c r="O1078" s="15"/>
      <c r="P1078" s="15"/>
      <c r="Q1078" s="15"/>
      <c r="R1078" s="15"/>
      <c r="S1078" s="15"/>
      <c r="T1078" s="15"/>
      <c r="U1078" s="15"/>
      <c r="V1078" s="15"/>
      <c r="W1078" s="15"/>
      <c r="X1078" s="14"/>
      <c r="Y1078" s="14"/>
      <c r="Z1078" s="15"/>
      <c r="AA1078" s="15"/>
    </row>
    <row r="1079" ht="15.0" customHeight="1">
      <c r="J1079" s="15"/>
      <c r="K1079" s="238"/>
      <c r="L1079" s="15"/>
      <c r="M1079" s="15"/>
      <c r="N1079" s="15"/>
      <c r="O1079" s="15"/>
      <c r="P1079" s="15"/>
      <c r="Q1079" s="15"/>
      <c r="R1079" s="15"/>
      <c r="S1079" s="15"/>
      <c r="T1079" s="15"/>
      <c r="U1079" s="15"/>
      <c r="V1079" s="15"/>
      <c r="W1079" s="15"/>
      <c r="X1079" s="14"/>
      <c r="Y1079" s="14"/>
      <c r="Z1079" s="15"/>
      <c r="AA1079" s="15"/>
    </row>
    <row r="1080" ht="15.0" customHeight="1">
      <c r="J1080" s="15"/>
      <c r="K1080" s="238"/>
      <c r="L1080" s="15"/>
      <c r="M1080" s="15"/>
      <c r="N1080" s="15"/>
      <c r="O1080" s="15"/>
      <c r="P1080" s="15"/>
      <c r="Q1080" s="15"/>
      <c r="R1080" s="15"/>
      <c r="S1080" s="15"/>
      <c r="T1080" s="15"/>
      <c r="U1080" s="15"/>
      <c r="V1080" s="15"/>
      <c r="W1080" s="15"/>
      <c r="X1080" s="14"/>
      <c r="Y1080" s="14"/>
      <c r="Z1080" s="15"/>
      <c r="AA1080" s="15"/>
    </row>
    <row r="1081" ht="15.0" customHeight="1">
      <c r="J1081" s="15"/>
      <c r="K1081" s="238"/>
      <c r="L1081" s="15"/>
      <c r="M1081" s="15"/>
      <c r="N1081" s="15"/>
      <c r="O1081" s="15"/>
      <c r="P1081" s="15"/>
      <c r="Q1081" s="15"/>
      <c r="R1081" s="15"/>
      <c r="S1081" s="15"/>
      <c r="T1081" s="15"/>
      <c r="U1081" s="15"/>
      <c r="V1081" s="15"/>
      <c r="W1081" s="15"/>
      <c r="X1081" s="14"/>
      <c r="Y1081" s="14"/>
      <c r="Z1081" s="15"/>
      <c r="AA1081" s="15"/>
    </row>
    <row r="1082" ht="15.0" customHeight="1">
      <c r="J1082" s="15"/>
      <c r="K1082" s="238"/>
      <c r="L1082" s="15"/>
      <c r="M1082" s="15"/>
      <c r="N1082" s="15"/>
      <c r="O1082" s="15"/>
      <c r="P1082" s="15"/>
      <c r="Q1082" s="15"/>
      <c r="R1082" s="15"/>
      <c r="S1082" s="15"/>
      <c r="T1082" s="15"/>
      <c r="U1082" s="15"/>
      <c r="V1082" s="15"/>
      <c r="W1082" s="15"/>
      <c r="X1082" s="14"/>
      <c r="Y1082" s="14"/>
      <c r="Z1082" s="15"/>
      <c r="AA1082" s="15"/>
    </row>
    <row r="1083" ht="15.0" customHeight="1">
      <c r="J1083" s="15"/>
      <c r="K1083" s="238"/>
      <c r="L1083" s="15"/>
      <c r="M1083" s="15"/>
      <c r="N1083" s="15"/>
      <c r="O1083" s="15"/>
      <c r="P1083" s="15"/>
      <c r="Q1083" s="15"/>
      <c r="R1083" s="15"/>
      <c r="S1083" s="15"/>
      <c r="T1083" s="15"/>
      <c r="U1083" s="15"/>
      <c r="V1083" s="15"/>
      <c r="W1083" s="15"/>
      <c r="X1083" s="14"/>
      <c r="Y1083" s="14"/>
      <c r="Z1083" s="15"/>
      <c r="AA1083" s="15"/>
    </row>
    <row r="1084" ht="15.0" customHeight="1">
      <c r="J1084" s="15"/>
      <c r="K1084" s="238"/>
      <c r="L1084" s="15"/>
      <c r="M1084" s="15"/>
      <c r="N1084" s="15"/>
      <c r="O1084" s="15"/>
      <c r="P1084" s="15"/>
      <c r="Q1084" s="15"/>
      <c r="R1084" s="15"/>
      <c r="S1084" s="15"/>
      <c r="T1084" s="15"/>
      <c r="U1084" s="15"/>
      <c r="V1084" s="15"/>
      <c r="W1084" s="15"/>
      <c r="X1084" s="14"/>
      <c r="Y1084" s="14"/>
      <c r="Z1084" s="15"/>
      <c r="AA1084" s="15"/>
    </row>
    <row r="1085" ht="15.0" customHeight="1">
      <c r="J1085" s="15"/>
      <c r="K1085" s="238"/>
      <c r="L1085" s="15"/>
      <c r="M1085" s="15"/>
      <c r="N1085" s="15"/>
      <c r="O1085" s="15"/>
      <c r="P1085" s="15"/>
      <c r="Q1085" s="15"/>
      <c r="R1085" s="15"/>
      <c r="S1085" s="15"/>
      <c r="T1085" s="15"/>
      <c r="U1085" s="15"/>
      <c r="V1085" s="15"/>
      <c r="W1085" s="15"/>
      <c r="X1085" s="14"/>
      <c r="Y1085" s="14"/>
      <c r="Z1085" s="15"/>
      <c r="AA1085" s="15"/>
    </row>
    <row r="1086" ht="15.0" customHeight="1">
      <c r="J1086" s="15"/>
      <c r="K1086" s="238"/>
      <c r="L1086" s="15"/>
      <c r="M1086" s="15"/>
      <c r="N1086" s="15"/>
      <c r="O1086" s="15"/>
      <c r="P1086" s="15"/>
      <c r="Q1086" s="15"/>
      <c r="R1086" s="15"/>
      <c r="S1086" s="15"/>
      <c r="T1086" s="15"/>
      <c r="U1086" s="15"/>
      <c r="V1086" s="15"/>
      <c r="W1086" s="15"/>
      <c r="X1086" s="14"/>
      <c r="Y1086" s="14"/>
      <c r="Z1086" s="15"/>
      <c r="AA1086" s="15"/>
    </row>
    <row r="1087" ht="15.0" customHeight="1">
      <c r="J1087" s="15"/>
      <c r="K1087" s="238"/>
      <c r="L1087" s="15"/>
      <c r="M1087" s="15"/>
      <c r="N1087" s="15"/>
      <c r="O1087" s="15"/>
      <c r="P1087" s="15"/>
      <c r="Q1087" s="15"/>
      <c r="R1087" s="15"/>
      <c r="S1087" s="15"/>
      <c r="T1087" s="15"/>
      <c r="U1087" s="15"/>
      <c r="V1087" s="15"/>
      <c r="W1087" s="15"/>
      <c r="X1087" s="14"/>
      <c r="Y1087" s="14"/>
      <c r="Z1087" s="15"/>
      <c r="AA1087" s="15"/>
    </row>
    <row r="1088" ht="15.0" customHeight="1">
      <c r="J1088" s="15"/>
      <c r="K1088" s="238"/>
      <c r="L1088" s="15"/>
      <c r="M1088" s="15"/>
      <c r="N1088" s="15"/>
      <c r="O1088" s="15"/>
      <c r="P1088" s="15"/>
      <c r="Q1088" s="15"/>
      <c r="R1088" s="15"/>
      <c r="S1088" s="15"/>
      <c r="T1088" s="15"/>
      <c r="U1088" s="15"/>
      <c r="V1088" s="15"/>
      <c r="W1088" s="15"/>
      <c r="X1088" s="14"/>
      <c r="Y1088" s="14"/>
      <c r="Z1088" s="15"/>
      <c r="AA1088" s="15"/>
    </row>
    <row r="1089" ht="15.0" customHeight="1">
      <c r="J1089" s="15"/>
      <c r="K1089" s="238"/>
      <c r="L1089" s="15"/>
      <c r="M1089" s="15"/>
      <c r="N1089" s="15"/>
      <c r="O1089" s="15"/>
      <c r="P1089" s="15"/>
      <c r="Q1089" s="15"/>
      <c r="R1089" s="15"/>
      <c r="S1089" s="15"/>
      <c r="T1089" s="15"/>
      <c r="U1089" s="15"/>
      <c r="V1089" s="15"/>
      <c r="W1089" s="15"/>
      <c r="X1089" s="14"/>
      <c r="Y1089" s="14"/>
      <c r="Z1089" s="15"/>
      <c r="AA1089" s="15"/>
    </row>
    <row r="1090" ht="15.0" customHeight="1">
      <c r="J1090" s="15"/>
      <c r="K1090" s="238"/>
      <c r="L1090" s="15"/>
      <c r="M1090" s="15"/>
      <c r="N1090" s="15"/>
      <c r="O1090" s="15"/>
      <c r="P1090" s="15"/>
      <c r="Q1090" s="15"/>
      <c r="R1090" s="15"/>
      <c r="S1090" s="15"/>
      <c r="T1090" s="15"/>
      <c r="U1090" s="15"/>
      <c r="V1090" s="15"/>
      <c r="W1090" s="15"/>
      <c r="X1090" s="14"/>
      <c r="Y1090" s="14"/>
      <c r="Z1090" s="15"/>
      <c r="AA1090" s="15"/>
    </row>
    <row r="1091" ht="15.0" customHeight="1">
      <c r="J1091" s="15"/>
      <c r="K1091" s="238"/>
      <c r="L1091" s="15"/>
      <c r="M1091" s="15"/>
      <c r="N1091" s="15"/>
      <c r="O1091" s="15"/>
      <c r="P1091" s="15"/>
      <c r="Q1091" s="15"/>
      <c r="R1091" s="15"/>
      <c r="S1091" s="15"/>
      <c r="T1091" s="15"/>
      <c r="U1091" s="15"/>
      <c r="V1091" s="15"/>
      <c r="W1091" s="15"/>
      <c r="X1091" s="14"/>
      <c r="Y1091" s="14"/>
      <c r="Z1091" s="15"/>
      <c r="AA1091" s="15"/>
    </row>
    <row r="1092" ht="15.0" customHeight="1">
      <c r="J1092" s="15"/>
      <c r="K1092" s="238"/>
      <c r="L1092" s="15"/>
      <c r="M1092" s="15"/>
      <c r="N1092" s="15"/>
      <c r="O1092" s="15"/>
      <c r="P1092" s="15"/>
      <c r="Q1092" s="15"/>
      <c r="R1092" s="15"/>
      <c r="S1092" s="15"/>
      <c r="T1092" s="15"/>
      <c r="U1092" s="15"/>
      <c r="V1092" s="15"/>
      <c r="W1092" s="15"/>
      <c r="X1092" s="14"/>
      <c r="Y1092" s="14"/>
      <c r="Z1092" s="15"/>
      <c r="AA1092" s="15"/>
    </row>
    <row r="1093" ht="15.0" customHeight="1">
      <c r="J1093" s="15"/>
      <c r="K1093" s="238"/>
      <c r="L1093" s="15"/>
      <c r="M1093" s="15"/>
      <c r="N1093" s="15"/>
      <c r="O1093" s="15"/>
      <c r="P1093" s="15"/>
      <c r="Q1093" s="15"/>
      <c r="R1093" s="15"/>
      <c r="S1093" s="15"/>
      <c r="T1093" s="15"/>
      <c r="U1093" s="15"/>
      <c r="V1093" s="15"/>
      <c r="W1093" s="15"/>
      <c r="X1093" s="14"/>
      <c r="Y1093" s="14"/>
      <c r="Z1093" s="15"/>
      <c r="AA1093" s="15"/>
    </row>
    <row r="1094" ht="15.0" customHeight="1">
      <c r="J1094" s="15"/>
      <c r="K1094" s="238"/>
      <c r="L1094" s="15"/>
      <c r="M1094" s="15"/>
      <c r="N1094" s="15"/>
      <c r="O1094" s="15"/>
      <c r="P1094" s="15"/>
      <c r="Q1094" s="15"/>
      <c r="R1094" s="15"/>
      <c r="S1094" s="15"/>
      <c r="T1094" s="15"/>
      <c r="U1094" s="15"/>
      <c r="V1094" s="15"/>
      <c r="W1094" s="15"/>
      <c r="X1094" s="14"/>
      <c r="Y1094" s="14"/>
      <c r="Z1094" s="15"/>
      <c r="AA1094" s="15"/>
    </row>
    <row r="1095" ht="15.0" customHeight="1">
      <c r="J1095" s="15"/>
      <c r="K1095" s="238"/>
      <c r="L1095" s="15"/>
      <c r="M1095" s="15"/>
      <c r="N1095" s="15"/>
      <c r="O1095" s="15"/>
      <c r="P1095" s="15"/>
      <c r="Q1095" s="15"/>
      <c r="R1095" s="15"/>
      <c r="S1095" s="15"/>
      <c r="T1095" s="15"/>
      <c r="U1095" s="15"/>
      <c r="V1095" s="15"/>
      <c r="W1095" s="15"/>
      <c r="X1095" s="14"/>
      <c r="Y1095" s="14"/>
      <c r="Z1095" s="15"/>
      <c r="AA1095" s="15"/>
    </row>
    <row r="1096" ht="15.0" customHeight="1">
      <c r="J1096" s="15"/>
      <c r="K1096" s="238"/>
      <c r="L1096" s="15"/>
      <c r="M1096" s="15"/>
      <c r="N1096" s="15"/>
      <c r="O1096" s="15"/>
      <c r="P1096" s="15"/>
      <c r="Q1096" s="15"/>
      <c r="R1096" s="15"/>
      <c r="S1096" s="15"/>
      <c r="T1096" s="15"/>
      <c r="U1096" s="15"/>
      <c r="V1096" s="15"/>
      <c r="W1096" s="15"/>
      <c r="X1096" s="14"/>
      <c r="Y1096" s="14"/>
      <c r="Z1096" s="15"/>
      <c r="AA1096" s="15"/>
    </row>
    <row r="1097" ht="15.0" customHeight="1">
      <c r="J1097" s="15"/>
      <c r="K1097" s="238"/>
      <c r="L1097" s="15"/>
      <c r="M1097" s="15"/>
      <c r="N1097" s="15"/>
      <c r="O1097" s="15"/>
      <c r="P1097" s="15"/>
      <c r="Q1097" s="15"/>
      <c r="R1097" s="15"/>
      <c r="S1097" s="15"/>
      <c r="T1097" s="15"/>
      <c r="U1097" s="15"/>
      <c r="V1097" s="15"/>
      <c r="W1097" s="15"/>
      <c r="X1097" s="14"/>
      <c r="Y1097" s="14"/>
      <c r="Z1097" s="15"/>
      <c r="AA1097" s="15"/>
    </row>
    <row r="1098" ht="15.0" customHeight="1">
      <c r="J1098" s="15"/>
      <c r="K1098" s="238"/>
      <c r="L1098" s="15"/>
      <c r="M1098" s="15"/>
      <c r="N1098" s="15"/>
      <c r="O1098" s="15"/>
      <c r="P1098" s="15"/>
      <c r="Q1098" s="15"/>
      <c r="R1098" s="15"/>
      <c r="S1098" s="15"/>
      <c r="T1098" s="15"/>
      <c r="U1098" s="15"/>
      <c r="V1098" s="15"/>
      <c r="W1098" s="15"/>
      <c r="X1098" s="14"/>
      <c r="Y1098" s="14"/>
      <c r="Z1098" s="15"/>
      <c r="AA1098" s="15"/>
    </row>
    <row r="1099" ht="15.0" customHeight="1">
      <c r="J1099" s="15"/>
      <c r="K1099" s="238"/>
      <c r="L1099" s="15"/>
      <c r="M1099" s="15"/>
      <c r="N1099" s="15"/>
      <c r="O1099" s="15"/>
      <c r="P1099" s="15"/>
      <c r="Q1099" s="15"/>
      <c r="R1099" s="15"/>
      <c r="S1099" s="15"/>
      <c r="T1099" s="15"/>
      <c r="U1099" s="15"/>
      <c r="V1099" s="15"/>
      <c r="W1099" s="15"/>
      <c r="X1099" s="14"/>
      <c r="Y1099" s="14"/>
      <c r="Z1099" s="15"/>
      <c r="AA1099" s="15"/>
    </row>
    <row r="1100" ht="15.0" customHeight="1">
      <c r="J1100" s="15"/>
      <c r="K1100" s="238"/>
      <c r="L1100" s="15"/>
      <c r="M1100" s="15"/>
      <c r="N1100" s="15"/>
      <c r="O1100" s="15"/>
      <c r="P1100" s="15"/>
      <c r="Q1100" s="15"/>
      <c r="R1100" s="15"/>
      <c r="S1100" s="15"/>
      <c r="T1100" s="15"/>
      <c r="U1100" s="15"/>
      <c r="V1100" s="15"/>
      <c r="W1100" s="15"/>
      <c r="X1100" s="14"/>
      <c r="Y1100" s="14"/>
      <c r="Z1100" s="15"/>
      <c r="AA1100" s="15"/>
    </row>
    <row r="1101" ht="15.0" customHeight="1">
      <c r="J1101" s="15"/>
      <c r="K1101" s="238"/>
      <c r="L1101" s="15"/>
      <c r="M1101" s="15"/>
      <c r="N1101" s="15"/>
      <c r="O1101" s="15"/>
      <c r="P1101" s="15"/>
      <c r="Q1101" s="15"/>
      <c r="R1101" s="15"/>
      <c r="S1101" s="15"/>
      <c r="T1101" s="15"/>
      <c r="U1101" s="15"/>
      <c r="V1101" s="15"/>
      <c r="W1101" s="15"/>
      <c r="X1101" s="14"/>
      <c r="Y1101" s="14"/>
      <c r="Z1101" s="15"/>
      <c r="AA1101" s="15"/>
    </row>
    <row r="1102" ht="15.0" customHeight="1">
      <c r="J1102" s="15"/>
      <c r="K1102" s="238"/>
      <c r="L1102" s="15"/>
      <c r="M1102" s="15"/>
      <c r="N1102" s="15"/>
      <c r="O1102" s="15"/>
      <c r="P1102" s="15"/>
      <c r="Q1102" s="15"/>
      <c r="R1102" s="15"/>
      <c r="S1102" s="15"/>
      <c r="T1102" s="15"/>
      <c r="U1102" s="15"/>
      <c r="V1102" s="15"/>
      <c r="W1102" s="15"/>
      <c r="X1102" s="14"/>
      <c r="Y1102" s="14"/>
      <c r="Z1102" s="15"/>
      <c r="AA1102" s="15"/>
    </row>
    <row r="1103" ht="15.0" customHeight="1">
      <c r="J1103" s="15"/>
      <c r="K1103" s="238"/>
      <c r="L1103" s="15"/>
      <c r="M1103" s="15"/>
      <c r="N1103" s="15"/>
      <c r="O1103" s="15"/>
      <c r="P1103" s="15"/>
      <c r="Q1103" s="15"/>
      <c r="R1103" s="15"/>
      <c r="S1103" s="15"/>
      <c r="T1103" s="15"/>
      <c r="U1103" s="15"/>
      <c r="V1103" s="15"/>
      <c r="W1103" s="15"/>
      <c r="X1103" s="14"/>
      <c r="Y1103" s="14"/>
      <c r="Z1103" s="15"/>
      <c r="AA1103" s="15"/>
    </row>
    <row r="1104" ht="15.0" customHeight="1">
      <c r="J1104" s="15"/>
      <c r="K1104" s="238"/>
      <c r="L1104" s="15"/>
      <c r="M1104" s="15"/>
      <c r="N1104" s="15"/>
      <c r="O1104" s="15"/>
      <c r="P1104" s="15"/>
      <c r="Q1104" s="15"/>
      <c r="R1104" s="15"/>
      <c r="S1104" s="15"/>
      <c r="T1104" s="15"/>
      <c r="U1104" s="15"/>
      <c r="V1104" s="15"/>
      <c r="W1104" s="15"/>
      <c r="X1104" s="14"/>
      <c r="Y1104" s="14"/>
      <c r="Z1104" s="15"/>
      <c r="AA1104" s="15"/>
    </row>
    <row r="1105" ht="15.0" customHeight="1">
      <c r="J1105" s="15"/>
      <c r="K1105" s="238"/>
      <c r="L1105" s="15"/>
      <c r="M1105" s="15"/>
      <c r="N1105" s="15"/>
      <c r="O1105" s="15"/>
      <c r="P1105" s="15"/>
      <c r="Q1105" s="15"/>
      <c r="R1105" s="15"/>
      <c r="S1105" s="15"/>
      <c r="T1105" s="15"/>
      <c r="U1105" s="15"/>
      <c r="V1105" s="15"/>
      <c r="W1105" s="15"/>
      <c r="X1105" s="14"/>
      <c r="Y1105" s="14"/>
      <c r="Z1105" s="15"/>
      <c r="AA1105" s="15"/>
    </row>
    <row r="1106" ht="15.0" customHeight="1">
      <c r="J1106" s="15"/>
      <c r="K1106" s="238"/>
      <c r="L1106" s="15"/>
      <c r="M1106" s="15"/>
      <c r="N1106" s="15"/>
      <c r="O1106" s="15"/>
      <c r="P1106" s="15"/>
      <c r="Q1106" s="15"/>
      <c r="R1106" s="15"/>
      <c r="S1106" s="15"/>
      <c r="T1106" s="15"/>
      <c r="U1106" s="15"/>
      <c r="V1106" s="15"/>
      <c r="W1106" s="15"/>
      <c r="X1106" s="14"/>
      <c r="Y1106" s="14"/>
      <c r="Z1106" s="15"/>
      <c r="AA1106" s="15"/>
    </row>
    <row r="1107" ht="15.0" customHeight="1">
      <c r="J1107" s="15"/>
      <c r="K1107" s="238"/>
      <c r="L1107" s="15"/>
      <c r="M1107" s="15"/>
      <c r="N1107" s="15"/>
      <c r="O1107" s="15"/>
      <c r="P1107" s="15"/>
      <c r="Q1107" s="15"/>
      <c r="R1107" s="15"/>
      <c r="S1107" s="15"/>
      <c r="T1107" s="15"/>
      <c r="U1107" s="15"/>
      <c r="V1107" s="15"/>
      <c r="W1107" s="15"/>
      <c r="X1107" s="14"/>
      <c r="Y1107" s="14"/>
      <c r="Z1107" s="15"/>
      <c r="AA1107" s="15"/>
    </row>
    <row r="1108" ht="15.0" customHeight="1">
      <c r="J1108" s="15"/>
      <c r="K1108" s="238"/>
      <c r="L1108" s="15"/>
      <c r="M1108" s="15"/>
      <c r="N1108" s="15"/>
      <c r="O1108" s="15"/>
      <c r="P1108" s="15"/>
      <c r="Q1108" s="15"/>
      <c r="R1108" s="15"/>
      <c r="S1108" s="15"/>
      <c r="T1108" s="15"/>
      <c r="U1108" s="15"/>
      <c r="V1108" s="15"/>
      <c r="W1108" s="15"/>
      <c r="X1108" s="14"/>
      <c r="Y1108" s="14"/>
      <c r="Z1108" s="15"/>
      <c r="AA1108" s="15"/>
    </row>
    <row r="1109" ht="15.0" customHeight="1">
      <c r="J1109" s="15"/>
      <c r="K1109" s="238"/>
      <c r="L1109" s="15"/>
      <c r="M1109" s="15"/>
      <c r="N1109" s="15"/>
      <c r="O1109" s="15"/>
      <c r="P1109" s="15"/>
      <c r="Q1109" s="15"/>
      <c r="R1109" s="15"/>
      <c r="S1109" s="15"/>
      <c r="T1109" s="15"/>
      <c r="U1109" s="15"/>
      <c r="V1109" s="15"/>
      <c r="W1109" s="15"/>
      <c r="X1109" s="14"/>
      <c r="Y1109" s="14"/>
      <c r="Z1109" s="15"/>
      <c r="AA1109" s="15"/>
    </row>
    <row r="1110" ht="15.0" customHeight="1">
      <c r="J1110" s="15"/>
      <c r="K1110" s="238"/>
      <c r="L1110" s="15"/>
      <c r="M1110" s="15"/>
      <c r="N1110" s="15"/>
      <c r="O1110" s="15"/>
      <c r="P1110" s="15"/>
      <c r="Q1110" s="15"/>
      <c r="R1110" s="15"/>
      <c r="S1110" s="15"/>
      <c r="T1110" s="15"/>
      <c r="U1110" s="15"/>
      <c r="V1110" s="15"/>
      <c r="W1110" s="15"/>
      <c r="X1110" s="14"/>
      <c r="Y1110" s="14"/>
      <c r="Z1110" s="15"/>
      <c r="AA1110" s="15"/>
    </row>
    <row r="1111" ht="15.0" customHeight="1">
      <c r="J1111" s="15"/>
      <c r="K1111" s="238"/>
      <c r="L1111" s="15"/>
      <c r="M1111" s="15"/>
      <c r="N1111" s="15"/>
      <c r="O1111" s="15"/>
      <c r="P1111" s="15"/>
      <c r="Q1111" s="15"/>
      <c r="R1111" s="15"/>
      <c r="S1111" s="15"/>
      <c r="T1111" s="15"/>
      <c r="U1111" s="15"/>
      <c r="V1111" s="15"/>
      <c r="W1111" s="15"/>
      <c r="X1111" s="14"/>
      <c r="Y1111" s="14"/>
      <c r="Z1111" s="15"/>
      <c r="AA1111" s="15"/>
    </row>
    <row r="1112" ht="15.0" customHeight="1">
      <c r="J1112" s="15"/>
      <c r="K1112" s="238"/>
      <c r="L1112" s="15"/>
      <c r="M1112" s="15"/>
      <c r="N1112" s="15"/>
      <c r="O1112" s="15"/>
      <c r="P1112" s="15"/>
      <c r="Q1112" s="15"/>
      <c r="R1112" s="15"/>
      <c r="S1112" s="15"/>
      <c r="T1112" s="15"/>
      <c r="U1112" s="15"/>
      <c r="V1112" s="15"/>
      <c r="W1112" s="15"/>
      <c r="X1112" s="14"/>
      <c r="Y1112" s="14"/>
      <c r="Z1112" s="15"/>
      <c r="AA1112" s="15"/>
    </row>
    <row r="1113" ht="15.0" customHeight="1">
      <c r="J1113" s="15"/>
      <c r="K1113" s="238"/>
      <c r="L1113" s="15"/>
      <c r="M1113" s="15"/>
      <c r="N1113" s="15"/>
      <c r="O1113" s="15"/>
      <c r="P1113" s="15"/>
      <c r="Q1113" s="15"/>
      <c r="R1113" s="15"/>
      <c r="S1113" s="15"/>
      <c r="T1113" s="15"/>
      <c r="U1113" s="15"/>
      <c r="V1113" s="15"/>
      <c r="W1113" s="15"/>
      <c r="X1113" s="14"/>
      <c r="Y1113" s="14"/>
      <c r="Z1113" s="15"/>
      <c r="AA1113" s="15"/>
    </row>
    <row r="1114" ht="15.0" customHeight="1">
      <c r="J1114" s="15"/>
      <c r="K1114" s="238"/>
      <c r="L1114" s="15"/>
      <c r="M1114" s="15"/>
      <c r="N1114" s="15"/>
      <c r="O1114" s="15"/>
      <c r="P1114" s="15"/>
      <c r="Q1114" s="15"/>
      <c r="R1114" s="15"/>
      <c r="S1114" s="15"/>
      <c r="T1114" s="15"/>
      <c r="U1114" s="15"/>
      <c r="V1114" s="15"/>
      <c r="W1114" s="15"/>
      <c r="X1114" s="14"/>
      <c r="Y1114" s="14"/>
      <c r="Z1114" s="15"/>
      <c r="AA1114" s="15"/>
    </row>
    <row r="1115" ht="15.0" customHeight="1">
      <c r="J1115" s="15"/>
      <c r="K1115" s="238"/>
      <c r="L1115" s="15"/>
      <c r="M1115" s="15"/>
      <c r="N1115" s="15"/>
      <c r="O1115" s="15"/>
      <c r="P1115" s="15"/>
      <c r="Q1115" s="15"/>
      <c r="R1115" s="15"/>
      <c r="S1115" s="15"/>
      <c r="T1115" s="15"/>
      <c r="U1115" s="15"/>
      <c r="V1115" s="15"/>
      <c r="W1115" s="15"/>
      <c r="X1115" s="14"/>
      <c r="Y1115" s="14"/>
      <c r="Z1115" s="15"/>
      <c r="AA1115" s="15"/>
    </row>
    <row r="1116" ht="15.0" customHeight="1">
      <c r="J1116" s="15"/>
      <c r="K1116" s="238"/>
      <c r="L1116" s="15"/>
      <c r="M1116" s="15"/>
      <c r="N1116" s="15"/>
      <c r="O1116" s="15"/>
      <c r="P1116" s="15"/>
      <c r="Q1116" s="15"/>
      <c r="R1116" s="15"/>
      <c r="S1116" s="15"/>
      <c r="T1116" s="15"/>
      <c r="U1116" s="15"/>
      <c r="V1116" s="15"/>
      <c r="W1116" s="15"/>
      <c r="X1116" s="14"/>
      <c r="Y1116" s="14"/>
      <c r="Z1116" s="15"/>
      <c r="AA1116" s="15"/>
    </row>
    <row r="1117" ht="15.0" customHeight="1">
      <c r="J1117" s="15"/>
      <c r="K1117" s="238"/>
      <c r="L1117" s="15"/>
      <c r="M1117" s="15"/>
      <c r="N1117" s="15"/>
      <c r="O1117" s="15"/>
      <c r="P1117" s="15"/>
      <c r="Q1117" s="15"/>
      <c r="R1117" s="15"/>
      <c r="S1117" s="15"/>
      <c r="T1117" s="15"/>
      <c r="U1117" s="15"/>
      <c r="V1117" s="15"/>
      <c r="W1117" s="15"/>
      <c r="X1117" s="14"/>
      <c r="Y1117" s="14"/>
      <c r="Z1117" s="15"/>
      <c r="AA1117" s="15"/>
    </row>
    <row r="1118" ht="15.0" customHeight="1">
      <c r="J1118" s="15"/>
      <c r="K1118" s="238"/>
      <c r="L1118" s="15"/>
      <c r="M1118" s="15"/>
      <c r="N1118" s="15"/>
      <c r="O1118" s="15"/>
      <c r="P1118" s="15"/>
      <c r="Q1118" s="15"/>
      <c r="R1118" s="15"/>
      <c r="S1118" s="15"/>
      <c r="T1118" s="15"/>
      <c r="U1118" s="15"/>
      <c r="V1118" s="15"/>
      <c r="W1118" s="15"/>
      <c r="X1118" s="14"/>
      <c r="Y1118" s="14"/>
      <c r="Z1118" s="15"/>
      <c r="AA1118" s="15"/>
    </row>
    <row r="1119" ht="15.0" customHeight="1">
      <c r="J1119" s="15"/>
      <c r="K1119" s="238"/>
      <c r="L1119" s="15"/>
      <c r="M1119" s="15"/>
      <c r="N1119" s="15"/>
      <c r="O1119" s="15"/>
      <c r="P1119" s="15"/>
      <c r="Q1119" s="15"/>
      <c r="R1119" s="15"/>
      <c r="S1119" s="15"/>
      <c r="T1119" s="15"/>
      <c r="U1119" s="15"/>
      <c r="V1119" s="15"/>
      <c r="W1119" s="15"/>
      <c r="X1119" s="14"/>
      <c r="Y1119" s="14"/>
      <c r="Z1119" s="15"/>
      <c r="AA1119" s="15"/>
    </row>
    <row r="1120" ht="15.0" customHeight="1">
      <c r="J1120" s="15"/>
      <c r="K1120" s="238"/>
      <c r="L1120" s="15"/>
      <c r="M1120" s="15"/>
      <c r="N1120" s="15"/>
      <c r="O1120" s="15"/>
      <c r="P1120" s="15"/>
      <c r="Q1120" s="15"/>
      <c r="R1120" s="15"/>
      <c r="S1120" s="15"/>
      <c r="T1120" s="15"/>
      <c r="U1120" s="15"/>
      <c r="V1120" s="15"/>
      <c r="W1120" s="15"/>
      <c r="X1120" s="14"/>
      <c r="Y1120" s="14"/>
      <c r="Z1120" s="15"/>
      <c r="AA1120" s="15"/>
    </row>
    <row r="1121" ht="15.0" customHeight="1">
      <c r="J1121" s="15"/>
      <c r="K1121" s="238"/>
      <c r="L1121" s="15"/>
      <c r="M1121" s="15"/>
      <c r="N1121" s="15"/>
      <c r="O1121" s="15"/>
      <c r="P1121" s="15"/>
      <c r="Q1121" s="15"/>
      <c r="R1121" s="15"/>
      <c r="S1121" s="15"/>
      <c r="T1121" s="15"/>
      <c r="U1121" s="15"/>
      <c r="V1121" s="15"/>
      <c r="W1121" s="15"/>
      <c r="X1121" s="14"/>
      <c r="Y1121" s="14"/>
      <c r="Z1121" s="15"/>
      <c r="AA1121" s="15"/>
    </row>
    <row r="1122" ht="15.0" customHeight="1">
      <c r="J1122" s="15"/>
      <c r="K1122" s="238"/>
      <c r="L1122" s="15"/>
      <c r="M1122" s="15"/>
      <c r="N1122" s="15"/>
      <c r="O1122" s="15"/>
      <c r="P1122" s="15"/>
      <c r="Q1122" s="15"/>
      <c r="R1122" s="15"/>
      <c r="S1122" s="15"/>
      <c r="T1122" s="15"/>
      <c r="U1122" s="15"/>
      <c r="V1122" s="15"/>
      <c r="W1122" s="15"/>
      <c r="X1122" s="14"/>
      <c r="Y1122" s="14"/>
      <c r="Z1122" s="15"/>
      <c r="AA1122" s="15"/>
    </row>
    <row r="1123" ht="15.0" customHeight="1">
      <c r="J1123" s="15"/>
      <c r="K1123" s="238"/>
      <c r="L1123" s="15"/>
      <c r="M1123" s="15"/>
      <c r="N1123" s="15"/>
      <c r="O1123" s="15"/>
      <c r="P1123" s="15"/>
      <c r="Q1123" s="15"/>
      <c r="R1123" s="15"/>
      <c r="S1123" s="15"/>
      <c r="T1123" s="15"/>
      <c r="U1123" s="15"/>
      <c r="V1123" s="15"/>
      <c r="W1123" s="15"/>
      <c r="X1123" s="14"/>
      <c r="Y1123" s="14"/>
      <c r="Z1123" s="15"/>
      <c r="AA1123" s="15"/>
    </row>
    <row r="1124" ht="15.0" customHeight="1">
      <c r="J1124" s="15"/>
      <c r="K1124" s="238"/>
      <c r="L1124" s="15"/>
      <c r="M1124" s="15"/>
      <c r="N1124" s="15"/>
      <c r="O1124" s="15"/>
      <c r="P1124" s="15"/>
      <c r="Q1124" s="15"/>
      <c r="R1124" s="15"/>
      <c r="S1124" s="15"/>
      <c r="T1124" s="15"/>
      <c r="U1124" s="15"/>
      <c r="V1124" s="15"/>
      <c r="W1124" s="15"/>
      <c r="X1124" s="14"/>
      <c r="Y1124" s="14"/>
      <c r="Z1124" s="15"/>
      <c r="AA1124" s="15"/>
    </row>
    <row r="1125" ht="15.0" customHeight="1">
      <c r="J1125" s="15"/>
      <c r="K1125" s="238"/>
      <c r="L1125" s="15"/>
      <c r="M1125" s="15"/>
      <c r="N1125" s="15"/>
      <c r="O1125" s="15"/>
      <c r="P1125" s="15"/>
      <c r="Q1125" s="15"/>
      <c r="R1125" s="15"/>
      <c r="S1125" s="15"/>
      <c r="T1125" s="15"/>
      <c r="U1125" s="15"/>
      <c r="V1125" s="15"/>
      <c r="W1125" s="15"/>
      <c r="X1125" s="14"/>
      <c r="Y1125" s="14"/>
      <c r="Z1125" s="15"/>
      <c r="AA1125" s="15"/>
    </row>
    <row r="1126" ht="15.0" customHeight="1">
      <c r="J1126" s="15"/>
      <c r="K1126" s="238"/>
      <c r="L1126" s="15"/>
      <c r="M1126" s="15"/>
      <c r="N1126" s="15"/>
      <c r="O1126" s="15"/>
      <c r="P1126" s="15"/>
      <c r="Q1126" s="15"/>
      <c r="R1126" s="15"/>
      <c r="S1126" s="15"/>
      <c r="T1126" s="15"/>
      <c r="U1126" s="15"/>
      <c r="V1126" s="15"/>
      <c r="W1126" s="15"/>
      <c r="X1126" s="14"/>
      <c r="Y1126" s="14"/>
      <c r="Z1126" s="15"/>
      <c r="AA1126" s="15"/>
    </row>
    <row r="1127" ht="15.0" customHeight="1">
      <c r="J1127" s="15"/>
      <c r="K1127" s="238"/>
      <c r="L1127" s="15"/>
      <c r="M1127" s="15"/>
      <c r="N1127" s="15"/>
      <c r="O1127" s="15"/>
      <c r="P1127" s="15"/>
      <c r="Q1127" s="15"/>
      <c r="R1127" s="15"/>
      <c r="S1127" s="15"/>
      <c r="T1127" s="15"/>
      <c r="U1127" s="15"/>
      <c r="V1127" s="15"/>
      <c r="W1127" s="15"/>
      <c r="X1127" s="14"/>
      <c r="Y1127" s="14"/>
      <c r="Z1127" s="15"/>
      <c r="AA1127" s="15"/>
    </row>
    <row r="1128" ht="15.0" customHeight="1">
      <c r="J1128" s="15"/>
      <c r="K1128" s="238"/>
      <c r="L1128" s="15"/>
      <c r="M1128" s="15"/>
      <c r="N1128" s="15"/>
      <c r="O1128" s="15"/>
      <c r="P1128" s="15"/>
      <c r="Q1128" s="15"/>
      <c r="R1128" s="15"/>
      <c r="S1128" s="15"/>
      <c r="T1128" s="15"/>
      <c r="U1128" s="15"/>
      <c r="V1128" s="15"/>
      <c r="W1128" s="15"/>
      <c r="X1128" s="14"/>
      <c r="Y1128" s="14"/>
      <c r="Z1128" s="15"/>
      <c r="AA1128" s="15"/>
    </row>
    <row r="1129" ht="15.0" customHeight="1">
      <c r="J1129" s="15"/>
      <c r="K1129" s="238"/>
      <c r="L1129" s="15"/>
      <c r="M1129" s="15"/>
      <c r="N1129" s="15"/>
      <c r="O1129" s="15"/>
      <c r="P1129" s="15"/>
      <c r="Q1129" s="15"/>
      <c r="R1129" s="15"/>
      <c r="S1129" s="15"/>
      <c r="T1129" s="15"/>
      <c r="U1129" s="15"/>
      <c r="V1129" s="15"/>
      <c r="W1129" s="15"/>
      <c r="X1129" s="14"/>
      <c r="Y1129" s="14"/>
      <c r="Z1129" s="15"/>
      <c r="AA1129" s="15"/>
    </row>
    <row r="1130" ht="15.0" customHeight="1">
      <c r="J1130" s="15"/>
      <c r="K1130" s="238"/>
      <c r="L1130" s="15"/>
      <c r="M1130" s="15"/>
      <c r="N1130" s="15"/>
      <c r="O1130" s="15"/>
      <c r="P1130" s="15"/>
      <c r="Q1130" s="15"/>
      <c r="R1130" s="15"/>
      <c r="S1130" s="15"/>
      <c r="T1130" s="15"/>
      <c r="U1130" s="15"/>
      <c r="V1130" s="15"/>
      <c r="W1130" s="15"/>
      <c r="X1130" s="14"/>
      <c r="Y1130" s="14"/>
      <c r="Z1130" s="15"/>
      <c r="AA1130" s="15"/>
    </row>
    <row r="1131" ht="15.0" customHeight="1">
      <c r="J1131" s="15"/>
      <c r="K1131" s="238"/>
      <c r="L1131" s="15"/>
      <c r="M1131" s="15"/>
      <c r="N1131" s="15"/>
      <c r="O1131" s="15"/>
      <c r="P1131" s="15"/>
      <c r="Q1131" s="15"/>
      <c r="R1131" s="15"/>
      <c r="S1131" s="15"/>
      <c r="T1131" s="15"/>
      <c r="U1131" s="15"/>
      <c r="V1131" s="15"/>
      <c r="W1131" s="15"/>
      <c r="X1131" s="14"/>
      <c r="Y1131" s="14"/>
      <c r="Z1131" s="15"/>
      <c r="AA1131" s="15"/>
    </row>
    <row r="1132" ht="15.0" customHeight="1">
      <c r="J1132" s="15"/>
      <c r="K1132" s="238"/>
      <c r="L1132" s="15"/>
      <c r="M1132" s="15"/>
      <c r="N1132" s="15"/>
      <c r="O1132" s="15"/>
      <c r="P1132" s="15"/>
      <c r="Q1132" s="15"/>
      <c r="R1132" s="15"/>
      <c r="S1132" s="15"/>
      <c r="T1132" s="15"/>
      <c r="U1132" s="15"/>
      <c r="V1132" s="15"/>
      <c r="W1132" s="15"/>
      <c r="X1132" s="14"/>
      <c r="Y1132" s="14"/>
      <c r="Z1132" s="15"/>
      <c r="AA1132" s="15"/>
    </row>
    <row r="1133" ht="15.0" customHeight="1">
      <c r="J1133" s="15"/>
      <c r="K1133" s="238"/>
      <c r="L1133" s="15"/>
      <c r="M1133" s="15"/>
      <c r="N1133" s="15"/>
      <c r="O1133" s="15"/>
      <c r="P1133" s="15"/>
      <c r="Q1133" s="15"/>
      <c r="R1133" s="15"/>
      <c r="S1133" s="15"/>
      <c r="T1133" s="15"/>
      <c r="U1133" s="15"/>
      <c r="V1133" s="15"/>
      <c r="W1133" s="15"/>
      <c r="X1133" s="14"/>
      <c r="Y1133" s="14"/>
      <c r="Z1133" s="15"/>
      <c r="AA1133" s="15"/>
    </row>
    <row r="1134" ht="15.0" customHeight="1">
      <c r="J1134" s="15"/>
      <c r="K1134" s="238"/>
      <c r="L1134" s="15"/>
      <c r="M1134" s="15"/>
      <c r="N1134" s="15"/>
      <c r="O1134" s="15"/>
      <c r="P1134" s="15"/>
      <c r="Q1134" s="15"/>
      <c r="R1134" s="15"/>
      <c r="S1134" s="15"/>
      <c r="T1134" s="15"/>
      <c r="U1134" s="15"/>
      <c r="V1134" s="15"/>
      <c r="W1134" s="15"/>
      <c r="X1134" s="14"/>
      <c r="Y1134" s="14"/>
      <c r="Z1134" s="15"/>
      <c r="AA1134" s="15"/>
    </row>
    <row r="1135" ht="15.0" customHeight="1">
      <c r="J1135" s="15"/>
      <c r="K1135" s="238"/>
      <c r="L1135" s="15"/>
      <c r="M1135" s="15"/>
      <c r="N1135" s="15"/>
      <c r="O1135" s="15"/>
      <c r="P1135" s="15"/>
      <c r="Q1135" s="15"/>
      <c r="R1135" s="15"/>
      <c r="S1135" s="15"/>
      <c r="T1135" s="15"/>
      <c r="U1135" s="15"/>
      <c r="V1135" s="15"/>
      <c r="W1135" s="15"/>
      <c r="X1135" s="14"/>
      <c r="Y1135" s="14"/>
      <c r="Z1135" s="15"/>
      <c r="AA1135" s="15"/>
    </row>
    <row r="1136" ht="15.0" customHeight="1">
      <c r="J1136" s="15"/>
      <c r="K1136" s="238"/>
      <c r="L1136" s="15"/>
      <c r="M1136" s="15"/>
      <c r="N1136" s="15"/>
      <c r="O1136" s="15"/>
      <c r="P1136" s="15"/>
      <c r="Q1136" s="15"/>
      <c r="R1136" s="15"/>
      <c r="S1136" s="15"/>
      <c r="T1136" s="15"/>
      <c r="U1136" s="15"/>
      <c r="V1136" s="15"/>
      <c r="W1136" s="15"/>
      <c r="X1136" s="14"/>
      <c r="Y1136" s="14"/>
      <c r="Z1136" s="15"/>
      <c r="AA1136" s="15"/>
    </row>
    <row r="1137" ht="15.0" customHeight="1">
      <c r="J1137" s="15"/>
      <c r="K1137" s="238"/>
      <c r="L1137" s="15"/>
      <c r="M1137" s="15"/>
      <c r="N1137" s="15"/>
      <c r="O1137" s="15"/>
      <c r="P1137" s="15"/>
      <c r="Q1137" s="15"/>
      <c r="R1137" s="15"/>
      <c r="S1137" s="15"/>
      <c r="T1137" s="15"/>
      <c r="U1137" s="15"/>
      <c r="V1137" s="15"/>
      <c r="W1137" s="15"/>
      <c r="X1137" s="14"/>
      <c r="Y1137" s="14"/>
      <c r="Z1137" s="15"/>
      <c r="AA1137" s="15"/>
    </row>
    <row r="1138" ht="15.0" customHeight="1">
      <c r="J1138" s="15"/>
      <c r="K1138" s="238"/>
      <c r="L1138" s="15"/>
      <c r="M1138" s="15"/>
      <c r="N1138" s="15"/>
      <c r="O1138" s="15"/>
      <c r="P1138" s="15"/>
      <c r="Q1138" s="15"/>
      <c r="R1138" s="15"/>
      <c r="S1138" s="15"/>
      <c r="T1138" s="15"/>
      <c r="U1138" s="15"/>
      <c r="V1138" s="15"/>
      <c r="W1138" s="15"/>
      <c r="X1138" s="14"/>
      <c r="Y1138" s="14"/>
      <c r="Z1138" s="15"/>
      <c r="AA1138" s="15"/>
    </row>
    <row r="1139" ht="15.0" customHeight="1">
      <c r="J1139" s="15"/>
      <c r="K1139" s="238"/>
      <c r="L1139" s="15"/>
      <c r="M1139" s="15"/>
      <c r="N1139" s="15"/>
      <c r="O1139" s="15"/>
      <c r="P1139" s="15"/>
      <c r="Q1139" s="15"/>
      <c r="R1139" s="15"/>
      <c r="S1139" s="15"/>
      <c r="T1139" s="15"/>
      <c r="U1139" s="15"/>
      <c r="V1139" s="15"/>
      <c r="W1139" s="15"/>
      <c r="X1139" s="14"/>
      <c r="Y1139" s="14"/>
      <c r="Z1139" s="15"/>
      <c r="AA1139" s="15"/>
    </row>
    <row r="1140" ht="15.0" customHeight="1">
      <c r="J1140" s="15"/>
      <c r="K1140" s="238"/>
      <c r="L1140" s="15"/>
      <c r="M1140" s="15"/>
      <c r="N1140" s="15"/>
      <c r="O1140" s="15"/>
      <c r="P1140" s="15"/>
      <c r="Q1140" s="15"/>
      <c r="R1140" s="15"/>
      <c r="S1140" s="15"/>
      <c r="T1140" s="15"/>
      <c r="U1140" s="15"/>
      <c r="V1140" s="15"/>
      <c r="W1140" s="15"/>
      <c r="X1140" s="14"/>
      <c r="Y1140" s="14"/>
      <c r="Z1140" s="15"/>
      <c r="AA1140" s="15"/>
    </row>
    <row r="1141" ht="15.0" customHeight="1">
      <c r="J1141" s="15"/>
      <c r="K1141" s="238"/>
      <c r="L1141" s="15"/>
      <c r="M1141" s="15"/>
      <c r="N1141" s="15"/>
      <c r="O1141" s="15"/>
      <c r="P1141" s="15"/>
      <c r="Q1141" s="15"/>
      <c r="R1141" s="15"/>
      <c r="S1141" s="15"/>
      <c r="T1141" s="15"/>
      <c r="U1141" s="15"/>
      <c r="V1141" s="15"/>
      <c r="W1141" s="15"/>
      <c r="X1141" s="14"/>
      <c r="Y1141" s="14"/>
      <c r="Z1141" s="15"/>
      <c r="AA1141" s="15"/>
    </row>
    <row r="1142" ht="15.0" customHeight="1">
      <c r="J1142" s="15"/>
      <c r="K1142" s="238"/>
      <c r="L1142" s="15"/>
      <c r="M1142" s="15"/>
      <c r="N1142" s="15"/>
      <c r="O1142" s="15"/>
      <c r="P1142" s="15"/>
      <c r="Q1142" s="15"/>
      <c r="R1142" s="15"/>
      <c r="S1142" s="15"/>
      <c r="T1142" s="15"/>
      <c r="U1142" s="15"/>
      <c r="V1142" s="15"/>
      <c r="W1142" s="15"/>
      <c r="X1142" s="14"/>
      <c r="Y1142" s="14"/>
      <c r="Z1142" s="15"/>
      <c r="AA1142" s="15"/>
    </row>
    <row r="1143" ht="15.0" customHeight="1">
      <c r="J1143" s="15"/>
      <c r="K1143" s="238"/>
      <c r="L1143" s="15"/>
      <c r="M1143" s="15"/>
      <c r="N1143" s="15"/>
      <c r="O1143" s="15"/>
      <c r="P1143" s="15"/>
      <c r="Q1143" s="15"/>
      <c r="R1143" s="15"/>
      <c r="S1143" s="15"/>
      <c r="T1143" s="15"/>
      <c r="U1143" s="15"/>
      <c r="V1143" s="15"/>
      <c r="W1143" s="15"/>
      <c r="X1143" s="14"/>
      <c r="Y1143" s="14"/>
      <c r="Z1143" s="15"/>
      <c r="AA1143" s="15"/>
    </row>
    <row r="1144" ht="15.0" customHeight="1">
      <c r="J1144" s="15"/>
      <c r="K1144" s="238"/>
      <c r="L1144" s="15"/>
      <c r="M1144" s="15"/>
      <c r="N1144" s="15"/>
      <c r="O1144" s="15"/>
      <c r="P1144" s="15"/>
      <c r="Q1144" s="15"/>
      <c r="R1144" s="15"/>
      <c r="S1144" s="15"/>
      <c r="T1144" s="15"/>
      <c r="U1144" s="15"/>
      <c r="V1144" s="15"/>
      <c r="W1144" s="15"/>
      <c r="X1144" s="14"/>
      <c r="Y1144" s="14"/>
      <c r="Z1144" s="15"/>
      <c r="AA1144" s="15"/>
    </row>
    <row r="1145" ht="15.0" customHeight="1">
      <c r="J1145" s="15"/>
      <c r="K1145" s="238"/>
      <c r="L1145" s="15"/>
      <c r="M1145" s="15"/>
      <c r="N1145" s="15"/>
      <c r="O1145" s="15"/>
      <c r="P1145" s="15"/>
      <c r="Q1145" s="15"/>
      <c r="R1145" s="15"/>
      <c r="S1145" s="15"/>
      <c r="T1145" s="15"/>
      <c r="U1145" s="15"/>
      <c r="V1145" s="15"/>
      <c r="W1145" s="15"/>
      <c r="X1145" s="14"/>
      <c r="Y1145" s="14"/>
      <c r="Z1145" s="15"/>
      <c r="AA1145" s="15"/>
    </row>
    <row r="1146" ht="15.0" customHeight="1">
      <c r="J1146" s="15"/>
      <c r="K1146" s="238"/>
      <c r="L1146" s="15"/>
      <c r="M1146" s="15"/>
      <c r="N1146" s="15"/>
      <c r="O1146" s="15"/>
      <c r="P1146" s="15"/>
      <c r="Q1146" s="15"/>
      <c r="R1146" s="15"/>
      <c r="S1146" s="15"/>
      <c r="T1146" s="15"/>
      <c r="U1146" s="15"/>
      <c r="V1146" s="15"/>
      <c r="W1146" s="15"/>
      <c r="X1146" s="14"/>
      <c r="Y1146" s="14"/>
      <c r="Z1146" s="15"/>
      <c r="AA1146" s="15"/>
    </row>
    <row r="1147" ht="15.0" customHeight="1">
      <c r="J1147" s="15"/>
      <c r="K1147" s="238"/>
      <c r="L1147" s="15"/>
      <c r="M1147" s="15"/>
      <c r="N1147" s="15"/>
      <c r="O1147" s="15"/>
      <c r="P1147" s="15"/>
      <c r="Q1147" s="15"/>
      <c r="R1147" s="15"/>
      <c r="S1147" s="15"/>
      <c r="T1147" s="15"/>
      <c r="U1147" s="15"/>
      <c r="V1147" s="15"/>
      <c r="W1147" s="15"/>
      <c r="X1147" s="14"/>
      <c r="Y1147" s="14"/>
      <c r="Z1147" s="15"/>
      <c r="AA1147" s="15"/>
    </row>
    <row r="1148" ht="15.0" customHeight="1">
      <c r="J1148" s="15"/>
      <c r="K1148" s="238"/>
      <c r="L1148" s="15"/>
      <c r="M1148" s="15"/>
      <c r="N1148" s="15"/>
      <c r="O1148" s="15"/>
      <c r="P1148" s="15"/>
      <c r="Q1148" s="15"/>
      <c r="R1148" s="15"/>
      <c r="S1148" s="15"/>
      <c r="T1148" s="15"/>
      <c r="U1148" s="15"/>
      <c r="V1148" s="15"/>
      <c r="W1148" s="15"/>
      <c r="X1148" s="14"/>
      <c r="Y1148" s="14"/>
      <c r="Z1148" s="15"/>
      <c r="AA1148" s="15"/>
    </row>
    <row r="1149" ht="15.0" customHeight="1">
      <c r="J1149" s="15"/>
      <c r="K1149" s="238"/>
      <c r="L1149" s="15"/>
      <c r="M1149" s="15"/>
      <c r="N1149" s="15"/>
      <c r="O1149" s="15"/>
      <c r="P1149" s="15"/>
      <c r="Q1149" s="15"/>
      <c r="R1149" s="15"/>
      <c r="S1149" s="15"/>
      <c r="T1149" s="15"/>
      <c r="U1149" s="15"/>
      <c r="V1149" s="15"/>
      <c r="W1149" s="15"/>
      <c r="X1149" s="14"/>
      <c r="Y1149" s="14"/>
      <c r="Z1149" s="15"/>
      <c r="AA1149" s="15"/>
    </row>
    <row r="1150" ht="15.0" customHeight="1">
      <c r="J1150" s="15"/>
      <c r="K1150" s="238"/>
      <c r="L1150" s="15"/>
      <c r="M1150" s="15"/>
      <c r="N1150" s="15"/>
      <c r="O1150" s="15"/>
      <c r="P1150" s="15"/>
      <c r="Q1150" s="15"/>
      <c r="R1150" s="15"/>
      <c r="S1150" s="15"/>
      <c r="T1150" s="15"/>
      <c r="U1150" s="15"/>
      <c r="V1150" s="15"/>
      <c r="W1150" s="15"/>
      <c r="X1150" s="14"/>
      <c r="Y1150" s="14"/>
      <c r="Z1150" s="15"/>
      <c r="AA1150" s="15"/>
    </row>
    <row r="1151" ht="15.0" customHeight="1">
      <c r="J1151" s="15"/>
      <c r="K1151" s="238"/>
      <c r="L1151" s="15"/>
      <c r="M1151" s="15"/>
      <c r="N1151" s="15"/>
      <c r="O1151" s="15"/>
      <c r="P1151" s="15"/>
      <c r="Q1151" s="15"/>
      <c r="R1151" s="15"/>
      <c r="S1151" s="15"/>
      <c r="T1151" s="15"/>
      <c r="U1151" s="15"/>
      <c r="V1151" s="15"/>
      <c r="W1151" s="15"/>
      <c r="X1151" s="14"/>
      <c r="Y1151" s="14"/>
      <c r="Z1151" s="15"/>
      <c r="AA1151" s="15"/>
    </row>
    <row r="1152" ht="15.0" customHeight="1">
      <c r="J1152" s="15"/>
      <c r="K1152" s="238"/>
      <c r="L1152" s="15"/>
      <c r="M1152" s="15"/>
      <c r="N1152" s="15"/>
      <c r="O1152" s="15"/>
      <c r="P1152" s="15"/>
      <c r="Q1152" s="15"/>
      <c r="R1152" s="15"/>
      <c r="S1152" s="15"/>
      <c r="T1152" s="15"/>
      <c r="U1152" s="15"/>
      <c r="V1152" s="15"/>
      <c r="W1152" s="15"/>
      <c r="X1152" s="14"/>
      <c r="Y1152" s="14"/>
      <c r="Z1152" s="15"/>
      <c r="AA1152" s="15"/>
    </row>
    <row r="1153" ht="15.0" customHeight="1">
      <c r="J1153" s="15"/>
      <c r="K1153" s="238"/>
      <c r="L1153" s="15"/>
      <c r="M1153" s="15"/>
      <c r="N1153" s="15"/>
      <c r="O1153" s="15"/>
      <c r="P1153" s="15"/>
      <c r="Q1153" s="15"/>
      <c r="R1153" s="15"/>
      <c r="S1153" s="15"/>
      <c r="T1153" s="15"/>
      <c r="U1153" s="15"/>
      <c r="V1153" s="15"/>
      <c r="W1153" s="15"/>
      <c r="X1153" s="14"/>
      <c r="Y1153" s="14"/>
      <c r="Z1153" s="15"/>
      <c r="AA1153" s="15"/>
    </row>
    <row r="1154" ht="15.0" customHeight="1">
      <c r="J1154" s="15"/>
      <c r="K1154" s="238"/>
      <c r="L1154" s="15"/>
      <c r="M1154" s="15"/>
      <c r="N1154" s="15"/>
      <c r="O1154" s="15"/>
      <c r="P1154" s="15"/>
      <c r="Q1154" s="15"/>
      <c r="R1154" s="15"/>
      <c r="S1154" s="15"/>
      <c r="T1154" s="15"/>
      <c r="U1154" s="15"/>
      <c r="V1154" s="15"/>
      <c r="W1154" s="15"/>
      <c r="X1154" s="14"/>
      <c r="Y1154" s="14"/>
      <c r="Z1154" s="15"/>
      <c r="AA1154" s="15"/>
    </row>
    <row r="1155" ht="15.0" customHeight="1">
      <c r="J1155" s="15"/>
      <c r="K1155" s="238"/>
      <c r="L1155" s="15"/>
      <c r="M1155" s="15"/>
      <c r="N1155" s="15"/>
      <c r="O1155" s="15"/>
      <c r="P1155" s="15"/>
      <c r="Q1155" s="15"/>
      <c r="R1155" s="15"/>
      <c r="S1155" s="15"/>
      <c r="T1155" s="15"/>
      <c r="U1155" s="15"/>
      <c r="V1155" s="15"/>
      <c r="W1155" s="15"/>
      <c r="X1155" s="14"/>
      <c r="Y1155" s="14"/>
      <c r="Z1155" s="15"/>
      <c r="AA1155" s="15"/>
    </row>
    <row r="1156" ht="15.0" customHeight="1">
      <c r="J1156" s="15"/>
      <c r="K1156" s="238"/>
      <c r="L1156" s="15"/>
      <c r="M1156" s="15"/>
      <c r="N1156" s="15"/>
      <c r="O1156" s="15"/>
      <c r="P1156" s="15"/>
      <c r="Q1156" s="15"/>
      <c r="R1156" s="15"/>
      <c r="S1156" s="15"/>
      <c r="T1156" s="15"/>
      <c r="U1156" s="15"/>
      <c r="V1156" s="15"/>
      <c r="W1156" s="15"/>
      <c r="X1156" s="14"/>
      <c r="Y1156" s="14"/>
      <c r="Z1156" s="15"/>
      <c r="AA1156" s="15"/>
    </row>
    <row r="1157" ht="15.0" customHeight="1">
      <c r="J1157" s="15"/>
      <c r="K1157" s="238"/>
      <c r="L1157" s="15"/>
      <c r="M1157" s="15"/>
      <c r="N1157" s="15"/>
      <c r="O1157" s="15"/>
      <c r="P1157" s="15"/>
      <c r="Q1157" s="15"/>
      <c r="R1157" s="15"/>
      <c r="S1157" s="15"/>
      <c r="T1157" s="15"/>
      <c r="U1157" s="15"/>
      <c r="V1157" s="15"/>
      <c r="W1157" s="15"/>
      <c r="X1157" s="14"/>
      <c r="Y1157" s="14"/>
      <c r="Z1157" s="15"/>
      <c r="AA1157" s="15"/>
    </row>
    <row r="1158" ht="15.0" customHeight="1">
      <c r="J1158" s="15"/>
      <c r="K1158" s="238"/>
      <c r="L1158" s="15"/>
      <c r="M1158" s="15"/>
      <c r="N1158" s="15"/>
      <c r="O1158" s="15"/>
      <c r="P1158" s="15"/>
      <c r="Q1158" s="15"/>
      <c r="R1158" s="15"/>
      <c r="S1158" s="15"/>
      <c r="T1158" s="15"/>
      <c r="U1158" s="15"/>
      <c r="V1158" s="15"/>
      <c r="W1158" s="15"/>
      <c r="X1158" s="14"/>
      <c r="Y1158" s="14"/>
      <c r="Z1158" s="15"/>
      <c r="AA1158" s="15"/>
    </row>
    <row r="1159" ht="15.0" customHeight="1">
      <c r="J1159" s="15"/>
      <c r="K1159" s="238"/>
      <c r="L1159" s="15"/>
      <c r="M1159" s="15"/>
      <c r="N1159" s="15"/>
      <c r="O1159" s="15"/>
      <c r="P1159" s="15"/>
      <c r="Q1159" s="15"/>
      <c r="R1159" s="15"/>
      <c r="S1159" s="15"/>
      <c r="T1159" s="15"/>
      <c r="U1159" s="15"/>
      <c r="V1159" s="15"/>
      <c r="W1159" s="15"/>
      <c r="X1159" s="14"/>
      <c r="Y1159" s="14"/>
      <c r="Z1159" s="15"/>
      <c r="AA1159" s="15"/>
    </row>
    <row r="1160" ht="15.0" customHeight="1">
      <c r="J1160" s="15"/>
      <c r="K1160" s="238"/>
      <c r="L1160" s="15"/>
      <c r="M1160" s="15"/>
      <c r="N1160" s="15"/>
      <c r="O1160" s="15"/>
      <c r="P1160" s="15"/>
      <c r="Q1160" s="15"/>
      <c r="R1160" s="15"/>
      <c r="S1160" s="15"/>
      <c r="T1160" s="15"/>
      <c r="U1160" s="15"/>
      <c r="V1160" s="15"/>
      <c r="W1160" s="15"/>
      <c r="X1160" s="14"/>
      <c r="Y1160" s="14"/>
      <c r="Z1160" s="15"/>
      <c r="AA1160" s="15"/>
    </row>
    <row r="1161" ht="15.0" customHeight="1">
      <c r="J1161" s="15"/>
      <c r="K1161" s="238"/>
      <c r="L1161" s="15"/>
      <c r="M1161" s="15"/>
      <c r="N1161" s="15"/>
      <c r="O1161" s="15"/>
      <c r="P1161" s="15"/>
      <c r="Q1161" s="15"/>
      <c r="R1161" s="15"/>
      <c r="S1161" s="15"/>
      <c r="T1161" s="15"/>
      <c r="U1161" s="15"/>
      <c r="V1161" s="15"/>
      <c r="W1161" s="15"/>
      <c r="X1161" s="14"/>
      <c r="Y1161" s="14"/>
      <c r="Z1161" s="15"/>
      <c r="AA1161" s="15"/>
    </row>
    <row r="1162" ht="15.0" customHeight="1">
      <c r="J1162" s="15"/>
      <c r="K1162" s="238"/>
      <c r="L1162" s="15"/>
      <c r="M1162" s="15"/>
      <c r="N1162" s="15"/>
      <c r="O1162" s="15"/>
      <c r="P1162" s="15"/>
      <c r="Q1162" s="15"/>
      <c r="R1162" s="15"/>
      <c r="S1162" s="15"/>
      <c r="T1162" s="15"/>
      <c r="U1162" s="15"/>
      <c r="V1162" s="15"/>
      <c r="W1162" s="15"/>
      <c r="X1162" s="14"/>
      <c r="Y1162" s="14"/>
      <c r="Z1162" s="15"/>
      <c r="AA1162" s="15"/>
    </row>
    <row r="1163" ht="15.0" customHeight="1">
      <c r="J1163" s="15"/>
      <c r="K1163" s="238"/>
      <c r="L1163" s="15"/>
      <c r="M1163" s="15"/>
      <c r="N1163" s="15"/>
      <c r="O1163" s="15"/>
      <c r="P1163" s="15"/>
      <c r="Q1163" s="15"/>
      <c r="R1163" s="15"/>
      <c r="S1163" s="15"/>
      <c r="T1163" s="15"/>
      <c r="U1163" s="15"/>
      <c r="V1163" s="15"/>
      <c r="W1163" s="15"/>
      <c r="X1163" s="14"/>
      <c r="Y1163" s="14"/>
      <c r="Z1163" s="15"/>
      <c r="AA1163" s="15"/>
    </row>
    <row r="1164" ht="15.0" customHeight="1">
      <c r="J1164" s="15"/>
      <c r="K1164" s="238"/>
      <c r="L1164" s="15"/>
      <c r="M1164" s="15"/>
      <c r="N1164" s="15"/>
      <c r="O1164" s="15"/>
      <c r="P1164" s="15"/>
      <c r="Q1164" s="15"/>
      <c r="R1164" s="15"/>
      <c r="S1164" s="15"/>
      <c r="T1164" s="15"/>
      <c r="U1164" s="15"/>
      <c r="V1164" s="15"/>
      <c r="W1164" s="15"/>
      <c r="X1164" s="14"/>
      <c r="Y1164" s="14"/>
      <c r="Z1164" s="15"/>
      <c r="AA1164" s="15"/>
    </row>
    <row r="1165" ht="15.0" customHeight="1">
      <c r="J1165" s="15"/>
      <c r="K1165" s="238"/>
      <c r="L1165" s="15"/>
      <c r="M1165" s="15"/>
      <c r="N1165" s="15"/>
      <c r="O1165" s="15"/>
      <c r="P1165" s="15"/>
      <c r="Q1165" s="15"/>
      <c r="R1165" s="15"/>
      <c r="S1165" s="15"/>
      <c r="T1165" s="15"/>
      <c r="U1165" s="15"/>
      <c r="V1165" s="15"/>
      <c r="W1165" s="15"/>
      <c r="X1165" s="14"/>
      <c r="Y1165" s="14"/>
      <c r="Z1165" s="15"/>
      <c r="AA1165" s="15"/>
    </row>
    <row r="1166" ht="15.0" customHeight="1">
      <c r="J1166" s="15"/>
      <c r="K1166" s="238"/>
      <c r="L1166" s="15"/>
      <c r="M1166" s="15"/>
      <c r="N1166" s="15"/>
      <c r="O1166" s="15"/>
      <c r="P1166" s="15"/>
      <c r="Q1166" s="15"/>
      <c r="R1166" s="15"/>
      <c r="S1166" s="15"/>
      <c r="T1166" s="15"/>
      <c r="U1166" s="15"/>
      <c r="V1166" s="15"/>
      <c r="W1166" s="15"/>
      <c r="X1166" s="14"/>
      <c r="Y1166" s="14"/>
      <c r="Z1166" s="15"/>
      <c r="AA1166" s="15"/>
    </row>
    <row r="1167" ht="15.0" customHeight="1">
      <c r="J1167" s="15"/>
      <c r="K1167" s="238"/>
      <c r="L1167" s="15"/>
      <c r="M1167" s="15"/>
      <c r="N1167" s="15"/>
      <c r="O1167" s="15"/>
      <c r="P1167" s="15"/>
      <c r="Q1167" s="15"/>
      <c r="R1167" s="15"/>
      <c r="S1167" s="15"/>
      <c r="T1167" s="15"/>
      <c r="U1167" s="15"/>
      <c r="V1167" s="15"/>
      <c r="W1167" s="15"/>
      <c r="X1167" s="14"/>
      <c r="Y1167" s="14"/>
      <c r="Z1167" s="15"/>
      <c r="AA1167" s="15"/>
    </row>
    <row r="1168" ht="15.0" customHeight="1">
      <c r="J1168" s="15"/>
      <c r="K1168" s="238"/>
      <c r="L1168" s="15"/>
      <c r="M1168" s="15"/>
      <c r="N1168" s="15"/>
      <c r="O1168" s="15"/>
      <c r="P1168" s="15"/>
      <c r="Q1168" s="15"/>
      <c r="R1168" s="15"/>
      <c r="S1168" s="15"/>
      <c r="T1168" s="15"/>
      <c r="U1168" s="15"/>
      <c r="V1168" s="15"/>
      <c r="W1168" s="15"/>
      <c r="X1168" s="14"/>
      <c r="Y1168" s="14"/>
      <c r="Z1168" s="15"/>
      <c r="AA1168" s="15"/>
    </row>
    <row r="1169" ht="15.0" customHeight="1">
      <c r="J1169" s="15"/>
      <c r="K1169" s="238"/>
      <c r="L1169" s="15"/>
      <c r="M1169" s="15"/>
      <c r="N1169" s="15"/>
      <c r="O1169" s="15"/>
      <c r="P1169" s="15"/>
      <c r="Q1169" s="15"/>
      <c r="R1169" s="15"/>
      <c r="S1169" s="15"/>
      <c r="T1169" s="15"/>
      <c r="U1169" s="15"/>
      <c r="V1169" s="15"/>
      <c r="W1169" s="15"/>
      <c r="X1169" s="14"/>
      <c r="Y1169" s="14"/>
      <c r="Z1169" s="15"/>
      <c r="AA1169" s="15"/>
    </row>
    <row r="1170" ht="15.0" customHeight="1">
      <c r="J1170" s="15"/>
      <c r="K1170" s="238"/>
      <c r="L1170" s="15"/>
      <c r="M1170" s="15"/>
      <c r="N1170" s="15"/>
      <c r="O1170" s="15"/>
      <c r="P1170" s="15"/>
      <c r="Q1170" s="15"/>
      <c r="R1170" s="15"/>
      <c r="S1170" s="15"/>
      <c r="T1170" s="15"/>
      <c r="U1170" s="15"/>
      <c r="V1170" s="15"/>
      <c r="W1170" s="15"/>
      <c r="X1170" s="14"/>
      <c r="Y1170" s="14"/>
      <c r="Z1170" s="15"/>
      <c r="AA1170" s="15"/>
    </row>
    <row r="1171" ht="15.0" customHeight="1">
      <c r="J1171" s="15"/>
      <c r="K1171" s="238"/>
      <c r="L1171" s="15"/>
      <c r="M1171" s="15"/>
      <c r="N1171" s="15"/>
      <c r="O1171" s="15"/>
      <c r="P1171" s="15"/>
      <c r="Q1171" s="15"/>
      <c r="R1171" s="15"/>
      <c r="S1171" s="15"/>
      <c r="T1171" s="15"/>
      <c r="U1171" s="15"/>
      <c r="V1171" s="15"/>
      <c r="W1171" s="15"/>
      <c r="X1171" s="14"/>
      <c r="Y1171" s="14"/>
      <c r="Z1171" s="15"/>
      <c r="AA1171" s="15"/>
    </row>
    <row r="1172" ht="15.0" customHeight="1">
      <c r="J1172" s="15"/>
      <c r="K1172" s="238"/>
      <c r="L1172" s="15"/>
      <c r="M1172" s="15"/>
      <c r="N1172" s="15"/>
      <c r="O1172" s="15"/>
      <c r="P1172" s="15"/>
      <c r="Q1172" s="15"/>
      <c r="R1172" s="15"/>
      <c r="S1172" s="15"/>
      <c r="T1172" s="15"/>
      <c r="U1172" s="15"/>
      <c r="V1172" s="15"/>
      <c r="W1172" s="15"/>
      <c r="X1172" s="14"/>
      <c r="Y1172" s="14"/>
      <c r="Z1172" s="15"/>
      <c r="AA1172" s="15"/>
    </row>
    <row r="1173" ht="15.0" customHeight="1">
      <c r="J1173" s="15"/>
      <c r="K1173" s="238"/>
      <c r="L1173" s="15"/>
      <c r="M1173" s="15"/>
      <c r="N1173" s="15"/>
      <c r="O1173" s="15"/>
      <c r="P1173" s="15"/>
      <c r="Q1173" s="15"/>
      <c r="R1173" s="15"/>
      <c r="S1173" s="15"/>
      <c r="T1173" s="15"/>
      <c r="U1173" s="15"/>
      <c r="V1173" s="15"/>
      <c r="W1173" s="15"/>
      <c r="X1173" s="14"/>
      <c r="Y1173" s="14"/>
      <c r="Z1173" s="15"/>
      <c r="AA1173" s="15"/>
    </row>
    <row r="1174" ht="15.0" customHeight="1">
      <c r="J1174" s="15"/>
      <c r="K1174" s="238"/>
      <c r="L1174" s="15"/>
      <c r="M1174" s="15"/>
      <c r="N1174" s="15"/>
      <c r="O1174" s="15"/>
      <c r="P1174" s="15"/>
      <c r="Q1174" s="15"/>
      <c r="R1174" s="15"/>
      <c r="S1174" s="15"/>
      <c r="T1174" s="15"/>
      <c r="U1174" s="15"/>
      <c r="V1174" s="15"/>
      <c r="W1174" s="15"/>
      <c r="X1174" s="14"/>
      <c r="Y1174" s="14"/>
      <c r="Z1174" s="15"/>
      <c r="AA1174" s="15"/>
    </row>
    <row r="1175" ht="15.0" customHeight="1">
      <c r="J1175" s="15"/>
      <c r="K1175" s="238"/>
      <c r="L1175" s="15"/>
      <c r="M1175" s="15"/>
      <c r="N1175" s="15"/>
      <c r="O1175" s="15"/>
      <c r="P1175" s="15"/>
      <c r="Q1175" s="15"/>
      <c r="R1175" s="15"/>
      <c r="S1175" s="15"/>
      <c r="T1175" s="15"/>
      <c r="U1175" s="15"/>
      <c r="V1175" s="15"/>
      <c r="W1175" s="15"/>
      <c r="X1175" s="14"/>
      <c r="Y1175" s="14"/>
      <c r="Z1175" s="15"/>
      <c r="AA1175" s="15"/>
    </row>
    <row r="1176" ht="15.0" customHeight="1">
      <c r="J1176" s="15"/>
      <c r="K1176" s="238"/>
      <c r="L1176" s="15"/>
      <c r="M1176" s="15"/>
      <c r="N1176" s="15"/>
      <c r="O1176" s="15"/>
      <c r="P1176" s="15"/>
      <c r="Q1176" s="15"/>
      <c r="R1176" s="15"/>
      <c r="S1176" s="15"/>
      <c r="T1176" s="15"/>
      <c r="U1176" s="15"/>
      <c r="V1176" s="15"/>
      <c r="W1176" s="15"/>
      <c r="X1176" s="14"/>
      <c r="Y1176" s="14"/>
      <c r="Z1176" s="15"/>
      <c r="AA1176" s="15"/>
    </row>
    <row r="1177" ht="15.0" customHeight="1">
      <c r="J1177" s="15"/>
      <c r="K1177" s="238"/>
      <c r="L1177" s="15"/>
      <c r="M1177" s="15"/>
      <c r="N1177" s="15"/>
      <c r="O1177" s="15"/>
      <c r="P1177" s="15"/>
      <c r="Q1177" s="15"/>
      <c r="R1177" s="15"/>
      <c r="S1177" s="15"/>
      <c r="T1177" s="15"/>
      <c r="U1177" s="15"/>
      <c r="V1177" s="15"/>
      <c r="W1177" s="15"/>
      <c r="X1177" s="14"/>
      <c r="Y1177" s="14"/>
      <c r="Z1177" s="15"/>
      <c r="AA1177" s="15"/>
    </row>
    <row r="1178" ht="15.0" customHeight="1">
      <c r="J1178" s="15"/>
      <c r="K1178" s="238"/>
      <c r="L1178" s="15"/>
      <c r="M1178" s="15"/>
      <c r="N1178" s="15"/>
      <c r="O1178" s="15"/>
      <c r="P1178" s="15"/>
      <c r="Q1178" s="15"/>
      <c r="R1178" s="15"/>
      <c r="S1178" s="15"/>
      <c r="T1178" s="15"/>
      <c r="U1178" s="15"/>
      <c r="V1178" s="15"/>
      <c r="W1178" s="15"/>
      <c r="X1178" s="14"/>
      <c r="Y1178" s="14"/>
      <c r="Z1178" s="15"/>
      <c r="AA1178" s="15"/>
    </row>
    <row r="1179" ht="15.0" customHeight="1">
      <c r="J1179" s="15"/>
      <c r="K1179" s="238"/>
      <c r="L1179" s="15"/>
      <c r="M1179" s="15"/>
      <c r="N1179" s="15"/>
      <c r="O1179" s="15"/>
      <c r="P1179" s="15"/>
      <c r="Q1179" s="15"/>
      <c r="R1179" s="15"/>
      <c r="S1179" s="15"/>
      <c r="T1179" s="15"/>
      <c r="U1179" s="15"/>
      <c r="V1179" s="15"/>
      <c r="W1179" s="15"/>
      <c r="X1179" s="14"/>
      <c r="Y1179" s="14"/>
      <c r="Z1179" s="15"/>
      <c r="AA1179" s="15"/>
    </row>
    <row r="1180" ht="15.0" customHeight="1">
      <c r="J1180" s="15"/>
      <c r="K1180" s="238"/>
      <c r="L1180" s="15"/>
      <c r="M1180" s="15"/>
      <c r="N1180" s="15"/>
      <c r="O1180" s="15"/>
      <c r="P1180" s="15"/>
      <c r="Q1180" s="15"/>
      <c r="R1180" s="15"/>
      <c r="S1180" s="15"/>
      <c r="T1180" s="15"/>
      <c r="U1180" s="15"/>
      <c r="V1180" s="15"/>
      <c r="W1180" s="15"/>
      <c r="X1180" s="14"/>
      <c r="Y1180" s="14"/>
      <c r="Z1180" s="15"/>
      <c r="AA1180" s="15"/>
    </row>
    <row r="1181" ht="15.0" customHeight="1">
      <c r="J1181" s="15"/>
      <c r="K1181" s="238"/>
      <c r="L1181" s="15"/>
      <c r="M1181" s="15"/>
      <c r="N1181" s="15"/>
      <c r="O1181" s="15"/>
      <c r="P1181" s="15"/>
      <c r="Q1181" s="15"/>
      <c r="R1181" s="15"/>
      <c r="S1181" s="15"/>
      <c r="T1181" s="15"/>
      <c r="U1181" s="15"/>
      <c r="V1181" s="15"/>
      <c r="W1181" s="15"/>
      <c r="X1181" s="14"/>
      <c r="Y1181" s="14"/>
      <c r="Z1181" s="15"/>
      <c r="AA1181" s="15"/>
    </row>
    <row r="1182" ht="15.0" customHeight="1">
      <c r="J1182" s="15"/>
      <c r="K1182" s="238"/>
      <c r="L1182" s="15"/>
      <c r="M1182" s="15"/>
      <c r="N1182" s="15"/>
      <c r="O1182" s="15"/>
      <c r="P1182" s="15"/>
      <c r="Q1182" s="15"/>
      <c r="R1182" s="15"/>
      <c r="S1182" s="15"/>
      <c r="T1182" s="15"/>
      <c r="U1182" s="15"/>
      <c r="V1182" s="15"/>
      <c r="W1182" s="15"/>
      <c r="X1182" s="14"/>
      <c r="Y1182" s="14"/>
      <c r="Z1182" s="15"/>
      <c r="AA1182" s="15"/>
    </row>
    <row r="1183" ht="15.0" customHeight="1">
      <c r="J1183" s="15"/>
      <c r="K1183" s="238"/>
      <c r="L1183" s="15"/>
      <c r="M1183" s="15"/>
      <c r="N1183" s="15"/>
      <c r="O1183" s="15"/>
      <c r="P1183" s="15"/>
      <c r="Q1183" s="15"/>
      <c r="R1183" s="15"/>
      <c r="S1183" s="15"/>
      <c r="T1183" s="15"/>
      <c r="U1183" s="15"/>
      <c r="V1183" s="15"/>
      <c r="W1183" s="15"/>
      <c r="X1183" s="14"/>
      <c r="Y1183" s="14"/>
      <c r="Z1183" s="15"/>
      <c r="AA1183" s="15"/>
    </row>
    <row r="1184" ht="15.0" customHeight="1">
      <c r="J1184" s="15"/>
      <c r="K1184" s="238"/>
      <c r="L1184" s="15"/>
      <c r="M1184" s="15"/>
      <c r="N1184" s="15"/>
      <c r="O1184" s="15"/>
      <c r="P1184" s="15"/>
      <c r="Q1184" s="15"/>
      <c r="R1184" s="15"/>
      <c r="S1184" s="15"/>
      <c r="T1184" s="15"/>
      <c r="U1184" s="15"/>
      <c r="V1184" s="15"/>
      <c r="W1184" s="15"/>
      <c r="X1184" s="14"/>
      <c r="Y1184" s="14"/>
      <c r="Z1184" s="15"/>
      <c r="AA1184" s="15"/>
    </row>
    <row r="1185" ht="15.0" customHeight="1">
      <c r="J1185" s="15"/>
      <c r="K1185" s="238"/>
      <c r="L1185" s="15"/>
      <c r="M1185" s="15"/>
      <c r="N1185" s="15"/>
      <c r="O1185" s="15"/>
      <c r="P1185" s="15"/>
      <c r="Q1185" s="15"/>
      <c r="R1185" s="15"/>
      <c r="S1185" s="15"/>
      <c r="T1185" s="15"/>
      <c r="U1185" s="15"/>
      <c r="V1185" s="15"/>
      <c r="W1185" s="15"/>
      <c r="X1185" s="14"/>
      <c r="Y1185" s="14"/>
      <c r="Z1185" s="15"/>
      <c r="AA1185" s="15"/>
    </row>
    <row r="1186" ht="15.0" customHeight="1">
      <c r="J1186" s="15"/>
      <c r="K1186" s="238"/>
      <c r="L1186" s="15"/>
      <c r="M1186" s="15"/>
      <c r="N1186" s="15"/>
      <c r="O1186" s="15"/>
      <c r="P1186" s="15"/>
      <c r="Q1186" s="15"/>
      <c r="R1186" s="15"/>
      <c r="S1186" s="15"/>
      <c r="T1186" s="15"/>
      <c r="U1186" s="15"/>
      <c r="V1186" s="15"/>
      <c r="W1186" s="15"/>
      <c r="X1186" s="14"/>
      <c r="Y1186" s="14"/>
      <c r="Z1186" s="15"/>
      <c r="AA1186" s="15"/>
    </row>
    <row r="1187" ht="15.0" customHeight="1">
      <c r="J1187" s="15"/>
      <c r="K1187" s="238"/>
      <c r="L1187" s="15"/>
      <c r="M1187" s="15"/>
      <c r="N1187" s="15"/>
      <c r="O1187" s="15"/>
      <c r="P1187" s="15"/>
      <c r="Q1187" s="15"/>
      <c r="R1187" s="15"/>
      <c r="S1187" s="15"/>
      <c r="T1187" s="15"/>
      <c r="U1187" s="15"/>
      <c r="V1187" s="15"/>
      <c r="W1187" s="15"/>
      <c r="X1187" s="14"/>
      <c r="Y1187" s="14"/>
      <c r="Z1187" s="15"/>
      <c r="AA1187" s="15"/>
    </row>
    <row r="1188" ht="15.0" customHeight="1">
      <c r="J1188" s="15"/>
      <c r="K1188" s="238"/>
      <c r="L1188" s="15"/>
      <c r="M1188" s="15"/>
      <c r="N1188" s="15"/>
      <c r="O1188" s="15"/>
      <c r="P1188" s="15"/>
      <c r="Q1188" s="15"/>
      <c r="R1188" s="15"/>
      <c r="S1188" s="15"/>
      <c r="T1188" s="15"/>
      <c r="U1188" s="15"/>
      <c r="V1188" s="15"/>
      <c r="W1188" s="15"/>
      <c r="X1188" s="14"/>
      <c r="Y1188" s="14"/>
      <c r="Z1188" s="15"/>
      <c r="AA1188" s="15"/>
    </row>
    <row r="1189" ht="15.0" customHeight="1">
      <c r="J1189" s="15"/>
      <c r="K1189" s="238"/>
      <c r="L1189" s="15"/>
      <c r="M1189" s="15"/>
      <c r="N1189" s="15"/>
      <c r="O1189" s="15"/>
      <c r="P1189" s="15"/>
      <c r="Q1189" s="15"/>
      <c r="R1189" s="15"/>
      <c r="S1189" s="15"/>
      <c r="T1189" s="15"/>
      <c r="U1189" s="15"/>
      <c r="V1189" s="15"/>
      <c r="W1189" s="15"/>
      <c r="X1189" s="14"/>
      <c r="Y1189" s="14"/>
      <c r="Z1189" s="15"/>
      <c r="AA1189" s="15"/>
    </row>
    <row r="1190" ht="15.0" customHeight="1">
      <c r="J1190" s="15"/>
      <c r="K1190" s="238"/>
      <c r="L1190" s="15"/>
      <c r="M1190" s="15"/>
      <c r="N1190" s="15"/>
      <c r="O1190" s="15"/>
      <c r="P1190" s="15"/>
      <c r="Q1190" s="15"/>
      <c r="R1190" s="15"/>
      <c r="S1190" s="15"/>
      <c r="T1190" s="15"/>
      <c r="U1190" s="15"/>
      <c r="V1190" s="15"/>
      <c r="W1190" s="15"/>
      <c r="X1190" s="14"/>
      <c r="Y1190" s="14"/>
      <c r="Z1190" s="15"/>
      <c r="AA1190" s="15"/>
    </row>
    <row r="1191" ht="15.0" customHeight="1">
      <c r="J1191" s="15"/>
      <c r="K1191" s="238"/>
      <c r="L1191" s="15"/>
      <c r="M1191" s="15"/>
      <c r="N1191" s="15"/>
      <c r="O1191" s="15"/>
      <c r="P1191" s="15"/>
      <c r="Q1191" s="15"/>
      <c r="R1191" s="15"/>
      <c r="S1191" s="15"/>
      <c r="T1191" s="15"/>
      <c r="U1191" s="15"/>
      <c r="V1191" s="15"/>
      <c r="W1191" s="15"/>
      <c r="X1191" s="14"/>
      <c r="Y1191" s="14"/>
      <c r="Z1191" s="15"/>
      <c r="AA1191" s="15"/>
    </row>
    <row r="1192" ht="15.0" customHeight="1">
      <c r="J1192" s="15"/>
      <c r="K1192" s="238"/>
      <c r="L1192" s="15"/>
      <c r="M1192" s="15"/>
      <c r="N1192" s="15"/>
      <c r="O1192" s="15"/>
      <c r="P1192" s="15"/>
      <c r="Q1192" s="15"/>
      <c r="R1192" s="15"/>
      <c r="S1192" s="15"/>
      <c r="T1192" s="15"/>
      <c r="U1192" s="15"/>
      <c r="V1192" s="15"/>
      <c r="W1192" s="15"/>
      <c r="X1192" s="14"/>
      <c r="Y1192" s="14"/>
      <c r="Z1192" s="15"/>
      <c r="AA1192" s="15"/>
    </row>
    <row r="1193" ht="15.0" customHeight="1">
      <c r="J1193" s="15"/>
      <c r="K1193" s="238"/>
      <c r="L1193" s="15"/>
      <c r="M1193" s="15"/>
      <c r="N1193" s="15"/>
      <c r="O1193" s="15"/>
      <c r="P1193" s="15"/>
      <c r="Q1193" s="15"/>
      <c r="R1193" s="15"/>
      <c r="S1193" s="15"/>
      <c r="T1193" s="15"/>
      <c r="U1193" s="15"/>
      <c r="V1193" s="15"/>
      <c r="W1193" s="15"/>
      <c r="X1193" s="14"/>
      <c r="Y1193" s="14"/>
      <c r="Z1193" s="15"/>
      <c r="AA1193" s="15"/>
    </row>
    <row r="1194" ht="15.0" customHeight="1">
      <c r="J1194" s="15"/>
      <c r="K1194" s="238"/>
      <c r="L1194" s="15"/>
      <c r="M1194" s="15"/>
      <c r="N1194" s="15"/>
      <c r="O1194" s="15"/>
      <c r="P1194" s="15"/>
      <c r="Q1194" s="15"/>
      <c r="R1194" s="15"/>
      <c r="S1194" s="15"/>
      <c r="T1194" s="15"/>
      <c r="U1194" s="15"/>
      <c r="V1194" s="15"/>
      <c r="W1194" s="15"/>
      <c r="X1194" s="14"/>
      <c r="Y1194" s="14"/>
      <c r="Z1194" s="15"/>
      <c r="AA1194" s="15"/>
    </row>
    <row r="1195" ht="15.0" customHeight="1">
      <c r="J1195" s="15"/>
      <c r="K1195" s="238"/>
      <c r="L1195" s="15"/>
      <c r="M1195" s="15"/>
      <c r="N1195" s="15"/>
      <c r="O1195" s="15"/>
      <c r="P1195" s="15"/>
      <c r="Q1195" s="15"/>
      <c r="R1195" s="15"/>
      <c r="S1195" s="15"/>
      <c r="T1195" s="15"/>
      <c r="U1195" s="15"/>
      <c r="V1195" s="15"/>
      <c r="W1195" s="15"/>
      <c r="X1195" s="14"/>
      <c r="Y1195" s="14"/>
      <c r="Z1195" s="15"/>
      <c r="AA1195" s="15"/>
    </row>
    <row r="1196" ht="15.0" customHeight="1">
      <c r="J1196" s="15"/>
      <c r="K1196" s="238"/>
      <c r="L1196" s="15"/>
      <c r="M1196" s="15"/>
      <c r="N1196" s="15"/>
      <c r="O1196" s="15"/>
      <c r="P1196" s="15"/>
      <c r="Q1196" s="15"/>
      <c r="R1196" s="15"/>
      <c r="S1196" s="15"/>
      <c r="T1196" s="15"/>
      <c r="U1196" s="15"/>
      <c r="V1196" s="15"/>
      <c r="W1196" s="15"/>
      <c r="X1196" s="14"/>
      <c r="Y1196" s="14"/>
      <c r="Z1196" s="15"/>
      <c r="AA1196" s="15"/>
    </row>
    <row r="1197" ht="15.0" customHeight="1">
      <c r="J1197" s="15"/>
      <c r="K1197" s="238"/>
      <c r="L1197" s="15"/>
      <c r="M1197" s="15"/>
      <c r="N1197" s="15"/>
      <c r="O1197" s="15"/>
      <c r="P1197" s="15"/>
      <c r="Q1197" s="15"/>
      <c r="R1197" s="15"/>
      <c r="S1197" s="15"/>
      <c r="T1197" s="15"/>
      <c r="U1197" s="15"/>
      <c r="V1197" s="15"/>
      <c r="W1197" s="15"/>
      <c r="X1197" s="14"/>
      <c r="Y1197" s="14"/>
      <c r="Z1197" s="15"/>
      <c r="AA1197" s="15"/>
    </row>
    <row r="1198" ht="15.0" customHeight="1">
      <c r="J1198" s="15"/>
      <c r="K1198" s="238"/>
      <c r="L1198" s="15"/>
      <c r="M1198" s="15"/>
      <c r="N1198" s="15"/>
      <c r="O1198" s="15"/>
      <c r="P1198" s="15"/>
      <c r="Q1198" s="15"/>
      <c r="R1198" s="15"/>
      <c r="S1198" s="15"/>
      <c r="T1198" s="15"/>
      <c r="U1198" s="15"/>
      <c r="V1198" s="15"/>
      <c r="W1198" s="15"/>
      <c r="X1198" s="14"/>
      <c r="Y1198" s="14"/>
      <c r="Z1198" s="15"/>
      <c r="AA1198" s="15"/>
    </row>
    <row r="1199" ht="15.0" customHeight="1">
      <c r="J1199" s="15"/>
      <c r="K1199" s="238"/>
      <c r="L1199" s="15"/>
      <c r="M1199" s="15"/>
      <c r="N1199" s="15"/>
      <c r="O1199" s="15"/>
      <c r="P1199" s="15"/>
      <c r="Q1199" s="15"/>
      <c r="R1199" s="15"/>
      <c r="S1199" s="15"/>
      <c r="T1199" s="15"/>
      <c r="U1199" s="15"/>
      <c r="V1199" s="15"/>
      <c r="W1199" s="15"/>
      <c r="X1199" s="14"/>
      <c r="Y1199" s="14"/>
      <c r="Z1199" s="15"/>
      <c r="AA1199" s="15"/>
    </row>
    <row r="1200" ht="15.0" customHeight="1">
      <c r="J1200" s="15"/>
      <c r="K1200" s="238"/>
      <c r="L1200" s="15"/>
      <c r="M1200" s="15"/>
      <c r="N1200" s="15"/>
      <c r="O1200" s="15"/>
      <c r="P1200" s="15"/>
      <c r="Q1200" s="15"/>
      <c r="R1200" s="15"/>
      <c r="S1200" s="15"/>
      <c r="T1200" s="15"/>
      <c r="U1200" s="15"/>
      <c r="V1200" s="15"/>
      <c r="W1200" s="15"/>
      <c r="X1200" s="14"/>
      <c r="Y1200" s="14"/>
      <c r="Z1200" s="15"/>
      <c r="AA1200" s="15"/>
    </row>
    <row r="1201" ht="15.0" customHeight="1">
      <c r="J1201" s="15"/>
      <c r="K1201" s="238"/>
      <c r="L1201" s="15"/>
      <c r="M1201" s="15"/>
      <c r="N1201" s="15"/>
      <c r="O1201" s="15"/>
      <c r="P1201" s="15"/>
      <c r="Q1201" s="15"/>
      <c r="R1201" s="15"/>
      <c r="S1201" s="15"/>
      <c r="T1201" s="15"/>
      <c r="U1201" s="15"/>
      <c r="V1201" s="15"/>
      <c r="W1201" s="15"/>
      <c r="X1201" s="14"/>
      <c r="Y1201" s="14"/>
      <c r="Z1201" s="15"/>
      <c r="AA1201" s="15"/>
    </row>
    <row r="1202" ht="15.0" customHeight="1">
      <c r="J1202" s="15"/>
      <c r="K1202" s="238"/>
      <c r="L1202" s="15"/>
      <c r="M1202" s="15"/>
      <c r="N1202" s="15"/>
      <c r="O1202" s="15"/>
      <c r="P1202" s="15"/>
      <c r="Q1202" s="15"/>
      <c r="R1202" s="15"/>
      <c r="S1202" s="15"/>
      <c r="T1202" s="15"/>
      <c r="U1202" s="15"/>
      <c r="V1202" s="15"/>
      <c r="W1202" s="15"/>
      <c r="X1202" s="14"/>
      <c r="Y1202" s="14"/>
      <c r="Z1202" s="15"/>
      <c r="AA1202" s="15"/>
    </row>
    <row r="1203" ht="15.0" customHeight="1">
      <c r="J1203" s="15"/>
      <c r="K1203" s="238"/>
      <c r="L1203" s="15"/>
      <c r="M1203" s="15"/>
      <c r="N1203" s="15"/>
      <c r="O1203" s="15"/>
      <c r="P1203" s="15"/>
      <c r="Q1203" s="15"/>
      <c r="R1203" s="15"/>
      <c r="S1203" s="15"/>
      <c r="T1203" s="15"/>
      <c r="U1203" s="15"/>
      <c r="V1203" s="15"/>
      <c r="W1203" s="15"/>
      <c r="X1203" s="14"/>
      <c r="Y1203" s="14"/>
      <c r="Z1203" s="15"/>
      <c r="AA1203" s="15"/>
    </row>
    <row r="1204" ht="15.0" customHeight="1">
      <c r="J1204" s="15"/>
      <c r="K1204" s="238"/>
      <c r="L1204" s="15"/>
      <c r="M1204" s="15"/>
      <c r="N1204" s="15"/>
      <c r="O1204" s="15"/>
      <c r="P1204" s="15"/>
      <c r="Q1204" s="15"/>
      <c r="R1204" s="15"/>
      <c r="S1204" s="15"/>
      <c r="T1204" s="15"/>
      <c r="U1204" s="15"/>
      <c r="V1204" s="15"/>
      <c r="W1204" s="15"/>
      <c r="X1204" s="14"/>
      <c r="Y1204" s="14"/>
      <c r="Z1204" s="15"/>
      <c r="AA1204" s="15"/>
    </row>
    <row r="1205" ht="15.0" customHeight="1">
      <c r="J1205" s="15"/>
      <c r="K1205" s="238"/>
      <c r="L1205" s="15"/>
      <c r="M1205" s="15"/>
      <c r="N1205" s="15"/>
      <c r="O1205" s="15"/>
      <c r="P1205" s="15"/>
      <c r="Q1205" s="15"/>
      <c r="R1205" s="15"/>
      <c r="S1205" s="15"/>
      <c r="T1205" s="15"/>
      <c r="U1205" s="15"/>
      <c r="V1205" s="15"/>
      <c r="W1205" s="15"/>
      <c r="X1205" s="14"/>
      <c r="Y1205" s="14"/>
      <c r="Z1205" s="15"/>
      <c r="AA1205" s="15"/>
    </row>
    <row r="1206" ht="15.0" customHeight="1">
      <c r="J1206" s="15"/>
      <c r="K1206" s="238"/>
      <c r="L1206" s="15"/>
      <c r="M1206" s="15"/>
      <c r="N1206" s="15"/>
      <c r="O1206" s="15"/>
      <c r="P1206" s="15"/>
      <c r="Q1206" s="15"/>
      <c r="R1206" s="15"/>
      <c r="S1206" s="15"/>
      <c r="T1206" s="15"/>
      <c r="U1206" s="15"/>
      <c r="V1206" s="15"/>
      <c r="W1206" s="15"/>
      <c r="X1206" s="14"/>
      <c r="Y1206" s="14"/>
      <c r="Z1206" s="15"/>
      <c r="AA1206" s="15"/>
    </row>
    <row r="1207" ht="15.0" customHeight="1">
      <c r="J1207" s="15"/>
      <c r="K1207" s="238"/>
      <c r="L1207" s="15"/>
      <c r="M1207" s="15"/>
      <c r="N1207" s="15"/>
      <c r="O1207" s="15"/>
      <c r="P1207" s="15"/>
      <c r="Q1207" s="15"/>
      <c r="R1207" s="15"/>
      <c r="S1207" s="15"/>
      <c r="T1207" s="15"/>
      <c r="U1207" s="15"/>
      <c r="V1207" s="15"/>
      <c r="W1207" s="15"/>
      <c r="X1207" s="14"/>
      <c r="Y1207" s="14"/>
      <c r="Z1207" s="15"/>
      <c r="AA1207" s="15"/>
    </row>
    <row r="1208" ht="15.0" customHeight="1">
      <c r="J1208" s="15"/>
      <c r="K1208" s="238"/>
      <c r="L1208" s="15"/>
      <c r="M1208" s="15"/>
      <c r="N1208" s="15"/>
      <c r="O1208" s="15"/>
      <c r="P1208" s="15"/>
      <c r="Q1208" s="15"/>
      <c r="R1208" s="15"/>
      <c r="S1208" s="15"/>
      <c r="T1208" s="15"/>
      <c r="U1208" s="15"/>
      <c r="V1208" s="15"/>
      <c r="W1208" s="15"/>
      <c r="X1208" s="14"/>
      <c r="Y1208" s="14"/>
      <c r="Z1208" s="15"/>
      <c r="AA1208" s="15"/>
    </row>
    <row r="1209" ht="15.0" customHeight="1">
      <c r="J1209" s="15"/>
      <c r="K1209" s="238"/>
      <c r="L1209" s="15"/>
      <c r="M1209" s="15"/>
      <c r="N1209" s="15"/>
      <c r="O1209" s="15"/>
      <c r="P1209" s="15"/>
      <c r="Q1209" s="15"/>
      <c r="R1209" s="15"/>
      <c r="S1209" s="15"/>
      <c r="T1209" s="15"/>
      <c r="U1209" s="15"/>
      <c r="V1209" s="15"/>
      <c r="W1209" s="15"/>
      <c r="X1209" s="14"/>
      <c r="Y1209" s="14"/>
      <c r="Z1209" s="15"/>
      <c r="AA1209" s="15"/>
    </row>
    <row r="1210" ht="15.0" customHeight="1">
      <c r="J1210" s="15"/>
      <c r="K1210" s="238"/>
      <c r="L1210" s="15"/>
      <c r="M1210" s="15"/>
      <c r="N1210" s="15"/>
      <c r="O1210" s="15"/>
      <c r="P1210" s="15"/>
      <c r="Q1210" s="15"/>
      <c r="R1210" s="15"/>
      <c r="S1210" s="15"/>
      <c r="T1210" s="15"/>
      <c r="U1210" s="15"/>
      <c r="V1210" s="15"/>
      <c r="W1210" s="15"/>
      <c r="X1210" s="14"/>
      <c r="Y1210" s="14"/>
      <c r="Z1210" s="15"/>
      <c r="AA1210" s="15"/>
    </row>
    <row r="1211" ht="15.0" customHeight="1">
      <c r="J1211" s="15"/>
      <c r="K1211" s="238"/>
      <c r="L1211" s="15"/>
      <c r="M1211" s="15"/>
      <c r="N1211" s="15"/>
      <c r="O1211" s="15"/>
      <c r="P1211" s="15"/>
      <c r="Q1211" s="15"/>
      <c r="R1211" s="15"/>
      <c r="S1211" s="15"/>
      <c r="T1211" s="15"/>
      <c r="U1211" s="15"/>
      <c r="V1211" s="15"/>
      <c r="W1211" s="15"/>
      <c r="X1211" s="14"/>
      <c r="Y1211" s="14"/>
      <c r="Z1211" s="15"/>
      <c r="AA1211" s="15"/>
    </row>
    <row r="1212" ht="15.0" customHeight="1">
      <c r="J1212" s="15"/>
      <c r="K1212" s="238"/>
      <c r="L1212" s="15"/>
      <c r="M1212" s="15"/>
      <c r="N1212" s="15"/>
      <c r="O1212" s="15"/>
      <c r="P1212" s="15"/>
      <c r="Q1212" s="15"/>
      <c r="R1212" s="15"/>
      <c r="S1212" s="15"/>
      <c r="T1212" s="15"/>
      <c r="U1212" s="15"/>
      <c r="V1212" s="15"/>
      <c r="W1212" s="15"/>
      <c r="X1212" s="14"/>
      <c r="Y1212" s="14"/>
      <c r="Z1212" s="15"/>
      <c r="AA1212" s="15"/>
    </row>
    <row r="1213" ht="15.0" customHeight="1">
      <c r="J1213" s="15"/>
      <c r="K1213" s="238"/>
      <c r="L1213" s="15"/>
      <c r="M1213" s="15"/>
      <c r="N1213" s="15"/>
      <c r="O1213" s="15"/>
      <c r="P1213" s="15"/>
      <c r="Q1213" s="15"/>
      <c r="R1213" s="15"/>
      <c r="S1213" s="15"/>
      <c r="T1213" s="15"/>
      <c r="U1213" s="15"/>
      <c r="V1213" s="15"/>
      <c r="W1213" s="15"/>
      <c r="X1213" s="14"/>
      <c r="Y1213" s="14"/>
      <c r="Z1213" s="15"/>
      <c r="AA1213" s="15"/>
    </row>
    <row r="1214" ht="15.0" customHeight="1">
      <c r="J1214" s="15"/>
      <c r="K1214" s="238"/>
      <c r="L1214" s="15"/>
      <c r="M1214" s="15"/>
      <c r="N1214" s="15"/>
      <c r="O1214" s="15"/>
      <c r="P1214" s="15"/>
      <c r="Q1214" s="15"/>
      <c r="R1214" s="15"/>
      <c r="S1214" s="15"/>
      <c r="T1214" s="15"/>
      <c r="U1214" s="15"/>
      <c r="V1214" s="15"/>
      <c r="W1214" s="15"/>
      <c r="X1214" s="14"/>
      <c r="Y1214" s="14"/>
      <c r="Z1214" s="15"/>
      <c r="AA1214" s="15"/>
    </row>
    <row r="1215" ht="15.0" customHeight="1">
      <c r="J1215" s="15"/>
      <c r="K1215" s="238"/>
      <c r="L1215" s="15"/>
      <c r="M1215" s="15"/>
      <c r="N1215" s="15"/>
      <c r="O1215" s="15"/>
      <c r="P1215" s="15"/>
      <c r="Q1215" s="15"/>
      <c r="R1215" s="15"/>
      <c r="S1215" s="15"/>
      <c r="T1215" s="15"/>
      <c r="U1215" s="15"/>
      <c r="V1215" s="15"/>
      <c r="W1215" s="15"/>
      <c r="X1215" s="14"/>
      <c r="Y1215" s="14"/>
      <c r="Z1215" s="15"/>
      <c r="AA1215" s="15"/>
    </row>
    <row r="1216" ht="15.0" customHeight="1">
      <c r="J1216" s="15"/>
      <c r="K1216" s="238"/>
      <c r="L1216" s="15"/>
      <c r="M1216" s="15"/>
      <c r="N1216" s="15"/>
      <c r="O1216" s="15"/>
      <c r="P1216" s="15"/>
      <c r="Q1216" s="15"/>
      <c r="R1216" s="15"/>
      <c r="S1216" s="15"/>
      <c r="T1216" s="15"/>
      <c r="U1216" s="15"/>
      <c r="V1216" s="15"/>
      <c r="W1216" s="15"/>
      <c r="X1216" s="14"/>
      <c r="Y1216" s="14"/>
      <c r="Z1216" s="15"/>
      <c r="AA1216" s="15"/>
    </row>
    <row r="1217" ht="15.0" customHeight="1">
      <c r="J1217" s="15"/>
      <c r="K1217" s="238"/>
      <c r="L1217" s="15"/>
      <c r="M1217" s="15"/>
      <c r="N1217" s="15"/>
      <c r="O1217" s="15"/>
      <c r="P1217" s="15"/>
      <c r="Q1217" s="15"/>
      <c r="R1217" s="15"/>
      <c r="S1217" s="15"/>
      <c r="T1217" s="15"/>
      <c r="U1217" s="15"/>
      <c r="V1217" s="15"/>
      <c r="W1217" s="15"/>
      <c r="X1217" s="14"/>
      <c r="Y1217" s="14"/>
      <c r="Z1217" s="15"/>
      <c r="AA1217" s="15"/>
    </row>
    <row r="1218" ht="15.0" customHeight="1">
      <c r="J1218" s="15"/>
      <c r="K1218" s="238"/>
      <c r="L1218" s="15"/>
      <c r="M1218" s="15"/>
      <c r="N1218" s="15"/>
      <c r="O1218" s="15"/>
      <c r="P1218" s="15"/>
      <c r="Q1218" s="15"/>
      <c r="R1218" s="15"/>
      <c r="S1218" s="15"/>
      <c r="T1218" s="15"/>
      <c r="U1218" s="15"/>
      <c r="V1218" s="15"/>
      <c r="W1218" s="15"/>
      <c r="X1218" s="14"/>
      <c r="Y1218" s="14"/>
      <c r="Z1218" s="15"/>
      <c r="AA1218" s="15"/>
    </row>
    <row r="1219" ht="15.0" customHeight="1">
      <c r="J1219" s="15"/>
      <c r="K1219" s="238"/>
      <c r="L1219" s="15"/>
      <c r="M1219" s="15"/>
      <c r="N1219" s="15"/>
      <c r="O1219" s="15"/>
      <c r="P1219" s="15"/>
      <c r="Q1219" s="15"/>
      <c r="R1219" s="15"/>
      <c r="S1219" s="15"/>
      <c r="T1219" s="15"/>
      <c r="U1219" s="15"/>
      <c r="V1219" s="15"/>
      <c r="W1219" s="15"/>
      <c r="X1219" s="14"/>
      <c r="Y1219" s="14"/>
      <c r="Z1219" s="15"/>
      <c r="AA1219" s="15"/>
    </row>
    <row r="1220" ht="15.0" customHeight="1">
      <c r="J1220" s="15"/>
      <c r="K1220" s="238"/>
      <c r="L1220" s="15"/>
      <c r="M1220" s="15"/>
      <c r="N1220" s="15"/>
      <c r="O1220" s="15"/>
      <c r="P1220" s="15"/>
      <c r="Q1220" s="15"/>
      <c r="R1220" s="15"/>
      <c r="S1220" s="15"/>
      <c r="T1220" s="15"/>
      <c r="U1220" s="15"/>
      <c r="V1220" s="15"/>
      <c r="W1220" s="15"/>
      <c r="X1220" s="14"/>
      <c r="Y1220" s="14"/>
      <c r="Z1220" s="15"/>
      <c r="AA1220" s="15"/>
    </row>
    <row r="1221" ht="15.0" customHeight="1">
      <c r="J1221" s="15"/>
      <c r="K1221" s="238"/>
      <c r="L1221" s="15"/>
      <c r="M1221" s="15"/>
      <c r="N1221" s="15"/>
      <c r="O1221" s="15"/>
      <c r="P1221" s="15"/>
      <c r="Q1221" s="15"/>
      <c r="R1221" s="15"/>
      <c r="S1221" s="15"/>
      <c r="T1221" s="15"/>
      <c r="U1221" s="15"/>
      <c r="V1221" s="15"/>
      <c r="W1221" s="15"/>
      <c r="X1221" s="14"/>
      <c r="Y1221" s="14"/>
      <c r="Z1221" s="15"/>
      <c r="AA1221" s="15"/>
    </row>
    <row r="1222" ht="15.0" customHeight="1">
      <c r="J1222" s="15"/>
      <c r="K1222" s="238"/>
      <c r="L1222" s="15"/>
      <c r="M1222" s="15"/>
      <c r="N1222" s="15"/>
      <c r="O1222" s="15"/>
      <c r="P1222" s="15"/>
      <c r="Q1222" s="15"/>
      <c r="R1222" s="15"/>
      <c r="S1222" s="15"/>
      <c r="T1222" s="15"/>
      <c r="U1222" s="15"/>
      <c r="V1222" s="15"/>
      <c r="W1222" s="15"/>
      <c r="X1222" s="14"/>
      <c r="Y1222" s="14"/>
      <c r="Z1222" s="15"/>
      <c r="AA1222" s="15"/>
    </row>
    <row r="1223" ht="15.0" customHeight="1">
      <c r="J1223" s="15"/>
      <c r="K1223" s="238"/>
      <c r="L1223" s="15"/>
      <c r="M1223" s="15"/>
      <c r="N1223" s="15"/>
      <c r="O1223" s="15"/>
      <c r="P1223" s="15"/>
      <c r="Q1223" s="15"/>
      <c r="R1223" s="15"/>
      <c r="S1223" s="15"/>
      <c r="T1223" s="15"/>
      <c r="U1223" s="15"/>
      <c r="V1223" s="15"/>
      <c r="W1223" s="15"/>
      <c r="X1223" s="14"/>
      <c r="Y1223" s="14"/>
      <c r="Z1223" s="15"/>
      <c r="AA1223" s="15"/>
    </row>
    <row r="1224" ht="15.0" customHeight="1">
      <c r="J1224" s="15"/>
      <c r="K1224" s="238"/>
      <c r="L1224" s="15"/>
      <c r="M1224" s="15"/>
      <c r="N1224" s="15"/>
      <c r="O1224" s="15"/>
      <c r="P1224" s="15"/>
      <c r="Q1224" s="15"/>
      <c r="R1224" s="15"/>
      <c r="S1224" s="15"/>
      <c r="T1224" s="15"/>
      <c r="U1224" s="15"/>
      <c r="V1224" s="15"/>
      <c r="W1224" s="15"/>
      <c r="X1224" s="14"/>
      <c r="Y1224" s="14"/>
      <c r="Z1224" s="15"/>
      <c r="AA1224" s="15"/>
    </row>
    <row r="1225" ht="15.0" customHeight="1">
      <c r="J1225" s="15"/>
      <c r="K1225" s="238"/>
      <c r="L1225" s="15"/>
      <c r="M1225" s="15"/>
      <c r="N1225" s="15"/>
      <c r="O1225" s="15"/>
      <c r="P1225" s="15"/>
      <c r="Q1225" s="15"/>
      <c r="R1225" s="15"/>
      <c r="S1225" s="15"/>
      <c r="T1225" s="15"/>
      <c r="U1225" s="15"/>
      <c r="V1225" s="15"/>
      <c r="W1225" s="15"/>
      <c r="X1225" s="14"/>
      <c r="Y1225" s="14"/>
      <c r="Z1225" s="15"/>
      <c r="AA1225" s="15"/>
    </row>
    <row r="1226" ht="15.0" customHeight="1">
      <c r="J1226" s="15"/>
      <c r="K1226" s="238"/>
      <c r="L1226" s="15"/>
      <c r="M1226" s="15"/>
      <c r="N1226" s="15"/>
      <c r="O1226" s="15"/>
      <c r="P1226" s="15"/>
      <c r="Q1226" s="15"/>
      <c r="R1226" s="15"/>
      <c r="S1226" s="15"/>
      <c r="T1226" s="15"/>
      <c r="U1226" s="15"/>
      <c r="V1226" s="15"/>
      <c r="W1226" s="15"/>
      <c r="X1226" s="14"/>
      <c r="Y1226" s="14"/>
      <c r="Z1226" s="15"/>
      <c r="AA1226" s="15"/>
    </row>
    <row r="1227" ht="15.0" customHeight="1">
      <c r="J1227" s="15"/>
      <c r="K1227" s="238"/>
      <c r="L1227" s="15"/>
      <c r="M1227" s="15"/>
      <c r="N1227" s="15"/>
      <c r="O1227" s="15"/>
      <c r="P1227" s="15"/>
      <c r="Q1227" s="15"/>
      <c r="R1227" s="15"/>
      <c r="S1227" s="15"/>
      <c r="T1227" s="15"/>
      <c r="U1227" s="15"/>
      <c r="V1227" s="15"/>
      <c r="W1227" s="15"/>
      <c r="X1227" s="14"/>
      <c r="Y1227" s="14"/>
      <c r="Z1227" s="15"/>
      <c r="AA1227" s="15"/>
    </row>
    <row r="1228" ht="15.0" customHeight="1">
      <c r="J1228" s="15"/>
      <c r="K1228" s="238"/>
      <c r="L1228" s="15"/>
      <c r="M1228" s="15"/>
      <c r="N1228" s="15"/>
      <c r="O1228" s="15"/>
      <c r="P1228" s="15"/>
      <c r="Q1228" s="15"/>
      <c r="R1228" s="15"/>
      <c r="S1228" s="15"/>
      <c r="T1228" s="15"/>
      <c r="U1228" s="15"/>
      <c r="V1228" s="15"/>
      <c r="W1228" s="15"/>
      <c r="X1228" s="14"/>
      <c r="Y1228" s="14"/>
      <c r="Z1228" s="15"/>
      <c r="AA1228" s="15"/>
    </row>
    <row r="1229" ht="15.0" customHeight="1">
      <c r="J1229" s="15"/>
      <c r="K1229" s="238"/>
      <c r="L1229" s="15"/>
      <c r="M1229" s="15"/>
      <c r="N1229" s="15"/>
      <c r="O1229" s="15"/>
      <c r="P1229" s="15"/>
      <c r="Q1229" s="15"/>
      <c r="R1229" s="15"/>
      <c r="S1229" s="15"/>
      <c r="T1229" s="15"/>
      <c r="U1229" s="15"/>
      <c r="V1229" s="15"/>
      <c r="W1229" s="15"/>
      <c r="X1229" s="14"/>
      <c r="Y1229" s="14"/>
      <c r="Z1229" s="15"/>
      <c r="AA1229" s="15"/>
    </row>
    <row r="1230" ht="15.0" customHeight="1">
      <c r="J1230" s="15"/>
      <c r="K1230" s="238"/>
      <c r="L1230" s="15"/>
      <c r="M1230" s="15"/>
      <c r="N1230" s="15"/>
      <c r="O1230" s="15"/>
      <c r="P1230" s="15"/>
      <c r="Q1230" s="15"/>
      <c r="R1230" s="15"/>
      <c r="S1230" s="15"/>
      <c r="T1230" s="15"/>
      <c r="U1230" s="15"/>
      <c r="V1230" s="15"/>
      <c r="W1230" s="15"/>
      <c r="X1230" s="14"/>
      <c r="Y1230" s="14"/>
      <c r="Z1230" s="15"/>
      <c r="AA1230" s="15"/>
    </row>
    <row r="1231" ht="15.0" customHeight="1">
      <c r="J1231" s="15"/>
      <c r="K1231" s="238"/>
      <c r="L1231" s="15"/>
      <c r="M1231" s="15"/>
      <c r="N1231" s="15"/>
      <c r="O1231" s="15"/>
      <c r="P1231" s="15"/>
      <c r="Q1231" s="15"/>
      <c r="R1231" s="15"/>
      <c r="S1231" s="15"/>
      <c r="T1231" s="15"/>
      <c r="U1231" s="15"/>
      <c r="V1231" s="15"/>
      <c r="W1231" s="15"/>
      <c r="X1231" s="14"/>
      <c r="Y1231" s="14"/>
      <c r="Z1231" s="15"/>
      <c r="AA1231" s="15"/>
    </row>
    <row r="1232" ht="15.0" customHeight="1">
      <c r="J1232" s="15"/>
      <c r="K1232" s="238"/>
      <c r="L1232" s="15"/>
      <c r="M1232" s="15"/>
      <c r="N1232" s="15"/>
      <c r="O1232" s="15"/>
      <c r="P1232" s="15"/>
      <c r="Q1232" s="15"/>
      <c r="R1232" s="15"/>
      <c r="S1232" s="15"/>
      <c r="T1232" s="15"/>
      <c r="U1232" s="15"/>
      <c r="V1232" s="15"/>
      <c r="W1232" s="15"/>
      <c r="X1232" s="14"/>
      <c r="Y1232" s="14"/>
      <c r="Z1232" s="15"/>
      <c r="AA1232" s="15"/>
    </row>
    <row r="1233" ht="15.0" customHeight="1">
      <c r="J1233" s="15"/>
      <c r="K1233" s="238"/>
      <c r="L1233" s="15"/>
      <c r="M1233" s="15"/>
      <c r="N1233" s="15"/>
      <c r="O1233" s="15"/>
      <c r="P1233" s="15"/>
      <c r="Q1233" s="15"/>
      <c r="R1233" s="15"/>
      <c r="S1233" s="15"/>
      <c r="T1233" s="15"/>
      <c r="U1233" s="15"/>
      <c r="V1233" s="15"/>
      <c r="W1233" s="15"/>
      <c r="X1233" s="14"/>
      <c r="Y1233" s="14"/>
      <c r="Z1233" s="15"/>
      <c r="AA1233" s="15"/>
    </row>
    <row r="1234" ht="15.0" customHeight="1">
      <c r="J1234" s="15"/>
      <c r="K1234" s="238"/>
      <c r="L1234" s="15"/>
      <c r="M1234" s="15"/>
      <c r="N1234" s="15"/>
      <c r="O1234" s="15"/>
      <c r="P1234" s="15"/>
      <c r="Q1234" s="15"/>
      <c r="R1234" s="15"/>
      <c r="S1234" s="15"/>
      <c r="T1234" s="15"/>
      <c r="U1234" s="15"/>
      <c r="V1234" s="15"/>
      <c r="W1234" s="15"/>
      <c r="X1234" s="14"/>
      <c r="Y1234" s="14"/>
      <c r="Z1234" s="15"/>
      <c r="AA1234" s="15"/>
    </row>
    <row r="1235" ht="15.0" customHeight="1">
      <c r="J1235" s="15"/>
      <c r="K1235" s="238"/>
      <c r="L1235" s="15"/>
      <c r="M1235" s="15"/>
      <c r="N1235" s="15"/>
      <c r="O1235" s="15"/>
      <c r="P1235" s="15"/>
      <c r="Q1235" s="15"/>
      <c r="R1235" s="15"/>
      <c r="S1235" s="15"/>
      <c r="T1235" s="15"/>
      <c r="U1235" s="15"/>
      <c r="V1235" s="15"/>
      <c r="W1235" s="15"/>
      <c r="X1235" s="14"/>
      <c r="Y1235" s="14"/>
      <c r="Z1235" s="15"/>
      <c r="AA1235" s="15"/>
    </row>
    <row r="1236" ht="15.0" customHeight="1">
      <c r="J1236" s="15"/>
      <c r="K1236" s="238"/>
      <c r="L1236" s="15"/>
      <c r="M1236" s="15"/>
      <c r="N1236" s="15"/>
      <c r="O1236" s="15"/>
      <c r="P1236" s="15"/>
      <c r="Q1236" s="15"/>
      <c r="R1236" s="15"/>
      <c r="S1236" s="15"/>
      <c r="T1236" s="15"/>
      <c r="U1236" s="15"/>
      <c r="V1236" s="15"/>
      <c r="W1236" s="15"/>
      <c r="X1236" s="14"/>
      <c r="Y1236" s="14"/>
      <c r="Z1236" s="15"/>
      <c r="AA1236" s="15"/>
    </row>
    <row r="1237" ht="15.0" customHeight="1">
      <c r="J1237" s="15"/>
      <c r="K1237" s="238"/>
      <c r="L1237" s="15"/>
      <c r="M1237" s="15"/>
      <c r="N1237" s="15"/>
      <c r="O1237" s="15"/>
      <c r="P1237" s="15"/>
      <c r="Q1237" s="15"/>
      <c r="R1237" s="15"/>
      <c r="S1237" s="15"/>
      <c r="T1237" s="15"/>
      <c r="U1237" s="15"/>
      <c r="V1237" s="15"/>
      <c r="W1237" s="15"/>
      <c r="X1237" s="14"/>
      <c r="Y1237" s="14"/>
      <c r="Z1237" s="15"/>
      <c r="AA1237" s="15"/>
    </row>
    <row r="1238" ht="15.0" customHeight="1">
      <c r="J1238" s="15"/>
      <c r="K1238" s="238"/>
      <c r="L1238" s="15"/>
      <c r="M1238" s="15"/>
      <c r="N1238" s="15"/>
      <c r="O1238" s="15"/>
      <c r="P1238" s="15"/>
      <c r="Q1238" s="15"/>
      <c r="R1238" s="15"/>
      <c r="S1238" s="15"/>
      <c r="T1238" s="15"/>
      <c r="U1238" s="15"/>
      <c r="V1238" s="15"/>
      <c r="W1238" s="15"/>
      <c r="X1238" s="14"/>
      <c r="Y1238" s="14"/>
      <c r="Z1238" s="15"/>
      <c r="AA1238" s="15"/>
    </row>
    <row r="1239" ht="15.0" customHeight="1">
      <c r="J1239" s="15"/>
      <c r="K1239" s="238"/>
      <c r="L1239" s="15"/>
      <c r="M1239" s="15"/>
      <c r="N1239" s="15"/>
      <c r="O1239" s="15"/>
      <c r="P1239" s="15"/>
      <c r="Q1239" s="15"/>
      <c r="R1239" s="15"/>
      <c r="S1239" s="15"/>
      <c r="T1239" s="15"/>
      <c r="U1239" s="15"/>
      <c r="V1239" s="15"/>
      <c r="W1239" s="15"/>
      <c r="X1239" s="14"/>
      <c r="Y1239" s="14"/>
      <c r="Z1239" s="15"/>
      <c r="AA1239" s="15"/>
    </row>
    <row r="1240" ht="15.0" customHeight="1">
      <c r="J1240" s="15"/>
      <c r="K1240" s="238"/>
      <c r="L1240" s="15"/>
      <c r="M1240" s="15"/>
      <c r="N1240" s="15"/>
      <c r="O1240" s="15"/>
      <c r="P1240" s="15"/>
      <c r="Q1240" s="15"/>
      <c r="R1240" s="15"/>
      <c r="S1240" s="15"/>
      <c r="T1240" s="15"/>
      <c r="U1240" s="15"/>
      <c r="V1240" s="15"/>
      <c r="W1240" s="15"/>
      <c r="X1240" s="14"/>
      <c r="Y1240" s="14"/>
      <c r="Z1240" s="15"/>
      <c r="AA1240" s="15"/>
    </row>
    <row r="1241" ht="15.0" customHeight="1">
      <c r="J1241" s="15"/>
      <c r="K1241" s="238"/>
      <c r="L1241" s="15"/>
      <c r="M1241" s="15"/>
      <c r="N1241" s="15"/>
      <c r="O1241" s="15"/>
      <c r="P1241" s="15"/>
      <c r="Q1241" s="15"/>
      <c r="R1241" s="15"/>
      <c r="S1241" s="15"/>
      <c r="T1241" s="15"/>
      <c r="U1241" s="15"/>
      <c r="V1241" s="15"/>
      <c r="W1241" s="15"/>
      <c r="X1241" s="14"/>
      <c r="Y1241" s="14"/>
      <c r="Z1241" s="15"/>
      <c r="AA1241" s="15"/>
    </row>
    <row r="1242" ht="15.0" customHeight="1">
      <c r="J1242" s="15"/>
      <c r="K1242" s="238"/>
      <c r="L1242" s="15"/>
      <c r="M1242" s="15"/>
      <c r="N1242" s="15"/>
      <c r="O1242" s="15"/>
      <c r="P1242" s="15"/>
      <c r="Q1242" s="15"/>
      <c r="R1242" s="15"/>
      <c r="S1242" s="15"/>
      <c r="T1242" s="15"/>
      <c r="U1242" s="15"/>
      <c r="V1242" s="15"/>
      <c r="W1242" s="15"/>
      <c r="X1242" s="14"/>
      <c r="Y1242" s="14"/>
      <c r="Z1242" s="15"/>
      <c r="AA1242" s="15"/>
    </row>
    <row r="1243" ht="15.0" customHeight="1">
      <c r="J1243" s="15"/>
      <c r="K1243" s="238"/>
      <c r="L1243" s="15"/>
      <c r="M1243" s="15"/>
      <c r="N1243" s="15"/>
      <c r="O1243" s="15"/>
      <c r="P1243" s="15"/>
      <c r="Q1243" s="15"/>
      <c r="R1243" s="15"/>
      <c r="S1243" s="15"/>
      <c r="T1243" s="15"/>
      <c r="U1243" s="15"/>
      <c r="V1243" s="15"/>
      <c r="W1243" s="15"/>
      <c r="X1243" s="14"/>
      <c r="Y1243" s="14"/>
      <c r="Z1243" s="15"/>
      <c r="AA1243" s="15"/>
    </row>
    <row r="1244" ht="15.0" customHeight="1">
      <c r="J1244" s="15"/>
      <c r="K1244" s="238"/>
      <c r="L1244" s="15"/>
      <c r="M1244" s="15"/>
      <c r="N1244" s="15"/>
      <c r="O1244" s="15"/>
      <c r="P1244" s="15"/>
      <c r="Q1244" s="15"/>
      <c r="R1244" s="15"/>
      <c r="S1244" s="15"/>
      <c r="T1244" s="15"/>
      <c r="U1244" s="15"/>
      <c r="V1244" s="15"/>
      <c r="W1244" s="15"/>
      <c r="X1244" s="14"/>
      <c r="Y1244" s="14"/>
      <c r="Z1244" s="15"/>
      <c r="AA1244" s="15"/>
    </row>
    <row r="1245" ht="15.0" customHeight="1">
      <c r="J1245" s="15"/>
      <c r="K1245" s="238"/>
      <c r="L1245" s="15"/>
      <c r="M1245" s="15"/>
      <c r="N1245" s="15"/>
      <c r="O1245" s="15"/>
      <c r="P1245" s="15"/>
      <c r="Q1245" s="15"/>
      <c r="R1245" s="15"/>
      <c r="S1245" s="15"/>
      <c r="T1245" s="15"/>
      <c r="U1245" s="15"/>
      <c r="V1245" s="15"/>
      <c r="W1245" s="15"/>
      <c r="X1245" s="14"/>
      <c r="Y1245" s="14"/>
      <c r="Z1245" s="15"/>
      <c r="AA1245" s="15"/>
    </row>
    <row r="1246" ht="15.0" customHeight="1">
      <c r="J1246" s="15"/>
      <c r="K1246" s="238"/>
      <c r="L1246" s="15"/>
      <c r="M1246" s="15"/>
      <c r="N1246" s="15"/>
      <c r="O1246" s="15"/>
      <c r="P1246" s="15"/>
      <c r="Q1246" s="15"/>
      <c r="R1246" s="15"/>
      <c r="S1246" s="15"/>
      <c r="T1246" s="15"/>
      <c r="U1246" s="15"/>
      <c r="V1246" s="15"/>
      <c r="W1246" s="15"/>
      <c r="X1246" s="14"/>
      <c r="Y1246" s="14"/>
      <c r="Z1246" s="15"/>
      <c r="AA1246" s="15"/>
    </row>
    <row r="1247" ht="15.0" customHeight="1">
      <c r="J1247" s="15"/>
      <c r="K1247" s="238"/>
      <c r="L1247" s="15"/>
      <c r="M1247" s="15"/>
      <c r="N1247" s="15"/>
      <c r="O1247" s="15"/>
      <c r="P1247" s="15"/>
      <c r="Q1247" s="15"/>
      <c r="R1247" s="15"/>
      <c r="S1247" s="15"/>
      <c r="T1247" s="15"/>
      <c r="U1247" s="15"/>
      <c r="V1247" s="15"/>
      <c r="W1247" s="15"/>
      <c r="X1247" s="14"/>
      <c r="Y1247" s="14"/>
      <c r="Z1247" s="15"/>
      <c r="AA1247" s="15"/>
    </row>
    <row r="1248" ht="15.0" customHeight="1">
      <c r="J1248" s="15"/>
      <c r="K1248" s="238"/>
      <c r="L1248" s="15"/>
      <c r="M1248" s="15"/>
      <c r="N1248" s="15"/>
      <c r="O1248" s="15"/>
      <c r="P1248" s="15"/>
      <c r="Q1248" s="15"/>
      <c r="R1248" s="15"/>
      <c r="S1248" s="15"/>
      <c r="T1248" s="15"/>
      <c r="U1248" s="15"/>
      <c r="V1248" s="15"/>
      <c r="W1248" s="15"/>
      <c r="X1248" s="14"/>
      <c r="Y1248" s="14"/>
      <c r="Z1248" s="15"/>
      <c r="AA1248" s="15"/>
    </row>
    <row r="1249" ht="15.0" customHeight="1">
      <c r="J1249" s="15"/>
      <c r="K1249" s="238"/>
      <c r="L1249" s="15"/>
      <c r="M1249" s="15"/>
      <c r="N1249" s="15"/>
      <c r="O1249" s="15"/>
      <c r="P1249" s="15"/>
      <c r="Q1249" s="15"/>
      <c r="R1249" s="15"/>
      <c r="S1249" s="15"/>
      <c r="T1249" s="15"/>
      <c r="U1249" s="15"/>
      <c r="V1249" s="15"/>
      <c r="W1249" s="15"/>
      <c r="X1249" s="14"/>
      <c r="Y1249" s="14"/>
      <c r="Z1249" s="15"/>
      <c r="AA1249" s="15"/>
    </row>
    <row r="1250" ht="15.0" customHeight="1">
      <c r="J1250" s="15"/>
      <c r="K1250" s="238"/>
      <c r="L1250" s="15"/>
      <c r="M1250" s="15"/>
      <c r="N1250" s="15"/>
      <c r="O1250" s="15"/>
      <c r="P1250" s="15"/>
      <c r="Q1250" s="15"/>
      <c r="R1250" s="15"/>
      <c r="S1250" s="15"/>
      <c r="T1250" s="15"/>
      <c r="U1250" s="15"/>
      <c r="V1250" s="15"/>
      <c r="W1250" s="15"/>
      <c r="X1250" s="14"/>
      <c r="Y1250" s="14"/>
      <c r="Z1250" s="15"/>
      <c r="AA1250" s="15"/>
    </row>
    <row r="1251" ht="15.0" customHeight="1">
      <c r="J1251" s="15"/>
      <c r="K1251" s="238"/>
      <c r="L1251" s="15"/>
      <c r="M1251" s="15"/>
      <c r="N1251" s="15"/>
      <c r="O1251" s="15"/>
      <c r="P1251" s="15"/>
      <c r="Q1251" s="15"/>
      <c r="R1251" s="15"/>
      <c r="S1251" s="15"/>
      <c r="T1251" s="15"/>
      <c r="U1251" s="15"/>
      <c r="V1251" s="15"/>
      <c r="W1251" s="15"/>
      <c r="X1251" s="14"/>
      <c r="Y1251" s="14"/>
      <c r="Z1251" s="15"/>
      <c r="AA1251" s="15"/>
    </row>
    <row r="1252" ht="15.0" customHeight="1">
      <c r="J1252" s="15"/>
      <c r="K1252" s="238"/>
      <c r="L1252" s="15"/>
      <c r="M1252" s="15"/>
      <c r="N1252" s="15"/>
      <c r="O1252" s="15"/>
      <c r="P1252" s="15"/>
      <c r="Q1252" s="15"/>
      <c r="R1252" s="15"/>
      <c r="S1252" s="15"/>
      <c r="T1252" s="15"/>
      <c r="U1252" s="15"/>
      <c r="V1252" s="15"/>
      <c r="W1252" s="15"/>
      <c r="X1252" s="14"/>
      <c r="Y1252" s="14"/>
      <c r="Z1252" s="15"/>
      <c r="AA1252" s="15"/>
    </row>
    <row r="1253" ht="15.0" customHeight="1">
      <c r="J1253" s="15"/>
      <c r="K1253" s="238"/>
      <c r="L1253" s="15"/>
      <c r="M1253" s="15"/>
      <c r="N1253" s="15"/>
      <c r="O1253" s="15"/>
      <c r="P1253" s="15"/>
      <c r="Q1253" s="15"/>
      <c r="R1253" s="15"/>
      <c r="S1253" s="15"/>
      <c r="T1253" s="15"/>
      <c r="U1253" s="15"/>
      <c r="V1253" s="15"/>
      <c r="W1253" s="15"/>
      <c r="X1253" s="14"/>
      <c r="Y1253" s="14"/>
      <c r="Z1253" s="15"/>
      <c r="AA1253" s="15"/>
    </row>
    <row r="1254" ht="15.0" customHeight="1">
      <c r="J1254" s="15"/>
      <c r="K1254" s="238"/>
      <c r="L1254" s="15"/>
      <c r="M1254" s="15"/>
      <c r="N1254" s="15"/>
      <c r="O1254" s="15"/>
      <c r="P1254" s="15"/>
      <c r="Q1254" s="15"/>
      <c r="R1254" s="15"/>
      <c r="S1254" s="15"/>
      <c r="T1254" s="15"/>
      <c r="U1254" s="15"/>
      <c r="V1254" s="15"/>
      <c r="W1254" s="15"/>
      <c r="X1254" s="14"/>
      <c r="Y1254" s="14"/>
      <c r="Z1254" s="15"/>
      <c r="AA1254" s="15"/>
    </row>
    <row r="1255" ht="15.0" customHeight="1">
      <c r="J1255" s="15"/>
      <c r="K1255" s="238"/>
      <c r="L1255" s="15"/>
      <c r="M1255" s="15"/>
      <c r="N1255" s="15"/>
      <c r="O1255" s="15"/>
      <c r="P1255" s="15"/>
      <c r="Q1255" s="15"/>
      <c r="R1255" s="15"/>
      <c r="S1255" s="15"/>
      <c r="T1255" s="15"/>
      <c r="U1255" s="15"/>
      <c r="V1255" s="15"/>
      <c r="W1255" s="15"/>
      <c r="X1255" s="14"/>
      <c r="Y1255" s="14"/>
      <c r="Z1255" s="15"/>
      <c r="AA1255" s="15"/>
    </row>
    <row r="1256" ht="15.0" customHeight="1">
      <c r="J1256" s="15"/>
      <c r="K1256" s="238"/>
      <c r="L1256" s="15"/>
      <c r="M1256" s="15"/>
      <c r="N1256" s="15"/>
      <c r="O1256" s="15"/>
      <c r="P1256" s="15"/>
      <c r="Q1256" s="15"/>
      <c r="R1256" s="15"/>
      <c r="S1256" s="15"/>
      <c r="T1256" s="15"/>
      <c r="U1256" s="15"/>
      <c r="V1256" s="15"/>
      <c r="W1256" s="15"/>
      <c r="X1256" s="14"/>
      <c r="Y1256" s="14"/>
      <c r="Z1256" s="15"/>
      <c r="AA1256" s="15"/>
    </row>
    <row r="1257" ht="15.0" customHeight="1">
      <c r="J1257" s="15"/>
      <c r="K1257" s="238"/>
      <c r="L1257" s="15"/>
      <c r="M1257" s="15"/>
      <c r="N1257" s="15"/>
      <c r="O1257" s="15"/>
      <c r="P1257" s="15"/>
      <c r="Q1257" s="15"/>
      <c r="R1257" s="15"/>
      <c r="S1257" s="15"/>
      <c r="T1257" s="15"/>
      <c r="U1257" s="15"/>
      <c r="V1257" s="15"/>
      <c r="W1257" s="15"/>
      <c r="X1257" s="14"/>
      <c r="Y1257" s="14"/>
      <c r="Z1257" s="15"/>
      <c r="AA1257" s="15"/>
    </row>
    <row r="1258" ht="15.0" customHeight="1">
      <c r="J1258" s="15"/>
      <c r="K1258" s="238"/>
      <c r="L1258" s="15"/>
      <c r="M1258" s="15"/>
      <c r="N1258" s="15"/>
      <c r="O1258" s="15"/>
      <c r="P1258" s="15"/>
      <c r="Q1258" s="15"/>
      <c r="R1258" s="15"/>
      <c r="S1258" s="15"/>
      <c r="T1258" s="15"/>
      <c r="U1258" s="15"/>
      <c r="V1258" s="15"/>
      <c r="W1258" s="15"/>
      <c r="X1258" s="14"/>
      <c r="Y1258" s="14"/>
      <c r="Z1258" s="15"/>
      <c r="AA1258" s="15"/>
    </row>
    <row r="1259" ht="15.0" customHeight="1">
      <c r="J1259" s="15"/>
      <c r="K1259" s="238"/>
      <c r="L1259" s="15"/>
      <c r="M1259" s="15"/>
      <c r="N1259" s="15"/>
      <c r="O1259" s="15"/>
      <c r="P1259" s="15"/>
      <c r="Q1259" s="15"/>
      <c r="R1259" s="15"/>
      <c r="S1259" s="15"/>
      <c r="T1259" s="15"/>
      <c r="U1259" s="15"/>
      <c r="V1259" s="15"/>
      <c r="W1259" s="15"/>
      <c r="X1259" s="14"/>
      <c r="Y1259" s="14"/>
      <c r="Z1259" s="15"/>
      <c r="AA1259" s="15"/>
    </row>
    <row r="1260" ht="15.0" customHeight="1">
      <c r="J1260" s="15"/>
      <c r="K1260" s="238"/>
      <c r="L1260" s="15"/>
      <c r="M1260" s="15"/>
      <c r="N1260" s="15"/>
      <c r="O1260" s="15"/>
      <c r="P1260" s="15"/>
      <c r="Q1260" s="15"/>
      <c r="R1260" s="15"/>
      <c r="S1260" s="15"/>
      <c r="T1260" s="15"/>
      <c r="U1260" s="15"/>
      <c r="V1260" s="15"/>
      <c r="W1260" s="15"/>
      <c r="X1260" s="14"/>
      <c r="Y1260" s="14"/>
      <c r="Z1260" s="15"/>
      <c r="AA1260" s="15"/>
    </row>
    <row r="1261" ht="15.0" customHeight="1">
      <c r="J1261" s="15"/>
      <c r="K1261" s="238"/>
      <c r="L1261" s="15"/>
      <c r="M1261" s="15"/>
      <c r="N1261" s="15"/>
      <c r="O1261" s="15"/>
      <c r="P1261" s="15"/>
      <c r="Q1261" s="15"/>
      <c r="R1261" s="15"/>
      <c r="S1261" s="15"/>
      <c r="T1261" s="15"/>
      <c r="U1261" s="15"/>
      <c r="V1261" s="15"/>
      <c r="W1261" s="15"/>
      <c r="X1261" s="14"/>
      <c r="Y1261" s="14"/>
      <c r="Z1261" s="15"/>
      <c r="AA1261" s="15"/>
    </row>
    <row r="1262" ht="15.0" customHeight="1">
      <c r="J1262" s="15"/>
      <c r="K1262" s="238"/>
      <c r="L1262" s="15"/>
      <c r="M1262" s="15"/>
      <c r="N1262" s="15"/>
      <c r="O1262" s="15"/>
      <c r="P1262" s="15"/>
      <c r="Q1262" s="15"/>
      <c r="R1262" s="15"/>
      <c r="S1262" s="15"/>
      <c r="T1262" s="15"/>
      <c r="U1262" s="15"/>
      <c r="V1262" s="15"/>
      <c r="W1262" s="15"/>
      <c r="X1262" s="14"/>
      <c r="Y1262" s="14"/>
      <c r="Z1262" s="15"/>
      <c r="AA1262" s="15"/>
    </row>
    <row r="1263" ht="15.0" customHeight="1">
      <c r="J1263" s="15"/>
      <c r="K1263" s="238"/>
      <c r="L1263" s="15"/>
      <c r="M1263" s="15"/>
      <c r="N1263" s="15"/>
      <c r="O1263" s="15"/>
      <c r="P1263" s="15"/>
      <c r="Q1263" s="15"/>
      <c r="R1263" s="15"/>
      <c r="S1263" s="15"/>
      <c r="T1263" s="15"/>
      <c r="U1263" s="15"/>
      <c r="V1263" s="15"/>
      <c r="W1263" s="15"/>
      <c r="X1263" s="14"/>
      <c r="Y1263" s="14"/>
      <c r="Z1263" s="15"/>
      <c r="AA1263" s="15"/>
    </row>
    <row r="1264" ht="15.0" customHeight="1">
      <c r="J1264" s="15"/>
      <c r="K1264" s="238"/>
      <c r="L1264" s="15"/>
      <c r="M1264" s="15"/>
      <c r="N1264" s="15"/>
      <c r="O1264" s="15"/>
      <c r="P1264" s="15"/>
      <c r="Q1264" s="15"/>
      <c r="R1264" s="15"/>
      <c r="S1264" s="15"/>
      <c r="T1264" s="15"/>
      <c r="U1264" s="15"/>
      <c r="V1264" s="15"/>
      <c r="W1264" s="15"/>
      <c r="X1264" s="14"/>
      <c r="Y1264" s="14"/>
      <c r="Z1264" s="15"/>
      <c r="AA1264" s="15"/>
    </row>
    <row r="1265" ht="15.0" customHeight="1">
      <c r="J1265" s="15"/>
      <c r="K1265" s="238"/>
      <c r="L1265" s="15"/>
      <c r="M1265" s="15"/>
      <c r="N1265" s="15"/>
      <c r="O1265" s="15"/>
      <c r="P1265" s="15"/>
      <c r="Q1265" s="15"/>
      <c r="R1265" s="15"/>
      <c r="S1265" s="15"/>
      <c r="T1265" s="15"/>
      <c r="U1265" s="15"/>
      <c r="V1265" s="15"/>
      <c r="W1265" s="15"/>
      <c r="X1265" s="14"/>
      <c r="Y1265" s="14"/>
      <c r="Z1265" s="15"/>
      <c r="AA1265" s="15"/>
    </row>
    <row r="1266" ht="15.0" customHeight="1">
      <c r="J1266" s="15"/>
      <c r="K1266" s="238"/>
      <c r="L1266" s="15"/>
      <c r="M1266" s="15"/>
      <c r="N1266" s="15"/>
      <c r="O1266" s="15"/>
      <c r="P1266" s="15"/>
      <c r="Q1266" s="15"/>
      <c r="R1266" s="15"/>
      <c r="S1266" s="15"/>
      <c r="T1266" s="15"/>
      <c r="U1266" s="15"/>
      <c r="V1266" s="15"/>
      <c r="W1266" s="15"/>
      <c r="X1266" s="14"/>
      <c r="Y1266" s="14"/>
      <c r="Z1266" s="15"/>
      <c r="AA1266" s="15"/>
    </row>
    <row r="1267" ht="15.0" customHeight="1">
      <c r="J1267" s="15"/>
      <c r="K1267" s="238"/>
      <c r="L1267" s="15"/>
      <c r="M1267" s="15"/>
      <c r="N1267" s="15"/>
      <c r="O1267" s="15"/>
      <c r="P1267" s="15"/>
      <c r="Q1267" s="15"/>
      <c r="R1267" s="15"/>
      <c r="S1267" s="15"/>
      <c r="T1267" s="15"/>
      <c r="U1267" s="15"/>
      <c r="V1267" s="15"/>
      <c r="W1267" s="15"/>
      <c r="X1267" s="14"/>
      <c r="Y1267" s="14"/>
      <c r="Z1267" s="15"/>
      <c r="AA1267" s="15"/>
    </row>
    <row r="1268" ht="15.0" customHeight="1">
      <c r="J1268" s="15"/>
      <c r="K1268" s="238"/>
      <c r="L1268" s="15"/>
      <c r="M1268" s="15"/>
      <c r="N1268" s="15"/>
      <c r="O1268" s="15"/>
      <c r="P1268" s="15"/>
      <c r="Q1268" s="15"/>
      <c r="R1268" s="15"/>
      <c r="S1268" s="15"/>
      <c r="T1268" s="15"/>
      <c r="U1268" s="15"/>
      <c r="V1268" s="15"/>
      <c r="W1268" s="15"/>
      <c r="X1268" s="14"/>
      <c r="Y1268" s="14"/>
      <c r="Z1268" s="15"/>
      <c r="AA1268" s="15"/>
    </row>
    <row r="1269" ht="15.0" customHeight="1">
      <c r="J1269" s="15"/>
      <c r="K1269" s="238"/>
      <c r="L1269" s="15"/>
      <c r="M1269" s="15"/>
      <c r="N1269" s="15"/>
      <c r="O1269" s="15"/>
      <c r="P1269" s="15"/>
      <c r="Q1269" s="15"/>
      <c r="R1269" s="15"/>
      <c r="S1269" s="15"/>
      <c r="T1269" s="15"/>
      <c r="U1269" s="15"/>
      <c r="V1269" s="15"/>
      <c r="W1269" s="15"/>
      <c r="X1269" s="14"/>
      <c r="Y1269" s="14"/>
      <c r="Z1269" s="15"/>
      <c r="AA1269" s="15"/>
    </row>
    <row r="1270" ht="15.0" customHeight="1">
      <c r="J1270" s="15"/>
      <c r="K1270" s="238"/>
      <c r="L1270" s="15"/>
      <c r="M1270" s="15"/>
      <c r="N1270" s="15"/>
      <c r="O1270" s="15"/>
      <c r="P1270" s="15"/>
      <c r="Q1270" s="15"/>
      <c r="R1270" s="15"/>
      <c r="S1270" s="15"/>
      <c r="T1270" s="15"/>
      <c r="U1270" s="15"/>
      <c r="V1270" s="15"/>
      <c r="W1270" s="15"/>
      <c r="X1270" s="14"/>
      <c r="Y1270" s="14"/>
      <c r="Z1270" s="15"/>
      <c r="AA1270" s="15"/>
    </row>
    <row r="1271" ht="15.0" customHeight="1">
      <c r="J1271" s="15"/>
      <c r="K1271" s="238"/>
      <c r="L1271" s="15"/>
      <c r="M1271" s="15"/>
      <c r="N1271" s="15"/>
      <c r="O1271" s="15"/>
      <c r="P1271" s="15"/>
      <c r="Q1271" s="15"/>
      <c r="R1271" s="15"/>
      <c r="S1271" s="15"/>
      <c r="T1271" s="15"/>
      <c r="U1271" s="15"/>
      <c r="V1271" s="15"/>
      <c r="W1271" s="15"/>
      <c r="X1271" s="14"/>
      <c r="Y1271" s="14"/>
      <c r="Z1271" s="15"/>
      <c r="AA1271" s="15"/>
    </row>
    <row r="1272" ht="15.0" customHeight="1">
      <c r="J1272" s="15"/>
      <c r="K1272" s="238"/>
      <c r="L1272" s="15"/>
      <c r="M1272" s="15"/>
      <c r="N1272" s="15"/>
      <c r="O1272" s="15"/>
      <c r="P1272" s="15"/>
      <c r="Q1272" s="15"/>
      <c r="R1272" s="15"/>
      <c r="S1272" s="15"/>
      <c r="T1272" s="15"/>
      <c r="U1272" s="15"/>
      <c r="V1272" s="15"/>
      <c r="W1272" s="15"/>
      <c r="X1272" s="14"/>
      <c r="Y1272" s="14"/>
      <c r="Z1272" s="15"/>
      <c r="AA1272" s="15"/>
    </row>
    <row r="1273" ht="15.0" customHeight="1">
      <c r="J1273" s="15"/>
      <c r="K1273" s="238"/>
      <c r="L1273" s="15"/>
      <c r="M1273" s="15"/>
      <c r="N1273" s="15"/>
      <c r="O1273" s="15"/>
      <c r="P1273" s="15"/>
      <c r="Q1273" s="15"/>
      <c r="R1273" s="15"/>
      <c r="S1273" s="15"/>
      <c r="T1273" s="15"/>
      <c r="U1273" s="15"/>
      <c r="V1273" s="15"/>
      <c r="W1273" s="15"/>
      <c r="X1273" s="14"/>
      <c r="Y1273" s="14"/>
      <c r="Z1273" s="15"/>
      <c r="AA1273" s="15"/>
    </row>
    <row r="1274" ht="15.0" customHeight="1">
      <c r="J1274" s="15"/>
      <c r="K1274" s="238"/>
      <c r="L1274" s="15"/>
      <c r="M1274" s="15"/>
      <c r="N1274" s="15"/>
      <c r="O1274" s="15"/>
      <c r="P1274" s="15"/>
      <c r="Q1274" s="15"/>
      <c r="R1274" s="15"/>
      <c r="S1274" s="15"/>
      <c r="T1274" s="15"/>
      <c r="U1274" s="15"/>
      <c r="V1274" s="15"/>
      <c r="W1274" s="15"/>
      <c r="X1274" s="14"/>
      <c r="Y1274" s="14"/>
      <c r="Z1274" s="15"/>
      <c r="AA1274" s="15"/>
    </row>
    <row r="1275" ht="15.0" customHeight="1">
      <c r="J1275" s="15"/>
      <c r="K1275" s="238"/>
      <c r="L1275" s="15"/>
      <c r="M1275" s="15"/>
      <c r="N1275" s="15"/>
      <c r="O1275" s="15"/>
      <c r="P1275" s="15"/>
      <c r="Q1275" s="15"/>
      <c r="R1275" s="15"/>
      <c r="S1275" s="15"/>
      <c r="T1275" s="15"/>
      <c r="U1275" s="15"/>
      <c r="V1275" s="15"/>
      <c r="W1275" s="15"/>
      <c r="X1275" s="14"/>
      <c r="Y1275" s="14"/>
      <c r="Z1275" s="15"/>
      <c r="AA1275" s="15"/>
    </row>
    <row r="1276" ht="15.0" customHeight="1">
      <c r="J1276" s="15"/>
      <c r="K1276" s="238"/>
      <c r="L1276" s="15"/>
      <c r="M1276" s="15"/>
      <c r="N1276" s="15"/>
      <c r="O1276" s="15"/>
      <c r="P1276" s="15"/>
      <c r="Q1276" s="15"/>
      <c r="R1276" s="15"/>
      <c r="S1276" s="15"/>
      <c r="T1276" s="15"/>
      <c r="U1276" s="15"/>
      <c r="V1276" s="15"/>
      <c r="W1276" s="15"/>
      <c r="X1276" s="14"/>
      <c r="Y1276" s="14"/>
      <c r="Z1276" s="15"/>
      <c r="AA1276" s="15"/>
    </row>
    <row r="1277" ht="15.0" customHeight="1">
      <c r="J1277" s="15"/>
      <c r="K1277" s="238"/>
      <c r="L1277" s="15"/>
      <c r="M1277" s="15"/>
      <c r="N1277" s="15"/>
      <c r="O1277" s="15"/>
      <c r="P1277" s="15"/>
      <c r="Q1277" s="15"/>
      <c r="R1277" s="15"/>
      <c r="S1277" s="15"/>
      <c r="T1277" s="15"/>
      <c r="U1277" s="15"/>
      <c r="V1277" s="15"/>
      <c r="W1277" s="15"/>
      <c r="X1277" s="14"/>
      <c r="Y1277" s="14"/>
      <c r="Z1277" s="15"/>
      <c r="AA1277" s="15"/>
    </row>
    <row r="1278" ht="15.0" customHeight="1">
      <c r="J1278" s="15"/>
      <c r="K1278" s="238"/>
      <c r="L1278" s="15"/>
      <c r="M1278" s="15"/>
      <c r="N1278" s="15"/>
      <c r="O1278" s="15"/>
      <c r="P1278" s="15"/>
      <c r="Q1278" s="15"/>
      <c r="R1278" s="15"/>
      <c r="S1278" s="15"/>
      <c r="T1278" s="15"/>
      <c r="U1278" s="15"/>
      <c r="V1278" s="15"/>
      <c r="W1278" s="15"/>
      <c r="X1278" s="14"/>
      <c r="Y1278" s="14"/>
      <c r="Z1278" s="15"/>
      <c r="AA1278" s="15"/>
    </row>
    <row r="1279" ht="15.0" customHeight="1">
      <c r="J1279" s="15"/>
      <c r="K1279" s="238"/>
      <c r="L1279" s="15"/>
      <c r="M1279" s="15"/>
      <c r="N1279" s="15"/>
      <c r="O1279" s="15"/>
      <c r="P1279" s="15"/>
      <c r="Q1279" s="15"/>
      <c r="R1279" s="15"/>
      <c r="S1279" s="15"/>
      <c r="T1279" s="15"/>
      <c r="U1279" s="15"/>
      <c r="V1279" s="15"/>
      <c r="W1279" s="15"/>
      <c r="X1279" s="14"/>
      <c r="Y1279" s="14"/>
      <c r="Z1279" s="15"/>
      <c r="AA1279" s="15"/>
    </row>
    <row r="1280" ht="15.0" customHeight="1">
      <c r="J1280" s="15"/>
      <c r="K1280" s="238"/>
      <c r="L1280" s="15"/>
      <c r="M1280" s="15"/>
      <c r="N1280" s="15"/>
      <c r="O1280" s="15"/>
      <c r="P1280" s="15"/>
      <c r="Q1280" s="15"/>
      <c r="R1280" s="15"/>
      <c r="S1280" s="15"/>
      <c r="T1280" s="15"/>
      <c r="U1280" s="15"/>
      <c r="V1280" s="15"/>
      <c r="W1280" s="15"/>
      <c r="X1280" s="14"/>
      <c r="Y1280" s="14"/>
      <c r="Z1280" s="15"/>
      <c r="AA1280" s="15"/>
    </row>
    <row r="1281" ht="15.0" customHeight="1">
      <c r="J1281" s="15"/>
      <c r="K1281" s="238"/>
      <c r="L1281" s="15"/>
      <c r="M1281" s="15"/>
      <c r="N1281" s="15"/>
      <c r="O1281" s="15"/>
      <c r="P1281" s="15"/>
      <c r="Q1281" s="15"/>
      <c r="R1281" s="15"/>
      <c r="S1281" s="15"/>
      <c r="T1281" s="15"/>
      <c r="U1281" s="15"/>
      <c r="V1281" s="15"/>
      <c r="W1281" s="15"/>
      <c r="X1281" s="14"/>
      <c r="Y1281" s="14"/>
      <c r="Z1281" s="15"/>
      <c r="AA1281" s="15"/>
    </row>
    <row r="1282" ht="15.0" customHeight="1">
      <c r="J1282" s="15"/>
      <c r="K1282" s="238"/>
      <c r="L1282" s="15"/>
      <c r="M1282" s="15"/>
      <c r="N1282" s="15"/>
      <c r="O1282" s="15"/>
      <c r="P1282" s="15"/>
      <c r="Q1282" s="15"/>
      <c r="R1282" s="15"/>
      <c r="S1282" s="15"/>
      <c r="T1282" s="15"/>
      <c r="U1282" s="15"/>
      <c r="V1282" s="15"/>
      <c r="W1282" s="15"/>
      <c r="X1282" s="14"/>
      <c r="Y1282" s="14"/>
      <c r="Z1282" s="15"/>
      <c r="AA1282" s="15"/>
    </row>
    <row r="1283" ht="15.0" customHeight="1">
      <c r="J1283" s="15"/>
      <c r="K1283" s="238"/>
      <c r="L1283" s="15"/>
      <c r="M1283" s="15"/>
      <c r="N1283" s="15"/>
      <c r="O1283" s="15"/>
      <c r="P1283" s="15"/>
      <c r="Q1283" s="15"/>
      <c r="R1283" s="15"/>
      <c r="S1283" s="15"/>
      <c r="T1283" s="15"/>
      <c r="U1283" s="15"/>
      <c r="V1283" s="15"/>
      <c r="W1283" s="15"/>
      <c r="X1283" s="14"/>
      <c r="Y1283" s="14"/>
      <c r="Z1283" s="15"/>
      <c r="AA1283" s="15"/>
    </row>
    <row r="1284" ht="15.0" customHeight="1">
      <c r="J1284" s="15"/>
      <c r="K1284" s="238"/>
      <c r="L1284" s="15"/>
      <c r="M1284" s="15"/>
      <c r="N1284" s="15"/>
      <c r="O1284" s="15"/>
      <c r="P1284" s="15"/>
      <c r="Q1284" s="15"/>
      <c r="R1284" s="15"/>
      <c r="S1284" s="15"/>
      <c r="T1284" s="15"/>
      <c r="U1284" s="15"/>
      <c r="V1284" s="15"/>
      <c r="W1284" s="15"/>
      <c r="X1284" s="14"/>
      <c r="Y1284" s="14"/>
      <c r="Z1284" s="15"/>
      <c r="AA1284" s="15"/>
    </row>
    <row r="1285" ht="15.0" customHeight="1">
      <c r="J1285" s="15"/>
      <c r="K1285" s="238"/>
      <c r="L1285" s="15"/>
      <c r="M1285" s="15"/>
      <c r="N1285" s="15"/>
      <c r="O1285" s="15"/>
      <c r="P1285" s="15"/>
      <c r="Q1285" s="15"/>
      <c r="R1285" s="15"/>
      <c r="S1285" s="15"/>
      <c r="T1285" s="15"/>
      <c r="U1285" s="15"/>
      <c r="V1285" s="15"/>
      <c r="W1285" s="15"/>
      <c r="X1285" s="14"/>
      <c r="Y1285" s="14"/>
      <c r="Z1285" s="15"/>
      <c r="AA1285" s="15"/>
    </row>
    <row r="1286" ht="15.0" customHeight="1">
      <c r="J1286" s="15"/>
      <c r="K1286" s="238"/>
      <c r="L1286" s="15"/>
      <c r="M1286" s="15"/>
      <c r="N1286" s="15"/>
      <c r="O1286" s="15"/>
      <c r="P1286" s="15"/>
      <c r="Q1286" s="15"/>
      <c r="R1286" s="15"/>
      <c r="S1286" s="15"/>
      <c r="T1286" s="15"/>
      <c r="U1286" s="15"/>
      <c r="V1286" s="15"/>
      <c r="W1286" s="15"/>
      <c r="X1286" s="14"/>
      <c r="Y1286" s="14"/>
      <c r="Z1286" s="15"/>
      <c r="AA1286" s="15"/>
    </row>
    <row r="1287" ht="15.0" customHeight="1">
      <c r="J1287" s="15"/>
      <c r="K1287" s="238"/>
      <c r="L1287" s="15"/>
      <c r="M1287" s="15"/>
      <c r="N1287" s="15"/>
      <c r="O1287" s="15"/>
      <c r="P1287" s="15"/>
      <c r="Q1287" s="15"/>
      <c r="R1287" s="15"/>
      <c r="S1287" s="15"/>
      <c r="T1287" s="15"/>
      <c r="U1287" s="15"/>
      <c r="V1287" s="15"/>
      <c r="W1287" s="15"/>
      <c r="X1287" s="14"/>
      <c r="Y1287" s="14"/>
      <c r="Z1287" s="15"/>
      <c r="AA1287" s="15"/>
    </row>
    <row r="1288" ht="15.0" customHeight="1">
      <c r="J1288" s="15"/>
      <c r="K1288" s="238"/>
      <c r="L1288" s="15"/>
      <c r="M1288" s="15"/>
      <c r="N1288" s="15"/>
      <c r="O1288" s="15"/>
      <c r="P1288" s="15"/>
      <c r="Q1288" s="15"/>
      <c r="R1288" s="15"/>
      <c r="S1288" s="15"/>
      <c r="T1288" s="15"/>
      <c r="U1288" s="15"/>
      <c r="V1288" s="15"/>
      <c r="W1288" s="15"/>
      <c r="X1288" s="14"/>
      <c r="Y1288" s="14"/>
      <c r="Z1288" s="15"/>
      <c r="AA1288" s="15"/>
    </row>
    <row r="1289" ht="15.0" customHeight="1">
      <c r="J1289" s="15"/>
      <c r="K1289" s="238"/>
      <c r="L1289" s="15"/>
      <c r="M1289" s="15"/>
      <c r="N1289" s="15"/>
      <c r="O1289" s="15"/>
      <c r="P1289" s="15"/>
      <c r="Q1289" s="15"/>
      <c r="R1289" s="15"/>
      <c r="S1289" s="15"/>
      <c r="T1289" s="15"/>
      <c r="U1289" s="15"/>
      <c r="V1289" s="15"/>
      <c r="W1289" s="15"/>
      <c r="X1289" s="14"/>
      <c r="Y1289" s="14"/>
      <c r="Z1289" s="15"/>
      <c r="AA1289" s="15"/>
    </row>
    <row r="1290" ht="15.0" customHeight="1">
      <c r="J1290" s="15"/>
      <c r="K1290" s="238"/>
      <c r="L1290" s="15"/>
      <c r="M1290" s="15"/>
      <c r="N1290" s="15"/>
      <c r="O1290" s="15"/>
      <c r="P1290" s="15"/>
      <c r="Q1290" s="15"/>
      <c r="R1290" s="15"/>
      <c r="S1290" s="15"/>
      <c r="T1290" s="15"/>
      <c r="U1290" s="15"/>
      <c r="V1290" s="15"/>
      <c r="W1290" s="15"/>
      <c r="X1290" s="14"/>
      <c r="Y1290" s="14"/>
      <c r="Z1290" s="15"/>
      <c r="AA1290" s="15"/>
    </row>
    <row r="1291" ht="15.0" customHeight="1">
      <c r="J1291" s="15"/>
      <c r="K1291" s="238"/>
      <c r="L1291" s="15"/>
      <c r="M1291" s="15"/>
      <c r="N1291" s="15"/>
      <c r="O1291" s="15"/>
      <c r="P1291" s="15"/>
      <c r="Q1291" s="15"/>
      <c r="R1291" s="15"/>
      <c r="S1291" s="15"/>
      <c r="T1291" s="15"/>
      <c r="U1291" s="15"/>
      <c r="V1291" s="15"/>
      <c r="W1291" s="15"/>
      <c r="X1291" s="14"/>
      <c r="Y1291" s="14"/>
      <c r="Z1291" s="15"/>
      <c r="AA1291" s="15"/>
    </row>
    <row r="1292" ht="15.0" customHeight="1">
      <c r="J1292" s="15"/>
      <c r="K1292" s="238"/>
      <c r="L1292" s="15"/>
      <c r="M1292" s="15"/>
      <c r="N1292" s="15"/>
      <c r="O1292" s="15"/>
      <c r="P1292" s="15"/>
      <c r="Q1292" s="15"/>
      <c r="R1292" s="15"/>
      <c r="S1292" s="15"/>
      <c r="T1292" s="15"/>
      <c r="U1292" s="15"/>
      <c r="V1292" s="15"/>
      <c r="W1292" s="15"/>
      <c r="X1292" s="14"/>
      <c r="Y1292" s="14"/>
      <c r="Z1292" s="15"/>
      <c r="AA1292" s="15"/>
    </row>
    <row r="1293" ht="15.0" customHeight="1">
      <c r="J1293" s="15"/>
      <c r="K1293" s="238"/>
      <c r="L1293" s="15"/>
      <c r="M1293" s="15"/>
      <c r="N1293" s="15"/>
      <c r="O1293" s="15"/>
      <c r="P1293" s="15"/>
      <c r="Q1293" s="15"/>
      <c r="R1293" s="15"/>
      <c r="S1293" s="15"/>
      <c r="T1293" s="15"/>
      <c r="U1293" s="15"/>
      <c r="V1293" s="15"/>
      <c r="W1293" s="15"/>
      <c r="X1293" s="14"/>
      <c r="Y1293" s="14"/>
      <c r="Z1293" s="15"/>
      <c r="AA1293" s="15"/>
    </row>
    <row r="1294" ht="15.0" customHeight="1">
      <c r="J1294" s="15"/>
      <c r="K1294" s="238"/>
      <c r="L1294" s="15"/>
      <c r="M1294" s="15"/>
      <c r="N1294" s="15"/>
      <c r="O1294" s="15"/>
      <c r="P1294" s="15"/>
      <c r="Q1294" s="15"/>
      <c r="R1294" s="15"/>
      <c r="S1294" s="15"/>
      <c r="T1294" s="15"/>
      <c r="U1294" s="15"/>
      <c r="V1294" s="15"/>
      <c r="W1294" s="15"/>
      <c r="X1294" s="14"/>
      <c r="Y1294" s="14"/>
      <c r="Z1294" s="15"/>
      <c r="AA1294" s="15"/>
    </row>
    <row r="1295" ht="15.0" customHeight="1">
      <c r="J1295" s="15"/>
      <c r="K1295" s="238"/>
      <c r="L1295" s="15"/>
      <c r="M1295" s="15"/>
      <c r="N1295" s="15"/>
      <c r="O1295" s="15"/>
      <c r="P1295" s="15"/>
      <c r="Q1295" s="15"/>
      <c r="R1295" s="15"/>
      <c r="S1295" s="15"/>
      <c r="T1295" s="15"/>
      <c r="U1295" s="15"/>
      <c r="V1295" s="15"/>
      <c r="W1295" s="15"/>
      <c r="X1295" s="14"/>
      <c r="Y1295" s="14"/>
      <c r="Z1295" s="15"/>
      <c r="AA1295" s="15"/>
    </row>
    <row r="1296" ht="15.0" customHeight="1">
      <c r="J1296" s="15"/>
      <c r="K1296" s="238"/>
      <c r="L1296" s="15"/>
      <c r="M1296" s="15"/>
      <c r="N1296" s="15"/>
      <c r="O1296" s="15"/>
      <c r="P1296" s="15"/>
      <c r="Q1296" s="15"/>
      <c r="R1296" s="15"/>
      <c r="S1296" s="15"/>
      <c r="T1296" s="15"/>
      <c r="U1296" s="15"/>
      <c r="V1296" s="15"/>
      <c r="W1296" s="15"/>
      <c r="X1296" s="14"/>
      <c r="Y1296" s="14"/>
      <c r="Z1296" s="15"/>
      <c r="AA1296" s="15"/>
    </row>
    <row r="1297" ht="15.0" customHeight="1">
      <c r="J1297" s="15"/>
      <c r="K1297" s="238"/>
      <c r="L1297" s="15"/>
      <c r="M1297" s="15"/>
      <c r="N1297" s="15"/>
      <c r="O1297" s="15"/>
      <c r="P1297" s="15"/>
      <c r="Q1297" s="15"/>
      <c r="R1297" s="15"/>
      <c r="S1297" s="15"/>
      <c r="T1297" s="15"/>
      <c r="U1297" s="15"/>
      <c r="V1297" s="15"/>
      <c r="W1297" s="15"/>
      <c r="X1297" s="14"/>
      <c r="Y1297" s="14"/>
      <c r="Z1297" s="15"/>
      <c r="AA1297" s="15"/>
    </row>
    <row r="1298" ht="15.0" customHeight="1">
      <c r="J1298" s="15"/>
      <c r="K1298" s="238"/>
      <c r="L1298" s="15"/>
      <c r="M1298" s="15"/>
      <c r="N1298" s="15"/>
      <c r="O1298" s="15"/>
      <c r="P1298" s="15"/>
      <c r="Q1298" s="15"/>
      <c r="R1298" s="15"/>
      <c r="S1298" s="15"/>
      <c r="T1298" s="15"/>
      <c r="U1298" s="15"/>
      <c r="V1298" s="15"/>
      <c r="W1298" s="15"/>
      <c r="X1298" s="14"/>
      <c r="Y1298" s="14"/>
      <c r="Z1298" s="15"/>
      <c r="AA1298" s="15"/>
    </row>
    <row r="1299" ht="15.0" customHeight="1">
      <c r="J1299" s="15"/>
      <c r="K1299" s="238"/>
      <c r="L1299" s="15"/>
      <c r="M1299" s="15"/>
      <c r="N1299" s="15"/>
      <c r="O1299" s="15"/>
      <c r="P1299" s="15"/>
      <c r="Q1299" s="15"/>
      <c r="R1299" s="15"/>
      <c r="S1299" s="15"/>
      <c r="T1299" s="15"/>
      <c r="U1299" s="15"/>
      <c r="V1299" s="15"/>
      <c r="W1299" s="15"/>
      <c r="X1299" s="14"/>
      <c r="Y1299" s="14"/>
      <c r="Z1299" s="15"/>
      <c r="AA1299" s="15"/>
    </row>
    <row r="1300" ht="15.0" customHeight="1">
      <c r="J1300" s="15"/>
      <c r="K1300" s="238"/>
      <c r="L1300" s="15"/>
      <c r="M1300" s="15"/>
      <c r="N1300" s="15"/>
      <c r="O1300" s="15"/>
      <c r="P1300" s="15"/>
      <c r="Q1300" s="15"/>
      <c r="R1300" s="15"/>
      <c r="S1300" s="15"/>
      <c r="T1300" s="15"/>
      <c r="U1300" s="15"/>
      <c r="V1300" s="15"/>
      <c r="W1300" s="15"/>
      <c r="X1300" s="14"/>
      <c r="Y1300" s="14"/>
      <c r="Z1300" s="15"/>
      <c r="AA1300" s="15"/>
    </row>
    <row r="1301" ht="15.0" customHeight="1">
      <c r="J1301" s="15"/>
      <c r="K1301" s="238"/>
      <c r="L1301" s="15"/>
      <c r="M1301" s="15"/>
      <c r="N1301" s="15"/>
      <c r="O1301" s="15"/>
      <c r="P1301" s="15"/>
      <c r="Q1301" s="15"/>
      <c r="R1301" s="15"/>
      <c r="S1301" s="15"/>
      <c r="T1301" s="15"/>
      <c r="U1301" s="15"/>
      <c r="V1301" s="15"/>
      <c r="W1301" s="15"/>
      <c r="X1301" s="14"/>
      <c r="Y1301" s="14"/>
      <c r="Z1301" s="15"/>
      <c r="AA1301" s="15"/>
    </row>
    <row r="1302" ht="15.0" customHeight="1">
      <c r="J1302" s="15"/>
      <c r="K1302" s="238"/>
      <c r="L1302" s="15"/>
      <c r="M1302" s="15"/>
      <c r="N1302" s="15"/>
      <c r="O1302" s="15"/>
      <c r="P1302" s="15"/>
      <c r="Q1302" s="15"/>
      <c r="R1302" s="15"/>
      <c r="S1302" s="15"/>
      <c r="T1302" s="15"/>
      <c r="U1302" s="15"/>
      <c r="V1302" s="15"/>
      <c r="W1302" s="15"/>
      <c r="X1302" s="14"/>
      <c r="Y1302" s="14"/>
      <c r="Z1302" s="15"/>
      <c r="AA1302" s="15"/>
    </row>
    <row r="1303" ht="15.0" customHeight="1">
      <c r="J1303" s="15"/>
      <c r="K1303" s="238"/>
      <c r="L1303" s="15"/>
      <c r="M1303" s="15"/>
      <c r="N1303" s="15"/>
      <c r="O1303" s="15"/>
      <c r="P1303" s="15"/>
      <c r="Q1303" s="15"/>
      <c r="R1303" s="15"/>
      <c r="S1303" s="15"/>
      <c r="T1303" s="15"/>
      <c r="U1303" s="15"/>
      <c r="V1303" s="15"/>
      <c r="W1303" s="15"/>
      <c r="X1303" s="14"/>
      <c r="Y1303" s="14"/>
      <c r="Z1303" s="15"/>
      <c r="AA1303" s="15"/>
    </row>
    <row r="1304" ht="15.0" customHeight="1">
      <c r="J1304" s="15"/>
      <c r="K1304" s="238"/>
      <c r="L1304" s="15"/>
      <c r="M1304" s="15"/>
      <c r="N1304" s="15"/>
      <c r="O1304" s="15"/>
      <c r="P1304" s="15"/>
      <c r="Q1304" s="15"/>
      <c r="R1304" s="15"/>
      <c r="S1304" s="15"/>
      <c r="T1304" s="15"/>
      <c r="U1304" s="15"/>
      <c r="V1304" s="15"/>
      <c r="W1304" s="15"/>
      <c r="X1304" s="14"/>
      <c r="Y1304" s="14"/>
      <c r="Z1304" s="15"/>
      <c r="AA1304" s="15"/>
    </row>
    <row r="1305" ht="15.0" customHeight="1">
      <c r="J1305" s="15"/>
      <c r="K1305" s="238"/>
      <c r="L1305" s="15"/>
      <c r="M1305" s="15"/>
      <c r="N1305" s="15"/>
      <c r="O1305" s="15"/>
      <c r="P1305" s="15"/>
      <c r="Q1305" s="15"/>
      <c r="R1305" s="15"/>
      <c r="S1305" s="15"/>
      <c r="T1305" s="15"/>
      <c r="U1305" s="15"/>
      <c r="V1305" s="15"/>
      <c r="W1305" s="15"/>
      <c r="X1305" s="14"/>
      <c r="Y1305" s="14"/>
      <c r="Z1305" s="15"/>
      <c r="AA1305" s="15"/>
    </row>
    <row r="1306" ht="15.0" customHeight="1">
      <c r="J1306" s="15"/>
      <c r="K1306" s="238"/>
      <c r="L1306" s="15"/>
      <c r="M1306" s="15"/>
      <c r="N1306" s="15"/>
      <c r="O1306" s="15"/>
      <c r="P1306" s="15"/>
      <c r="Q1306" s="15"/>
      <c r="R1306" s="15"/>
      <c r="S1306" s="15"/>
      <c r="T1306" s="15"/>
      <c r="U1306" s="15"/>
      <c r="V1306" s="15"/>
      <c r="W1306" s="15"/>
      <c r="X1306" s="14"/>
      <c r="Y1306" s="14"/>
      <c r="Z1306" s="15"/>
      <c r="AA1306" s="15"/>
    </row>
    <row r="1307" ht="15.0" customHeight="1">
      <c r="J1307" s="15"/>
      <c r="K1307" s="238"/>
      <c r="L1307" s="15"/>
      <c r="M1307" s="15"/>
      <c r="N1307" s="15"/>
      <c r="O1307" s="15"/>
      <c r="P1307" s="15"/>
      <c r="Q1307" s="15"/>
      <c r="R1307" s="15"/>
      <c r="S1307" s="15"/>
      <c r="T1307" s="15"/>
      <c r="U1307" s="15"/>
      <c r="V1307" s="15"/>
      <c r="W1307" s="15"/>
      <c r="X1307" s="14"/>
      <c r="Y1307" s="14"/>
      <c r="Z1307" s="15"/>
      <c r="AA1307" s="15"/>
    </row>
    <row r="1308" ht="15.0" customHeight="1">
      <c r="J1308" s="15"/>
      <c r="K1308" s="238"/>
      <c r="L1308" s="15"/>
      <c r="M1308" s="15"/>
      <c r="N1308" s="15"/>
      <c r="O1308" s="15"/>
      <c r="P1308" s="15"/>
      <c r="Q1308" s="15"/>
      <c r="R1308" s="15"/>
      <c r="S1308" s="15"/>
      <c r="T1308" s="15"/>
      <c r="U1308" s="15"/>
      <c r="V1308" s="15"/>
      <c r="W1308" s="15"/>
      <c r="X1308" s="14"/>
      <c r="Y1308" s="14"/>
      <c r="Z1308" s="15"/>
      <c r="AA1308" s="15"/>
    </row>
    <row r="1309" ht="15.0" customHeight="1">
      <c r="J1309" s="15"/>
      <c r="K1309" s="238"/>
      <c r="L1309" s="15"/>
      <c r="M1309" s="15"/>
      <c r="N1309" s="15"/>
      <c r="O1309" s="15"/>
      <c r="P1309" s="15"/>
      <c r="Q1309" s="15"/>
      <c r="R1309" s="15"/>
      <c r="S1309" s="15"/>
      <c r="T1309" s="15"/>
      <c r="U1309" s="15"/>
      <c r="V1309" s="15"/>
      <c r="W1309" s="15"/>
      <c r="X1309" s="14"/>
      <c r="Y1309" s="14"/>
      <c r="Z1309" s="15"/>
      <c r="AA1309" s="15"/>
    </row>
    <row r="1310" ht="15.0" customHeight="1">
      <c r="J1310" s="15"/>
      <c r="K1310" s="238"/>
      <c r="L1310" s="15"/>
      <c r="M1310" s="15"/>
      <c r="N1310" s="15"/>
      <c r="O1310" s="15"/>
      <c r="P1310" s="15"/>
      <c r="Q1310" s="15"/>
      <c r="R1310" s="15"/>
      <c r="S1310" s="15"/>
      <c r="T1310" s="15"/>
      <c r="U1310" s="15"/>
      <c r="V1310" s="15"/>
      <c r="W1310" s="15"/>
      <c r="X1310" s="14"/>
      <c r="Y1310" s="14"/>
      <c r="Z1310" s="15"/>
      <c r="AA1310" s="15"/>
    </row>
    <row r="1311" ht="15.0" customHeight="1">
      <c r="J1311" s="15"/>
      <c r="K1311" s="238"/>
      <c r="L1311" s="15"/>
      <c r="M1311" s="15"/>
      <c r="N1311" s="15"/>
      <c r="O1311" s="15"/>
      <c r="P1311" s="15"/>
      <c r="Q1311" s="15"/>
      <c r="R1311" s="15"/>
      <c r="S1311" s="15"/>
      <c r="T1311" s="15"/>
      <c r="U1311" s="15"/>
      <c r="V1311" s="15"/>
      <c r="W1311" s="15"/>
      <c r="X1311" s="14"/>
      <c r="Y1311" s="14"/>
      <c r="Z1311" s="15"/>
      <c r="AA1311" s="15"/>
    </row>
    <row r="1312" ht="15.0" customHeight="1">
      <c r="J1312" s="15"/>
      <c r="K1312" s="238"/>
      <c r="L1312" s="15"/>
      <c r="M1312" s="15"/>
      <c r="N1312" s="15"/>
      <c r="O1312" s="15"/>
      <c r="P1312" s="15"/>
      <c r="Q1312" s="15"/>
      <c r="R1312" s="15"/>
      <c r="S1312" s="15"/>
      <c r="T1312" s="15"/>
      <c r="U1312" s="15"/>
      <c r="V1312" s="15"/>
      <c r="W1312" s="15"/>
      <c r="X1312" s="14"/>
      <c r="Y1312" s="14"/>
      <c r="Z1312" s="15"/>
      <c r="AA1312" s="15"/>
    </row>
    <row r="1313" ht="15.0" customHeight="1">
      <c r="J1313" s="15"/>
      <c r="K1313" s="238"/>
      <c r="L1313" s="15"/>
      <c r="M1313" s="15"/>
      <c r="N1313" s="15"/>
      <c r="O1313" s="15"/>
      <c r="P1313" s="15"/>
      <c r="Q1313" s="15"/>
      <c r="R1313" s="15"/>
      <c r="S1313" s="15"/>
      <c r="T1313" s="15"/>
      <c r="U1313" s="15"/>
      <c r="V1313" s="15"/>
      <c r="W1313" s="15"/>
      <c r="X1313" s="14"/>
      <c r="Y1313" s="14"/>
      <c r="Z1313" s="15"/>
      <c r="AA1313" s="15"/>
    </row>
    <row r="1314" ht="15.0" customHeight="1">
      <c r="J1314" s="15"/>
      <c r="K1314" s="238"/>
      <c r="L1314" s="15"/>
      <c r="M1314" s="15"/>
      <c r="N1314" s="15"/>
      <c r="O1314" s="15"/>
      <c r="P1314" s="15"/>
      <c r="Q1314" s="15"/>
      <c r="R1314" s="15"/>
      <c r="S1314" s="15"/>
      <c r="T1314" s="15"/>
      <c r="U1314" s="15"/>
      <c r="V1314" s="15"/>
      <c r="W1314" s="15"/>
      <c r="X1314" s="14"/>
      <c r="Y1314" s="14"/>
      <c r="Z1314" s="15"/>
      <c r="AA1314" s="15"/>
    </row>
    <row r="1315" ht="15.0" customHeight="1">
      <c r="J1315" s="15"/>
      <c r="K1315" s="238"/>
      <c r="L1315" s="15"/>
      <c r="M1315" s="15"/>
      <c r="N1315" s="15"/>
      <c r="O1315" s="15"/>
      <c r="P1315" s="15"/>
      <c r="Q1315" s="15"/>
      <c r="R1315" s="15"/>
      <c r="S1315" s="15"/>
      <c r="T1315" s="15"/>
      <c r="U1315" s="15"/>
      <c r="V1315" s="15"/>
      <c r="W1315" s="15"/>
      <c r="X1315" s="14"/>
      <c r="Y1315" s="14"/>
      <c r="Z1315" s="15"/>
      <c r="AA1315" s="15"/>
    </row>
    <row r="1316" ht="15.0" customHeight="1">
      <c r="J1316" s="15"/>
      <c r="K1316" s="238"/>
      <c r="L1316" s="15"/>
      <c r="M1316" s="15"/>
      <c r="N1316" s="15"/>
      <c r="O1316" s="15"/>
      <c r="P1316" s="15"/>
      <c r="Q1316" s="15"/>
      <c r="R1316" s="15"/>
      <c r="S1316" s="15"/>
      <c r="T1316" s="15"/>
      <c r="U1316" s="15"/>
      <c r="V1316" s="15"/>
      <c r="W1316" s="15"/>
      <c r="X1316" s="14"/>
      <c r="Y1316" s="14"/>
      <c r="Z1316" s="15"/>
      <c r="AA1316" s="15"/>
    </row>
    <row r="1317" ht="15.0" customHeight="1">
      <c r="J1317" s="15"/>
      <c r="K1317" s="238"/>
      <c r="L1317" s="15"/>
      <c r="M1317" s="15"/>
      <c r="N1317" s="15"/>
      <c r="O1317" s="15"/>
      <c r="P1317" s="15"/>
      <c r="Q1317" s="15"/>
      <c r="R1317" s="15"/>
      <c r="S1317" s="15"/>
      <c r="T1317" s="15"/>
      <c r="U1317" s="15"/>
      <c r="V1317" s="15"/>
      <c r="W1317" s="15"/>
      <c r="X1317" s="14"/>
      <c r="Y1317" s="14"/>
      <c r="Z1317" s="15"/>
      <c r="AA1317" s="15"/>
    </row>
    <row r="1318" ht="15.0" customHeight="1">
      <c r="J1318" s="15"/>
      <c r="K1318" s="238"/>
      <c r="L1318" s="15"/>
      <c r="M1318" s="15"/>
      <c r="N1318" s="15"/>
      <c r="O1318" s="15"/>
      <c r="P1318" s="15"/>
      <c r="Q1318" s="15"/>
      <c r="R1318" s="15"/>
      <c r="S1318" s="15"/>
      <c r="T1318" s="15"/>
      <c r="U1318" s="15"/>
      <c r="V1318" s="15"/>
      <c r="W1318" s="15"/>
      <c r="X1318" s="14"/>
      <c r="Y1318" s="14"/>
      <c r="Z1318" s="15"/>
      <c r="AA1318" s="15"/>
    </row>
    <row r="1319" ht="15.0" customHeight="1">
      <c r="J1319" s="15"/>
      <c r="K1319" s="238"/>
      <c r="L1319" s="15"/>
      <c r="M1319" s="15"/>
      <c r="N1319" s="15"/>
      <c r="O1319" s="15"/>
      <c r="P1319" s="15"/>
      <c r="Q1319" s="15"/>
      <c r="R1319" s="15"/>
      <c r="S1319" s="15"/>
      <c r="T1319" s="15"/>
      <c r="U1319" s="15"/>
      <c r="V1319" s="15"/>
      <c r="W1319" s="15"/>
      <c r="X1319" s="14"/>
      <c r="Y1319" s="14"/>
      <c r="Z1319" s="15"/>
      <c r="AA1319" s="15"/>
    </row>
    <row r="1320" ht="15.0" customHeight="1">
      <c r="J1320" s="15"/>
      <c r="K1320" s="238"/>
      <c r="L1320" s="15"/>
      <c r="M1320" s="15"/>
      <c r="N1320" s="15"/>
      <c r="O1320" s="15"/>
      <c r="P1320" s="15"/>
      <c r="Q1320" s="15"/>
      <c r="R1320" s="15"/>
      <c r="S1320" s="15"/>
      <c r="T1320" s="15"/>
      <c r="U1320" s="15"/>
      <c r="V1320" s="15"/>
      <c r="W1320" s="15"/>
      <c r="X1320" s="14"/>
      <c r="Y1320" s="14"/>
      <c r="Z1320" s="15"/>
      <c r="AA1320" s="15"/>
    </row>
    <row r="1321" ht="15.0" customHeight="1">
      <c r="J1321" s="15"/>
      <c r="K1321" s="238"/>
      <c r="L1321" s="15"/>
      <c r="M1321" s="15"/>
      <c r="N1321" s="15"/>
      <c r="O1321" s="15"/>
      <c r="P1321" s="15"/>
      <c r="Q1321" s="15"/>
      <c r="R1321" s="15"/>
      <c r="S1321" s="15"/>
      <c r="T1321" s="15"/>
      <c r="U1321" s="15"/>
      <c r="V1321" s="15"/>
      <c r="W1321" s="15"/>
      <c r="X1321" s="14"/>
      <c r="Y1321" s="14"/>
      <c r="Z1321" s="15"/>
      <c r="AA1321" s="15"/>
    </row>
    <row r="1322" ht="15.0" customHeight="1">
      <c r="J1322" s="15"/>
      <c r="K1322" s="238"/>
      <c r="L1322" s="15"/>
      <c r="M1322" s="15"/>
      <c r="N1322" s="15"/>
      <c r="O1322" s="15"/>
      <c r="P1322" s="15"/>
      <c r="Q1322" s="15"/>
      <c r="R1322" s="15"/>
      <c r="S1322" s="15"/>
      <c r="T1322" s="15"/>
      <c r="U1322" s="15"/>
      <c r="V1322" s="15"/>
      <c r="W1322" s="15"/>
      <c r="X1322" s="14"/>
      <c r="Y1322" s="14"/>
      <c r="Z1322" s="15"/>
      <c r="AA1322" s="15"/>
    </row>
    <row r="1323" ht="15.0" customHeight="1">
      <c r="J1323" s="15"/>
      <c r="K1323" s="238"/>
      <c r="L1323" s="15"/>
      <c r="M1323" s="15"/>
      <c r="N1323" s="15"/>
      <c r="O1323" s="15"/>
      <c r="P1323" s="15"/>
      <c r="Q1323" s="15"/>
      <c r="R1323" s="15"/>
      <c r="S1323" s="15"/>
      <c r="T1323" s="15"/>
      <c r="U1323" s="15"/>
      <c r="V1323" s="15"/>
      <c r="W1323" s="15"/>
      <c r="X1323" s="14"/>
      <c r="Y1323" s="14"/>
      <c r="Z1323" s="15"/>
      <c r="AA1323" s="15"/>
    </row>
    <row r="1324" ht="15.0" customHeight="1">
      <c r="J1324" s="15"/>
      <c r="K1324" s="238"/>
      <c r="L1324" s="15"/>
      <c r="M1324" s="15"/>
      <c r="N1324" s="15"/>
      <c r="O1324" s="15"/>
      <c r="P1324" s="15"/>
      <c r="Q1324" s="15"/>
      <c r="R1324" s="15"/>
      <c r="S1324" s="15"/>
      <c r="T1324" s="15"/>
      <c r="U1324" s="15"/>
      <c r="V1324" s="15"/>
      <c r="W1324" s="15"/>
      <c r="X1324" s="14"/>
      <c r="Y1324" s="14"/>
      <c r="Z1324" s="15"/>
      <c r="AA1324" s="15"/>
    </row>
    <row r="1325" ht="15.0" customHeight="1">
      <c r="J1325" s="15"/>
      <c r="K1325" s="238"/>
      <c r="L1325" s="15"/>
      <c r="M1325" s="15"/>
      <c r="N1325" s="15"/>
      <c r="O1325" s="15"/>
      <c r="P1325" s="15"/>
      <c r="Q1325" s="15"/>
      <c r="R1325" s="15"/>
      <c r="S1325" s="15"/>
      <c r="T1325" s="15"/>
      <c r="U1325" s="15"/>
      <c r="V1325" s="15"/>
      <c r="W1325" s="15"/>
      <c r="X1325" s="14"/>
      <c r="Y1325" s="14"/>
      <c r="Z1325" s="15"/>
      <c r="AA1325" s="15"/>
    </row>
    <row r="1326" ht="15.0" customHeight="1">
      <c r="J1326" s="15"/>
      <c r="K1326" s="238"/>
      <c r="L1326" s="15"/>
      <c r="M1326" s="15"/>
      <c r="N1326" s="15"/>
      <c r="O1326" s="15"/>
      <c r="P1326" s="15"/>
      <c r="Q1326" s="15"/>
      <c r="R1326" s="15"/>
      <c r="S1326" s="15"/>
      <c r="T1326" s="15"/>
      <c r="U1326" s="15"/>
      <c r="V1326" s="15"/>
      <c r="W1326" s="15"/>
      <c r="X1326" s="14"/>
      <c r="Y1326" s="14"/>
      <c r="Z1326" s="15"/>
      <c r="AA1326" s="15"/>
    </row>
    <row r="1327" ht="15.0" customHeight="1">
      <c r="J1327" s="15"/>
      <c r="K1327" s="238"/>
      <c r="L1327" s="15"/>
      <c r="M1327" s="15"/>
      <c r="N1327" s="15"/>
      <c r="O1327" s="15"/>
      <c r="P1327" s="15"/>
      <c r="Q1327" s="15"/>
      <c r="R1327" s="15"/>
      <c r="S1327" s="15"/>
      <c r="T1327" s="15"/>
      <c r="U1327" s="15"/>
      <c r="V1327" s="15"/>
      <c r="W1327" s="15"/>
      <c r="X1327" s="14"/>
      <c r="Y1327" s="14"/>
      <c r="Z1327" s="15"/>
      <c r="AA1327" s="15"/>
    </row>
    <row r="1328" ht="15.0" customHeight="1">
      <c r="J1328" s="15"/>
      <c r="K1328" s="238"/>
      <c r="L1328" s="15"/>
      <c r="M1328" s="15"/>
      <c r="N1328" s="15"/>
      <c r="O1328" s="15"/>
      <c r="P1328" s="15"/>
      <c r="Q1328" s="15"/>
      <c r="R1328" s="15"/>
      <c r="S1328" s="15"/>
      <c r="T1328" s="15"/>
      <c r="U1328" s="15"/>
      <c r="V1328" s="15"/>
      <c r="W1328" s="15"/>
      <c r="X1328" s="14"/>
      <c r="Y1328" s="14"/>
      <c r="Z1328" s="15"/>
      <c r="AA1328" s="15"/>
    </row>
    <row r="1329" ht="15.0" customHeight="1">
      <c r="J1329" s="15"/>
      <c r="K1329" s="238"/>
      <c r="L1329" s="15"/>
      <c r="M1329" s="15"/>
      <c r="N1329" s="15"/>
      <c r="O1329" s="15"/>
      <c r="P1329" s="15"/>
      <c r="Q1329" s="15"/>
      <c r="R1329" s="15"/>
      <c r="S1329" s="15"/>
      <c r="T1329" s="15"/>
      <c r="U1329" s="15"/>
      <c r="V1329" s="15"/>
      <c r="W1329" s="15"/>
      <c r="X1329" s="14"/>
      <c r="Y1329" s="14"/>
      <c r="Z1329" s="15"/>
      <c r="AA1329" s="15"/>
    </row>
    <row r="1330" ht="15.0" customHeight="1">
      <c r="J1330" s="15"/>
      <c r="K1330" s="238"/>
      <c r="L1330" s="15"/>
      <c r="M1330" s="15"/>
      <c r="N1330" s="15"/>
      <c r="O1330" s="15"/>
      <c r="P1330" s="15"/>
      <c r="Q1330" s="15"/>
      <c r="R1330" s="15"/>
      <c r="S1330" s="15"/>
      <c r="T1330" s="15"/>
      <c r="U1330" s="15"/>
      <c r="V1330" s="15"/>
      <c r="W1330" s="15"/>
      <c r="X1330" s="14"/>
      <c r="Y1330" s="14"/>
      <c r="Z1330" s="15"/>
      <c r="AA1330" s="15"/>
    </row>
    <row r="1331" ht="15.0" customHeight="1">
      <c r="J1331" s="15"/>
      <c r="K1331" s="238"/>
      <c r="L1331" s="15"/>
      <c r="M1331" s="15"/>
      <c r="N1331" s="15"/>
      <c r="O1331" s="15"/>
      <c r="P1331" s="15"/>
      <c r="Q1331" s="15"/>
      <c r="R1331" s="15"/>
      <c r="S1331" s="15"/>
      <c r="T1331" s="15"/>
      <c r="U1331" s="15"/>
      <c r="V1331" s="15"/>
      <c r="W1331" s="15"/>
      <c r="X1331" s="14"/>
      <c r="Y1331" s="14"/>
      <c r="Z1331" s="15"/>
      <c r="AA1331" s="15"/>
    </row>
    <row r="1332" ht="15.0" customHeight="1">
      <c r="J1332" s="15"/>
      <c r="K1332" s="238"/>
      <c r="L1332" s="15"/>
      <c r="M1332" s="15"/>
      <c r="N1332" s="15"/>
      <c r="O1332" s="15"/>
      <c r="P1332" s="15"/>
      <c r="Q1332" s="15"/>
      <c r="R1332" s="15"/>
      <c r="S1332" s="15"/>
      <c r="T1332" s="15"/>
      <c r="U1332" s="15"/>
      <c r="V1332" s="15"/>
      <c r="W1332" s="15"/>
      <c r="X1332" s="14"/>
      <c r="Y1332" s="14"/>
      <c r="Z1332" s="15"/>
      <c r="AA1332" s="15"/>
    </row>
    <row r="1333" ht="15.0" customHeight="1">
      <c r="J1333" s="15"/>
      <c r="K1333" s="238"/>
      <c r="L1333" s="15"/>
      <c r="M1333" s="15"/>
      <c r="N1333" s="15"/>
      <c r="O1333" s="15"/>
      <c r="P1333" s="15"/>
      <c r="Q1333" s="15"/>
      <c r="R1333" s="15"/>
      <c r="S1333" s="15"/>
      <c r="T1333" s="15"/>
      <c r="U1333" s="15"/>
      <c r="V1333" s="15"/>
      <c r="W1333" s="15"/>
      <c r="X1333" s="14"/>
      <c r="Y1333" s="14"/>
      <c r="Z1333" s="15"/>
      <c r="AA1333" s="15"/>
    </row>
    <row r="1334" ht="15.0" customHeight="1">
      <c r="J1334" s="15"/>
      <c r="K1334" s="238"/>
      <c r="L1334" s="15"/>
      <c r="M1334" s="15"/>
      <c r="N1334" s="15"/>
      <c r="O1334" s="15"/>
      <c r="P1334" s="15"/>
      <c r="Q1334" s="15"/>
      <c r="R1334" s="15"/>
      <c r="S1334" s="15"/>
      <c r="T1334" s="15"/>
      <c r="U1334" s="15"/>
      <c r="V1334" s="15"/>
      <c r="W1334" s="15"/>
      <c r="X1334" s="14"/>
      <c r="Y1334" s="14"/>
      <c r="Z1334" s="15"/>
      <c r="AA1334" s="15"/>
    </row>
    <row r="1335" ht="15.0" customHeight="1">
      <c r="J1335" s="15"/>
      <c r="K1335" s="238"/>
      <c r="L1335" s="15"/>
      <c r="M1335" s="15"/>
      <c r="N1335" s="15"/>
      <c r="O1335" s="15"/>
      <c r="P1335" s="15"/>
      <c r="Q1335" s="15"/>
      <c r="R1335" s="15"/>
      <c r="S1335" s="15"/>
      <c r="T1335" s="15"/>
      <c r="U1335" s="15"/>
      <c r="V1335" s="15"/>
      <c r="W1335" s="15"/>
      <c r="X1335" s="14"/>
      <c r="Y1335" s="14"/>
      <c r="Z1335" s="15"/>
      <c r="AA1335" s="15"/>
    </row>
    <row r="1336" ht="15.0" customHeight="1">
      <c r="J1336" s="15"/>
      <c r="K1336" s="238"/>
      <c r="L1336" s="15"/>
      <c r="M1336" s="15"/>
      <c r="N1336" s="15"/>
      <c r="O1336" s="15"/>
      <c r="P1336" s="15"/>
      <c r="Q1336" s="15"/>
      <c r="R1336" s="15"/>
      <c r="S1336" s="15"/>
      <c r="T1336" s="15"/>
      <c r="U1336" s="15"/>
      <c r="V1336" s="15"/>
      <c r="W1336" s="15"/>
      <c r="X1336" s="14"/>
      <c r="Y1336" s="14"/>
      <c r="Z1336" s="15"/>
      <c r="AA1336" s="15"/>
    </row>
    <row r="1337" ht="15.0" customHeight="1">
      <c r="J1337" s="15"/>
      <c r="K1337" s="238"/>
      <c r="L1337" s="15"/>
      <c r="M1337" s="15"/>
      <c r="N1337" s="15"/>
      <c r="O1337" s="15"/>
      <c r="P1337" s="15"/>
      <c r="Q1337" s="15"/>
      <c r="R1337" s="15"/>
      <c r="S1337" s="15"/>
      <c r="T1337" s="15"/>
      <c r="U1337" s="15"/>
      <c r="V1337" s="15"/>
      <c r="W1337" s="15"/>
      <c r="X1337" s="14"/>
      <c r="Y1337" s="14"/>
      <c r="Z1337" s="15"/>
      <c r="AA1337" s="15"/>
    </row>
    <row r="1338" ht="15.0" customHeight="1">
      <c r="J1338" s="15"/>
      <c r="K1338" s="238"/>
      <c r="L1338" s="15"/>
      <c r="M1338" s="15"/>
      <c r="N1338" s="15"/>
      <c r="O1338" s="15"/>
      <c r="P1338" s="15"/>
      <c r="Q1338" s="15"/>
      <c r="R1338" s="15"/>
      <c r="S1338" s="15"/>
      <c r="T1338" s="15"/>
      <c r="U1338" s="15"/>
      <c r="V1338" s="15"/>
      <c r="W1338" s="15"/>
      <c r="X1338" s="14"/>
      <c r="Y1338" s="14"/>
      <c r="Z1338" s="15"/>
      <c r="AA1338" s="15"/>
    </row>
    <row r="1339" ht="15.0" customHeight="1">
      <c r="J1339" s="15"/>
      <c r="K1339" s="238"/>
      <c r="L1339" s="15"/>
      <c r="M1339" s="15"/>
      <c r="N1339" s="15"/>
      <c r="O1339" s="15"/>
      <c r="P1339" s="15"/>
      <c r="Q1339" s="15"/>
      <c r="R1339" s="15"/>
      <c r="S1339" s="15"/>
      <c r="T1339" s="15"/>
      <c r="U1339" s="15"/>
      <c r="V1339" s="15"/>
      <c r="W1339" s="15"/>
      <c r="X1339" s="14"/>
      <c r="Y1339" s="14"/>
      <c r="Z1339" s="15"/>
      <c r="AA1339" s="15"/>
    </row>
    <row r="1340" ht="15.0" customHeight="1">
      <c r="J1340" s="15"/>
      <c r="K1340" s="238"/>
      <c r="L1340" s="15"/>
      <c r="M1340" s="15"/>
      <c r="N1340" s="15"/>
      <c r="O1340" s="15"/>
      <c r="P1340" s="15"/>
      <c r="Q1340" s="15"/>
      <c r="R1340" s="15"/>
      <c r="S1340" s="15"/>
      <c r="T1340" s="15"/>
      <c r="U1340" s="15"/>
      <c r="V1340" s="15"/>
      <c r="W1340" s="15"/>
      <c r="X1340" s="14"/>
      <c r="Y1340" s="14"/>
      <c r="Z1340" s="15"/>
      <c r="AA1340" s="15"/>
    </row>
    <row r="1341" ht="15.0" customHeight="1">
      <c r="J1341" s="15"/>
      <c r="K1341" s="238"/>
      <c r="L1341" s="15"/>
      <c r="M1341" s="15"/>
      <c r="N1341" s="15"/>
      <c r="O1341" s="15"/>
      <c r="P1341" s="15"/>
      <c r="Q1341" s="15"/>
      <c r="R1341" s="15"/>
      <c r="S1341" s="15"/>
      <c r="T1341" s="15"/>
      <c r="U1341" s="15"/>
      <c r="V1341" s="15"/>
      <c r="W1341" s="15"/>
      <c r="X1341" s="14"/>
      <c r="Y1341" s="14"/>
      <c r="Z1341" s="15"/>
      <c r="AA1341" s="15"/>
    </row>
    <row r="1342" ht="15.0" customHeight="1">
      <c r="J1342" s="15"/>
      <c r="K1342" s="238"/>
      <c r="L1342" s="15"/>
      <c r="M1342" s="15"/>
      <c r="N1342" s="15"/>
      <c r="O1342" s="15"/>
      <c r="P1342" s="15"/>
      <c r="Q1342" s="15"/>
      <c r="R1342" s="15"/>
      <c r="S1342" s="15"/>
      <c r="T1342" s="15"/>
      <c r="U1342" s="15"/>
      <c r="V1342" s="15"/>
      <c r="W1342" s="15"/>
      <c r="X1342" s="14"/>
      <c r="Y1342" s="14"/>
      <c r="Z1342" s="15"/>
      <c r="AA1342" s="15"/>
    </row>
    <row r="1343" ht="15.0" customHeight="1">
      <c r="J1343" s="15"/>
      <c r="K1343" s="238"/>
      <c r="L1343" s="15"/>
      <c r="M1343" s="15"/>
      <c r="N1343" s="15"/>
      <c r="O1343" s="15"/>
      <c r="P1343" s="15"/>
      <c r="Q1343" s="15"/>
      <c r="R1343" s="15"/>
      <c r="S1343" s="15"/>
      <c r="T1343" s="15"/>
      <c r="U1343" s="15"/>
      <c r="V1343" s="15"/>
      <c r="W1343" s="15"/>
      <c r="X1343" s="14"/>
      <c r="Y1343" s="14"/>
      <c r="Z1343" s="15"/>
      <c r="AA1343" s="15"/>
    </row>
    <row r="1344" ht="15.0" customHeight="1">
      <c r="J1344" s="15"/>
      <c r="K1344" s="238"/>
      <c r="L1344" s="15"/>
      <c r="M1344" s="15"/>
      <c r="N1344" s="15"/>
      <c r="O1344" s="15"/>
      <c r="P1344" s="15"/>
      <c r="Q1344" s="15"/>
      <c r="R1344" s="15"/>
      <c r="S1344" s="15"/>
      <c r="T1344" s="15"/>
      <c r="U1344" s="15"/>
      <c r="V1344" s="15"/>
      <c r="W1344" s="15"/>
      <c r="X1344" s="14"/>
      <c r="Y1344" s="14"/>
      <c r="Z1344" s="15"/>
      <c r="AA1344" s="15"/>
    </row>
    <row r="1345" ht="15.0" customHeight="1">
      <c r="J1345" s="15"/>
      <c r="K1345" s="238"/>
      <c r="L1345" s="15"/>
      <c r="M1345" s="15"/>
      <c r="N1345" s="15"/>
      <c r="O1345" s="15"/>
      <c r="P1345" s="15"/>
      <c r="Q1345" s="15"/>
      <c r="R1345" s="15"/>
      <c r="S1345" s="15"/>
      <c r="T1345" s="15"/>
      <c r="U1345" s="15"/>
      <c r="V1345" s="15"/>
      <c r="W1345" s="15"/>
      <c r="X1345" s="14"/>
      <c r="Y1345" s="14"/>
      <c r="Z1345" s="15"/>
      <c r="AA1345" s="15"/>
    </row>
    <row r="1346" ht="15.0" customHeight="1">
      <c r="J1346" s="15"/>
      <c r="K1346" s="238"/>
      <c r="L1346" s="15"/>
      <c r="M1346" s="15"/>
      <c r="N1346" s="15"/>
      <c r="O1346" s="15"/>
      <c r="P1346" s="15"/>
      <c r="Q1346" s="15"/>
      <c r="R1346" s="15"/>
      <c r="S1346" s="15"/>
      <c r="T1346" s="15"/>
      <c r="U1346" s="15"/>
      <c r="V1346" s="15"/>
      <c r="W1346" s="15"/>
      <c r="X1346" s="14"/>
      <c r="Y1346" s="14"/>
      <c r="Z1346" s="15"/>
      <c r="AA1346" s="15"/>
    </row>
    <row r="1347" ht="15.0" customHeight="1">
      <c r="J1347" s="15"/>
      <c r="K1347" s="238"/>
      <c r="L1347" s="15"/>
      <c r="M1347" s="15"/>
      <c r="N1347" s="15"/>
      <c r="O1347" s="15"/>
      <c r="P1347" s="15"/>
      <c r="Q1347" s="15"/>
      <c r="R1347" s="15"/>
      <c r="S1347" s="15"/>
      <c r="T1347" s="15"/>
      <c r="U1347" s="15"/>
      <c r="V1347" s="15"/>
      <c r="W1347" s="15"/>
      <c r="X1347" s="14"/>
      <c r="Y1347" s="14"/>
      <c r="Z1347" s="15"/>
      <c r="AA1347" s="15"/>
    </row>
    <row r="1348" ht="15.0" customHeight="1">
      <c r="J1348" s="15"/>
      <c r="K1348" s="238"/>
      <c r="L1348" s="15"/>
      <c r="M1348" s="15"/>
      <c r="N1348" s="15"/>
      <c r="O1348" s="15"/>
      <c r="P1348" s="15"/>
      <c r="Q1348" s="15"/>
      <c r="R1348" s="15"/>
      <c r="S1348" s="15"/>
      <c r="T1348" s="15"/>
      <c r="U1348" s="15"/>
      <c r="V1348" s="15"/>
      <c r="W1348" s="15"/>
      <c r="X1348" s="14"/>
      <c r="Y1348" s="14"/>
      <c r="Z1348" s="15"/>
      <c r="AA1348" s="15"/>
    </row>
    <row r="1349" ht="15.0" customHeight="1">
      <c r="J1349" s="15"/>
      <c r="K1349" s="238"/>
      <c r="L1349" s="15"/>
      <c r="M1349" s="15"/>
      <c r="N1349" s="15"/>
      <c r="O1349" s="15"/>
      <c r="P1349" s="15"/>
      <c r="Q1349" s="15"/>
      <c r="R1349" s="15"/>
      <c r="S1349" s="15"/>
      <c r="T1349" s="15"/>
      <c r="U1349" s="15"/>
      <c r="V1349" s="15"/>
      <c r="W1349" s="15"/>
      <c r="X1349" s="14"/>
      <c r="Y1349" s="14"/>
      <c r="Z1349" s="15"/>
      <c r="AA1349" s="15"/>
    </row>
    <row r="1350" ht="15.0" customHeight="1">
      <c r="J1350" s="15"/>
      <c r="K1350" s="238"/>
      <c r="L1350" s="15"/>
      <c r="M1350" s="15"/>
      <c r="N1350" s="15"/>
      <c r="O1350" s="15"/>
      <c r="P1350" s="15"/>
      <c r="Q1350" s="15"/>
      <c r="R1350" s="15"/>
      <c r="S1350" s="15"/>
      <c r="T1350" s="15"/>
      <c r="U1350" s="15"/>
      <c r="V1350" s="15"/>
      <c r="W1350" s="15"/>
      <c r="X1350" s="14"/>
      <c r="Y1350" s="14"/>
      <c r="Z1350" s="15"/>
      <c r="AA1350" s="15"/>
    </row>
    <row r="1351" ht="15.0" customHeight="1">
      <c r="J1351" s="15"/>
      <c r="K1351" s="238"/>
      <c r="L1351" s="15"/>
      <c r="M1351" s="15"/>
      <c r="N1351" s="15"/>
      <c r="O1351" s="15"/>
      <c r="P1351" s="15"/>
      <c r="Q1351" s="15"/>
      <c r="R1351" s="15"/>
      <c r="S1351" s="15"/>
      <c r="T1351" s="15"/>
      <c r="U1351" s="15"/>
      <c r="V1351" s="15"/>
      <c r="W1351" s="15"/>
      <c r="X1351" s="14"/>
      <c r="Y1351" s="14"/>
      <c r="Z1351" s="15"/>
      <c r="AA1351" s="15"/>
    </row>
    <row r="1352" ht="15.0" customHeight="1">
      <c r="J1352" s="15"/>
      <c r="K1352" s="238"/>
      <c r="L1352" s="15"/>
      <c r="M1352" s="15"/>
      <c r="N1352" s="15"/>
      <c r="O1352" s="15"/>
      <c r="P1352" s="15"/>
      <c r="Q1352" s="15"/>
      <c r="R1352" s="15"/>
      <c r="S1352" s="15"/>
      <c r="T1352" s="15"/>
      <c r="U1352" s="15"/>
      <c r="V1352" s="15"/>
      <c r="W1352" s="15"/>
      <c r="X1352" s="14"/>
      <c r="Y1352" s="14"/>
      <c r="Z1352" s="15"/>
      <c r="AA1352" s="15"/>
    </row>
    <row r="1353" ht="15.0" customHeight="1">
      <c r="J1353" s="15"/>
      <c r="K1353" s="238"/>
      <c r="L1353" s="15"/>
      <c r="M1353" s="15"/>
      <c r="N1353" s="15"/>
      <c r="O1353" s="15"/>
      <c r="P1353" s="15"/>
      <c r="Q1353" s="15"/>
      <c r="R1353" s="15"/>
      <c r="S1353" s="15"/>
      <c r="T1353" s="15"/>
      <c r="U1353" s="15"/>
      <c r="V1353" s="15"/>
      <c r="W1353" s="15"/>
      <c r="X1353" s="14"/>
      <c r="Y1353" s="14"/>
      <c r="Z1353" s="15"/>
      <c r="AA1353" s="15"/>
    </row>
    <row r="1354" ht="15.0" customHeight="1">
      <c r="J1354" s="15"/>
      <c r="K1354" s="238"/>
      <c r="L1354" s="15"/>
      <c r="M1354" s="15"/>
      <c r="N1354" s="15"/>
      <c r="O1354" s="15"/>
      <c r="P1354" s="15"/>
      <c r="Q1354" s="15"/>
      <c r="R1354" s="15"/>
      <c r="S1354" s="15"/>
      <c r="T1354" s="15"/>
      <c r="U1354" s="15"/>
      <c r="V1354" s="15"/>
      <c r="W1354" s="15"/>
      <c r="X1354" s="14"/>
      <c r="Y1354" s="14"/>
      <c r="Z1354" s="15"/>
      <c r="AA1354" s="15"/>
    </row>
    <row r="1355" ht="15.0" customHeight="1">
      <c r="J1355" s="15"/>
      <c r="K1355" s="238"/>
      <c r="L1355" s="15"/>
      <c r="M1355" s="15"/>
      <c r="N1355" s="15"/>
      <c r="O1355" s="15"/>
      <c r="P1355" s="15"/>
      <c r="Q1355" s="15"/>
      <c r="R1355" s="15"/>
      <c r="S1355" s="15"/>
      <c r="T1355" s="15"/>
      <c r="U1355" s="15"/>
      <c r="V1355" s="15"/>
      <c r="W1355" s="15"/>
      <c r="X1355" s="14"/>
      <c r="Y1355" s="14"/>
      <c r="Z1355" s="15"/>
      <c r="AA1355" s="15"/>
    </row>
    <row r="1356" ht="15.0" customHeight="1">
      <c r="J1356" s="15"/>
      <c r="K1356" s="238"/>
      <c r="L1356" s="15"/>
      <c r="M1356" s="15"/>
      <c r="N1356" s="15"/>
      <c r="O1356" s="15"/>
      <c r="P1356" s="15"/>
      <c r="Q1356" s="15"/>
      <c r="R1356" s="15"/>
      <c r="S1356" s="15"/>
      <c r="T1356" s="15"/>
      <c r="U1356" s="15"/>
      <c r="V1356" s="15"/>
      <c r="W1356" s="15"/>
      <c r="X1356" s="14"/>
      <c r="Y1356" s="14"/>
      <c r="Z1356" s="15"/>
      <c r="AA1356" s="15"/>
    </row>
    <row r="1357" ht="15.0" customHeight="1">
      <c r="J1357" s="15"/>
      <c r="K1357" s="238"/>
      <c r="L1357" s="15"/>
      <c r="M1357" s="15"/>
      <c r="N1357" s="15"/>
      <c r="O1357" s="15"/>
      <c r="P1357" s="15"/>
      <c r="Q1357" s="15"/>
      <c r="R1357" s="15"/>
      <c r="S1357" s="15"/>
      <c r="T1357" s="15"/>
      <c r="U1357" s="15"/>
      <c r="V1357" s="15"/>
      <c r="W1357" s="15"/>
      <c r="X1357" s="14"/>
      <c r="Y1357" s="14"/>
      <c r="Z1357" s="15"/>
      <c r="AA1357" s="15"/>
    </row>
    <row r="1358" ht="15.0" customHeight="1">
      <c r="J1358" s="15"/>
      <c r="K1358" s="238"/>
      <c r="L1358" s="15"/>
      <c r="M1358" s="15"/>
      <c r="N1358" s="15"/>
      <c r="O1358" s="15"/>
      <c r="P1358" s="15"/>
      <c r="Q1358" s="15"/>
      <c r="R1358" s="15"/>
      <c r="S1358" s="15"/>
      <c r="T1358" s="15"/>
      <c r="U1358" s="15"/>
      <c r="V1358" s="15"/>
      <c r="W1358" s="15"/>
      <c r="X1358" s="14"/>
      <c r="Y1358" s="14"/>
      <c r="Z1358" s="15"/>
      <c r="AA1358" s="15"/>
    </row>
    <row r="1359" ht="15.0" customHeight="1">
      <c r="J1359" s="15"/>
      <c r="K1359" s="238"/>
      <c r="L1359" s="15"/>
      <c r="M1359" s="15"/>
      <c r="N1359" s="15"/>
      <c r="O1359" s="15"/>
      <c r="P1359" s="15"/>
      <c r="Q1359" s="15"/>
      <c r="R1359" s="15"/>
      <c r="S1359" s="15"/>
      <c r="T1359" s="15"/>
      <c r="U1359" s="15"/>
      <c r="V1359" s="15"/>
      <c r="W1359" s="15"/>
      <c r="X1359" s="14"/>
      <c r="Y1359" s="14"/>
      <c r="Z1359" s="15"/>
      <c r="AA1359" s="15"/>
    </row>
    <row r="1360" ht="15.0" customHeight="1">
      <c r="J1360" s="15"/>
      <c r="K1360" s="238"/>
      <c r="L1360" s="15"/>
      <c r="M1360" s="15"/>
      <c r="N1360" s="15"/>
      <c r="O1360" s="15"/>
      <c r="P1360" s="15"/>
      <c r="Q1360" s="15"/>
      <c r="R1360" s="15"/>
      <c r="S1360" s="15"/>
      <c r="T1360" s="15"/>
      <c r="U1360" s="15"/>
      <c r="V1360" s="15"/>
      <c r="W1360" s="15"/>
      <c r="X1360" s="14"/>
      <c r="Y1360" s="14"/>
      <c r="Z1360" s="15"/>
      <c r="AA1360" s="15"/>
    </row>
    <row r="1361" ht="15.0" customHeight="1">
      <c r="J1361" s="15"/>
      <c r="K1361" s="238"/>
      <c r="L1361" s="15"/>
      <c r="M1361" s="15"/>
      <c r="N1361" s="15"/>
      <c r="O1361" s="15"/>
      <c r="P1361" s="15"/>
      <c r="Q1361" s="15"/>
      <c r="R1361" s="15"/>
      <c r="S1361" s="15"/>
      <c r="T1361" s="15"/>
      <c r="U1361" s="15"/>
      <c r="V1361" s="15"/>
      <c r="W1361" s="15"/>
      <c r="X1361" s="14"/>
      <c r="Y1361" s="14"/>
      <c r="Z1361" s="15"/>
      <c r="AA1361" s="15"/>
    </row>
    <row r="1362" ht="15.0" customHeight="1">
      <c r="J1362" s="15"/>
      <c r="K1362" s="238"/>
      <c r="L1362" s="15"/>
      <c r="M1362" s="15"/>
      <c r="N1362" s="15"/>
      <c r="O1362" s="15"/>
      <c r="P1362" s="15"/>
      <c r="Q1362" s="15"/>
      <c r="R1362" s="15"/>
      <c r="S1362" s="15"/>
      <c r="T1362" s="15"/>
      <c r="U1362" s="15"/>
      <c r="V1362" s="15"/>
      <c r="W1362" s="15"/>
      <c r="X1362" s="14"/>
      <c r="Y1362" s="14"/>
      <c r="Z1362" s="15"/>
      <c r="AA1362" s="15"/>
    </row>
    <row r="1363" ht="15.0" customHeight="1">
      <c r="J1363" s="15"/>
      <c r="K1363" s="238"/>
      <c r="L1363" s="15"/>
      <c r="M1363" s="15"/>
      <c r="N1363" s="15"/>
      <c r="O1363" s="15"/>
      <c r="P1363" s="15"/>
      <c r="Q1363" s="15"/>
      <c r="R1363" s="15"/>
      <c r="S1363" s="15"/>
      <c r="T1363" s="15"/>
      <c r="U1363" s="15"/>
      <c r="V1363" s="15"/>
      <c r="W1363" s="15"/>
      <c r="X1363" s="14"/>
      <c r="Y1363" s="14"/>
      <c r="Z1363" s="15"/>
      <c r="AA1363" s="15"/>
    </row>
    <row r="1364" ht="15.0" customHeight="1">
      <c r="J1364" s="15"/>
      <c r="K1364" s="238"/>
      <c r="L1364" s="15"/>
      <c r="M1364" s="15"/>
      <c r="N1364" s="15"/>
      <c r="O1364" s="15"/>
      <c r="P1364" s="15"/>
      <c r="Q1364" s="15"/>
      <c r="R1364" s="15"/>
      <c r="S1364" s="15"/>
      <c r="T1364" s="15"/>
      <c r="U1364" s="15"/>
      <c r="V1364" s="15"/>
      <c r="W1364" s="15"/>
      <c r="X1364" s="14"/>
      <c r="Y1364" s="14"/>
      <c r="Z1364" s="15"/>
      <c r="AA1364" s="15"/>
    </row>
    <row r="1365" ht="15.0" customHeight="1">
      <c r="J1365" s="15"/>
      <c r="K1365" s="238"/>
      <c r="L1365" s="15"/>
      <c r="M1365" s="15"/>
      <c r="N1365" s="15"/>
      <c r="O1365" s="15"/>
      <c r="P1365" s="15"/>
      <c r="Q1365" s="15"/>
      <c r="R1365" s="15"/>
      <c r="S1365" s="15"/>
      <c r="T1365" s="15"/>
      <c r="U1365" s="15"/>
      <c r="V1365" s="15"/>
      <c r="W1365" s="15"/>
      <c r="X1365" s="14"/>
      <c r="Y1365" s="14"/>
      <c r="Z1365" s="15"/>
      <c r="AA1365" s="15"/>
    </row>
    <row r="1366" ht="15.0" customHeight="1">
      <c r="J1366" s="15"/>
      <c r="K1366" s="238"/>
      <c r="L1366" s="15"/>
      <c r="M1366" s="15"/>
      <c r="N1366" s="15"/>
      <c r="O1366" s="15"/>
      <c r="P1366" s="15"/>
      <c r="Q1366" s="15"/>
      <c r="R1366" s="15"/>
      <c r="S1366" s="15"/>
      <c r="T1366" s="15"/>
      <c r="U1366" s="15"/>
      <c r="V1366" s="15"/>
      <c r="W1366" s="15"/>
      <c r="X1366" s="14"/>
      <c r="Y1366" s="14"/>
      <c r="Z1366" s="15"/>
      <c r="AA1366" s="15"/>
    </row>
    <row r="1367" ht="15.0" customHeight="1">
      <c r="J1367" s="15"/>
      <c r="K1367" s="238"/>
      <c r="L1367" s="15"/>
      <c r="M1367" s="15"/>
      <c r="N1367" s="15"/>
      <c r="O1367" s="15"/>
      <c r="P1367" s="15"/>
      <c r="Q1367" s="15"/>
      <c r="R1367" s="15"/>
      <c r="S1367" s="15"/>
      <c r="T1367" s="15"/>
      <c r="U1367" s="15"/>
      <c r="V1367" s="15"/>
      <c r="W1367" s="15"/>
      <c r="X1367" s="14"/>
      <c r="Y1367" s="14"/>
      <c r="Z1367" s="15"/>
      <c r="AA1367" s="15"/>
    </row>
    <row r="1368" ht="15.0" customHeight="1">
      <c r="J1368" s="15"/>
      <c r="K1368" s="238"/>
      <c r="L1368" s="15"/>
      <c r="M1368" s="15"/>
      <c r="N1368" s="15"/>
      <c r="O1368" s="15"/>
      <c r="P1368" s="15"/>
      <c r="Q1368" s="15"/>
      <c r="R1368" s="15"/>
      <c r="S1368" s="15"/>
      <c r="T1368" s="15"/>
      <c r="U1368" s="15"/>
      <c r="V1368" s="15"/>
      <c r="W1368" s="15"/>
      <c r="X1368" s="14"/>
      <c r="Y1368" s="14"/>
      <c r="Z1368" s="15"/>
      <c r="AA1368" s="15"/>
    </row>
    <row r="1369" ht="15.0" customHeight="1">
      <c r="J1369" s="15"/>
      <c r="K1369" s="238"/>
      <c r="L1369" s="15"/>
      <c r="M1369" s="15"/>
      <c r="N1369" s="15"/>
      <c r="O1369" s="15"/>
      <c r="P1369" s="15"/>
      <c r="Q1369" s="15"/>
      <c r="R1369" s="15"/>
      <c r="S1369" s="15"/>
      <c r="T1369" s="15"/>
      <c r="U1369" s="15"/>
      <c r="V1369" s="15"/>
      <c r="W1369" s="15"/>
      <c r="X1369" s="14"/>
      <c r="Y1369" s="14"/>
      <c r="Z1369" s="15"/>
      <c r="AA1369" s="15"/>
    </row>
    <row r="1370" ht="15.0" customHeight="1">
      <c r="J1370" s="15"/>
      <c r="K1370" s="238"/>
      <c r="L1370" s="15"/>
      <c r="M1370" s="15"/>
      <c r="N1370" s="15"/>
      <c r="O1370" s="15"/>
      <c r="P1370" s="15"/>
      <c r="Q1370" s="15"/>
      <c r="R1370" s="15"/>
      <c r="S1370" s="15"/>
      <c r="T1370" s="15"/>
      <c r="U1370" s="15"/>
      <c r="V1370" s="15"/>
      <c r="W1370" s="15"/>
      <c r="X1370" s="14"/>
      <c r="Y1370" s="14"/>
      <c r="Z1370" s="15"/>
      <c r="AA1370" s="15"/>
    </row>
    <row r="1371" ht="15.0" customHeight="1">
      <c r="J1371" s="15"/>
      <c r="K1371" s="238"/>
      <c r="L1371" s="15"/>
      <c r="M1371" s="15"/>
      <c r="N1371" s="15"/>
      <c r="O1371" s="15"/>
      <c r="P1371" s="15"/>
      <c r="Q1371" s="15"/>
      <c r="R1371" s="15"/>
      <c r="S1371" s="15"/>
      <c r="T1371" s="15"/>
      <c r="U1371" s="15"/>
      <c r="V1371" s="15"/>
      <c r="W1371" s="15"/>
      <c r="X1371" s="14"/>
      <c r="Y1371" s="14"/>
      <c r="Z1371" s="15"/>
      <c r="AA1371" s="15"/>
    </row>
    <row r="1372" ht="15.0" customHeight="1">
      <c r="J1372" s="15"/>
      <c r="K1372" s="238"/>
      <c r="L1372" s="15"/>
      <c r="M1372" s="15"/>
      <c r="N1372" s="15"/>
      <c r="O1372" s="15"/>
      <c r="P1372" s="15"/>
      <c r="Q1372" s="15"/>
      <c r="R1372" s="15"/>
      <c r="S1372" s="15"/>
      <c r="T1372" s="15"/>
      <c r="U1372" s="15"/>
      <c r="V1372" s="15"/>
      <c r="W1372" s="15"/>
      <c r="X1372" s="14"/>
      <c r="Y1372" s="14"/>
      <c r="Z1372" s="15"/>
      <c r="AA1372" s="15"/>
    </row>
    <row r="1373" ht="15.0" customHeight="1">
      <c r="J1373" s="15"/>
      <c r="K1373" s="238"/>
      <c r="L1373" s="15"/>
      <c r="M1373" s="15"/>
      <c r="N1373" s="15"/>
      <c r="O1373" s="15"/>
      <c r="P1373" s="15"/>
      <c r="Q1373" s="15"/>
      <c r="R1373" s="15"/>
      <c r="S1373" s="15"/>
      <c r="T1373" s="15"/>
      <c r="U1373" s="15"/>
      <c r="V1373" s="15"/>
      <c r="W1373" s="15"/>
      <c r="X1373" s="14"/>
      <c r="Y1373" s="14"/>
      <c r="Z1373" s="15"/>
      <c r="AA1373" s="15"/>
    </row>
    <row r="1374" ht="15.0" customHeight="1">
      <c r="J1374" s="15"/>
      <c r="K1374" s="238"/>
      <c r="L1374" s="15"/>
      <c r="M1374" s="15"/>
      <c r="N1374" s="15"/>
      <c r="O1374" s="15"/>
      <c r="P1374" s="15"/>
      <c r="Q1374" s="15"/>
      <c r="R1374" s="15"/>
      <c r="S1374" s="15"/>
      <c r="T1374" s="15"/>
      <c r="U1374" s="15"/>
      <c r="V1374" s="15"/>
      <c r="W1374" s="15"/>
      <c r="X1374" s="14"/>
      <c r="Y1374" s="14"/>
      <c r="Z1374" s="15"/>
      <c r="AA1374" s="15"/>
    </row>
    <row r="1375" ht="15.0" customHeight="1">
      <c r="J1375" s="15"/>
      <c r="K1375" s="238"/>
      <c r="L1375" s="15"/>
      <c r="M1375" s="15"/>
      <c r="N1375" s="15"/>
      <c r="O1375" s="15"/>
      <c r="P1375" s="15"/>
      <c r="Q1375" s="15"/>
      <c r="R1375" s="15"/>
      <c r="S1375" s="15"/>
      <c r="T1375" s="15"/>
      <c r="U1375" s="15"/>
      <c r="V1375" s="15"/>
      <c r="W1375" s="15"/>
      <c r="X1375" s="14"/>
      <c r="Y1375" s="14"/>
      <c r="Z1375" s="15"/>
      <c r="AA1375" s="15"/>
    </row>
    <row r="1376" ht="15.0" customHeight="1">
      <c r="J1376" s="15"/>
      <c r="K1376" s="238"/>
      <c r="L1376" s="15"/>
      <c r="M1376" s="15"/>
      <c r="N1376" s="15"/>
      <c r="O1376" s="15"/>
      <c r="P1376" s="15"/>
      <c r="Q1376" s="15"/>
      <c r="R1376" s="15"/>
      <c r="S1376" s="15"/>
      <c r="T1376" s="15"/>
      <c r="U1376" s="15"/>
      <c r="V1376" s="15"/>
      <c r="W1376" s="15"/>
      <c r="X1376" s="14"/>
      <c r="Y1376" s="14"/>
      <c r="Z1376" s="15"/>
      <c r="AA1376" s="15"/>
    </row>
    <row r="1377" ht="15.0" customHeight="1">
      <c r="J1377" s="15"/>
      <c r="K1377" s="238"/>
      <c r="L1377" s="15"/>
      <c r="M1377" s="15"/>
      <c r="N1377" s="15"/>
      <c r="O1377" s="15"/>
      <c r="P1377" s="15"/>
      <c r="Q1377" s="15"/>
      <c r="R1377" s="15"/>
      <c r="S1377" s="15"/>
      <c r="T1377" s="15"/>
      <c r="U1377" s="15"/>
      <c r="V1377" s="15"/>
      <c r="W1377" s="15"/>
      <c r="X1377" s="14"/>
      <c r="Y1377" s="14"/>
      <c r="Z1377" s="15"/>
      <c r="AA1377" s="15"/>
    </row>
    <row r="1378" ht="15.0" customHeight="1">
      <c r="J1378" s="15"/>
      <c r="K1378" s="238"/>
      <c r="L1378" s="15"/>
      <c r="M1378" s="15"/>
      <c r="N1378" s="15"/>
      <c r="O1378" s="15"/>
      <c r="P1378" s="15"/>
      <c r="Q1378" s="15"/>
      <c r="R1378" s="15"/>
      <c r="S1378" s="15"/>
      <c r="T1378" s="15"/>
      <c r="U1378" s="15"/>
      <c r="V1378" s="15"/>
      <c r="W1378" s="15"/>
      <c r="X1378" s="14"/>
      <c r="Y1378" s="14"/>
      <c r="Z1378" s="15"/>
      <c r="AA1378" s="15"/>
    </row>
    <row r="1379" ht="15.0" customHeight="1">
      <c r="J1379" s="15"/>
      <c r="K1379" s="238"/>
      <c r="L1379" s="15"/>
      <c r="M1379" s="15"/>
      <c r="N1379" s="15"/>
      <c r="O1379" s="15"/>
      <c r="P1379" s="15"/>
      <c r="Q1379" s="15"/>
      <c r="R1379" s="15"/>
      <c r="S1379" s="15"/>
      <c r="T1379" s="15"/>
      <c r="U1379" s="15"/>
      <c r="V1379" s="15"/>
      <c r="W1379" s="15"/>
      <c r="X1379" s="14"/>
      <c r="Y1379" s="14"/>
      <c r="Z1379" s="15"/>
      <c r="AA1379" s="15"/>
    </row>
    <row r="1380" ht="15.0" customHeight="1">
      <c r="J1380" s="15"/>
      <c r="K1380" s="238"/>
      <c r="L1380" s="15"/>
      <c r="M1380" s="15"/>
      <c r="N1380" s="15"/>
      <c r="O1380" s="15"/>
      <c r="P1380" s="15"/>
      <c r="Q1380" s="15"/>
      <c r="R1380" s="15"/>
      <c r="S1380" s="15"/>
      <c r="T1380" s="15"/>
      <c r="U1380" s="15"/>
      <c r="V1380" s="15"/>
      <c r="W1380" s="15"/>
      <c r="X1380" s="14"/>
      <c r="Y1380" s="14"/>
      <c r="Z1380" s="15"/>
      <c r="AA1380" s="15"/>
    </row>
    <row r="1381" ht="15.0" customHeight="1">
      <c r="J1381" s="15"/>
      <c r="K1381" s="238"/>
      <c r="L1381" s="15"/>
      <c r="M1381" s="15"/>
      <c r="N1381" s="15"/>
      <c r="O1381" s="15"/>
      <c r="P1381" s="15"/>
      <c r="Q1381" s="15"/>
      <c r="R1381" s="15"/>
      <c r="S1381" s="15"/>
      <c r="T1381" s="15"/>
      <c r="U1381" s="15"/>
      <c r="V1381" s="15"/>
      <c r="W1381" s="15"/>
      <c r="X1381" s="14"/>
      <c r="Y1381" s="14"/>
      <c r="Z1381" s="15"/>
      <c r="AA1381" s="15"/>
    </row>
    <row r="1382" ht="15.0" customHeight="1">
      <c r="J1382" s="15"/>
      <c r="K1382" s="238"/>
      <c r="L1382" s="15"/>
      <c r="M1382" s="15"/>
      <c r="N1382" s="15"/>
      <c r="O1382" s="15"/>
      <c r="P1382" s="15"/>
      <c r="Q1382" s="15"/>
      <c r="R1382" s="15"/>
      <c r="S1382" s="15"/>
      <c r="T1382" s="15"/>
      <c r="U1382" s="15"/>
      <c r="V1382" s="15"/>
      <c r="W1382" s="15"/>
      <c r="X1382" s="14"/>
      <c r="Y1382" s="14"/>
      <c r="Z1382" s="15"/>
      <c r="AA1382" s="15"/>
    </row>
    <row r="1383" ht="15.0" customHeight="1">
      <c r="J1383" s="15"/>
      <c r="K1383" s="238"/>
      <c r="L1383" s="15"/>
      <c r="M1383" s="15"/>
      <c r="N1383" s="15"/>
      <c r="O1383" s="15"/>
      <c r="P1383" s="15"/>
      <c r="Q1383" s="15"/>
      <c r="R1383" s="15"/>
      <c r="S1383" s="15"/>
      <c r="T1383" s="15"/>
      <c r="U1383" s="15"/>
      <c r="V1383" s="15"/>
      <c r="W1383" s="15"/>
      <c r="X1383" s="14"/>
      <c r="Y1383" s="14"/>
      <c r="Z1383" s="15"/>
      <c r="AA1383" s="15"/>
    </row>
    <row r="1384" ht="15.0" customHeight="1">
      <c r="J1384" s="15"/>
      <c r="K1384" s="238"/>
      <c r="L1384" s="15"/>
      <c r="M1384" s="15"/>
      <c r="N1384" s="15"/>
      <c r="O1384" s="15"/>
      <c r="P1384" s="15"/>
      <c r="Q1384" s="15"/>
      <c r="R1384" s="15"/>
      <c r="S1384" s="15"/>
      <c r="T1384" s="15"/>
      <c r="U1384" s="15"/>
      <c r="V1384" s="15"/>
      <c r="W1384" s="15"/>
      <c r="X1384" s="14"/>
      <c r="Y1384" s="14"/>
      <c r="Z1384" s="15"/>
      <c r="AA1384" s="15"/>
    </row>
    <row r="1385" ht="15.0" customHeight="1">
      <c r="J1385" s="15"/>
      <c r="K1385" s="238"/>
      <c r="L1385" s="15"/>
      <c r="M1385" s="15"/>
      <c r="N1385" s="15"/>
      <c r="O1385" s="15"/>
      <c r="P1385" s="15"/>
      <c r="Q1385" s="15"/>
      <c r="R1385" s="15"/>
      <c r="S1385" s="15"/>
      <c r="T1385" s="15"/>
      <c r="U1385" s="15"/>
      <c r="V1385" s="15"/>
      <c r="W1385" s="15"/>
      <c r="X1385" s="14"/>
      <c r="Y1385" s="14"/>
      <c r="Z1385" s="15"/>
      <c r="AA1385" s="15"/>
    </row>
    <row r="1386" ht="15.0" customHeight="1">
      <c r="J1386" s="15"/>
      <c r="K1386" s="238"/>
      <c r="L1386" s="15"/>
      <c r="M1386" s="15"/>
      <c r="N1386" s="15"/>
      <c r="O1386" s="15"/>
      <c r="P1386" s="15"/>
      <c r="Q1386" s="15"/>
      <c r="R1386" s="15"/>
      <c r="S1386" s="15"/>
      <c r="T1386" s="15"/>
      <c r="U1386" s="15"/>
      <c r="V1386" s="15"/>
      <c r="W1386" s="15"/>
      <c r="X1386" s="14"/>
      <c r="Y1386" s="14"/>
      <c r="Z1386" s="15"/>
      <c r="AA1386" s="15"/>
    </row>
    <row r="1387" ht="15.0" customHeight="1">
      <c r="J1387" s="15"/>
      <c r="K1387" s="238"/>
      <c r="L1387" s="15"/>
      <c r="M1387" s="15"/>
      <c r="N1387" s="15"/>
      <c r="O1387" s="15"/>
      <c r="P1387" s="15"/>
      <c r="Q1387" s="15"/>
      <c r="R1387" s="15"/>
      <c r="S1387" s="15"/>
      <c r="T1387" s="15"/>
      <c r="U1387" s="15"/>
      <c r="V1387" s="15"/>
      <c r="W1387" s="15"/>
      <c r="X1387" s="14"/>
      <c r="Y1387" s="14"/>
      <c r="Z1387" s="15"/>
      <c r="AA1387" s="15"/>
    </row>
    <row r="1388" ht="15.0" customHeight="1">
      <c r="J1388" s="15"/>
      <c r="K1388" s="238"/>
      <c r="L1388" s="15"/>
      <c r="M1388" s="15"/>
      <c r="N1388" s="15"/>
      <c r="O1388" s="15"/>
      <c r="P1388" s="15"/>
      <c r="Q1388" s="15"/>
      <c r="R1388" s="15"/>
      <c r="S1388" s="15"/>
      <c r="T1388" s="15"/>
      <c r="U1388" s="15"/>
      <c r="V1388" s="15"/>
      <c r="W1388" s="15"/>
      <c r="X1388" s="14"/>
      <c r="Y1388" s="14"/>
      <c r="Z1388" s="15"/>
      <c r="AA1388" s="15"/>
    </row>
    <row r="1389" ht="15.0" customHeight="1">
      <c r="J1389" s="15"/>
      <c r="K1389" s="238"/>
      <c r="L1389" s="15"/>
      <c r="M1389" s="15"/>
      <c r="N1389" s="15"/>
      <c r="O1389" s="15"/>
      <c r="P1389" s="15"/>
      <c r="Q1389" s="15"/>
      <c r="R1389" s="15"/>
      <c r="S1389" s="15"/>
      <c r="T1389" s="15"/>
      <c r="U1389" s="15"/>
      <c r="V1389" s="15"/>
      <c r="W1389" s="15"/>
      <c r="X1389" s="14"/>
      <c r="Y1389" s="14"/>
      <c r="Z1389" s="15"/>
      <c r="AA1389" s="15"/>
    </row>
    <row r="1390" ht="15.0" customHeight="1">
      <c r="J1390" s="15"/>
      <c r="K1390" s="238"/>
      <c r="L1390" s="15"/>
      <c r="M1390" s="15"/>
      <c r="N1390" s="15"/>
      <c r="O1390" s="15"/>
      <c r="P1390" s="15"/>
      <c r="Q1390" s="15"/>
      <c r="R1390" s="15"/>
      <c r="S1390" s="15"/>
      <c r="T1390" s="15"/>
      <c r="U1390" s="15"/>
      <c r="V1390" s="15"/>
      <c r="W1390" s="15"/>
      <c r="X1390" s="14"/>
      <c r="Y1390" s="14"/>
      <c r="Z1390" s="15"/>
      <c r="AA1390" s="15"/>
    </row>
    <row r="1391" ht="15.0" customHeight="1">
      <c r="J1391" s="15"/>
      <c r="K1391" s="238"/>
      <c r="L1391" s="15"/>
      <c r="M1391" s="15"/>
      <c r="N1391" s="15"/>
      <c r="O1391" s="15"/>
      <c r="P1391" s="15"/>
      <c r="Q1391" s="15"/>
      <c r="R1391" s="15"/>
      <c r="S1391" s="15"/>
      <c r="T1391" s="15"/>
      <c r="U1391" s="15"/>
      <c r="V1391" s="15"/>
      <c r="W1391" s="15"/>
      <c r="X1391" s="14"/>
      <c r="Y1391" s="14"/>
      <c r="Z1391" s="15"/>
      <c r="AA1391" s="15"/>
    </row>
    <row r="1392" ht="15.0" customHeight="1">
      <c r="J1392" s="15"/>
      <c r="K1392" s="238"/>
      <c r="L1392" s="15"/>
      <c r="M1392" s="15"/>
      <c r="N1392" s="15"/>
      <c r="O1392" s="15"/>
      <c r="P1392" s="15"/>
      <c r="Q1392" s="15"/>
      <c r="R1392" s="15"/>
      <c r="S1392" s="15"/>
      <c r="T1392" s="15"/>
      <c r="U1392" s="15"/>
      <c r="V1392" s="15"/>
      <c r="W1392" s="15"/>
      <c r="X1392" s="14"/>
      <c r="Y1392" s="14"/>
      <c r="Z1392" s="15"/>
      <c r="AA1392" s="15"/>
    </row>
    <row r="1393" ht="15.0" customHeight="1">
      <c r="J1393" s="15"/>
      <c r="K1393" s="238"/>
      <c r="L1393" s="15"/>
      <c r="M1393" s="15"/>
      <c r="N1393" s="15"/>
      <c r="O1393" s="15"/>
      <c r="P1393" s="15"/>
      <c r="Q1393" s="15"/>
      <c r="R1393" s="15"/>
      <c r="S1393" s="15"/>
      <c r="T1393" s="15"/>
      <c r="U1393" s="15"/>
      <c r="V1393" s="15"/>
      <c r="W1393" s="15"/>
      <c r="X1393" s="14"/>
      <c r="Y1393" s="14"/>
      <c r="Z1393" s="15"/>
      <c r="AA1393" s="15"/>
    </row>
    <row r="1394" ht="15.0" customHeight="1">
      <c r="J1394" s="15"/>
      <c r="K1394" s="238"/>
      <c r="L1394" s="15"/>
      <c r="M1394" s="15"/>
      <c r="N1394" s="15"/>
      <c r="O1394" s="15"/>
      <c r="P1394" s="15"/>
      <c r="Q1394" s="15"/>
      <c r="R1394" s="15"/>
      <c r="S1394" s="15"/>
      <c r="T1394" s="15"/>
      <c r="U1394" s="15"/>
      <c r="V1394" s="15"/>
      <c r="W1394" s="15"/>
      <c r="X1394" s="14"/>
      <c r="Y1394" s="14"/>
      <c r="Z1394" s="15"/>
      <c r="AA1394" s="15"/>
    </row>
    <row r="1395" ht="15.0" customHeight="1">
      <c r="J1395" s="15"/>
      <c r="K1395" s="238"/>
      <c r="L1395" s="15"/>
      <c r="M1395" s="15"/>
      <c r="N1395" s="15"/>
      <c r="O1395" s="15"/>
      <c r="P1395" s="15"/>
      <c r="Q1395" s="15"/>
      <c r="R1395" s="15"/>
      <c r="S1395" s="15"/>
      <c r="T1395" s="15"/>
      <c r="U1395" s="15"/>
      <c r="V1395" s="15"/>
      <c r="W1395" s="15"/>
      <c r="X1395" s="14"/>
      <c r="Y1395" s="14"/>
      <c r="Z1395" s="15"/>
      <c r="AA1395" s="15"/>
    </row>
    <row r="1396" ht="15.0" customHeight="1">
      <c r="J1396" s="15"/>
      <c r="K1396" s="238"/>
      <c r="L1396" s="15"/>
      <c r="M1396" s="15"/>
      <c r="N1396" s="15"/>
      <c r="O1396" s="15"/>
      <c r="P1396" s="15"/>
      <c r="Q1396" s="15"/>
      <c r="R1396" s="15"/>
      <c r="S1396" s="15"/>
      <c r="T1396" s="15"/>
      <c r="U1396" s="15"/>
      <c r="V1396" s="15"/>
      <c r="W1396" s="15"/>
      <c r="X1396" s="14"/>
      <c r="Y1396" s="14"/>
      <c r="Z1396" s="15"/>
      <c r="AA1396" s="15"/>
    </row>
    <row r="1397" ht="15.0" customHeight="1">
      <c r="J1397" s="15"/>
      <c r="K1397" s="238"/>
      <c r="L1397" s="15"/>
      <c r="M1397" s="15"/>
      <c r="N1397" s="15"/>
      <c r="O1397" s="15"/>
      <c r="P1397" s="15"/>
      <c r="Q1397" s="15"/>
      <c r="R1397" s="15"/>
      <c r="S1397" s="15"/>
      <c r="T1397" s="15"/>
      <c r="U1397" s="15"/>
      <c r="V1397" s="15"/>
      <c r="W1397" s="15"/>
      <c r="X1397" s="14"/>
      <c r="Y1397" s="14"/>
      <c r="Z1397" s="15"/>
      <c r="AA1397" s="15"/>
    </row>
    <row r="1398" ht="15.0" customHeight="1">
      <c r="J1398" s="15"/>
      <c r="K1398" s="238"/>
      <c r="L1398" s="15"/>
      <c r="M1398" s="15"/>
      <c r="N1398" s="15"/>
      <c r="O1398" s="15"/>
      <c r="P1398" s="15"/>
      <c r="Q1398" s="15"/>
      <c r="R1398" s="15"/>
      <c r="S1398" s="15"/>
      <c r="T1398" s="15"/>
      <c r="U1398" s="15"/>
      <c r="V1398" s="15"/>
      <c r="W1398" s="15"/>
      <c r="X1398" s="14"/>
      <c r="Y1398" s="14"/>
      <c r="Z1398" s="15"/>
      <c r="AA1398" s="15"/>
    </row>
    <row r="1399" ht="15.0" customHeight="1">
      <c r="J1399" s="15"/>
      <c r="K1399" s="238"/>
      <c r="L1399" s="15"/>
      <c r="M1399" s="15"/>
      <c r="N1399" s="15"/>
      <c r="O1399" s="15"/>
      <c r="P1399" s="15"/>
      <c r="Q1399" s="15"/>
      <c r="R1399" s="15"/>
      <c r="S1399" s="15"/>
      <c r="T1399" s="15"/>
      <c r="U1399" s="15"/>
      <c r="V1399" s="15"/>
      <c r="W1399" s="15"/>
      <c r="X1399" s="14"/>
      <c r="Y1399" s="14"/>
      <c r="Z1399" s="15"/>
      <c r="AA1399" s="15"/>
    </row>
    <row r="1400" ht="15.0" customHeight="1">
      <c r="J1400" s="15"/>
      <c r="K1400" s="238"/>
      <c r="L1400" s="15"/>
      <c r="M1400" s="15"/>
      <c r="N1400" s="15"/>
      <c r="O1400" s="15"/>
      <c r="P1400" s="15"/>
      <c r="Q1400" s="15"/>
      <c r="R1400" s="15"/>
      <c r="S1400" s="15"/>
      <c r="T1400" s="15"/>
      <c r="U1400" s="15"/>
      <c r="V1400" s="15"/>
      <c r="W1400" s="15"/>
      <c r="X1400" s="14"/>
      <c r="Y1400" s="14"/>
      <c r="Z1400" s="15"/>
      <c r="AA1400" s="15"/>
    </row>
    <row r="1401" ht="15.0" customHeight="1">
      <c r="J1401" s="15"/>
      <c r="K1401" s="238"/>
      <c r="L1401" s="15"/>
      <c r="M1401" s="15"/>
      <c r="N1401" s="15"/>
      <c r="O1401" s="15"/>
      <c r="P1401" s="15"/>
      <c r="Q1401" s="15"/>
      <c r="R1401" s="15"/>
      <c r="S1401" s="15"/>
      <c r="T1401" s="15"/>
      <c r="U1401" s="15"/>
      <c r="V1401" s="15"/>
      <c r="W1401" s="15"/>
      <c r="X1401" s="14"/>
      <c r="Y1401" s="14"/>
      <c r="Z1401" s="15"/>
      <c r="AA1401" s="15"/>
    </row>
    <row r="1402" ht="15.0" customHeight="1">
      <c r="J1402" s="15"/>
      <c r="K1402" s="238"/>
      <c r="L1402" s="15"/>
      <c r="M1402" s="15"/>
      <c r="N1402" s="15"/>
      <c r="O1402" s="15"/>
      <c r="P1402" s="15"/>
      <c r="Q1402" s="15"/>
      <c r="R1402" s="15"/>
      <c r="S1402" s="15"/>
      <c r="T1402" s="15"/>
      <c r="U1402" s="15"/>
      <c r="V1402" s="15"/>
      <c r="W1402" s="15"/>
      <c r="X1402" s="14"/>
      <c r="Y1402" s="14"/>
      <c r="Z1402" s="15"/>
      <c r="AA1402" s="15"/>
    </row>
    <row r="1403" ht="15.0" customHeight="1">
      <c r="J1403" s="15"/>
      <c r="K1403" s="238"/>
      <c r="L1403" s="15"/>
      <c r="M1403" s="15"/>
      <c r="N1403" s="15"/>
      <c r="O1403" s="15"/>
      <c r="P1403" s="15"/>
      <c r="Q1403" s="15"/>
      <c r="R1403" s="15"/>
      <c r="S1403" s="15"/>
      <c r="T1403" s="15"/>
      <c r="U1403" s="15"/>
      <c r="V1403" s="15"/>
      <c r="W1403" s="15"/>
      <c r="X1403" s="14"/>
      <c r="Y1403" s="14"/>
      <c r="Z1403" s="15"/>
      <c r="AA1403" s="15"/>
    </row>
    <row r="1404" ht="15.0" customHeight="1">
      <c r="J1404" s="15"/>
      <c r="K1404" s="238"/>
      <c r="L1404" s="15"/>
      <c r="M1404" s="15"/>
      <c r="N1404" s="15"/>
      <c r="O1404" s="15"/>
      <c r="P1404" s="15"/>
      <c r="Q1404" s="15"/>
      <c r="R1404" s="15"/>
      <c r="S1404" s="15"/>
      <c r="T1404" s="15"/>
      <c r="U1404" s="15"/>
      <c r="V1404" s="15"/>
      <c r="W1404" s="15"/>
      <c r="X1404" s="14"/>
      <c r="Y1404" s="14"/>
      <c r="Z1404" s="15"/>
      <c r="AA1404" s="15"/>
    </row>
    <row r="1405" ht="15.0" customHeight="1">
      <c r="J1405" s="15"/>
      <c r="K1405" s="238"/>
      <c r="L1405" s="15"/>
      <c r="M1405" s="15"/>
      <c r="N1405" s="15"/>
      <c r="O1405" s="15"/>
      <c r="P1405" s="15"/>
      <c r="Q1405" s="15"/>
      <c r="R1405" s="15"/>
      <c r="S1405" s="15"/>
      <c r="T1405" s="15"/>
      <c r="U1405" s="15"/>
      <c r="V1405" s="15"/>
      <c r="W1405" s="15"/>
      <c r="X1405" s="14"/>
      <c r="Y1405" s="14"/>
      <c r="Z1405" s="15"/>
      <c r="AA1405" s="15"/>
    </row>
    <row r="1406" ht="15.0" customHeight="1">
      <c r="J1406" s="15"/>
      <c r="K1406" s="238"/>
      <c r="L1406" s="15"/>
      <c r="M1406" s="15"/>
      <c r="N1406" s="15"/>
      <c r="O1406" s="15"/>
      <c r="P1406" s="15"/>
      <c r="Q1406" s="15"/>
      <c r="R1406" s="15"/>
      <c r="S1406" s="15"/>
      <c r="T1406" s="15"/>
      <c r="U1406" s="15"/>
      <c r="V1406" s="15"/>
      <c r="W1406" s="15"/>
      <c r="X1406" s="14"/>
      <c r="Y1406" s="14"/>
      <c r="Z1406" s="15"/>
      <c r="AA1406" s="15"/>
    </row>
    <row r="1407" ht="15.0" customHeight="1">
      <c r="J1407" s="15"/>
      <c r="K1407" s="238"/>
      <c r="L1407" s="15"/>
      <c r="M1407" s="15"/>
      <c r="N1407" s="15"/>
      <c r="O1407" s="15"/>
      <c r="P1407" s="15"/>
      <c r="Q1407" s="15"/>
      <c r="R1407" s="15"/>
      <c r="S1407" s="15"/>
      <c r="T1407" s="15"/>
      <c r="U1407" s="15"/>
      <c r="V1407" s="15"/>
      <c r="W1407" s="15"/>
      <c r="X1407" s="14"/>
      <c r="Y1407" s="14"/>
      <c r="Z1407" s="15"/>
      <c r="AA1407" s="15"/>
    </row>
    <row r="1408" ht="15.0" customHeight="1">
      <c r="J1408" s="15"/>
      <c r="K1408" s="238"/>
      <c r="L1408" s="15"/>
      <c r="M1408" s="15"/>
      <c r="N1408" s="15"/>
      <c r="O1408" s="15"/>
      <c r="P1408" s="15"/>
      <c r="Q1408" s="15"/>
      <c r="R1408" s="15"/>
      <c r="S1408" s="15"/>
      <c r="T1408" s="15"/>
      <c r="U1408" s="15"/>
      <c r="V1408" s="15"/>
      <c r="W1408" s="15"/>
      <c r="X1408" s="14"/>
      <c r="Y1408" s="14"/>
      <c r="Z1408" s="15"/>
      <c r="AA1408" s="15"/>
    </row>
    <row r="1409" ht="15.0" customHeight="1">
      <c r="J1409" s="15"/>
      <c r="K1409" s="238"/>
      <c r="L1409" s="15"/>
      <c r="M1409" s="15"/>
      <c r="N1409" s="15"/>
      <c r="O1409" s="15"/>
      <c r="P1409" s="15"/>
      <c r="Q1409" s="15"/>
      <c r="R1409" s="15"/>
      <c r="S1409" s="15"/>
      <c r="T1409" s="15"/>
      <c r="U1409" s="15"/>
      <c r="V1409" s="15"/>
      <c r="W1409" s="15"/>
      <c r="X1409" s="14"/>
      <c r="Y1409" s="14"/>
      <c r="Z1409" s="15"/>
      <c r="AA1409" s="15"/>
    </row>
    <row r="1410" ht="15.0" customHeight="1">
      <c r="J1410" s="15"/>
      <c r="K1410" s="238"/>
      <c r="L1410" s="15"/>
      <c r="M1410" s="15"/>
      <c r="N1410" s="15"/>
      <c r="O1410" s="15"/>
      <c r="P1410" s="15"/>
      <c r="Q1410" s="15"/>
      <c r="R1410" s="15"/>
      <c r="S1410" s="15"/>
      <c r="T1410" s="15"/>
      <c r="U1410" s="15"/>
      <c r="V1410" s="15"/>
      <c r="W1410" s="15"/>
      <c r="X1410" s="14"/>
      <c r="Y1410" s="14"/>
      <c r="Z1410" s="15"/>
      <c r="AA1410" s="15"/>
    </row>
    <row r="1411" ht="15.0" customHeight="1">
      <c r="J1411" s="15"/>
      <c r="K1411" s="238"/>
      <c r="L1411" s="15"/>
      <c r="M1411" s="15"/>
      <c r="N1411" s="15"/>
      <c r="O1411" s="15"/>
      <c r="P1411" s="15"/>
      <c r="Q1411" s="15"/>
      <c r="R1411" s="15"/>
      <c r="S1411" s="15"/>
      <c r="T1411" s="15"/>
      <c r="U1411" s="15"/>
      <c r="V1411" s="15"/>
      <c r="W1411" s="15"/>
      <c r="X1411" s="14"/>
      <c r="Y1411" s="14"/>
      <c r="Z1411" s="15"/>
      <c r="AA1411" s="15"/>
    </row>
    <row r="1412" ht="15.0" customHeight="1">
      <c r="J1412" s="15"/>
      <c r="K1412" s="238"/>
      <c r="L1412" s="15"/>
      <c r="M1412" s="15"/>
      <c r="N1412" s="15"/>
      <c r="O1412" s="15"/>
      <c r="P1412" s="15"/>
      <c r="Q1412" s="15"/>
      <c r="R1412" s="15"/>
      <c r="S1412" s="15"/>
      <c r="T1412" s="15"/>
      <c r="U1412" s="15"/>
      <c r="V1412" s="15"/>
      <c r="W1412" s="15"/>
      <c r="X1412" s="14"/>
      <c r="Y1412" s="14"/>
      <c r="Z1412" s="15"/>
      <c r="AA1412" s="15"/>
    </row>
    <row r="1413" ht="15.0" customHeight="1">
      <c r="J1413" s="15"/>
      <c r="K1413" s="238"/>
      <c r="L1413" s="15"/>
      <c r="M1413" s="15"/>
      <c r="N1413" s="15"/>
      <c r="O1413" s="15"/>
      <c r="P1413" s="15"/>
      <c r="Q1413" s="15"/>
      <c r="R1413" s="15"/>
      <c r="S1413" s="15"/>
      <c r="T1413" s="15"/>
      <c r="U1413" s="15"/>
      <c r="V1413" s="15"/>
      <c r="W1413" s="15"/>
      <c r="X1413" s="14"/>
      <c r="Y1413" s="14"/>
      <c r="Z1413" s="15"/>
      <c r="AA1413" s="15"/>
    </row>
    <row r="1414" ht="15.0" customHeight="1">
      <c r="J1414" s="15"/>
      <c r="K1414" s="238"/>
      <c r="L1414" s="15"/>
      <c r="M1414" s="15"/>
      <c r="N1414" s="15"/>
      <c r="O1414" s="15"/>
      <c r="P1414" s="15"/>
      <c r="Q1414" s="15"/>
      <c r="R1414" s="15"/>
      <c r="S1414" s="15"/>
      <c r="T1414" s="15"/>
      <c r="U1414" s="15"/>
      <c r="V1414" s="15"/>
      <c r="W1414" s="15"/>
      <c r="X1414" s="14"/>
      <c r="Y1414" s="14"/>
      <c r="Z1414" s="15"/>
      <c r="AA1414" s="15"/>
    </row>
    <row r="1415" ht="15.0" customHeight="1">
      <c r="J1415" s="15"/>
      <c r="K1415" s="238"/>
      <c r="L1415" s="15"/>
      <c r="M1415" s="15"/>
      <c r="N1415" s="15"/>
      <c r="O1415" s="15"/>
      <c r="P1415" s="15"/>
      <c r="Q1415" s="15"/>
      <c r="R1415" s="15"/>
      <c r="S1415" s="15"/>
      <c r="T1415" s="15"/>
      <c r="U1415" s="15"/>
      <c r="V1415" s="15"/>
      <c r="W1415" s="15"/>
      <c r="X1415" s="14"/>
      <c r="Y1415" s="14"/>
      <c r="Z1415" s="15"/>
      <c r="AA1415" s="15"/>
    </row>
    <row r="1416" ht="15.0" customHeight="1">
      <c r="J1416" s="15"/>
      <c r="K1416" s="238"/>
      <c r="L1416" s="15"/>
      <c r="M1416" s="15"/>
      <c r="N1416" s="15"/>
      <c r="O1416" s="15"/>
      <c r="P1416" s="15"/>
      <c r="Q1416" s="15"/>
      <c r="R1416" s="15"/>
      <c r="S1416" s="15"/>
      <c r="T1416" s="15"/>
      <c r="U1416" s="15"/>
      <c r="V1416" s="15"/>
      <c r="W1416" s="15"/>
      <c r="X1416" s="14"/>
      <c r="Y1416" s="14"/>
      <c r="Z1416" s="15"/>
      <c r="AA1416" s="15"/>
    </row>
    <row r="1417" ht="15.0" customHeight="1">
      <c r="J1417" s="15"/>
      <c r="K1417" s="238"/>
      <c r="L1417" s="15"/>
      <c r="M1417" s="15"/>
      <c r="N1417" s="15"/>
      <c r="O1417" s="15"/>
      <c r="P1417" s="15"/>
      <c r="Q1417" s="15"/>
      <c r="R1417" s="15"/>
      <c r="S1417" s="15"/>
      <c r="T1417" s="15"/>
      <c r="U1417" s="15"/>
      <c r="V1417" s="15"/>
      <c r="W1417" s="15"/>
      <c r="X1417" s="14"/>
      <c r="Y1417" s="14"/>
      <c r="Z1417" s="15"/>
      <c r="AA1417" s="15"/>
    </row>
    <row r="1418" ht="15.0" customHeight="1">
      <c r="J1418" s="15"/>
      <c r="K1418" s="238"/>
      <c r="L1418" s="15"/>
      <c r="M1418" s="15"/>
      <c r="N1418" s="15"/>
      <c r="O1418" s="15"/>
      <c r="P1418" s="15"/>
      <c r="Q1418" s="15"/>
      <c r="R1418" s="15"/>
      <c r="S1418" s="15"/>
      <c r="T1418" s="15"/>
      <c r="U1418" s="15"/>
      <c r="V1418" s="15"/>
      <c r="W1418" s="15"/>
      <c r="X1418" s="14"/>
      <c r="Y1418" s="14"/>
      <c r="Z1418" s="15"/>
      <c r="AA1418" s="15"/>
    </row>
    <row r="1419" ht="15.0" customHeight="1">
      <c r="J1419" s="15"/>
      <c r="K1419" s="238"/>
      <c r="L1419" s="15"/>
      <c r="M1419" s="15"/>
      <c r="N1419" s="15"/>
      <c r="O1419" s="15"/>
      <c r="P1419" s="15"/>
      <c r="Q1419" s="15"/>
      <c r="R1419" s="15"/>
      <c r="S1419" s="15"/>
      <c r="T1419" s="15"/>
      <c r="U1419" s="15"/>
      <c r="V1419" s="15"/>
      <c r="W1419" s="15"/>
      <c r="X1419" s="14"/>
      <c r="Y1419" s="14"/>
      <c r="Z1419" s="15"/>
      <c r="AA1419" s="15"/>
    </row>
    <row r="1420" ht="15.0" customHeight="1">
      <c r="J1420" s="15"/>
      <c r="K1420" s="238"/>
      <c r="L1420" s="15"/>
      <c r="M1420" s="15"/>
      <c r="N1420" s="15"/>
      <c r="O1420" s="15"/>
      <c r="P1420" s="15"/>
      <c r="Q1420" s="15"/>
      <c r="R1420" s="15"/>
      <c r="S1420" s="15"/>
      <c r="T1420" s="15"/>
      <c r="U1420" s="15"/>
      <c r="V1420" s="15"/>
      <c r="W1420" s="15"/>
      <c r="X1420" s="14"/>
      <c r="Y1420" s="14"/>
      <c r="Z1420" s="15"/>
      <c r="AA1420" s="15"/>
    </row>
    <row r="1421" ht="15.0" customHeight="1">
      <c r="J1421" s="15"/>
      <c r="K1421" s="238"/>
      <c r="L1421" s="15"/>
      <c r="M1421" s="15"/>
      <c r="N1421" s="15"/>
      <c r="O1421" s="15"/>
      <c r="P1421" s="15"/>
      <c r="Q1421" s="15"/>
      <c r="R1421" s="15"/>
      <c r="S1421" s="15"/>
      <c r="T1421" s="15"/>
      <c r="U1421" s="15"/>
      <c r="V1421" s="15"/>
      <c r="W1421" s="15"/>
      <c r="X1421" s="14"/>
      <c r="Y1421" s="14"/>
      <c r="Z1421" s="15"/>
      <c r="AA1421" s="15"/>
    </row>
    <row r="1422" ht="15.0" customHeight="1">
      <c r="J1422" s="15"/>
      <c r="K1422" s="238"/>
      <c r="L1422" s="15"/>
      <c r="M1422" s="15"/>
      <c r="N1422" s="15"/>
      <c r="O1422" s="15"/>
      <c r="P1422" s="15"/>
      <c r="Q1422" s="15"/>
      <c r="R1422" s="15"/>
      <c r="S1422" s="15"/>
      <c r="T1422" s="15"/>
      <c r="U1422" s="15"/>
      <c r="V1422" s="15"/>
      <c r="W1422" s="15"/>
      <c r="X1422" s="14"/>
      <c r="Y1422" s="14"/>
      <c r="Z1422" s="15"/>
      <c r="AA1422" s="15"/>
    </row>
    <row r="1423" ht="15.0" customHeight="1">
      <c r="J1423" s="15"/>
      <c r="K1423" s="238"/>
      <c r="L1423" s="15"/>
      <c r="M1423" s="15"/>
      <c r="N1423" s="15"/>
      <c r="O1423" s="15"/>
      <c r="P1423" s="15"/>
      <c r="Q1423" s="15"/>
      <c r="R1423" s="15"/>
      <c r="S1423" s="15"/>
      <c r="T1423" s="15"/>
      <c r="U1423" s="15"/>
      <c r="V1423" s="15"/>
      <c r="W1423" s="15"/>
      <c r="X1423" s="14"/>
      <c r="Y1423" s="14"/>
      <c r="Z1423" s="15"/>
      <c r="AA1423" s="15"/>
    </row>
    <row r="1424" ht="15.0" customHeight="1">
      <c r="J1424" s="15"/>
      <c r="K1424" s="238"/>
      <c r="L1424" s="15"/>
      <c r="M1424" s="15"/>
      <c r="N1424" s="15"/>
      <c r="O1424" s="15"/>
      <c r="P1424" s="15"/>
      <c r="Q1424" s="15"/>
      <c r="R1424" s="15"/>
      <c r="S1424" s="15"/>
      <c r="T1424" s="15"/>
      <c r="U1424" s="15"/>
      <c r="V1424" s="15"/>
      <c r="W1424" s="15"/>
      <c r="X1424" s="14"/>
      <c r="Y1424" s="14"/>
      <c r="Z1424" s="15"/>
      <c r="AA1424" s="15"/>
    </row>
    <row r="1425" ht="15.0" customHeight="1">
      <c r="J1425" s="15"/>
      <c r="K1425" s="238"/>
      <c r="L1425" s="15"/>
      <c r="M1425" s="15"/>
      <c r="N1425" s="15"/>
      <c r="O1425" s="15"/>
      <c r="P1425" s="15"/>
      <c r="Q1425" s="15"/>
      <c r="R1425" s="15"/>
      <c r="S1425" s="15"/>
      <c r="T1425" s="15"/>
      <c r="U1425" s="15"/>
      <c r="V1425" s="15"/>
      <c r="W1425" s="15"/>
      <c r="X1425" s="14"/>
      <c r="Y1425" s="14"/>
      <c r="Z1425" s="15"/>
      <c r="AA1425" s="15"/>
    </row>
    <row r="1426" ht="15.0" customHeight="1">
      <c r="J1426" s="15"/>
      <c r="K1426" s="238"/>
      <c r="L1426" s="15"/>
      <c r="M1426" s="15"/>
      <c r="N1426" s="15"/>
      <c r="O1426" s="15"/>
      <c r="P1426" s="15"/>
      <c r="Q1426" s="15"/>
      <c r="R1426" s="15"/>
      <c r="S1426" s="15"/>
      <c r="T1426" s="15"/>
      <c r="U1426" s="15"/>
      <c r="V1426" s="15"/>
      <c r="W1426" s="15"/>
      <c r="X1426" s="14"/>
      <c r="Y1426" s="14"/>
      <c r="Z1426" s="15"/>
      <c r="AA1426" s="15"/>
    </row>
    <row r="1427" ht="15.0" customHeight="1">
      <c r="J1427" s="15"/>
      <c r="K1427" s="238"/>
      <c r="L1427" s="15"/>
      <c r="M1427" s="15"/>
      <c r="N1427" s="15"/>
      <c r="O1427" s="15"/>
      <c r="P1427" s="15"/>
      <c r="Q1427" s="15"/>
      <c r="R1427" s="15"/>
      <c r="S1427" s="15"/>
      <c r="T1427" s="15"/>
      <c r="U1427" s="15"/>
      <c r="V1427" s="15"/>
      <c r="W1427" s="15"/>
      <c r="X1427" s="14"/>
      <c r="Y1427" s="14"/>
      <c r="Z1427" s="15"/>
      <c r="AA1427" s="15"/>
    </row>
    <row r="1428" ht="15.0" customHeight="1">
      <c r="J1428" s="15"/>
      <c r="K1428" s="238"/>
      <c r="L1428" s="15"/>
      <c r="M1428" s="15"/>
      <c r="N1428" s="15"/>
      <c r="O1428" s="15"/>
      <c r="P1428" s="15"/>
      <c r="Q1428" s="15"/>
      <c r="R1428" s="15"/>
      <c r="S1428" s="15"/>
      <c r="T1428" s="15"/>
      <c r="U1428" s="15"/>
      <c r="V1428" s="15"/>
      <c r="W1428" s="15"/>
      <c r="X1428" s="14"/>
      <c r="Y1428" s="14"/>
      <c r="Z1428" s="15"/>
      <c r="AA1428" s="15"/>
    </row>
    <row r="1429" ht="15.0" customHeight="1">
      <c r="J1429" s="15"/>
      <c r="K1429" s="238"/>
      <c r="L1429" s="15"/>
      <c r="M1429" s="15"/>
      <c r="N1429" s="15"/>
      <c r="O1429" s="15"/>
      <c r="P1429" s="15"/>
      <c r="Q1429" s="15"/>
      <c r="R1429" s="15"/>
      <c r="S1429" s="15"/>
      <c r="T1429" s="15"/>
      <c r="U1429" s="15"/>
      <c r="V1429" s="15"/>
      <c r="W1429" s="15"/>
      <c r="X1429" s="14"/>
      <c r="Y1429" s="14"/>
      <c r="Z1429" s="15"/>
      <c r="AA1429" s="15"/>
    </row>
    <row r="1430" ht="15.0" customHeight="1">
      <c r="J1430" s="15"/>
      <c r="K1430" s="238"/>
      <c r="L1430" s="15"/>
      <c r="M1430" s="15"/>
      <c r="N1430" s="15"/>
      <c r="O1430" s="15"/>
      <c r="P1430" s="15"/>
      <c r="Q1430" s="15"/>
      <c r="R1430" s="15"/>
      <c r="S1430" s="15"/>
      <c r="T1430" s="15"/>
      <c r="U1430" s="15"/>
      <c r="V1430" s="15"/>
      <c r="W1430" s="15"/>
      <c r="X1430" s="14"/>
      <c r="Y1430" s="14"/>
      <c r="Z1430" s="15"/>
      <c r="AA1430" s="15"/>
    </row>
    <row r="1431" ht="15.0" customHeight="1">
      <c r="J1431" s="15"/>
      <c r="K1431" s="238"/>
      <c r="L1431" s="15"/>
      <c r="M1431" s="15"/>
      <c r="N1431" s="15"/>
      <c r="O1431" s="15"/>
      <c r="P1431" s="15"/>
      <c r="Q1431" s="15"/>
      <c r="R1431" s="15"/>
      <c r="S1431" s="15"/>
      <c r="T1431" s="15"/>
      <c r="U1431" s="15"/>
      <c r="V1431" s="15"/>
      <c r="W1431" s="15"/>
      <c r="X1431" s="14"/>
      <c r="Y1431" s="14"/>
      <c r="Z1431" s="15"/>
      <c r="AA1431" s="15"/>
    </row>
    <row r="1432" ht="15.0" customHeight="1">
      <c r="J1432" s="15"/>
      <c r="K1432" s="238"/>
      <c r="L1432" s="15"/>
      <c r="M1432" s="15"/>
      <c r="N1432" s="15"/>
      <c r="O1432" s="15"/>
      <c r="P1432" s="15"/>
      <c r="Q1432" s="15"/>
      <c r="R1432" s="15"/>
      <c r="S1432" s="15"/>
      <c r="T1432" s="15"/>
      <c r="U1432" s="15"/>
      <c r="V1432" s="15"/>
      <c r="W1432" s="15"/>
      <c r="X1432" s="14"/>
      <c r="Y1432" s="14"/>
      <c r="Z1432" s="15"/>
      <c r="AA1432" s="15"/>
    </row>
    <row r="1433" ht="15.0" customHeight="1">
      <c r="J1433" s="15"/>
      <c r="K1433" s="238"/>
      <c r="L1433" s="15"/>
      <c r="M1433" s="15"/>
      <c r="N1433" s="15"/>
      <c r="O1433" s="15"/>
      <c r="P1433" s="15"/>
      <c r="Q1433" s="15"/>
      <c r="R1433" s="15"/>
      <c r="S1433" s="15"/>
      <c r="T1433" s="15"/>
      <c r="U1433" s="15"/>
      <c r="V1433" s="15"/>
      <c r="W1433" s="15"/>
      <c r="X1433" s="14"/>
      <c r="Y1433" s="14"/>
      <c r="Z1433" s="15"/>
      <c r="AA1433" s="15"/>
    </row>
    <row r="1434" ht="15.0" customHeight="1">
      <c r="J1434" s="15"/>
      <c r="K1434" s="238"/>
      <c r="L1434" s="15"/>
      <c r="M1434" s="15"/>
      <c r="N1434" s="15"/>
      <c r="O1434" s="15"/>
      <c r="P1434" s="15"/>
      <c r="Q1434" s="15"/>
      <c r="R1434" s="15"/>
      <c r="S1434" s="15"/>
      <c r="T1434" s="15"/>
      <c r="U1434" s="15"/>
      <c r="V1434" s="15"/>
      <c r="W1434" s="15"/>
      <c r="X1434" s="14"/>
      <c r="Y1434" s="14"/>
      <c r="Z1434" s="15"/>
      <c r="AA1434" s="15"/>
    </row>
    <row r="1435" ht="15.0" customHeight="1">
      <c r="J1435" s="15"/>
      <c r="K1435" s="238"/>
      <c r="L1435" s="15"/>
      <c r="M1435" s="15"/>
      <c r="N1435" s="15"/>
      <c r="O1435" s="15"/>
      <c r="P1435" s="15"/>
      <c r="Q1435" s="15"/>
      <c r="R1435" s="15"/>
      <c r="S1435" s="15"/>
      <c r="T1435" s="15"/>
      <c r="U1435" s="15"/>
      <c r="V1435" s="15"/>
      <c r="W1435" s="15"/>
      <c r="X1435" s="14"/>
      <c r="Y1435" s="14"/>
      <c r="Z1435" s="15"/>
      <c r="AA1435" s="15"/>
    </row>
    <row r="1436" ht="15.0" customHeight="1">
      <c r="J1436" s="15"/>
      <c r="K1436" s="238"/>
      <c r="L1436" s="15"/>
      <c r="M1436" s="15"/>
      <c r="N1436" s="15"/>
      <c r="O1436" s="15"/>
      <c r="P1436" s="15"/>
      <c r="Q1436" s="15"/>
      <c r="R1436" s="15"/>
      <c r="S1436" s="15"/>
      <c r="T1436" s="15"/>
      <c r="U1436" s="15"/>
      <c r="V1436" s="15"/>
      <c r="W1436" s="15"/>
      <c r="X1436" s="14"/>
      <c r="Y1436" s="14"/>
      <c r="Z1436" s="15"/>
      <c r="AA1436" s="15"/>
    </row>
    <row r="1437" ht="15.0" customHeight="1">
      <c r="J1437" s="15"/>
      <c r="K1437" s="238"/>
      <c r="L1437" s="15"/>
      <c r="M1437" s="15"/>
      <c r="N1437" s="15"/>
      <c r="O1437" s="15"/>
      <c r="P1437" s="15"/>
      <c r="Q1437" s="15"/>
      <c r="R1437" s="15"/>
      <c r="S1437" s="15"/>
      <c r="T1437" s="15"/>
      <c r="U1437" s="15"/>
      <c r="V1437" s="15"/>
      <c r="W1437" s="15"/>
      <c r="X1437" s="14"/>
      <c r="Y1437" s="14"/>
      <c r="Z1437" s="15"/>
      <c r="AA1437" s="15"/>
    </row>
    <row r="1438" ht="15.0" customHeight="1">
      <c r="J1438" s="15"/>
      <c r="K1438" s="238"/>
      <c r="L1438" s="15"/>
      <c r="M1438" s="15"/>
      <c r="N1438" s="15"/>
      <c r="O1438" s="15"/>
      <c r="P1438" s="15"/>
      <c r="Q1438" s="15"/>
      <c r="R1438" s="15"/>
      <c r="S1438" s="15"/>
      <c r="T1438" s="15"/>
      <c r="U1438" s="15"/>
      <c r="V1438" s="15"/>
      <c r="W1438" s="15"/>
      <c r="X1438" s="14"/>
      <c r="Y1438" s="14"/>
      <c r="Z1438" s="15"/>
      <c r="AA1438" s="15"/>
    </row>
    <row r="1439" ht="15.0" customHeight="1">
      <c r="J1439" s="15"/>
      <c r="K1439" s="238"/>
      <c r="L1439" s="15"/>
      <c r="M1439" s="15"/>
      <c r="N1439" s="15"/>
      <c r="O1439" s="15"/>
      <c r="P1439" s="15"/>
      <c r="Q1439" s="15"/>
      <c r="R1439" s="15"/>
      <c r="S1439" s="15"/>
      <c r="T1439" s="15"/>
      <c r="U1439" s="15"/>
      <c r="V1439" s="15"/>
      <c r="W1439" s="15"/>
      <c r="X1439" s="14"/>
      <c r="Y1439" s="14"/>
      <c r="Z1439" s="15"/>
      <c r="AA1439" s="15"/>
    </row>
    <row r="1440" ht="15.0" customHeight="1">
      <c r="J1440" s="15"/>
      <c r="K1440" s="238"/>
      <c r="L1440" s="15"/>
      <c r="M1440" s="15"/>
      <c r="N1440" s="15"/>
      <c r="O1440" s="15"/>
      <c r="P1440" s="15"/>
      <c r="Q1440" s="15"/>
      <c r="R1440" s="15"/>
      <c r="S1440" s="15"/>
      <c r="T1440" s="15"/>
      <c r="U1440" s="15"/>
      <c r="V1440" s="15"/>
      <c r="W1440" s="15"/>
      <c r="X1440" s="14"/>
      <c r="Y1440" s="14"/>
      <c r="Z1440" s="15"/>
      <c r="AA1440" s="15"/>
    </row>
    <row r="1441" ht="15.0" customHeight="1">
      <c r="J1441" s="15"/>
      <c r="K1441" s="238"/>
      <c r="L1441" s="15"/>
      <c r="M1441" s="15"/>
      <c r="N1441" s="15"/>
      <c r="O1441" s="15"/>
      <c r="P1441" s="15"/>
      <c r="Q1441" s="15"/>
      <c r="R1441" s="15"/>
      <c r="S1441" s="15"/>
      <c r="T1441" s="15"/>
      <c r="U1441" s="15"/>
      <c r="V1441" s="15"/>
      <c r="W1441" s="15"/>
      <c r="X1441" s="14"/>
      <c r="Y1441" s="14"/>
      <c r="Z1441" s="15"/>
      <c r="AA1441" s="15"/>
    </row>
    <row r="1442" ht="15.0" customHeight="1">
      <c r="J1442" s="15"/>
      <c r="K1442" s="238"/>
      <c r="L1442" s="15"/>
      <c r="M1442" s="15"/>
      <c r="N1442" s="15"/>
      <c r="O1442" s="15"/>
      <c r="P1442" s="15"/>
      <c r="Q1442" s="15"/>
      <c r="R1442" s="15"/>
      <c r="S1442" s="15"/>
      <c r="T1442" s="15"/>
      <c r="U1442" s="15"/>
      <c r="V1442" s="15"/>
      <c r="W1442" s="15"/>
      <c r="X1442" s="14"/>
      <c r="Y1442" s="14"/>
      <c r="Z1442" s="15"/>
      <c r="AA1442" s="15"/>
    </row>
    <row r="1443" ht="15.0" customHeight="1">
      <c r="J1443" s="15"/>
      <c r="K1443" s="238"/>
      <c r="L1443" s="15"/>
      <c r="M1443" s="15"/>
      <c r="N1443" s="15"/>
      <c r="O1443" s="15"/>
      <c r="P1443" s="15"/>
      <c r="Q1443" s="15"/>
      <c r="R1443" s="15"/>
      <c r="S1443" s="15"/>
      <c r="T1443" s="15"/>
      <c r="U1443" s="15"/>
      <c r="V1443" s="15"/>
      <c r="W1443" s="15"/>
      <c r="X1443" s="14"/>
      <c r="Y1443" s="14"/>
      <c r="Z1443" s="15"/>
      <c r="AA1443" s="15"/>
    </row>
    <row r="1444" ht="15.0" customHeight="1">
      <c r="J1444" s="15"/>
      <c r="K1444" s="238"/>
      <c r="L1444" s="15"/>
      <c r="M1444" s="15"/>
      <c r="N1444" s="15"/>
      <c r="O1444" s="15"/>
      <c r="P1444" s="15"/>
      <c r="Q1444" s="15"/>
      <c r="R1444" s="15"/>
      <c r="S1444" s="15"/>
      <c r="T1444" s="15"/>
      <c r="U1444" s="15"/>
      <c r="V1444" s="15"/>
      <c r="W1444" s="15"/>
      <c r="X1444" s="14"/>
      <c r="Y1444" s="14"/>
      <c r="Z1444" s="15"/>
      <c r="AA1444" s="15"/>
    </row>
    <row r="1445" ht="15.0" customHeight="1">
      <c r="J1445" s="15"/>
      <c r="K1445" s="238"/>
      <c r="L1445" s="15"/>
      <c r="M1445" s="15"/>
      <c r="N1445" s="15"/>
      <c r="O1445" s="15"/>
      <c r="P1445" s="15"/>
      <c r="Q1445" s="15"/>
      <c r="R1445" s="15"/>
      <c r="S1445" s="15"/>
      <c r="T1445" s="15"/>
      <c r="U1445" s="15"/>
      <c r="V1445" s="15"/>
      <c r="W1445" s="15"/>
      <c r="X1445" s="14"/>
      <c r="Y1445" s="14"/>
      <c r="Z1445" s="15"/>
      <c r="AA1445" s="15"/>
    </row>
    <row r="1446" ht="15.0" customHeight="1">
      <c r="J1446" s="15"/>
      <c r="K1446" s="238"/>
      <c r="L1446" s="15"/>
      <c r="M1446" s="15"/>
      <c r="N1446" s="15"/>
      <c r="O1446" s="15"/>
      <c r="P1446" s="15"/>
      <c r="Q1446" s="15"/>
      <c r="R1446" s="15"/>
      <c r="S1446" s="15"/>
      <c r="T1446" s="15"/>
      <c r="U1446" s="15"/>
      <c r="V1446" s="15"/>
      <c r="W1446" s="15"/>
      <c r="X1446" s="14"/>
      <c r="Y1446" s="14"/>
      <c r="Z1446" s="15"/>
      <c r="AA1446" s="15"/>
    </row>
    <row r="1447" ht="15.0" customHeight="1">
      <c r="J1447" s="15"/>
      <c r="K1447" s="238"/>
      <c r="L1447" s="15"/>
      <c r="M1447" s="15"/>
      <c r="N1447" s="15"/>
      <c r="O1447" s="15"/>
      <c r="P1447" s="15"/>
      <c r="Q1447" s="15"/>
      <c r="R1447" s="15"/>
      <c r="S1447" s="15"/>
      <c r="T1447" s="15"/>
      <c r="U1447" s="15"/>
      <c r="V1447" s="15"/>
      <c r="W1447" s="15"/>
      <c r="X1447" s="14"/>
      <c r="Y1447" s="14"/>
      <c r="Z1447" s="15"/>
      <c r="AA1447" s="15"/>
    </row>
    <row r="1448" ht="15.0" customHeight="1">
      <c r="J1448" s="15"/>
      <c r="K1448" s="238"/>
      <c r="L1448" s="15"/>
      <c r="M1448" s="15"/>
      <c r="N1448" s="15"/>
      <c r="O1448" s="15"/>
      <c r="P1448" s="15"/>
      <c r="Q1448" s="15"/>
      <c r="R1448" s="15"/>
      <c r="S1448" s="15"/>
      <c r="T1448" s="15"/>
      <c r="U1448" s="15"/>
      <c r="V1448" s="15"/>
      <c r="W1448" s="15"/>
      <c r="X1448" s="14"/>
      <c r="Y1448" s="14"/>
      <c r="Z1448" s="15"/>
      <c r="AA1448" s="15"/>
    </row>
    <row r="1449" ht="15.0" customHeight="1">
      <c r="J1449" s="15"/>
      <c r="K1449" s="238"/>
      <c r="L1449" s="15"/>
      <c r="M1449" s="15"/>
      <c r="N1449" s="15"/>
      <c r="O1449" s="15"/>
      <c r="P1449" s="15"/>
      <c r="Q1449" s="15"/>
      <c r="R1449" s="15"/>
      <c r="S1449" s="15"/>
      <c r="T1449" s="15"/>
      <c r="U1449" s="15"/>
      <c r="V1449" s="15"/>
      <c r="W1449" s="15"/>
      <c r="X1449" s="14"/>
      <c r="Y1449" s="14"/>
      <c r="Z1449" s="15"/>
      <c r="AA1449" s="15"/>
    </row>
    <row r="1450" ht="15.0" customHeight="1">
      <c r="J1450" s="15"/>
      <c r="K1450" s="238"/>
      <c r="L1450" s="15"/>
      <c r="M1450" s="15"/>
      <c r="N1450" s="15"/>
      <c r="O1450" s="15"/>
      <c r="P1450" s="15"/>
      <c r="Q1450" s="15"/>
      <c r="R1450" s="15"/>
      <c r="S1450" s="15"/>
      <c r="T1450" s="15"/>
      <c r="U1450" s="15"/>
      <c r="V1450" s="15"/>
      <c r="W1450" s="15"/>
      <c r="X1450" s="14"/>
      <c r="Y1450" s="14"/>
      <c r="Z1450" s="15"/>
      <c r="AA1450" s="15"/>
    </row>
    <row r="1451" ht="15.0" customHeight="1">
      <c r="J1451" s="15"/>
      <c r="K1451" s="238"/>
      <c r="L1451" s="15"/>
      <c r="M1451" s="15"/>
      <c r="N1451" s="15"/>
      <c r="O1451" s="15"/>
      <c r="P1451" s="15"/>
      <c r="Q1451" s="15"/>
      <c r="R1451" s="15"/>
      <c r="S1451" s="15"/>
      <c r="T1451" s="15"/>
      <c r="U1451" s="15"/>
      <c r="V1451" s="15"/>
      <c r="W1451" s="15"/>
      <c r="X1451" s="14"/>
      <c r="Y1451" s="14"/>
      <c r="Z1451" s="15"/>
      <c r="AA1451" s="15"/>
    </row>
    <row r="1452" ht="15.0" customHeight="1">
      <c r="J1452" s="15"/>
      <c r="K1452" s="238"/>
      <c r="L1452" s="15"/>
      <c r="M1452" s="15"/>
      <c r="N1452" s="15"/>
      <c r="O1452" s="15"/>
      <c r="P1452" s="15"/>
      <c r="Q1452" s="15"/>
      <c r="R1452" s="15"/>
      <c r="S1452" s="15"/>
      <c r="T1452" s="15"/>
      <c r="U1452" s="15"/>
      <c r="V1452" s="15"/>
      <c r="W1452" s="15"/>
      <c r="X1452" s="14"/>
      <c r="Y1452" s="14"/>
      <c r="Z1452" s="15"/>
      <c r="AA1452" s="15"/>
    </row>
    <row r="1453" ht="15.0" customHeight="1">
      <c r="J1453" s="15"/>
      <c r="K1453" s="238"/>
      <c r="L1453" s="15"/>
      <c r="M1453" s="15"/>
      <c r="N1453" s="15"/>
      <c r="O1453" s="15"/>
      <c r="P1453" s="15"/>
      <c r="Q1453" s="15"/>
      <c r="R1453" s="15"/>
      <c r="S1453" s="15"/>
      <c r="T1453" s="15"/>
      <c r="U1453" s="15"/>
      <c r="V1453" s="15"/>
      <c r="W1453" s="15"/>
      <c r="X1453" s="14"/>
      <c r="Y1453" s="14"/>
      <c r="Z1453" s="15"/>
      <c r="AA1453" s="15"/>
    </row>
    <row r="1454" ht="15.0" customHeight="1">
      <c r="J1454" s="15"/>
      <c r="K1454" s="238"/>
      <c r="L1454" s="15"/>
      <c r="M1454" s="15"/>
      <c r="N1454" s="15"/>
      <c r="O1454" s="15"/>
      <c r="P1454" s="15"/>
      <c r="Q1454" s="15"/>
      <c r="R1454" s="15"/>
      <c r="S1454" s="15"/>
      <c r="T1454" s="15"/>
      <c r="U1454" s="15"/>
      <c r="V1454" s="15"/>
      <c r="W1454" s="15"/>
      <c r="X1454" s="14"/>
      <c r="Y1454" s="14"/>
      <c r="Z1454" s="15"/>
      <c r="AA1454" s="15"/>
    </row>
    <row r="1455" ht="15.0" customHeight="1">
      <c r="J1455" s="15"/>
      <c r="K1455" s="238"/>
      <c r="L1455" s="15"/>
      <c r="M1455" s="15"/>
      <c r="N1455" s="15"/>
      <c r="O1455" s="15"/>
      <c r="P1455" s="15"/>
      <c r="Q1455" s="15"/>
      <c r="R1455" s="15"/>
      <c r="S1455" s="15"/>
      <c r="T1455" s="15"/>
      <c r="U1455" s="15"/>
      <c r="V1455" s="15"/>
      <c r="W1455" s="15"/>
      <c r="X1455" s="14"/>
      <c r="Y1455" s="14"/>
      <c r="Z1455" s="15"/>
      <c r="AA1455" s="15"/>
    </row>
    <row r="1456" ht="15.0" customHeight="1">
      <c r="J1456" s="15"/>
      <c r="K1456" s="238"/>
      <c r="L1456" s="15"/>
      <c r="M1456" s="15"/>
      <c r="N1456" s="15"/>
      <c r="O1456" s="15"/>
      <c r="P1456" s="15"/>
      <c r="Q1456" s="15"/>
      <c r="R1456" s="15"/>
      <c r="S1456" s="15"/>
      <c r="T1456" s="15"/>
      <c r="U1456" s="15"/>
      <c r="V1456" s="15"/>
      <c r="W1456" s="15"/>
      <c r="X1456" s="14"/>
      <c r="Y1456" s="14"/>
      <c r="Z1456" s="15"/>
      <c r="AA1456" s="15"/>
    </row>
    <row r="1457" ht="15.0" customHeight="1">
      <c r="J1457" s="15"/>
      <c r="K1457" s="238"/>
      <c r="L1457" s="15"/>
      <c r="M1457" s="15"/>
      <c r="N1457" s="15"/>
      <c r="O1457" s="15"/>
      <c r="P1457" s="15"/>
      <c r="Q1457" s="15"/>
      <c r="R1457" s="15"/>
      <c r="S1457" s="15"/>
      <c r="T1457" s="15"/>
      <c r="U1457" s="15"/>
      <c r="V1457" s="15"/>
      <c r="W1457" s="15"/>
      <c r="X1457" s="14"/>
      <c r="Y1457" s="14"/>
      <c r="Z1457" s="15"/>
      <c r="AA1457" s="15"/>
    </row>
    <row r="1458" ht="15.0" customHeight="1">
      <c r="J1458" s="15"/>
      <c r="K1458" s="238"/>
      <c r="L1458" s="15"/>
      <c r="M1458" s="15"/>
      <c r="N1458" s="15"/>
      <c r="O1458" s="15"/>
      <c r="P1458" s="15"/>
      <c r="Q1458" s="15"/>
      <c r="R1458" s="15"/>
      <c r="S1458" s="15"/>
      <c r="T1458" s="15"/>
      <c r="U1458" s="15"/>
      <c r="V1458" s="15"/>
      <c r="W1458" s="15"/>
      <c r="X1458" s="14"/>
      <c r="Y1458" s="14"/>
      <c r="Z1458" s="15"/>
      <c r="AA1458" s="15"/>
    </row>
    <row r="1459" ht="15.0" customHeight="1">
      <c r="J1459" s="15"/>
      <c r="K1459" s="238"/>
      <c r="L1459" s="15"/>
      <c r="M1459" s="15"/>
      <c r="N1459" s="15"/>
      <c r="O1459" s="15"/>
      <c r="P1459" s="15"/>
      <c r="Q1459" s="15"/>
      <c r="R1459" s="15"/>
      <c r="S1459" s="15"/>
      <c r="T1459" s="15"/>
      <c r="U1459" s="15"/>
      <c r="V1459" s="15"/>
      <c r="W1459" s="15"/>
      <c r="X1459" s="14"/>
      <c r="Y1459" s="14"/>
      <c r="Z1459" s="15"/>
      <c r="AA1459" s="15"/>
    </row>
    <row r="1460" ht="15.0" customHeight="1">
      <c r="J1460" s="15"/>
      <c r="K1460" s="238"/>
      <c r="L1460" s="15"/>
      <c r="M1460" s="15"/>
      <c r="N1460" s="15"/>
      <c r="O1460" s="15"/>
      <c r="P1460" s="15"/>
      <c r="Q1460" s="15"/>
      <c r="R1460" s="15"/>
      <c r="S1460" s="15"/>
      <c r="T1460" s="15"/>
      <c r="U1460" s="15"/>
      <c r="V1460" s="15"/>
      <c r="W1460" s="15"/>
      <c r="X1460" s="14"/>
      <c r="Y1460" s="14"/>
      <c r="Z1460" s="15"/>
      <c r="AA1460" s="15"/>
    </row>
    <row r="1461" ht="15.0" customHeight="1">
      <c r="J1461" s="15"/>
      <c r="K1461" s="238"/>
      <c r="L1461" s="15"/>
      <c r="M1461" s="15"/>
      <c r="N1461" s="15"/>
      <c r="O1461" s="15"/>
      <c r="P1461" s="15"/>
      <c r="Q1461" s="15"/>
      <c r="R1461" s="15"/>
      <c r="S1461" s="15"/>
      <c r="T1461" s="15"/>
      <c r="U1461" s="15"/>
      <c r="V1461" s="15"/>
      <c r="W1461" s="15"/>
      <c r="X1461" s="14"/>
      <c r="Y1461" s="14"/>
      <c r="Z1461" s="15"/>
      <c r="AA1461" s="15"/>
    </row>
    <row r="1462" ht="15.0" customHeight="1">
      <c r="J1462" s="15"/>
      <c r="K1462" s="238"/>
      <c r="L1462" s="15"/>
      <c r="M1462" s="15"/>
      <c r="N1462" s="15"/>
      <c r="O1462" s="15"/>
      <c r="P1462" s="15"/>
      <c r="Q1462" s="15"/>
      <c r="R1462" s="15"/>
      <c r="S1462" s="15"/>
      <c r="T1462" s="15"/>
      <c r="U1462" s="15"/>
      <c r="V1462" s="15"/>
      <c r="W1462" s="15"/>
      <c r="X1462" s="14"/>
      <c r="Y1462" s="14"/>
      <c r="Z1462" s="15"/>
      <c r="AA1462" s="15"/>
    </row>
    <row r="1463" ht="15.0" customHeight="1">
      <c r="J1463" s="15"/>
      <c r="K1463" s="238"/>
      <c r="L1463" s="15"/>
      <c r="M1463" s="15"/>
      <c r="N1463" s="15"/>
      <c r="O1463" s="15"/>
      <c r="P1463" s="15"/>
      <c r="Q1463" s="15"/>
      <c r="R1463" s="15"/>
      <c r="S1463" s="15"/>
      <c r="T1463" s="15"/>
      <c r="U1463" s="15"/>
      <c r="V1463" s="15"/>
      <c r="W1463" s="15"/>
      <c r="X1463" s="14"/>
      <c r="Y1463" s="14"/>
      <c r="Z1463" s="15"/>
      <c r="AA1463" s="15"/>
    </row>
    <row r="1464" ht="15.0" customHeight="1">
      <c r="J1464" s="15"/>
      <c r="K1464" s="238"/>
      <c r="L1464" s="15"/>
      <c r="M1464" s="15"/>
      <c r="N1464" s="15"/>
      <c r="O1464" s="15"/>
      <c r="P1464" s="15"/>
      <c r="Q1464" s="15"/>
      <c r="R1464" s="15"/>
      <c r="S1464" s="15"/>
      <c r="T1464" s="15"/>
      <c r="U1464" s="15"/>
      <c r="V1464" s="15"/>
      <c r="W1464" s="15"/>
      <c r="X1464" s="14"/>
      <c r="Y1464" s="14"/>
      <c r="Z1464" s="15"/>
      <c r="AA1464" s="15"/>
    </row>
    <row r="1465" ht="15.0" customHeight="1">
      <c r="J1465" s="15"/>
      <c r="K1465" s="238"/>
      <c r="L1465" s="15"/>
      <c r="M1465" s="15"/>
      <c r="N1465" s="15"/>
      <c r="O1465" s="15"/>
      <c r="P1465" s="15"/>
      <c r="Q1465" s="15"/>
      <c r="R1465" s="15"/>
      <c r="S1465" s="15"/>
      <c r="T1465" s="15"/>
      <c r="U1465" s="15"/>
      <c r="V1465" s="15"/>
      <c r="W1465" s="15"/>
      <c r="X1465" s="14"/>
      <c r="Y1465" s="14"/>
      <c r="Z1465" s="15"/>
      <c r="AA1465" s="15"/>
    </row>
    <row r="1466" ht="15.0" customHeight="1">
      <c r="J1466" s="15"/>
      <c r="K1466" s="238"/>
      <c r="L1466" s="15"/>
      <c r="M1466" s="15"/>
      <c r="N1466" s="15"/>
      <c r="O1466" s="15"/>
      <c r="P1466" s="15"/>
      <c r="Q1466" s="15"/>
      <c r="R1466" s="15"/>
      <c r="S1466" s="15"/>
      <c r="T1466" s="15"/>
      <c r="U1466" s="15"/>
      <c r="V1466" s="15"/>
      <c r="W1466" s="15"/>
      <c r="X1466" s="14"/>
      <c r="Y1466" s="14"/>
      <c r="Z1466" s="15"/>
      <c r="AA1466" s="15"/>
    </row>
    <row r="1467" ht="15.0" customHeight="1">
      <c r="J1467" s="15"/>
      <c r="K1467" s="238"/>
      <c r="L1467" s="15"/>
      <c r="M1467" s="15"/>
      <c r="N1467" s="15"/>
      <c r="O1467" s="15"/>
      <c r="P1467" s="15"/>
      <c r="Q1467" s="15"/>
      <c r="R1467" s="15"/>
      <c r="S1467" s="15"/>
      <c r="T1467" s="15"/>
      <c r="U1467" s="15"/>
      <c r="V1467" s="15"/>
      <c r="W1467" s="15"/>
      <c r="X1467" s="14"/>
      <c r="Y1467" s="14"/>
      <c r="Z1467" s="15"/>
      <c r="AA1467" s="15"/>
    </row>
    <row r="1468" ht="15.0" customHeight="1">
      <c r="J1468" s="15"/>
      <c r="K1468" s="238"/>
      <c r="L1468" s="15"/>
      <c r="M1468" s="15"/>
      <c r="N1468" s="15"/>
      <c r="O1468" s="15"/>
      <c r="P1468" s="15"/>
      <c r="Q1468" s="15"/>
      <c r="R1468" s="15"/>
      <c r="S1468" s="15"/>
      <c r="T1468" s="15"/>
      <c r="U1468" s="15"/>
      <c r="V1468" s="15"/>
      <c r="W1468" s="15"/>
      <c r="X1468" s="14"/>
      <c r="Y1468" s="14"/>
      <c r="Z1468" s="15"/>
      <c r="AA1468" s="15"/>
    </row>
    <row r="1469" ht="15.0" customHeight="1">
      <c r="J1469" s="15"/>
      <c r="K1469" s="238"/>
      <c r="L1469" s="15"/>
      <c r="M1469" s="15"/>
      <c r="N1469" s="15"/>
      <c r="O1469" s="15"/>
      <c r="P1469" s="15"/>
      <c r="Q1469" s="15"/>
      <c r="R1469" s="15"/>
      <c r="S1469" s="15"/>
      <c r="T1469" s="15"/>
      <c r="U1469" s="15"/>
      <c r="V1469" s="15"/>
      <c r="W1469" s="15"/>
      <c r="X1469" s="14"/>
      <c r="Y1469" s="14"/>
      <c r="Z1469" s="15"/>
      <c r="AA1469" s="15"/>
    </row>
    <row r="1470" ht="15.0" customHeight="1">
      <c r="J1470" s="15"/>
      <c r="K1470" s="238"/>
      <c r="L1470" s="15"/>
      <c r="M1470" s="15"/>
      <c r="N1470" s="15"/>
      <c r="O1470" s="15"/>
      <c r="P1470" s="15"/>
      <c r="Q1470" s="15"/>
      <c r="R1470" s="15"/>
      <c r="S1470" s="15"/>
      <c r="T1470" s="15"/>
      <c r="U1470" s="15"/>
      <c r="V1470" s="15"/>
      <c r="W1470" s="15"/>
      <c r="X1470" s="14"/>
      <c r="Y1470" s="14"/>
      <c r="Z1470" s="15"/>
      <c r="AA1470" s="15"/>
    </row>
    <row r="1471" ht="15.0" customHeight="1">
      <c r="J1471" s="15"/>
      <c r="K1471" s="238"/>
      <c r="L1471" s="15"/>
      <c r="M1471" s="15"/>
      <c r="N1471" s="15"/>
      <c r="O1471" s="15"/>
      <c r="P1471" s="15"/>
      <c r="Q1471" s="15"/>
      <c r="R1471" s="15"/>
      <c r="S1471" s="15"/>
      <c r="T1471" s="15"/>
      <c r="U1471" s="15"/>
      <c r="V1471" s="15"/>
      <c r="W1471" s="15"/>
      <c r="X1471" s="14"/>
      <c r="Y1471" s="14"/>
      <c r="Z1471" s="15"/>
      <c r="AA1471" s="15"/>
    </row>
    <row r="1472" ht="15.0" customHeight="1">
      <c r="J1472" s="15"/>
      <c r="K1472" s="238"/>
      <c r="L1472" s="15"/>
      <c r="M1472" s="15"/>
      <c r="N1472" s="15"/>
      <c r="O1472" s="15"/>
      <c r="P1472" s="15"/>
      <c r="Q1472" s="15"/>
      <c r="R1472" s="15"/>
      <c r="S1472" s="15"/>
      <c r="T1472" s="15"/>
      <c r="U1472" s="15"/>
      <c r="V1472" s="15"/>
      <c r="W1472" s="15"/>
      <c r="X1472" s="14"/>
      <c r="Y1472" s="14"/>
      <c r="Z1472" s="15"/>
      <c r="AA1472" s="15"/>
    </row>
    <row r="1473" ht="15.0" customHeight="1">
      <c r="J1473" s="15"/>
      <c r="K1473" s="238"/>
      <c r="L1473" s="15"/>
      <c r="M1473" s="15"/>
      <c r="N1473" s="15"/>
      <c r="O1473" s="15"/>
      <c r="P1473" s="15"/>
      <c r="Q1473" s="15"/>
      <c r="R1473" s="15"/>
      <c r="S1473" s="15"/>
      <c r="T1473" s="15"/>
      <c r="U1473" s="15"/>
      <c r="V1473" s="15"/>
      <c r="W1473" s="15"/>
      <c r="X1473" s="14"/>
      <c r="Y1473" s="14"/>
      <c r="Z1473" s="15"/>
      <c r="AA1473" s="15"/>
    </row>
    <row r="1474" ht="15.0" customHeight="1">
      <c r="J1474" s="15"/>
      <c r="K1474" s="238"/>
      <c r="L1474" s="15"/>
      <c r="M1474" s="15"/>
      <c r="N1474" s="15"/>
      <c r="O1474" s="15"/>
      <c r="P1474" s="15"/>
      <c r="Q1474" s="15"/>
      <c r="R1474" s="15"/>
      <c r="S1474" s="15"/>
      <c r="T1474" s="15"/>
      <c r="U1474" s="15"/>
      <c r="V1474" s="15"/>
      <c r="W1474" s="15"/>
      <c r="X1474" s="14"/>
      <c r="Y1474" s="14"/>
      <c r="Z1474" s="15"/>
      <c r="AA1474" s="15"/>
    </row>
    <row r="1475" ht="15.0" customHeight="1">
      <c r="J1475" s="15"/>
      <c r="K1475" s="238"/>
      <c r="L1475" s="15"/>
      <c r="M1475" s="15"/>
      <c r="N1475" s="15"/>
      <c r="O1475" s="15"/>
      <c r="P1475" s="15"/>
      <c r="Q1475" s="15"/>
      <c r="R1475" s="15"/>
      <c r="S1475" s="15"/>
      <c r="T1475" s="15"/>
      <c r="U1475" s="15"/>
      <c r="V1475" s="15"/>
      <c r="W1475" s="15"/>
      <c r="X1475" s="14"/>
      <c r="Y1475" s="14"/>
      <c r="Z1475" s="15"/>
      <c r="AA1475" s="15"/>
    </row>
    <row r="1476" ht="15.0" customHeight="1">
      <c r="J1476" s="15"/>
      <c r="K1476" s="238"/>
      <c r="L1476" s="15"/>
      <c r="M1476" s="15"/>
      <c r="N1476" s="15"/>
      <c r="O1476" s="15"/>
      <c r="P1476" s="15"/>
      <c r="Q1476" s="15"/>
      <c r="R1476" s="15"/>
      <c r="S1476" s="15"/>
      <c r="T1476" s="15"/>
      <c r="U1476" s="15"/>
      <c r="V1476" s="15"/>
      <c r="W1476" s="15"/>
      <c r="X1476" s="14"/>
      <c r="Y1476" s="14"/>
      <c r="Z1476" s="15"/>
      <c r="AA1476" s="15"/>
    </row>
    <row r="1477" ht="15.0" customHeight="1">
      <c r="J1477" s="15"/>
      <c r="K1477" s="238"/>
      <c r="L1477" s="15"/>
      <c r="M1477" s="15"/>
      <c r="N1477" s="15"/>
      <c r="O1477" s="15"/>
      <c r="P1477" s="15"/>
      <c r="Q1477" s="15"/>
      <c r="R1477" s="15"/>
      <c r="S1477" s="15"/>
      <c r="T1477" s="15"/>
      <c r="U1477" s="15"/>
      <c r="V1477" s="15"/>
      <c r="W1477" s="15"/>
      <c r="X1477" s="14"/>
      <c r="Y1477" s="14"/>
      <c r="Z1477" s="15"/>
      <c r="AA1477" s="15"/>
    </row>
    <row r="1478" ht="15.0" customHeight="1">
      <c r="J1478" s="15"/>
      <c r="K1478" s="238"/>
      <c r="L1478" s="15"/>
      <c r="M1478" s="15"/>
      <c r="N1478" s="15"/>
      <c r="O1478" s="15"/>
      <c r="P1478" s="15"/>
      <c r="Q1478" s="15"/>
      <c r="R1478" s="15"/>
      <c r="S1478" s="15"/>
      <c r="T1478" s="15"/>
      <c r="U1478" s="15"/>
      <c r="V1478" s="15"/>
      <c r="W1478" s="15"/>
      <c r="X1478" s="14"/>
      <c r="Y1478" s="14"/>
      <c r="Z1478" s="15"/>
      <c r="AA1478" s="15"/>
    </row>
    <row r="1479" ht="15.0" customHeight="1">
      <c r="J1479" s="15"/>
      <c r="K1479" s="238"/>
      <c r="L1479" s="15"/>
      <c r="M1479" s="15"/>
      <c r="N1479" s="15"/>
      <c r="O1479" s="15"/>
      <c r="P1479" s="15"/>
      <c r="Q1479" s="15"/>
      <c r="R1479" s="15"/>
      <c r="S1479" s="15"/>
      <c r="T1479" s="15"/>
      <c r="U1479" s="15"/>
      <c r="V1479" s="15"/>
      <c r="W1479" s="15"/>
      <c r="X1479" s="14"/>
      <c r="Y1479" s="14"/>
      <c r="Z1479" s="15"/>
      <c r="AA1479" s="15"/>
    </row>
    <row r="1480" ht="15.0" customHeight="1">
      <c r="J1480" s="15"/>
      <c r="K1480" s="238"/>
      <c r="L1480" s="15"/>
      <c r="M1480" s="15"/>
      <c r="N1480" s="15"/>
      <c r="O1480" s="15"/>
      <c r="P1480" s="15"/>
      <c r="Q1480" s="15"/>
      <c r="R1480" s="15"/>
      <c r="S1480" s="15"/>
      <c r="T1480" s="15"/>
      <c r="U1480" s="15"/>
      <c r="V1480" s="15"/>
      <c r="W1480" s="15"/>
      <c r="X1480" s="14"/>
      <c r="Y1480" s="14"/>
      <c r="Z1480" s="15"/>
      <c r="AA1480" s="15"/>
    </row>
    <row r="1481" ht="15.0" customHeight="1">
      <c r="J1481" s="15"/>
      <c r="K1481" s="238"/>
      <c r="L1481" s="15"/>
      <c r="M1481" s="15"/>
      <c r="N1481" s="15"/>
      <c r="O1481" s="15"/>
      <c r="P1481" s="15"/>
      <c r="Q1481" s="15"/>
      <c r="R1481" s="15"/>
      <c r="S1481" s="15"/>
      <c r="T1481" s="15"/>
      <c r="U1481" s="15"/>
      <c r="V1481" s="15"/>
      <c r="W1481" s="15"/>
      <c r="X1481" s="14"/>
      <c r="Y1481" s="14"/>
      <c r="Z1481" s="15"/>
      <c r="AA1481" s="15"/>
    </row>
    <row r="1482" ht="15.0" customHeight="1">
      <c r="J1482" s="15"/>
      <c r="K1482" s="238"/>
      <c r="L1482" s="15"/>
      <c r="M1482" s="15"/>
      <c r="N1482" s="15"/>
      <c r="O1482" s="15"/>
      <c r="P1482" s="15"/>
      <c r="Q1482" s="15"/>
      <c r="R1482" s="15"/>
      <c r="S1482" s="15"/>
      <c r="T1482" s="15"/>
      <c r="U1482" s="15"/>
      <c r="V1482" s="15"/>
      <c r="W1482" s="15"/>
      <c r="X1482" s="14"/>
      <c r="Y1482" s="14"/>
      <c r="Z1482" s="15"/>
      <c r="AA1482" s="15"/>
    </row>
    <row r="1483" ht="15.0" customHeight="1">
      <c r="J1483" s="15"/>
      <c r="K1483" s="238"/>
      <c r="L1483" s="15"/>
      <c r="M1483" s="15"/>
      <c r="N1483" s="15"/>
      <c r="O1483" s="15"/>
      <c r="P1483" s="15"/>
      <c r="Q1483" s="15"/>
      <c r="R1483" s="15"/>
      <c r="S1483" s="15"/>
      <c r="T1483" s="15"/>
      <c r="U1483" s="15"/>
      <c r="V1483" s="15"/>
      <c r="W1483" s="15"/>
      <c r="X1483" s="14"/>
      <c r="Y1483" s="14"/>
      <c r="Z1483" s="15"/>
      <c r="AA1483" s="15"/>
    </row>
    <row r="1484" ht="15.0" customHeight="1">
      <c r="J1484" s="15"/>
      <c r="K1484" s="238"/>
      <c r="L1484" s="15"/>
      <c r="M1484" s="15"/>
      <c r="N1484" s="15"/>
      <c r="O1484" s="15"/>
      <c r="P1484" s="15"/>
      <c r="Q1484" s="15"/>
      <c r="R1484" s="15"/>
      <c r="S1484" s="15"/>
      <c r="T1484" s="15"/>
      <c r="U1484" s="15"/>
      <c r="V1484" s="15"/>
      <c r="W1484" s="15"/>
      <c r="X1484" s="14"/>
      <c r="Y1484" s="14"/>
      <c r="Z1484" s="15"/>
      <c r="AA1484" s="15"/>
    </row>
    <row r="1485" ht="15.0" customHeight="1">
      <c r="J1485" s="15"/>
      <c r="K1485" s="238"/>
      <c r="L1485" s="15"/>
      <c r="M1485" s="15"/>
      <c r="N1485" s="15"/>
      <c r="O1485" s="15"/>
      <c r="P1485" s="15"/>
      <c r="Q1485" s="15"/>
      <c r="R1485" s="15"/>
      <c r="S1485" s="15"/>
      <c r="T1485" s="15"/>
      <c r="U1485" s="15"/>
      <c r="V1485" s="15"/>
      <c r="W1485" s="15"/>
      <c r="X1485" s="14"/>
      <c r="Y1485" s="14"/>
      <c r="Z1485" s="15"/>
      <c r="AA1485" s="15"/>
    </row>
    <row r="1486" ht="15.0" customHeight="1">
      <c r="J1486" s="15"/>
      <c r="K1486" s="238"/>
      <c r="L1486" s="15"/>
      <c r="M1486" s="15"/>
      <c r="N1486" s="15"/>
      <c r="O1486" s="15"/>
      <c r="P1486" s="15"/>
      <c r="Q1486" s="15"/>
      <c r="R1486" s="15"/>
      <c r="S1486" s="15"/>
      <c r="T1486" s="15"/>
      <c r="U1486" s="15"/>
      <c r="V1486" s="15"/>
      <c r="W1486" s="15"/>
      <c r="X1486" s="14"/>
      <c r="Y1486" s="14"/>
      <c r="Z1486" s="15"/>
      <c r="AA1486" s="15"/>
    </row>
    <row r="1487" ht="15.0" customHeight="1">
      <c r="J1487" s="15"/>
      <c r="K1487" s="238"/>
      <c r="L1487" s="15"/>
      <c r="M1487" s="15"/>
      <c r="N1487" s="15"/>
      <c r="O1487" s="15"/>
      <c r="P1487" s="15"/>
      <c r="Q1487" s="15"/>
      <c r="R1487" s="15"/>
      <c r="S1487" s="15"/>
      <c r="T1487" s="15"/>
      <c r="U1487" s="15"/>
      <c r="V1487" s="15"/>
      <c r="W1487" s="15"/>
      <c r="X1487" s="14"/>
      <c r="Y1487" s="14"/>
      <c r="Z1487" s="15"/>
      <c r="AA1487" s="15"/>
    </row>
    <row r="1488" ht="15.0" customHeight="1">
      <c r="J1488" s="15"/>
      <c r="K1488" s="238"/>
      <c r="L1488" s="15"/>
      <c r="M1488" s="15"/>
      <c r="N1488" s="15"/>
      <c r="O1488" s="15"/>
      <c r="P1488" s="15"/>
      <c r="Q1488" s="15"/>
      <c r="R1488" s="15"/>
      <c r="S1488" s="15"/>
      <c r="T1488" s="15"/>
      <c r="U1488" s="15"/>
      <c r="V1488" s="15"/>
      <c r="W1488" s="15"/>
      <c r="X1488" s="14"/>
      <c r="Y1488" s="14"/>
      <c r="Z1488" s="15"/>
      <c r="AA1488" s="15"/>
    </row>
    <row r="1489" ht="15.0" customHeight="1">
      <c r="J1489" s="15"/>
      <c r="K1489" s="238"/>
      <c r="L1489" s="15"/>
      <c r="M1489" s="15"/>
      <c r="N1489" s="15"/>
      <c r="O1489" s="15"/>
      <c r="P1489" s="15"/>
      <c r="Q1489" s="15"/>
      <c r="R1489" s="15"/>
      <c r="S1489" s="15"/>
      <c r="T1489" s="15"/>
      <c r="U1489" s="15"/>
      <c r="V1489" s="15"/>
      <c r="W1489" s="15"/>
      <c r="X1489" s="14"/>
      <c r="Y1489" s="14"/>
      <c r="Z1489" s="15"/>
      <c r="AA1489" s="15"/>
    </row>
    <row r="1490" ht="15.0" customHeight="1">
      <c r="J1490" s="15"/>
      <c r="K1490" s="238"/>
      <c r="L1490" s="15"/>
      <c r="M1490" s="15"/>
      <c r="N1490" s="15"/>
      <c r="O1490" s="15"/>
      <c r="P1490" s="15"/>
      <c r="Q1490" s="15"/>
      <c r="R1490" s="15"/>
      <c r="S1490" s="15"/>
      <c r="T1490" s="15"/>
      <c r="U1490" s="15"/>
      <c r="V1490" s="15"/>
      <c r="W1490" s="15"/>
      <c r="X1490" s="14"/>
      <c r="Y1490" s="14"/>
      <c r="Z1490" s="15"/>
      <c r="AA1490" s="15"/>
    </row>
    <row r="1491" ht="15.0" customHeight="1">
      <c r="J1491" s="15"/>
      <c r="K1491" s="238"/>
      <c r="L1491" s="15"/>
      <c r="M1491" s="15"/>
      <c r="N1491" s="15"/>
      <c r="O1491" s="15"/>
      <c r="P1491" s="15"/>
      <c r="Q1491" s="15"/>
      <c r="R1491" s="15"/>
      <c r="S1491" s="15"/>
      <c r="T1491" s="15"/>
      <c r="U1491" s="15"/>
      <c r="V1491" s="15"/>
      <c r="W1491" s="15"/>
      <c r="X1491" s="14"/>
      <c r="Y1491" s="14"/>
      <c r="Z1491" s="15"/>
      <c r="AA1491" s="15"/>
    </row>
    <row r="1492" ht="15.0" customHeight="1">
      <c r="J1492" s="15"/>
      <c r="K1492" s="238"/>
      <c r="L1492" s="15"/>
      <c r="M1492" s="15"/>
      <c r="N1492" s="15"/>
      <c r="O1492" s="15"/>
      <c r="P1492" s="15"/>
      <c r="Q1492" s="15"/>
      <c r="R1492" s="15"/>
      <c r="S1492" s="15"/>
      <c r="T1492" s="15"/>
      <c r="U1492" s="15"/>
      <c r="V1492" s="15"/>
      <c r="W1492" s="15"/>
      <c r="X1492" s="14"/>
      <c r="Y1492" s="14"/>
      <c r="Z1492" s="15"/>
      <c r="AA1492" s="15"/>
    </row>
    <row r="1493" ht="15.0" customHeight="1">
      <c r="J1493" s="15"/>
      <c r="K1493" s="238"/>
      <c r="L1493" s="15"/>
      <c r="M1493" s="15"/>
      <c r="N1493" s="15"/>
      <c r="O1493" s="15"/>
      <c r="P1493" s="15"/>
      <c r="Q1493" s="15"/>
      <c r="R1493" s="15"/>
      <c r="S1493" s="15"/>
      <c r="T1493" s="15"/>
      <c r="U1493" s="15"/>
      <c r="V1493" s="15"/>
      <c r="W1493" s="15"/>
      <c r="X1493" s="14"/>
      <c r="Y1493" s="14"/>
      <c r="Z1493" s="15"/>
      <c r="AA1493" s="15"/>
    </row>
    <row r="1494" ht="15.0" customHeight="1">
      <c r="J1494" s="15"/>
      <c r="K1494" s="238"/>
      <c r="L1494" s="15"/>
      <c r="M1494" s="15"/>
      <c r="N1494" s="15"/>
      <c r="O1494" s="15"/>
      <c r="P1494" s="15"/>
      <c r="Q1494" s="15"/>
      <c r="R1494" s="15"/>
      <c r="S1494" s="15"/>
      <c r="T1494" s="15"/>
      <c r="U1494" s="15"/>
      <c r="V1494" s="15"/>
      <c r="W1494" s="15"/>
      <c r="X1494" s="14"/>
      <c r="Y1494" s="14"/>
      <c r="Z1494" s="15"/>
      <c r="AA1494" s="15"/>
    </row>
    <row r="1495" ht="15.0" customHeight="1">
      <c r="J1495" s="15"/>
      <c r="K1495" s="238"/>
      <c r="L1495" s="15"/>
      <c r="M1495" s="15"/>
      <c r="N1495" s="15"/>
      <c r="O1495" s="15"/>
      <c r="P1495" s="15"/>
      <c r="Q1495" s="15"/>
      <c r="R1495" s="15"/>
      <c r="S1495" s="15"/>
      <c r="T1495" s="15"/>
      <c r="U1495" s="15"/>
      <c r="V1495" s="15"/>
      <c r="W1495" s="15"/>
      <c r="X1495" s="14"/>
      <c r="Y1495" s="14"/>
      <c r="Z1495" s="15"/>
      <c r="AA1495" s="15"/>
    </row>
    <row r="1496" ht="15.0" customHeight="1">
      <c r="J1496" s="15"/>
      <c r="K1496" s="238"/>
      <c r="L1496" s="15"/>
      <c r="M1496" s="15"/>
      <c r="N1496" s="15"/>
      <c r="O1496" s="15"/>
      <c r="P1496" s="15"/>
      <c r="Q1496" s="15"/>
      <c r="R1496" s="15"/>
      <c r="S1496" s="15"/>
      <c r="T1496" s="15"/>
      <c r="U1496" s="15"/>
      <c r="V1496" s="15"/>
      <c r="W1496" s="15"/>
      <c r="X1496" s="14"/>
      <c r="Y1496" s="14"/>
      <c r="Z1496" s="15"/>
      <c r="AA1496" s="15"/>
    </row>
    <row r="1497" ht="15.0" customHeight="1">
      <c r="J1497" s="15"/>
      <c r="K1497" s="238"/>
      <c r="L1497" s="15"/>
      <c r="M1497" s="15"/>
      <c r="N1497" s="15"/>
      <c r="O1497" s="15"/>
      <c r="P1497" s="15"/>
      <c r="Q1497" s="15"/>
      <c r="R1497" s="15"/>
      <c r="S1497" s="15"/>
      <c r="T1497" s="15"/>
      <c r="U1497" s="15"/>
      <c r="V1497" s="15"/>
      <c r="W1497" s="15"/>
      <c r="X1497" s="14"/>
      <c r="Y1497" s="14"/>
      <c r="Z1497" s="15"/>
      <c r="AA1497" s="15"/>
    </row>
    <row r="1498" ht="15.0" customHeight="1">
      <c r="J1498" s="15"/>
      <c r="K1498" s="238"/>
      <c r="L1498" s="15"/>
      <c r="M1498" s="15"/>
      <c r="N1498" s="15"/>
      <c r="O1498" s="15"/>
      <c r="P1498" s="15"/>
      <c r="Q1498" s="15"/>
      <c r="R1498" s="15"/>
      <c r="S1498" s="15"/>
      <c r="T1498" s="15"/>
      <c r="U1498" s="15"/>
      <c r="V1498" s="15"/>
      <c r="W1498" s="15"/>
      <c r="X1498" s="14"/>
      <c r="Y1498" s="14"/>
      <c r="Z1498" s="15"/>
      <c r="AA1498" s="15"/>
    </row>
    <row r="1499" ht="15.0" customHeight="1">
      <c r="J1499" s="15"/>
      <c r="K1499" s="238"/>
      <c r="L1499" s="15"/>
      <c r="M1499" s="15"/>
      <c r="N1499" s="15"/>
      <c r="O1499" s="15"/>
      <c r="P1499" s="15"/>
      <c r="Q1499" s="15"/>
      <c r="R1499" s="15"/>
      <c r="S1499" s="15"/>
      <c r="T1499" s="15"/>
      <c r="U1499" s="15"/>
      <c r="V1499" s="15"/>
      <c r="W1499" s="15"/>
      <c r="X1499" s="14"/>
      <c r="Y1499" s="14"/>
      <c r="Z1499" s="15"/>
      <c r="AA1499" s="15"/>
    </row>
    <row r="1500" ht="15.0" customHeight="1">
      <c r="J1500" s="15"/>
      <c r="K1500" s="238"/>
      <c r="L1500" s="15"/>
      <c r="M1500" s="15"/>
      <c r="N1500" s="15"/>
      <c r="O1500" s="15"/>
      <c r="P1500" s="15"/>
      <c r="Q1500" s="15"/>
      <c r="R1500" s="15"/>
      <c r="S1500" s="15"/>
      <c r="T1500" s="15"/>
      <c r="U1500" s="15"/>
      <c r="V1500" s="15"/>
      <c r="W1500" s="15"/>
      <c r="X1500" s="14"/>
      <c r="Y1500" s="14"/>
      <c r="Z1500" s="15"/>
      <c r="AA1500" s="15"/>
    </row>
    <row r="1501" ht="15.0" customHeight="1">
      <c r="J1501" s="15"/>
      <c r="K1501" s="238"/>
      <c r="L1501" s="15"/>
      <c r="M1501" s="15"/>
      <c r="N1501" s="15"/>
      <c r="O1501" s="15"/>
      <c r="P1501" s="15"/>
      <c r="Q1501" s="15"/>
      <c r="R1501" s="15"/>
      <c r="S1501" s="15"/>
      <c r="T1501" s="15"/>
      <c r="U1501" s="15"/>
      <c r="V1501" s="15"/>
      <c r="W1501" s="15"/>
      <c r="X1501" s="14"/>
      <c r="Y1501" s="14"/>
      <c r="Z1501" s="15"/>
      <c r="AA1501" s="15"/>
    </row>
    <row r="1502" ht="15.0" customHeight="1">
      <c r="J1502" s="15"/>
      <c r="K1502" s="238"/>
      <c r="L1502" s="15"/>
      <c r="M1502" s="15"/>
      <c r="N1502" s="15"/>
      <c r="O1502" s="15"/>
      <c r="P1502" s="15"/>
      <c r="Q1502" s="15"/>
      <c r="R1502" s="15"/>
      <c r="S1502" s="15"/>
      <c r="T1502" s="15"/>
      <c r="U1502" s="15"/>
      <c r="V1502" s="15"/>
      <c r="W1502" s="15"/>
      <c r="X1502" s="14"/>
      <c r="Y1502" s="14"/>
      <c r="Z1502" s="15"/>
      <c r="AA1502" s="15"/>
    </row>
    <row r="1503" ht="15.0" customHeight="1">
      <c r="J1503" s="15"/>
      <c r="K1503" s="238"/>
      <c r="L1503" s="15"/>
      <c r="M1503" s="15"/>
      <c r="N1503" s="15"/>
      <c r="O1503" s="15"/>
      <c r="P1503" s="15"/>
      <c r="Q1503" s="15"/>
      <c r="R1503" s="15"/>
      <c r="S1503" s="15"/>
      <c r="T1503" s="15"/>
      <c r="U1503" s="15"/>
      <c r="V1503" s="15"/>
      <c r="W1503" s="15"/>
      <c r="X1503" s="14"/>
      <c r="Y1503" s="14"/>
      <c r="Z1503" s="15"/>
      <c r="AA1503" s="15"/>
    </row>
    <row r="1504" ht="15.0" customHeight="1">
      <c r="J1504" s="15"/>
      <c r="K1504" s="238"/>
      <c r="L1504" s="15"/>
      <c r="M1504" s="15"/>
      <c r="N1504" s="15"/>
      <c r="O1504" s="15"/>
      <c r="P1504" s="15"/>
      <c r="Q1504" s="15"/>
      <c r="R1504" s="15"/>
      <c r="S1504" s="15"/>
      <c r="T1504" s="15"/>
      <c r="U1504" s="15"/>
      <c r="V1504" s="15"/>
      <c r="W1504" s="15"/>
      <c r="X1504" s="14"/>
      <c r="Y1504" s="14"/>
      <c r="Z1504" s="15"/>
      <c r="AA1504" s="15"/>
    </row>
    <row r="1505" ht="15.0" customHeight="1">
      <c r="J1505" s="15"/>
      <c r="K1505" s="238"/>
      <c r="L1505" s="15"/>
      <c r="M1505" s="15"/>
      <c r="N1505" s="15"/>
      <c r="O1505" s="15"/>
      <c r="P1505" s="15"/>
      <c r="Q1505" s="15"/>
      <c r="R1505" s="15"/>
      <c r="S1505" s="15"/>
      <c r="T1505" s="15"/>
      <c r="U1505" s="15"/>
      <c r="V1505" s="15"/>
      <c r="W1505" s="15"/>
      <c r="X1505" s="14"/>
      <c r="Y1505" s="14"/>
      <c r="Z1505" s="15"/>
      <c r="AA1505" s="15"/>
    </row>
    <row r="1506" ht="15.0" customHeight="1">
      <c r="J1506" s="15"/>
      <c r="K1506" s="238"/>
      <c r="L1506" s="15"/>
      <c r="M1506" s="15"/>
      <c r="N1506" s="15"/>
      <c r="O1506" s="15"/>
      <c r="P1506" s="15"/>
      <c r="Q1506" s="15"/>
      <c r="R1506" s="15"/>
      <c r="S1506" s="15"/>
      <c r="T1506" s="15"/>
      <c r="U1506" s="15"/>
      <c r="V1506" s="15"/>
      <c r="W1506" s="15"/>
      <c r="X1506" s="14"/>
      <c r="Y1506" s="14"/>
      <c r="Z1506" s="15"/>
      <c r="AA1506" s="15"/>
    </row>
    <row r="1507" ht="15.0" customHeight="1">
      <c r="J1507" s="15"/>
      <c r="K1507" s="238"/>
      <c r="L1507" s="15"/>
      <c r="M1507" s="15"/>
      <c r="N1507" s="15"/>
      <c r="O1507" s="15"/>
      <c r="P1507" s="15"/>
      <c r="Q1507" s="15"/>
      <c r="R1507" s="15"/>
      <c r="S1507" s="15"/>
      <c r="T1507" s="15"/>
      <c r="U1507" s="15"/>
      <c r="V1507" s="15"/>
      <c r="W1507" s="15"/>
      <c r="X1507" s="14"/>
      <c r="Y1507" s="14"/>
      <c r="Z1507" s="15"/>
      <c r="AA1507" s="15"/>
    </row>
    <row r="1508" ht="15.0" customHeight="1">
      <c r="J1508" s="15"/>
      <c r="K1508" s="238"/>
      <c r="L1508" s="15"/>
      <c r="M1508" s="15"/>
      <c r="N1508" s="15"/>
      <c r="O1508" s="15"/>
      <c r="P1508" s="15"/>
      <c r="Q1508" s="15"/>
      <c r="R1508" s="15"/>
      <c r="S1508" s="15"/>
      <c r="T1508" s="15"/>
      <c r="U1508" s="15"/>
      <c r="V1508" s="15"/>
      <c r="W1508" s="15"/>
      <c r="X1508" s="14"/>
      <c r="Y1508" s="14"/>
      <c r="Z1508" s="15"/>
      <c r="AA1508" s="15"/>
    </row>
    <row r="1509" ht="15.0" customHeight="1">
      <c r="J1509" s="15"/>
      <c r="K1509" s="238"/>
      <c r="L1509" s="15"/>
      <c r="M1509" s="15"/>
      <c r="N1509" s="15"/>
      <c r="O1509" s="15"/>
      <c r="P1509" s="15"/>
      <c r="Q1509" s="15"/>
      <c r="R1509" s="15"/>
      <c r="S1509" s="15"/>
      <c r="T1509" s="15"/>
      <c r="U1509" s="15"/>
      <c r="V1509" s="15"/>
      <c r="W1509" s="15"/>
      <c r="X1509" s="14"/>
      <c r="Y1509" s="14"/>
      <c r="Z1509" s="15"/>
      <c r="AA1509" s="15"/>
    </row>
    <row r="1510" ht="15.0" customHeight="1">
      <c r="J1510" s="15"/>
      <c r="K1510" s="238"/>
      <c r="L1510" s="15"/>
      <c r="M1510" s="15"/>
      <c r="N1510" s="15"/>
      <c r="O1510" s="15"/>
      <c r="P1510" s="15"/>
      <c r="Q1510" s="15"/>
      <c r="R1510" s="15"/>
      <c r="S1510" s="15"/>
      <c r="T1510" s="15"/>
      <c r="U1510" s="15"/>
      <c r="V1510" s="15"/>
      <c r="W1510" s="15"/>
      <c r="X1510" s="14"/>
      <c r="Y1510" s="14"/>
      <c r="Z1510" s="15"/>
      <c r="AA1510" s="15"/>
    </row>
    <row r="1511" ht="15.0" customHeight="1">
      <c r="J1511" s="15"/>
      <c r="K1511" s="238"/>
      <c r="L1511" s="15"/>
      <c r="M1511" s="15"/>
      <c r="N1511" s="15"/>
      <c r="O1511" s="15"/>
      <c r="P1511" s="15"/>
      <c r="Q1511" s="15"/>
      <c r="R1511" s="15"/>
      <c r="S1511" s="15"/>
      <c r="T1511" s="15"/>
      <c r="U1511" s="15"/>
      <c r="V1511" s="15"/>
      <c r="W1511" s="15"/>
      <c r="X1511" s="14"/>
      <c r="Y1511" s="14"/>
      <c r="Z1511" s="15"/>
      <c r="AA1511" s="15"/>
    </row>
    <row r="1512" ht="15.0" customHeight="1">
      <c r="J1512" s="15"/>
      <c r="K1512" s="238"/>
      <c r="L1512" s="15"/>
      <c r="M1512" s="15"/>
      <c r="N1512" s="15"/>
      <c r="O1512" s="15"/>
      <c r="P1512" s="15"/>
      <c r="Q1512" s="15"/>
      <c r="R1512" s="15"/>
      <c r="S1512" s="15"/>
      <c r="T1512" s="15"/>
      <c r="U1512" s="15"/>
      <c r="V1512" s="15"/>
      <c r="W1512" s="15"/>
      <c r="X1512" s="14"/>
      <c r="Y1512" s="14"/>
      <c r="Z1512" s="15"/>
      <c r="AA1512" s="15"/>
    </row>
    <row r="1513" ht="15.0" customHeight="1">
      <c r="J1513" s="15"/>
      <c r="K1513" s="238"/>
      <c r="L1513" s="15"/>
      <c r="M1513" s="15"/>
      <c r="N1513" s="15"/>
      <c r="O1513" s="15"/>
      <c r="P1513" s="15"/>
      <c r="Q1513" s="15"/>
      <c r="R1513" s="15"/>
      <c r="S1513" s="15"/>
      <c r="T1513" s="15"/>
      <c r="U1513" s="15"/>
      <c r="V1513" s="15"/>
      <c r="W1513" s="15"/>
      <c r="X1513" s="14"/>
      <c r="Y1513" s="14"/>
      <c r="Z1513" s="15"/>
      <c r="AA1513" s="15"/>
    </row>
    <row r="1514" ht="15.0" customHeight="1">
      <c r="J1514" s="15"/>
      <c r="K1514" s="238"/>
      <c r="L1514" s="15"/>
      <c r="M1514" s="15"/>
      <c r="N1514" s="15"/>
      <c r="O1514" s="15"/>
      <c r="P1514" s="15"/>
      <c r="Q1514" s="15"/>
      <c r="R1514" s="15"/>
      <c r="S1514" s="15"/>
      <c r="T1514" s="15"/>
      <c r="U1514" s="15"/>
      <c r="V1514" s="15"/>
      <c r="W1514" s="15"/>
      <c r="X1514" s="14"/>
      <c r="Y1514" s="14"/>
      <c r="Z1514" s="15"/>
      <c r="AA1514" s="15"/>
    </row>
    <row r="1515" ht="15.0" customHeight="1">
      <c r="J1515" s="15"/>
      <c r="K1515" s="238"/>
      <c r="L1515" s="15"/>
      <c r="M1515" s="15"/>
      <c r="N1515" s="15"/>
      <c r="O1515" s="15"/>
      <c r="P1515" s="15"/>
      <c r="Q1515" s="15"/>
      <c r="R1515" s="15"/>
      <c r="S1515" s="15"/>
      <c r="T1515" s="15"/>
      <c r="U1515" s="15"/>
      <c r="V1515" s="15"/>
      <c r="W1515" s="15"/>
      <c r="X1515" s="14"/>
      <c r="Y1515" s="14"/>
      <c r="Z1515" s="15"/>
      <c r="AA1515" s="15"/>
    </row>
    <row r="1516" ht="15.0" customHeight="1">
      <c r="J1516" s="15"/>
      <c r="K1516" s="238"/>
      <c r="L1516" s="15"/>
      <c r="M1516" s="15"/>
      <c r="N1516" s="15"/>
      <c r="O1516" s="15"/>
      <c r="P1516" s="15"/>
      <c r="Q1516" s="15"/>
      <c r="R1516" s="15"/>
      <c r="S1516" s="15"/>
      <c r="T1516" s="15"/>
      <c r="U1516" s="15"/>
      <c r="V1516" s="15"/>
      <c r="W1516" s="15"/>
      <c r="X1516" s="14"/>
      <c r="Y1516" s="14"/>
      <c r="Z1516" s="15"/>
      <c r="AA1516" s="15"/>
    </row>
    <row r="1517" ht="15.0" customHeight="1">
      <c r="J1517" s="15"/>
      <c r="K1517" s="238"/>
      <c r="L1517" s="15"/>
      <c r="M1517" s="15"/>
      <c r="N1517" s="15"/>
      <c r="O1517" s="15"/>
      <c r="P1517" s="15"/>
      <c r="Q1517" s="15"/>
      <c r="R1517" s="15"/>
      <c r="S1517" s="15"/>
      <c r="T1517" s="15"/>
      <c r="U1517" s="15"/>
      <c r="V1517" s="15"/>
      <c r="W1517" s="15"/>
      <c r="X1517" s="14"/>
      <c r="Y1517" s="14"/>
      <c r="Z1517" s="15"/>
      <c r="AA1517" s="15"/>
    </row>
    <row r="1518" ht="15.0" customHeight="1">
      <c r="J1518" s="15"/>
      <c r="K1518" s="238"/>
      <c r="L1518" s="15"/>
      <c r="M1518" s="15"/>
      <c r="N1518" s="15"/>
      <c r="O1518" s="15"/>
      <c r="P1518" s="15"/>
      <c r="Q1518" s="15"/>
      <c r="R1518" s="15"/>
      <c r="S1518" s="15"/>
      <c r="T1518" s="15"/>
      <c r="U1518" s="15"/>
      <c r="V1518" s="15"/>
      <c r="W1518" s="15"/>
      <c r="X1518" s="14"/>
      <c r="Y1518" s="14"/>
      <c r="Z1518" s="15"/>
      <c r="AA1518" s="15"/>
    </row>
    <row r="1519" ht="15.0" customHeight="1">
      <c r="J1519" s="15"/>
      <c r="K1519" s="238"/>
      <c r="L1519" s="15"/>
      <c r="M1519" s="15"/>
      <c r="N1519" s="15"/>
      <c r="O1519" s="15"/>
      <c r="P1519" s="15"/>
      <c r="Q1519" s="15"/>
      <c r="R1519" s="15"/>
      <c r="S1519" s="15"/>
      <c r="T1519" s="15"/>
      <c r="U1519" s="15"/>
      <c r="V1519" s="15"/>
      <c r="W1519" s="15"/>
      <c r="X1519" s="14"/>
      <c r="Y1519" s="14"/>
      <c r="Z1519" s="15"/>
      <c r="AA1519" s="15"/>
    </row>
    <row r="1520" ht="15.0" customHeight="1">
      <c r="J1520" s="15"/>
      <c r="K1520" s="238"/>
      <c r="L1520" s="15"/>
      <c r="M1520" s="15"/>
      <c r="N1520" s="15"/>
      <c r="O1520" s="15"/>
      <c r="P1520" s="15"/>
      <c r="Q1520" s="15"/>
      <c r="R1520" s="15"/>
      <c r="S1520" s="15"/>
      <c r="T1520" s="15"/>
      <c r="U1520" s="15"/>
      <c r="V1520" s="15"/>
      <c r="W1520" s="15"/>
      <c r="X1520" s="14"/>
      <c r="Y1520" s="14"/>
      <c r="Z1520" s="15"/>
      <c r="AA1520" s="15"/>
    </row>
    <row r="1521" ht="15.0" customHeight="1">
      <c r="J1521" s="15"/>
      <c r="K1521" s="238"/>
      <c r="L1521" s="15"/>
      <c r="M1521" s="15"/>
      <c r="N1521" s="15"/>
      <c r="O1521" s="15"/>
      <c r="P1521" s="15"/>
      <c r="Q1521" s="15"/>
      <c r="R1521" s="15"/>
      <c r="S1521" s="15"/>
      <c r="T1521" s="15"/>
      <c r="U1521" s="15"/>
      <c r="V1521" s="15"/>
      <c r="W1521" s="15"/>
      <c r="X1521" s="14"/>
      <c r="Y1521" s="14"/>
      <c r="Z1521" s="15"/>
      <c r="AA1521" s="15"/>
    </row>
    <row r="1522" ht="15.0" customHeight="1">
      <c r="J1522" s="15"/>
      <c r="K1522" s="238"/>
      <c r="L1522" s="15"/>
      <c r="M1522" s="15"/>
      <c r="N1522" s="15"/>
      <c r="O1522" s="15"/>
      <c r="P1522" s="15"/>
      <c r="Q1522" s="15"/>
      <c r="R1522" s="15"/>
      <c r="S1522" s="15"/>
      <c r="T1522" s="15"/>
      <c r="U1522" s="15"/>
      <c r="V1522" s="15"/>
      <c r="W1522" s="15"/>
      <c r="X1522" s="14"/>
      <c r="Y1522" s="14"/>
      <c r="Z1522" s="15"/>
      <c r="AA1522" s="15"/>
    </row>
    <row r="1523" ht="15.0" customHeight="1">
      <c r="J1523" s="15"/>
      <c r="K1523" s="238"/>
      <c r="L1523" s="15"/>
      <c r="M1523" s="15"/>
      <c r="N1523" s="15"/>
      <c r="O1523" s="15"/>
      <c r="P1523" s="15"/>
      <c r="Q1523" s="15"/>
      <c r="R1523" s="15"/>
      <c r="S1523" s="15"/>
      <c r="T1523" s="15"/>
      <c r="U1523" s="15"/>
      <c r="V1523" s="15"/>
      <c r="W1523" s="15"/>
      <c r="X1523" s="14"/>
      <c r="Y1523" s="14"/>
      <c r="Z1523" s="15"/>
      <c r="AA1523" s="15"/>
    </row>
    <row r="1524" ht="15.0" customHeight="1">
      <c r="J1524" s="15"/>
      <c r="K1524" s="238"/>
      <c r="L1524" s="15"/>
      <c r="M1524" s="15"/>
      <c r="N1524" s="15"/>
      <c r="O1524" s="15"/>
      <c r="P1524" s="15"/>
      <c r="Q1524" s="15"/>
      <c r="R1524" s="15"/>
      <c r="S1524" s="15"/>
      <c r="T1524" s="15"/>
      <c r="U1524" s="15"/>
      <c r="V1524" s="15"/>
      <c r="W1524" s="15"/>
      <c r="X1524" s="14"/>
      <c r="Y1524" s="14"/>
      <c r="Z1524" s="15"/>
      <c r="AA1524" s="15"/>
    </row>
    <row r="1525" ht="15.0" customHeight="1">
      <c r="J1525" s="15"/>
      <c r="K1525" s="238"/>
      <c r="L1525" s="15"/>
      <c r="M1525" s="15"/>
      <c r="N1525" s="15"/>
      <c r="O1525" s="15"/>
      <c r="P1525" s="15"/>
      <c r="Q1525" s="15"/>
      <c r="R1525" s="15"/>
      <c r="S1525" s="15"/>
      <c r="T1525" s="15"/>
      <c r="U1525" s="15"/>
      <c r="V1525" s="15"/>
      <c r="W1525" s="15"/>
      <c r="X1525" s="14"/>
      <c r="Y1525" s="14"/>
      <c r="Z1525" s="15"/>
      <c r="AA1525" s="15"/>
    </row>
    <row r="1526" ht="15.0" customHeight="1">
      <c r="J1526" s="15"/>
      <c r="K1526" s="238"/>
      <c r="L1526" s="15"/>
      <c r="M1526" s="15"/>
      <c r="N1526" s="15"/>
      <c r="O1526" s="15"/>
      <c r="P1526" s="15"/>
      <c r="Q1526" s="15"/>
      <c r="R1526" s="15"/>
      <c r="S1526" s="15"/>
      <c r="T1526" s="15"/>
      <c r="U1526" s="15"/>
      <c r="V1526" s="15"/>
      <c r="W1526" s="15"/>
      <c r="X1526" s="14"/>
      <c r="Y1526" s="14"/>
      <c r="Z1526" s="15"/>
      <c r="AA1526" s="15"/>
    </row>
    <row r="1527" ht="15.0" customHeight="1">
      <c r="J1527" s="15"/>
      <c r="K1527" s="238"/>
      <c r="L1527" s="15"/>
      <c r="M1527" s="15"/>
      <c r="N1527" s="15"/>
      <c r="O1527" s="15"/>
      <c r="P1527" s="15"/>
      <c r="Q1527" s="15"/>
      <c r="R1527" s="15"/>
      <c r="S1527" s="15"/>
      <c r="T1527" s="15"/>
      <c r="U1527" s="15"/>
      <c r="V1527" s="15"/>
      <c r="W1527" s="15"/>
      <c r="X1527" s="14"/>
      <c r="Y1527" s="14"/>
      <c r="Z1527" s="15"/>
      <c r="AA1527" s="15"/>
    </row>
    <row r="1528" ht="15.0" customHeight="1">
      <c r="J1528" s="15"/>
      <c r="K1528" s="238"/>
      <c r="L1528" s="15"/>
      <c r="M1528" s="15"/>
      <c r="N1528" s="15"/>
      <c r="O1528" s="15"/>
      <c r="P1528" s="15"/>
      <c r="Q1528" s="15"/>
      <c r="R1528" s="15"/>
      <c r="S1528" s="15"/>
      <c r="T1528" s="15"/>
      <c r="U1528" s="15"/>
      <c r="V1528" s="15"/>
      <c r="W1528" s="15"/>
      <c r="X1528" s="14"/>
      <c r="Y1528" s="14"/>
      <c r="Z1528" s="15"/>
      <c r="AA1528" s="15"/>
    </row>
    <row r="1529" ht="15.0" customHeight="1">
      <c r="J1529" s="15"/>
      <c r="K1529" s="238"/>
      <c r="L1529" s="15"/>
      <c r="M1529" s="15"/>
      <c r="N1529" s="15"/>
      <c r="O1529" s="15"/>
      <c r="P1529" s="15"/>
      <c r="Q1529" s="15"/>
      <c r="R1529" s="15"/>
      <c r="S1529" s="15"/>
      <c r="T1529" s="15"/>
      <c r="U1529" s="15"/>
      <c r="V1529" s="15"/>
      <c r="W1529" s="15"/>
      <c r="X1529" s="14"/>
      <c r="Y1529" s="14"/>
      <c r="Z1529" s="15"/>
      <c r="AA1529" s="15"/>
    </row>
    <row r="1530" ht="15.0" customHeight="1">
      <c r="J1530" s="15"/>
      <c r="K1530" s="238"/>
      <c r="L1530" s="15"/>
      <c r="M1530" s="15"/>
      <c r="N1530" s="15"/>
      <c r="O1530" s="15"/>
      <c r="P1530" s="15"/>
      <c r="Q1530" s="15"/>
      <c r="R1530" s="15"/>
      <c r="S1530" s="15"/>
      <c r="T1530" s="15"/>
      <c r="U1530" s="15"/>
      <c r="V1530" s="15"/>
      <c r="W1530" s="15"/>
      <c r="X1530" s="14"/>
      <c r="Y1530" s="14"/>
      <c r="Z1530" s="15"/>
      <c r="AA1530" s="15"/>
    </row>
    <row r="1531" ht="15.0" customHeight="1">
      <c r="J1531" s="15"/>
      <c r="K1531" s="238"/>
      <c r="L1531" s="15"/>
      <c r="M1531" s="15"/>
      <c r="N1531" s="15"/>
      <c r="O1531" s="15"/>
      <c r="P1531" s="15"/>
      <c r="Q1531" s="15"/>
      <c r="R1531" s="15"/>
      <c r="S1531" s="15"/>
      <c r="T1531" s="15"/>
      <c r="U1531" s="15"/>
      <c r="V1531" s="15"/>
      <c r="W1531" s="15"/>
      <c r="X1531" s="14"/>
      <c r="Y1531" s="14"/>
      <c r="Z1531" s="15"/>
      <c r="AA1531" s="15"/>
    </row>
    <row r="1532" ht="15.0" customHeight="1">
      <c r="J1532" s="15"/>
      <c r="K1532" s="238"/>
      <c r="L1532" s="15"/>
      <c r="M1532" s="15"/>
      <c r="N1532" s="15"/>
      <c r="O1532" s="15"/>
      <c r="P1532" s="15"/>
      <c r="Q1532" s="15"/>
      <c r="R1532" s="15"/>
      <c r="S1532" s="15"/>
      <c r="T1532" s="15"/>
      <c r="U1532" s="15"/>
      <c r="V1532" s="15"/>
      <c r="W1532" s="15"/>
      <c r="X1532" s="14"/>
      <c r="Y1532" s="14"/>
      <c r="Z1532" s="15"/>
      <c r="AA1532" s="15"/>
    </row>
    <row r="1533" ht="15.0" customHeight="1">
      <c r="J1533" s="15"/>
      <c r="K1533" s="238"/>
      <c r="L1533" s="15"/>
      <c r="M1533" s="15"/>
      <c r="N1533" s="15"/>
      <c r="O1533" s="15"/>
      <c r="P1533" s="15"/>
      <c r="Q1533" s="15"/>
      <c r="R1533" s="15"/>
      <c r="S1533" s="15"/>
      <c r="T1533" s="15"/>
      <c r="U1533" s="15"/>
      <c r="V1533" s="15"/>
      <c r="W1533" s="15"/>
      <c r="X1533" s="14"/>
      <c r="Y1533" s="14"/>
      <c r="Z1533" s="15"/>
      <c r="AA1533" s="15"/>
    </row>
    <row r="1534" ht="15.0" customHeight="1">
      <c r="J1534" s="15"/>
      <c r="K1534" s="238"/>
      <c r="L1534" s="15"/>
      <c r="M1534" s="15"/>
      <c r="N1534" s="15"/>
      <c r="O1534" s="15"/>
      <c r="P1534" s="15"/>
      <c r="Q1534" s="15"/>
      <c r="R1534" s="15"/>
      <c r="S1534" s="15"/>
      <c r="T1534" s="15"/>
      <c r="U1534" s="15"/>
      <c r="V1534" s="15"/>
      <c r="W1534" s="15"/>
      <c r="X1534" s="14"/>
      <c r="Y1534" s="14"/>
      <c r="Z1534" s="15"/>
      <c r="AA1534" s="15"/>
    </row>
    <row r="1535" ht="15.0" customHeight="1">
      <c r="J1535" s="15"/>
      <c r="K1535" s="238"/>
      <c r="L1535" s="15"/>
      <c r="M1535" s="15"/>
      <c r="N1535" s="15"/>
      <c r="O1535" s="15"/>
      <c r="P1535" s="15"/>
      <c r="Q1535" s="15"/>
      <c r="R1535" s="15"/>
      <c r="S1535" s="15"/>
      <c r="T1535" s="15"/>
      <c r="U1535" s="15"/>
      <c r="V1535" s="15"/>
      <c r="W1535" s="15"/>
      <c r="X1535" s="14"/>
      <c r="Y1535" s="14"/>
      <c r="Z1535" s="15"/>
      <c r="AA1535" s="15"/>
    </row>
    <row r="1536" ht="15.0" customHeight="1">
      <c r="J1536" s="15"/>
      <c r="K1536" s="238"/>
      <c r="L1536" s="15"/>
      <c r="M1536" s="15"/>
      <c r="N1536" s="15"/>
      <c r="O1536" s="15"/>
      <c r="P1536" s="15"/>
      <c r="Q1536" s="15"/>
      <c r="R1536" s="15"/>
      <c r="S1536" s="15"/>
      <c r="T1536" s="15"/>
      <c r="U1536" s="15"/>
      <c r="V1536" s="15"/>
      <c r="W1536" s="15"/>
      <c r="X1536" s="14"/>
      <c r="Y1536" s="14"/>
      <c r="Z1536" s="15"/>
      <c r="AA1536" s="15"/>
    </row>
    <row r="1537" ht="15.0" customHeight="1">
      <c r="J1537" s="15"/>
      <c r="K1537" s="238"/>
      <c r="L1537" s="15"/>
      <c r="M1537" s="15"/>
      <c r="N1537" s="15"/>
      <c r="O1537" s="15"/>
      <c r="P1537" s="15"/>
      <c r="Q1537" s="15"/>
      <c r="R1537" s="15"/>
      <c r="S1537" s="15"/>
      <c r="T1537" s="15"/>
      <c r="U1537" s="15"/>
      <c r="V1537" s="15"/>
      <c r="W1537" s="15"/>
      <c r="X1537" s="14"/>
      <c r="Y1537" s="14"/>
      <c r="Z1537" s="15"/>
      <c r="AA1537" s="15"/>
    </row>
    <row r="1538" ht="15.0" customHeight="1">
      <c r="J1538" s="15"/>
      <c r="K1538" s="238"/>
      <c r="L1538" s="15"/>
      <c r="M1538" s="15"/>
      <c r="N1538" s="15"/>
      <c r="O1538" s="15"/>
      <c r="P1538" s="15"/>
      <c r="Q1538" s="15"/>
      <c r="R1538" s="15"/>
      <c r="S1538" s="15"/>
      <c r="T1538" s="15"/>
      <c r="U1538" s="15"/>
      <c r="V1538" s="15"/>
      <c r="W1538" s="15"/>
      <c r="X1538" s="14"/>
      <c r="Y1538" s="14"/>
      <c r="Z1538" s="15"/>
      <c r="AA1538" s="15"/>
    </row>
    <row r="1539" ht="15.0" customHeight="1">
      <c r="J1539" s="15"/>
      <c r="K1539" s="238"/>
      <c r="L1539" s="15"/>
      <c r="M1539" s="15"/>
      <c r="N1539" s="15"/>
      <c r="O1539" s="15"/>
      <c r="P1539" s="15"/>
      <c r="Q1539" s="15"/>
      <c r="R1539" s="15"/>
      <c r="S1539" s="15"/>
      <c r="T1539" s="15"/>
      <c r="U1539" s="15"/>
      <c r="V1539" s="15"/>
      <c r="W1539" s="15"/>
      <c r="X1539" s="14"/>
      <c r="Y1539" s="14"/>
      <c r="Z1539" s="15"/>
      <c r="AA1539" s="15"/>
    </row>
    <row r="1540" ht="15.0" customHeight="1">
      <c r="J1540" s="15"/>
      <c r="K1540" s="238"/>
      <c r="L1540" s="15"/>
      <c r="M1540" s="15"/>
      <c r="N1540" s="15"/>
      <c r="O1540" s="15"/>
      <c r="P1540" s="15"/>
      <c r="Q1540" s="15"/>
      <c r="R1540" s="15"/>
      <c r="S1540" s="15"/>
      <c r="T1540" s="15"/>
      <c r="U1540" s="15"/>
      <c r="V1540" s="15"/>
      <c r="W1540" s="15"/>
      <c r="X1540" s="14"/>
      <c r="Y1540" s="14"/>
      <c r="Z1540" s="15"/>
      <c r="AA1540" s="15"/>
    </row>
    <row r="1541" ht="15.0" customHeight="1">
      <c r="J1541" s="15"/>
      <c r="K1541" s="238"/>
      <c r="L1541" s="15"/>
      <c r="M1541" s="15"/>
      <c r="N1541" s="15"/>
      <c r="O1541" s="15"/>
      <c r="P1541" s="15"/>
      <c r="Q1541" s="15"/>
      <c r="R1541" s="15"/>
      <c r="S1541" s="15"/>
      <c r="T1541" s="15"/>
      <c r="U1541" s="15"/>
      <c r="V1541" s="15"/>
      <c r="W1541" s="15"/>
      <c r="X1541" s="14"/>
      <c r="Y1541" s="14"/>
      <c r="Z1541" s="15"/>
      <c r="AA1541" s="15"/>
    </row>
    <row r="1542" ht="15.0" customHeight="1">
      <c r="J1542" s="15"/>
      <c r="K1542" s="238"/>
      <c r="L1542" s="15"/>
      <c r="M1542" s="15"/>
      <c r="N1542" s="15"/>
      <c r="O1542" s="15"/>
      <c r="P1542" s="15"/>
      <c r="Q1542" s="15"/>
      <c r="R1542" s="15"/>
      <c r="S1542" s="15"/>
      <c r="T1542" s="15"/>
      <c r="U1542" s="15"/>
      <c r="V1542" s="15"/>
      <c r="W1542" s="15"/>
      <c r="X1542" s="14"/>
      <c r="Y1542" s="14"/>
      <c r="Z1542" s="15"/>
      <c r="AA1542" s="15"/>
    </row>
    <row r="1543" ht="15.0" customHeight="1">
      <c r="J1543" s="15"/>
      <c r="K1543" s="238"/>
      <c r="L1543" s="15"/>
      <c r="M1543" s="15"/>
      <c r="N1543" s="15"/>
      <c r="O1543" s="15"/>
      <c r="P1543" s="15"/>
      <c r="Q1543" s="15"/>
      <c r="R1543" s="15"/>
      <c r="S1543" s="15"/>
      <c r="T1543" s="15"/>
      <c r="U1543" s="15"/>
      <c r="V1543" s="15"/>
      <c r="W1543" s="15"/>
      <c r="X1543" s="14"/>
      <c r="Y1543" s="14"/>
      <c r="Z1543" s="15"/>
      <c r="AA1543" s="15"/>
    </row>
    <row r="1544" ht="15.0" customHeight="1">
      <c r="J1544" s="15"/>
      <c r="K1544" s="238"/>
      <c r="L1544" s="15"/>
      <c r="M1544" s="15"/>
      <c r="N1544" s="15"/>
      <c r="O1544" s="15"/>
      <c r="P1544" s="15"/>
      <c r="Q1544" s="15"/>
      <c r="R1544" s="15"/>
      <c r="S1544" s="15"/>
      <c r="T1544" s="15"/>
      <c r="U1544" s="15"/>
      <c r="V1544" s="15"/>
      <c r="W1544" s="15"/>
      <c r="X1544" s="14"/>
      <c r="Y1544" s="14"/>
      <c r="Z1544" s="15"/>
      <c r="AA1544" s="15"/>
    </row>
    <row r="1545" ht="15.0" customHeight="1">
      <c r="J1545" s="15"/>
      <c r="K1545" s="238"/>
      <c r="L1545" s="15"/>
      <c r="M1545" s="15"/>
      <c r="N1545" s="15"/>
      <c r="O1545" s="15"/>
      <c r="P1545" s="15"/>
      <c r="Q1545" s="15"/>
      <c r="R1545" s="15"/>
      <c r="S1545" s="15"/>
      <c r="T1545" s="15"/>
      <c r="U1545" s="15"/>
      <c r="V1545" s="15"/>
      <c r="W1545" s="15"/>
      <c r="X1545" s="14"/>
      <c r="Y1545" s="14"/>
      <c r="Z1545" s="15"/>
      <c r="AA1545" s="15"/>
    </row>
    <row r="1546" ht="15.0" customHeight="1">
      <c r="J1546" s="15"/>
      <c r="K1546" s="238"/>
      <c r="L1546" s="15"/>
      <c r="M1546" s="15"/>
      <c r="N1546" s="15"/>
      <c r="O1546" s="15"/>
      <c r="P1546" s="15"/>
      <c r="Q1546" s="15"/>
      <c r="R1546" s="15"/>
      <c r="S1546" s="15"/>
      <c r="T1546" s="15"/>
      <c r="U1546" s="15"/>
      <c r="V1546" s="15"/>
      <c r="W1546" s="15"/>
      <c r="X1546" s="14"/>
      <c r="Y1546" s="14"/>
      <c r="Z1546" s="15"/>
      <c r="AA1546" s="15"/>
    </row>
    <row r="1547" ht="15.0" customHeight="1">
      <c r="J1547" s="15"/>
      <c r="K1547" s="238"/>
      <c r="L1547" s="15"/>
      <c r="M1547" s="15"/>
      <c r="N1547" s="15"/>
      <c r="O1547" s="15"/>
      <c r="P1547" s="15"/>
      <c r="Q1547" s="15"/>
      <c r="R1547" s="15"/>
      <c r="S1547" s="15"/>
      <c r="T1547" s="15"/>
      <c r="U1547" s="15"/>
      <c r="V1547" s="15"/>
      <c r="W1547" s="15"/>
      <c r="X1547" s="14"/>
      <c r="Y1547" s="14"/>
      <c r="Z1547" s="15"/>
      <c r="AA1547" s="15"/>
    </row>
    <row r="1548" ht="15.0" customHeight="1">
      <c r="J1548" s="15"/>
      <c r="K1548" s="238"/>
      <c r="L1548" s="15"/>
      <c r="M1548" s="15"/>
      <c r="N1548" s="15"/>
      <c r="O1548" s="15"/>
      <c r="P1548" s="15"/>
      <c r="Q1548" s="15"/>
      <c r="R1548" s="15"/>
      <c r="S1548" s="15"/>
      <c r="T1548" s="15"/>
      <c r="U1548" s="15"/>
      <c r="V1548" s="15"/>
      <c r="W1548" s="15"/>
      <c r="X1548" s="14"/>
      <c r="Y1548" s="14"/>
      <c r="Z1548" s="15"/>
      <c r="AA1548" s="15"/>
    </row>
    <row r="1549" ht="15.0" customHeight="1">
      <c r="J1549" s="15"/>
      <c r="K1549" s="238"/>
      <c r="L1549" s="15"/>
      <c r="M1549" s="15"/>
      <c r="N1549" s="15"/>
      <c r="O1549" s="15"/>
      <c r="P1549" s="15"/>
      <c r="Q1549" s="15"/>
      <c r="R1549" s="15"/>
      <c r="S1549" s="15"/>
      <c r="T1549" s="15"/>
      <c r="U1549" s="15"/>
      <c r="V1549" s="15"/>
      <c r="W1549" s="15"/>
      <c r="X1549" s="14"/>
      <c r="Y1549" s="14"/>
      <c r="Z1549" s="15"/>
      <c r="AA1549" s="15"/>
    </row>
    <row r="1550" ht="15.0" customHeight="1">
      <c r="J1550" s="15"/>
      <c r="K1550" s="238"/>
      <c r="L1550" s="15"/>
      <c r="M1550" s="15"/>
      <c r="N1550" s="15"/>
      <c r="O1550" s="15"/>
      <c r="P1550" s="15"/>
      <c r="Q1550" s="15"/>
      <c r="R1550" s="15"/>
      <c r="S1550" s="15"/>
      <c r="T1550" s="15"/>
      <c r="U1550" s="15"/>
      <c r="V1550" s="15"/>
      <c r="W1550" s="15"/>
      <c r="X1550" s="14"/>
      <c r="Y1550" s="14"/>
      <c r="Z1550" s="15"/>
      <c r="AA1550" s="15"/>
    </row>
    <row r="1551" ht="15.0" customHeight="1">
      <c r="J1551" s="15"/>
      <c r="K1551" s="238"/>
      <c r="L1551" s="15"/>
      <c r="M1551" s="15"/>
      <c r="N1551" s="15"/>
      <c r="O1551" s="15"/>
      <c r="P1551" s="15"/>
      <c r="Q1551" s="15"/>
      <c r="R1551" s="15"/>
      <c r="S1551" s="15"/>
      <c r="T1551" s="15"/>
      <c r="U1551" s="15"/>
      <c r="V1551" s="15"/>
      <c r="W1551" s="15"/>
      <c r="X1551" s="14"/>
      <c r="Y1551" s="14"/>
      <c r="Z1551" s="15"/>
      <c r="AA1551" s="15"/>
    </row>
    <row r="1552" ht="15.0" customHeight="1">
      <c r="J1552" s="15"/>
      <c r="K1552" s="238"/>
      <c r="L1552" s="15"/>
      <c r="M1552" s="15"/>
      <c r="N1552" s="15"/>
      <c r="O1552" s="15"/>
      <c r="P1552" s="15"/>
      <c r="Q1552" s="15"/>
      <c r="R1552" s="15"/>
      <c r="S1552" s="15"/>
      <c r="T1552" s="15"/>
      <c r="U1552" s="15"/>
      <c r="V1552" s="15"/>
      <c r="W1552" s="15"/>
      <c r="X1552" s="14"/>
      <c r="Y1552" s="14"/>
      <c r="Z1552" s="15"/>
      <c r="AA1552" s="15"/>
    </row>
    <row r="1553" ht="15.0" customHeight="1">
      <c r="J1553" s="15"/>
      <c r="K1553" s="238"/>
      <c r="L1553" s="15"/>
      <c r="M1553" s="15"/>
      <c r="N1553" s="15"/>
      <c r="O1553" s="15"/>
      <c r="P1553" s="15"/>
      <c r="Q1553" s="15"/>
      <c r="R1553" s="15"/>
      <c r="S1553" s="15"/>
      <c r="T1553" s="15"/>
      <c r="U1553" s="15"/>
      <c r="V1553" s="15"/>
      <c r="W1553" s="15"/>
      <c r="X1553" s="14"/>
      <c r="Y1553" s="14"/>
      <c r="Z1553" s="15"/>
      <c r="AA1553" s="15"/>
    </row>
    <row r="1554" ht="15.0" customHeight="1">
      <c r="J1554" s="15"/>
      <c r="K1554" s="238"/>
      <c r="L1554" s="15"/>
      <c r="M1554" s="15"/>
      <c r="N1554" s="15"/>
      <c r="O1554" s="15"/>
      <c r="P1554" s="15"/>
      <c r="Q1554" s="15"/>
      <c r="R1554" s="15"/>
      <c r="S1554" s="15"/>
      <c r="T1554" s="15"/>
      <c r="U1554" s="15"/>
      <c r="V1554" s="15"/>
      <c r="W1554" s="15"/>
      <c r="X1554" s="14"/>
      <c r="Y1554" s="14"/>
      <c r="Z1554" s="15"/>
      <c r="AA1554" s="15"/>
    </row>
    <row r="1555" ht="15.0" customHeight="1">
      <c r="J1555" s="15"/>
      <c r="K1555" s="238"/>
      <c r="L1555" s="15"/>
      <c r="M1555" s="15"/>
      <c r="N1555" s="15"/>
      <c r="O1555" s="15"/>
      <c r="P1555" s="15"/>
      <c r="Q1555" s="15"/>
      <c r="R1555" s="15"/>
      <c r="S1555" s="15"/>
      <c r="T1555" s="15"/>
      <c r="U1555" s="15"/>
      <c r="V1555" s="15"/>
      <c r="W1555" s="15"/>
      <c r="X1555" s="14"/>
      <c r="Y1555" s="14"/>
      <c r="Z1555" s="15"/>
      <c r="AA1555" s="15"/>
    </row>
    <row r="1556" ht="15.0" customHeight="1">
      <c r="J1556" s="15"/>
      <c r="K1556" s="238"/>
      <c r="L1556" s="15"/>
      <c r="M1556" s="15"/>
      <c r="N1556" s="15"/>
      <c r="O1556" s="15"/>
      <c r="P1556" s="15"/>
      <c r="Q1556" s="15"/>
      <c r="R1556" s="15"/>
      <c r="S1556" s="15"/>
      <c r="T1556" s="15"/>
      <c r="U1556" s="15"/>
      <c r="V1556" s="15"/>
      <c r="W1556" s="15"/>
      <c r="X1556" s="14"/>
      <c r="Y1556" s="14"/>
      <c r="Z1556" s="15"/>
      <c r="AA1556" s="15"/>
    </row>
    <row r="1557" ht="15.0" customHeight="1">
      <c r="J1557" s="15"/>
      <c r="K1557" s="238"/>
      <c r="L1557" s="15"/>
      <c r="M1557" s="15"/>
      <c r="N1557" s="15"/>
      <c r="O1557" s="15"/>
      <c r="P1557" s="15"/>
      <c r="Q1557" s="15"/>
      <c r="R1557" s="15"/>
      <c r="S1557" s="15"/>
      <c r="T1557" s="15"/>
      <c r="U1557" s="15"/>
      <c r="V1557" s="15"/>
      <c r="W1557" s="15"/>
      <c r="X1557" s="14"/>
      <c r="Y1557" s="14"/>
      <c r="Z1557" s="15"/>
      <c r="AA1557" s="15"/>
    </row>
    <row r="1558" ht="15.0" customHeight="1">
      <c r="J1558" s="15"/>
      <c r="K1558" s="238"/>
      <c r="L1558" s="15"/>
      <c r="M1558" s="15"/>
      <c r="N1558" s="15"/>
      <c r="O1558" s="15"/>
      <c r="P1558" s="15"/>
      <c r="Q1558" s="15"/>
      <c r="R1558" s="15"/>
      <c r="S1558" s="15"/>
      <c r="T1558" s="15"/>
      <c r="U1558" s="15"/>
      <c r="V1558" s="15"/>
      <c r="W1558" s="15"/>
      <c r="X1558" s="14"/>
      <c r="Y1558" s="14"/>
      <c r="Z1558" s="15"/>
      <c r="AA1558" s="15"/>
    </row>
    <row r="1559" ht="15.0" customHeight="1">
      <c r="J1559" s="15"/>
      <c r="K1559" s="238"/>
      <c r="L1559" s="15"/>
      <c r="M1559" s="15"/>
      <c r="N1559" s="15"/>
      <c r="O1559" s="15"/>
      <c r="P1559" s="15"/>
      <c r="Q1559" s="15"/>
      <c r="R1559" s="15"/>
      <c r="S1559" s="15"/>
      <c r="T1559" s="15"/>
      <c r="U1559" s="15"/>
      <c r="V1559" s="15"/>
      <c r="W1559" s="15"/>
      <c r="X1559" s="14"/>
      <c r="Y1559" s="14"/>
      <c r="Z1559" s="15"/>
      <c r="AA1559" s="15"/>
    </row>
    <row r="1560" ht="15.0" customHeight="1">
      <c r="J1560" s="15"/>
      <c r="K1560" s="238"/>
      <c r="L1560" s="15"/>
      <c r="M1560" s="15"/>
      <c r="N1560" s="15"/>
      <c r="O1560" s="15"/>
      <c r="P1560" s="15"/>
      <c r="Q1560" s="15"/>
      <c r="R1560" s="15"/>
      <c r="S1560" s="15"/>
      <c r="T1560" s="15"/>
      <c r="U1560" s="15"/>
      <c r="V1560" s="15"/>
      <c r="W1560" s="15"/>
      <c r="X1560" s="14"/>
      <c r="Y1560" s="14"/>
      <c r="Z1560" s="15"/>
      <c r="AA1560" s="15"/>
    </row>
    <row r="1561" ht="15.0" customHeight="1">
      <c r="J1561" s="15"/>
      <c r="K1561" s="238"/>
      <c r="L1561" s="15"/>
      <c r="M1561" s="15"/>
      <c r="N1561" s="15"/>
      <c r="O1561" s="15"/>
      <c r="P1561" s="15"/>
      <c r="Q1561" s="15"/>
      <c r="R1561" s="15"/>
      <c r="S1561" s="15"/>
      <c r="T1561" s="15"/>
      <c r="U1561" s="15"/>
      <c r="V1561" s="15"/>
      <c r="W1561" s="15"/>
      <c r="X1561" s="14"/>
      <c r="Y1561" s="14"/>
      <c r="Z1561" s="15"/>
      <c r="AA1561" s="15"/>
    </row>
    <row r="1562" ht="15.0" customHeight="1">
      <c r="J1562" s="15"/>
      <c r="K1562" s="238"/>
      <c r="L1562" s="15"/>
      <c r="M1562" s="15"/>
      <c r="N1562" s="15"/>
      <c r="O1562" s="15"/>
      <c r="P1562" s="15"/>
      <c r="Q1562" s="15"/>
      <c r="R1562" s="15"/>
      <c r="S1562" s="15"/>
      <c r="T1562" s="15"/>
      <c r="U1562" s="15"/>
      <c r="V1562" s="15"/>
      <c r="W1562" s="15"/>
      <c r="X1562" s="14"/>
      <c r="Y1562" s="14"/>
      <c r="Z1562" s="15"/>
      <c r="AA1562" s="15"/>
    </row>
    <row r="1563" ht="15.0" customHeight="1">
      <c r="J1563" s="15"/>
      <c r="K1563" s="238"/>
      <c r="L1563" s="15"/>
      <c r="M1563" s="15"/>
      <c r="N1563" s="15"/>
      <c r="O1563" s="15"/>
      <c r="P1563" s="15"/>
      <c r="Q1563" s="15"/>
      <c r="R1563" s="15"/>
      <c r="S1563" s="15"/>
      <c r="T1563" s="15"/>
      <c r="U1563" s="15"/>
      <c r="V1563" s="15"/>
      <c r="W1563" s="15"/>
      <c r="X1563" s="14"/>
      <c r="Y1563" s="14"/>
      <c r="Z1563" s="15"/>
      <c r="AA1563" s="15"/>
    </row>
    <row r="1564" ht="15.0" customHeight="1">
      <c r="J1564" s="15"/>
      <c r="K1564" s="238"/>
      <c r="L1564" s="15"/>
      <c r="M1564" s="15"/>
      <c r="N1564" s="15"/>
      <c r="O1564" s="15"/>
      <c r="P1564" s="15"/>
      <c r="Q1564" s="15"/>
      <c r="R1564" s="15"/>
      <c r="S1564" s="15"/>
      <c r="T1564" s="15"/>
      <c r="U1564" s="15"/>
      <c r="V1564" s="15"/>
      <c r="W1564" s="15"/>
      <c r="X1564" s="14"/>
      <c r="Y1564" s="14"/>
      <c r="Z1564" s="15"/>
      <c r="AA1564" s="15"/>
    </row>
    <row r="1565" ht="15.0" customHeight="1">
      <c r="J1565" s="15"/>
      <c r="K1565" s="238"/>
      <c r="L1565" s="15"/>
      <c r="M1565" s="15"/>
      <c r="N1565" s="15"/>
      <c r="O1565" s="15"/>
      <c r="P1565" s="15"/>
      <c r="Q1565" s="15"/>
      <c r="R1565" s="15"/>
      <c r="S1565" s="15"/>
      <c r="T1565" s="15"/>
      <c r="U1565" s="15"/>
      <c r="V1565" s="15"/>
      <c r="W1565" s="15"/>
      <c r="X1565" s="14"/>
      <c r="Y1565" s="14"/>
      <c r="Z1565" s="15"/>
      <c r="AA1565" s="15"/>
    </row>
    <row r="1566" ht="15.0" customHeight="1">
      <c r="J1566" s="15"/>
      <c r="K1566" s="238"/>
      <c r="L1566" s="15"/>
      <c r="M1566" s="15"/>
      <c r="N1566" s="15"/>
      <c r="O1566" s="15"/>
      <c r="P1566" s="15"/>
      <c r="Q1566" s="15"/>
      <c r="R1566" s="15"/>
      <c r="S1566" s="15"/>
      <c r="T1566" s="15"/>
      <c r="U1566" s="15"/>
      <c r="V1566" s="15"/>
      <c r="W1566" s="15"/>
      <c r="X1566" s="14"/>
      <c r="Y1566" s="14"/>
      <c r="Z1566" s="15"/>
      <c r="AA1566" s="15"/>
    </row>
  </sheetData>
  <mergeCells count="1">
    <mergeCell ref="G1:I1"/>
  </mergeCells>
  <conditionalFormatting sqref="U4:U5">
    <cfRule type="expression" dxfId="0" priority="1">
      <formula>U4&lt;T4</formula>
    </cfRule>
  </conditionalFormatting>
  <conditionalFormatting sqref="U4:U5">
    <cfRule type="expression" dxfId="1" priority="2">
      <formula>U4&gt;=T4</formula>
    </cfRule>
  </conditionalFormatting>
  <conditionalFormatting sqref="Y4:Y5">
    <cfRule type="expression" dxfId="0" priority="3">
      <formula>Y4&lt;X4</formula>
    </cfRule>
  </conditionalFormatting>
  <conditionalFormatting sqref="Y4:Y5">
    <cfRule type="expression" dxfId="1" priority="4">
      <formula>Y4&gt;=X4</formula>
    </cfRule>
  </conditionalFormatting>
  <conditionalFormatting sqref="AD4:AE5">
    <cfRule type="expression" dxfId="0" priority="5">
      <formula>AD4&lt;AC4</formula>
    </cfRule>
  </conditionalFormatting>
  <conditionalFormatting sqref="AD4:AE5">
    <cfRule type="expression" dxfId="1" priority="6">
      <formula>AD4&gt;=AC4</formula>
    </cfRule>
  </conditionalFormatting>
  <conditionalFormatting sqref="AJ4:AJ5">
    <cfRule type="expression" dxfId="0" priority="7">
      <formula>AJ4&lt;AI4</formula>
    </cfRule>
  </conditionalFormatting>
  <conditionalFormatting sqref="AJ4:AJ5">
    <cfRule type="expression" dxfId="1" priority="8">
      <formula>AJ4&gt;=AI4</formula>
    </cfRule>
  </conditionalFormatting>
  <conditionalFormatting sqref="AN4:AN5">
    <cfRule type="expression" dxfId="0" priority="9">
      <formula>AN4&lt;AM4</formula>
    </cfRule>
  </conditionalFormatting>
  <conditionalFormatting sqref="AN4:AN5">
    <cfRule type="expression" dxfId="1" priority="10">
      <formula>AN4&gt;=AM4</formula>
    </cfRule>
  </conditionalFormatting>
  <conditionalFormatting sqref="AR4:AR5">
    <cfRule type="expression" dxfId="0" priority="11">
      <formula>AR4&lt;AQ4</formula>
    </cfRule>
  </conditionalFormatting>
  <conditionalFormatting sqref="AR4:AR5">
    <cfRule type="expression" dxfId="1" priority="12">
      <formula>AR4&gt;=AQ4</formula>
    </cfRule>
  </conditionalFormatting>
  <conditionalFormatting sqref="AV4:AV5">
    <cfRule type="expression" dxfId="0" priority="13">
      <formula>AV4&lt;AU4</formula>
    </cfRule>
  </conditionalFormatting>
  <conditionalFormatting sqref="AV4:AV5">
    <cfRule type="expression" dxfId="1" priority="14">
      <formula>AV4&gt;=AU4</formula>
    </cfRule>
  </conditionalFormatting>
  <conditionalFormatting sqref="AZ4:AZ5">
    <cfRule type="expression" dxfId="0" priority="15">
      <formula>AZ4&lt;AY4</formula>
    </cfRule>
  </conditionalFormatting>
  <conditionalFormatting sqref="AZ4:AZ5">
    <cfRule type="expression" dxfId="1" priority="16">
      <formula>AZ4&gt;=AY4</formula>
    </cfRule>
  </conditionalFormatting>
  <conditionalFormatting sqref="BD4:BD5">
    <cfRule type="expression" dxfId="0" priority="17">
      <formula>BD4&lt;BC4</formula>
    </cfRule>
  </conditionalFormatting>
  <conditionalFormatting sqref="BD4:BD5">
    <cfRule type="expression" dxfId="1" priority="18">
      <formula>BD4&gt;=BC4</formula>
    </cfRule>
  </conditionalFormatting>
  <conditionalFormatting sqref="BH4:BH5">
    <cfRule type="expression" dxfId="0" priority="19">
      <formula>BH4&lt;BG4</formula>
    </cfRule>
  </conditionalFormatting>
  <conditionalFormatting sqref="BH4:BH5">
    <cfRule type="expression" dxfId="1" priority="20">
      <formula>BH4&gt;=BG4</formula>
    </cfRule>
  </conditionalFormatting>
  <conditionalFormatting sqref="AD12:AE13">
    <cfRule type="expression" dxfId="0" priority="21">
      <formula>AD12&lt;AC12</formula>
    </cfRule>
  </conditionalFormatting>
  <conditionalFormatting sqref="AD12:AE13">
    <cfRule type="expression" dxfId="1" priority="22">
      <formula>AD12&gt;=AC12</formula>
    </cfRule>
  </conditionalFormatting>
  <conditionalFormatting sqref="AJ12:AJ13">
    <cfRule type="expression" dxfId="0" priority="23">
      <formula>AJ12&lt;AI12</formula>
    </cfRule>
  </conditionalFormatting>
  <conditionalFormatting sqref="AJ12:AJ13">
    <cfRule type="expression" dxfId="1" priority="24">
      <formula>AJ12&gt;=AI12</formula>
    </cfRule>
  </conditionalFormatting>
  <conditionalFormatting sqref="AN12:AN13">
    <cfRule type="expression" dxfId="0" priority="25">
      <formula>AN12&lt;AM12</formula>
    </cfRule>
  </conditionalFormatting>
  <conditionalFormatting sqref="AN12:AN13">
    <cfRule type="expression" dxfId="1" priority="26">
      <formula>AN12&gt;=AM12</formula>
    </cfRule>
  </conditionalFormatting>
  <conditionalFormatting sqref="AR12:AR13">
    <cfRule type="expression" dxfId="0" priority="27">
      <formula>AR12&lt;AQ12</formula>
    </cfRule>
  </conditionalFormatting>
  <conditionalFormatting sqref="AR12:AR13">
    <cfRule type="expression" dxfId="1" priority="28">
      <formula>AR12&gt;=AQ12</formula>
    </cfRule>
  </conditionalFormatting>
  <conditionalFormatting sqref="AV12:AV13">
    <cfRule type="expression" dxfId="0" priority="29">
      <formula>AV12&lt;AU12</formula>
    </cfRule>
  </conditionalFormatting>
  <conditionalFormatting sqref="AV12:AV13">
    <cfRule type="expression" dxfId="1" priority="30">
      <formula>AV12&gt;=AU12</formula>
    </cfRule>
  </conditionalFormatting>
  <conditionalFormatting sqref="AZ12:AZ13">
    <cfRule type="expression" dxfId="0" priority="31">
      <formula>AZ12&lt;AY12</formula>
    </cfRule>
  </conditionalFormatting>
  <conditionalFormatting sqref="AZ12:AZ13">
    <cfRule type="expression" dxfId="1" priority="32">
      <formula>AZ12&gt;=AY12</formula>
    </cfRule>
  </conditionalFormatting>
  <conditionalFormatting sqref="BD12:BD13">
    <cfRule type="expression" dxfId="0" priority="33">
      <formula>BD12&lt;BC12</formula>
    </cfRule>
  </conditionalFormatting>
  <conditionalFormatting sqref="BD12:BD13">
    <cfRule type="expression" dxfId="1" priority="34">
      <formula>BD12&gt;=BC12</formula>
    </cfRule>
  </conditionalFormatting>
  <conditionalFormatting sqref="BH12:BH13">
    <cfRule type="expression" dxfId="0" priority="35">
      <formula>BH12&lt;BG12</formula>
    </cfRule>
  </conditionalFormatting>
  <conditionalFormatting sqref="BH12:BH13">
    <cfRule type="expression" dxfId="1" priority="36">
      <formula>BH12&gt;=BG12</formula>
    </cfRule>
  </conditionalFormatting>
  <conditionalFormatting sqref="BH20:BH21">
    <cfRule type="expression" dxfId="0" priority="37">
      <formula>BH20&lt;BG20</formula>
    </cfRule>
  </conditionalFormatting>
  <conditionalFormatting sqref="BH20:BH21">
    <cfRule type="expression" dxfId="1" priority="38">
      <formula>BH20&gt;=BG20</formula>
    </cfRule>
  </conditionalFormatting>
  <conditionalFormatting sqref="BD20:BD21">
    <cfRule type="expression" dxfId="0" priority="39">
      <formula>BD20&lt;BC20</formula>
    </cfRule>
  </conditionalFormatting>
  <conditionalFormatting sqref="BD20:BD21">
    <cfRule type="expression" dxfId="1" priority="40">
      <formula>BD20&gt;=BC20</formula>
    </cfRule>
  </conditionalFormatting>
  <conditionalFormatting sqref="AZ20:AZ21">
    <cfRule type="expression" dxfId="0" priority="41">
      <formula>AZ20&lt;AY20</formula>
    </cfRule>
  </conditionalFormatting>
  <conditionalFormatting sqref="AZ20:AZ21">
    <cfRule type="expression" dxfId="1" priority="42">
      <formula>AZ20&gt;=AY20</formula>
    </cfRule>
  </conditionalFormatting>
  <conditionalFormatting sqref="AV20:AV21">
    <cfRule type="expression" dxfId="0" priority="43">
      <formula>AV20&lt;AU20</formula>
    </cfRule>
  </conditionalFormatting>
  <conditionalFormatting sqref="AV20:AV21">
    <cfRule type="expression" dxfId="1" priority="44">
      <formula>AV20&gt;=AU20</formula>
    </cfRule>
  </conditionalFormatting>
  <conditionalFormatting sqref="AR20:AR21">
    <cfRule type="expression" dxfId="0" priority="45">
      <formula>AR20&lt;AQ20</formula>
    </cfRule>
  </conditionalFormatting>
  <conditionalFormatting sqref="AR20:AR21">
    <cfRule type="expression" dxfId="1" priority="46">
      <formula>AR20&gt;=AQ20</formula>
    </cfRule>
  </conditionalFormatting>
  <conditionalFormatting sqref="AN20:AN21">
    <cfRule type="expression" dxfId="0" priority="47">
      <formula>AN20&lt;AM20</formula>
    </cfRule>
  </conditionalFormatting>
  <conditionalFormatting sqref="AN20:AN21">
    <cfRule type="expression" dxfId="1" priority="48">
      <formula>AN20&gt;=AM20</formula>
    </cfRule>
  </conditionalFormatting>
  <conditionalFormatting sqref="AJ20:AJ21">
    <cfRule type="expression" dxfId="0" priority="49">
      <formula>AJ20&lt;AI20</formula>
    </cfRule>
  </conditionalFormatting>
  <conditionalFormatting sqref="AJ20:AJ21">
    <cfRule type="expression" dxfId="1" priority="50">
      <formula>AJ20&gt;=AI20</formula>
    </cfRule>
  </conditionalFormatting>
  <conditionalFormatting sqref="AD20:AE21">
    <cfRule type="expression" dxfId="0" priority="51">
      <formula>AD20&lt;AC20</formula>
    </cfRule>
  </conditionalFormatting>
  <conditionalFormatting sqref="AD20:AE21">
    <cfRule type="expression" dxfId="1" priority="52">
      <formula>AD20&gt;=AC20</formula>
    </cfRule>
  </conditionalFormatting>
  <conditionalFormatting sqref="U28:U29">
    <cfRule type="expression" dxfId="0" priority="53">
      <formula>U28&lt;T28</formula>
    </cfRule>
  </conditionalFormatting>
  <conditionalFormatting sqref="U28:U29">
    <cfRule type="expression" dxfId="1" priority="54">
      <formula>U28&gt;=T28</formula>
    </cfRule>
  </conditionalFormatting>
  <conditionalFormatting sqref="Y28:Y29">
    <cfRule type="expression" dxfId="0" priority="55">
      <formula>Y28&lt;X28</formula>
    </cfRule>
  </conditionalFormatting>
  <conditionalFormatting sqref="Y28:Y29">
    <cfRule type="expression" dxfId="1" priority="56">
      <formula>Y28&gt;=X28</formula>
    </cfRule>
  </conditionalFormatting>
  <conditionalFormatting sqref="AD28:AE29">
    <cfRule type="expression" dxfId="0" priority="57">
      <formula>AD28&lt;AC28</formula>
    </cfRule>
  </conditionalFormatting>
  <conditionalFormatting sqref="AD28:AE29">
    <cfRule type="expression" dxfId="1" priority="58">
      <formula>AD28&gt;=AC28</formula>
    </cfRule>
  </conditionalFormatting>
  <conditionalFormatting sqref="AJ28:AJ29">
    <cfRule type="expression" dxfId="0" priority="59">
      <formula>AJ28&lt;AI28</formula>
    </cfRule>
  </conditionalFormatting>
  <conditionalFormatting sqref="AJ28:AJ29">
    <cfRule type="expression" dxfId="1" priority="60">
      <formula>AJ28&gt;=AI28</formula>
    </cfRule>
  </conditionalFormatting>
  <conditionalFormatting sqref="AN28:AN29">
    <cfRule type="expression" dxfId="0" priority="61">
      <formula>AN28&lt;AM28</formula>
    </cfRule>
  </conditionalFormatting>
  <conditionalFormatting sqref="AN28:AN29">
    <cfRule type="expression" dxfId="1" priority="62">
      <formula>AN28&gt;=AM28</formula>
    </cfRule>
  </conditionalFormatting>
  <conditionalFormatting sqref="AR28:AR29">
    <cfRule type="expression" dxfId="0" priority="63">
      <formula>AR28&lt;AQ28</formula>
    </cfRule>
  </conditionalFormatting>
  <conditionalFormatting sqref="AR28:AR29">
    <cfRule type="expression" dxfId="1" priority="64">
      <formula>AR28&gt;=AQ28</formula>
    </cfRule>
  </conditionalFormatting>
  <conditionalFormatting sqref="AV28:AV29">
    <cfRule type="expression" dxfId="0" priority="65">
      <formula>AV28&lt;AU28</formula>
    </cfRule>
  </conditionalFormatting>
  <conditionalFormatting sqref="AV28:AV29">
    <cfRule type="expression" dxfId="1" priority="66">
      <formula>AV28&gt;=AU28</formula>
    </cfRule>
  </conditionalFormatting>
  <conditionalFormatting sqref="AZ28:AZ29">
    <cfRule type="expression" dxfId="0" priority="67">
      <formula>AZ28&lt;AY28</formula>
    </cfRule>
  </conditionalFormatting>
  <conditionalFormatting sqref="AZ28:AZ29">
    <cfRule type="expression" dxfId="1" priority="68">
      <formula>AZ28&gt;=AY28</formula>
    </cfRule>
  </conditionalFormatting>
  <conditionalFormatting sqref="BD28:BD29">
    <cfRule type="expression" dxfId="0" priority="69">
      <formula>BD28&lt;BC28</formula>
    </cfRule>
  </conditionalFormatting>
  <conditionalFormatting sqref="BD28:BD29">
    <cfRule type="expression" dxfId="1" priority="70">
      <formula>BD28&gt;=BC28</formula>
    </cfRule>
  </conditionalFormatting>
  <conditionalFormatting sqref="BH28:BH29">
    <cfRule type="expression" dxfId="0" priority="71">
      <formula>BH28&lt;BG28</formula>
    </cfRule>
  </conditionalFormatting>
  <conditionalFormatting sqref="BH28:BH29">
    <cfRule type="expression" dxfId="1" priority="72">
      <formula>BH28&gt;=BG28</formula>
    </cfRule>
  </conditionalFormatting>
  <conditionalFormatting sqref="BH36:BH37">
    <cfRule type="expression" dxfId="0" priority="73">
      <formula>BH36&lt;BG36</formula>
    </cfRule>
  </conditionalFormatting>
  <conditionalFormatting sqref="BH36:BH37">
    <cfRule type="expression" dxfId="1" priority="74">
      <formula>BH36&gt;=BG36</formula>
    </cfRule>
  </conditionalFormatting>
  <conditionalFormatting sqref="BD36:BD37">
    <cfRule type="expression" dxfId="0" priority="75">
      <formula>BD36&lt;BC36</formula>
    </cfRule>
  </conditionalFormatting>
  <conditionalFormatting sqref="BD36:BD37">
    <cfRule type="expression" dxfId="1" priority="76">
      <formula>BD36&gt;=BC36</formula>
    </cfRule>
  </conditionalFormatting>
  <conditionalFormatting sqref="AZ36:AZ37">
    <cfRule type="expression" dxfId="0" priority="77">
      <formula>AZ36&lt;AY36</formula>
    </cfRule>
  </conditionalFormatting>
  <conditionalFormatting sqref="AZ36:AZ37">
    <cfRule type="expression" dxfId="1" priority="78">
      <formula>AZ36&gt;=AY36</formula>
    </cfRule>
  </conditionalFormatting>
  <conditionalFormatting sqref="AV36:AV37">
    <cfRule type="expression" dxfId="0" priority="79">
      <formula>AV36&lt;AU36</formula>
    </cfRule>
  </conditionalFormatting>
  <conditionalFormatting sqref="AV36:AV37">
    <cfRule type="expression" dxfId="1" priority="80">
      <formula>AV36&gt;=AU36</formula>
    </cfRule>
  </conditionalFormatting>
  <conditionalFormatting sqref="AR36:AR37">
    <cfRule type="expression" dxfId="0" priority="81">
      <formula>AR36&lt;AQ36</formula>
    </cfRule>
  </conditionalFormatting>
  <conditionalFormatting sqref="AR36:AR37">
    <cfRule type="expression" dxfId="1" priority="82">
      <formula>AR36&gt;=AQ36</formula>
    </cfRule>
  </conditionalFormatting>
  <conditionalFormatting sqref="AN36:AN37">
    <cfRule type="expression" dxfId="0" priority="83">
      <formula>AN36&lt;AM36</formula>
    </cfRule>
  </conditionalFormatting>
  <conditionalFormatting sqref="AN36:AN37">
    <cfRule type="expression" dxfId="1" priority="84">
      <formula>AN36&gt;=AM36</formula>
    </cfRule>
  </conditionalFormatting>
  <conditionalFormatting sqref="AJ36:AJ37">
    <cfRule type="expression" dxfId="0" priority="85">
      <formula>AJ36&lt;AI36</formula>
    </cfRule>
  </conditionalFormatting>
  <conditionalFormatting sqref="AJ36:AJ37">
    <cfRule type="expression" dxfId="1" priority="86">
      <formula>AJ36&gt;=AI36</formula>
    </cfRule>
  </conditionalFormatting>
  <conditionalFormatting sqref="AD36:AE37">
    <cfRule type="expression" dxfId="0" priority="87">
      <formula>AD36&lt;AC36</formula>
    </cfRule>
  </conditionalFormatting>
  <conditionalFormatting sqref="AD36:AE37">
    <cfRule type="expression" dxfId="1" priority="88">
      <formula>AD36&gt;=AC36</formula>
    </cfRule>
  </conditionalFormatting>
  <conditionalFormatting sqref="U44:U45">
    <cfRule type="expression" dxfId="0" priority="89">
      <formula>U44&lt;T44</formula>
    </cfRule>
  </conditionalFormatting>
  <conditionalFormatting sqref="U44:U45">
    <cfRule type="expression" dxfId="1" priority="90">
      <formula>U44&gt;=T44</formula>
    </cfRule>
  </conditionalFormatting>
  <conditionalFormatting sqref="Y44:Y45">
    <cfRule type="expression" dxfId="0" priority="91">
      <formula>Y44&lt;X44</formula>
    </cfRule>
  </conditionalFormatting>
  <conditionalFormatting sqref="Y44:Y45">
    <cfRule type="expression" dxfId="1" priority="92">
      <formula>Y44&gt;=X44</formula>
    </cfRule>
  </conditionalFormatting>
  <conditionalFormatting sqref="AD44:AE45">
    <cfRule type="expression" dxfId="0" priority="93">
      <formula>AD44&lt;AC44</formula>
    </cfRule>
  </conditionalFormatting>
  <conditionalFormatting sqref="AD44:AE45">
    <cfRule type="expression" dxfId="1" priority="94">
      <formula>AD44&gt;=AC44</formula>
    </cfRule>
  </conditionalFormatting>
  <conditionalFormatting sqref="AJ44:AJ45">
    <cfRule type="expression" dxfId="0" priority="95">
      <formula>AJ44&lt;AI44</formula>
    </cfRule>
  </conditionalFormatting>
  <conditionalFormatting sqref="AJ44:AJ45">
    <cfRule type="expression" dxfId="1" priority="96">
      <formula>AJ44&gt;=AI44</formula>
    </cfRule>
  </conditionalFormatting>
  <conditionalFormatting sqref="AN44:AN45">
    <cfRule type="expression" dxfId="0" priority="97">
      <formula>AN44&lt;AM44</formula>
    </cfRule>
  </conditionalFormatting>
  <conditionalFormatting sqref="AN44:AN45">
    <cfRule type="expression" dxfId="1" priority="98">
      <formula>AN44&gt;=AM44</formula>
    </cfRule>
  </conditionalFormatting>
  <conditionalFormatting sqref="Y52:Y53">
    <cfRule type="expression" dxfId="0" priority="99">
      <formula>Y52&lt;X52</formula>
    </cfRule>
  </conditionalFormatting>
  <conditionalFormatting sqref="Y52:Y53">
    <cfRule type="expression" dxfId="1" priority="100">
      <formula>Y52&gt;=X52</formula>
    </cfRule>
  </conditionalFormatting>
  <conditionalFormatting sqref="AD52:AE53">
    <cfRule type="expression" dxfId="0" priority="101">
      <formula>AD52&lt;AC52</formula>
    </cfRule>
  </conditionalFormatting>
  <conditionalFormatting sqref="AD52:AE53">
    <cfRule type="expression" dxfId="1" priority="102">
      <formula>AD52&gt;=AC52</formula>
    </cfRule>
  </conditionalFormatting>
  <conditionalFormatting sqref="AJ52:AJ53">
    <cfRule type="expression" dxfId="0" priority="103">
      <formula>AJ52&lt;AI52</formula>
    </cfRule>
  </conditionalFormatting>
  <conditionalFormatting sqref="AJ52:AJ53">
    <cfRule type="expression" dxfId="1" priority="104">
      <formula>AJ52&gt;=AI52</formula>
    </cfRule>
  </conditionalFormatting>
  <conditionalFormatting sqref="AN52:AN53">
    <cfRule type="expression" dxfId="0" priority="105">
      <formula>AN52&lt;AM52</formula>
    </cfRule>
  </conditionalFormatting>
  <conditionalFormatting sqref="AN52:AN53">
    <cfRule type="expression" dxfId="1" priority="106">
      <formula>AN52&gt;=AM52</formula>
    </cfRule>
  </conditionalFormatting>
  <conditionalFormatting sqref="Y60:Y61">
    <cfRule type="expression" dxfId="0" priority="107">
      <formula>Y60&lt;X60</formula>
    </cfRule>
  </conditionalFormatting>
  <conditionalFormatting sqref="Y60:Y61">
    <cfRule type="expression" dxfId="1" priority="108">
      <formula>Y60&gt;=X60</formula>
    </cfRule>
  </conditionalFormatting>
  <conditionalFormatting sqref="AD60:AE61">
    <cfRule type="expression" dxfId="0" priority="109">
      <formula>AD60&lt;AC60</formula>
    </cfRule>
  </conditionalFormatting>
  <conditionalFormatting sqref="AD60:AE61">
    <cfRule type="expression" dxfId="1" priority="110">
      <formula>AD60&gt;=AC60</formula>
    </cfRule>
  </conditionalFormatting>
  <conditionalFormatting sqref="AJ60:AJ61">
    <cfRule type="expression" dxfId="0" priority="111">
      <formula>AJ60&lt;AI60</formula>
    </cfRule>
  </conditionalFormatting>
  <conditionalFormatting sqref="AJ60:AJ61">
    <cfRule type="expression" dxfId="1" priority="112">
      <formula>AJ60&gt;=AI60</formula>
    </cfRule>
  </conditionalFormatting>
  <conditionalFormatting sqref="AN60:AN61">
    <cfRule type="expression" dxfId="0" priority="113">
      <formula>AN60&lt;AM60</formula>
    </cfRule>
  </conditionalFormatting>
  <conditionalFormatting sqref="AN60:AN61">
    <cfRule type="expression" dxfId="1" priority="114">
      <formula>AN60&gt;=AM60</formula>
    </cfRule>
  </conditionalFormatting>
  <conditionalFormatting sqref="U60:U61">
    <cfRule type="expression" dxfId="0" priority="115">
      <formula>U60&lt;T60</formula>
    </cfRule>
  </conditionalFormatting>
  <conditionalFormatting sqref="U60:U61">
    <cfRule type="expression" dxfId="1" priority="116">
      <formula>U60&gt;=T60</formula>
    </cfRule>
  </conditionalFormatting>
  <conditionalFormatting sqref="AD68:AE69">
    <cfRule type="expression" dxfId="0" priority="117">
      <formula>AD68&lt;AC68</formula>
    </cfRule>
  </conditionalFormatting>
  <conditionalFormatting sqref="AD68:AE69">
    <cfRule type="expression" dxfId="1" priority="118">
      <formula>AD68&gt;=AC68</formula>
    </cfRule>
  </conditionalFormatting>
  <conditionalFormatting sqref="AJ68:AJ69">
    <cfRule type="expression" dxfId="0" priority="119">
      <formula>AJ68&lt;AI68</formula>
    </cfRule>
  </conditionalFormatting>
  <conditionalFormatting sqref="AJ68:AJ69">
    <cfRule type="expression" dxfId="1" priority="120">
      <formula>AJ68&gt;=AI68</formula>
    </cfRule>
  </conditionalFormatting>
  <conditionalFormatting sqref="AN68:AN69">
    <cfRule type="expression" dxfId="0" priority="121">
      <formula>AN68&lt;AM68</formula>
    </cfRule>
  </conditionalFormatting>
  <conditionalFormatting sqref="AN68:AN69">
    <cfRule type="expression" dxfId="1" priority="122">
      <formula>AN68&gt;=AM68</formula>
    </cfRule>
  </conditionalFormatting>
  <conditionalFormatting sqref="AR68:AR69">
    <cfRule type="expression" dxfId="0" priority="123">
      <formula>AR68&lt;AQ68</formula>
    </cfRule>
  </conditionalFormatting>
  <conditionalFormatting sqref="AR68:AR69">
    <cfRule type="expression" dxfId="1" priority="124">
      <formula>AR68&gt;=AQ68</formula>
    </cfRule>
  </conditionalFormatting>
  <conditionalFormatting sqref="AR60:AR61">
    <cfRule type="expression" dxfId="0" priority="125">
      <formula>AR60&lt;AQ60</formula>
    </cfRule>
  </conditionalFormatting>
  <conditionalFormatting sqref="AR60:AR61">
    <cfRule type="expression" dxfId="1" priority="126">
      <formula>AR60&gt;=AQ60</formula>
    </cfRule>
  </conditionalFormatting>
  <conditionalFormatting sqref="AR52:AR53">
    <cfRule type="expression" dxfId="0" priority="127">
      <formula>AR52&lt;AQ52</formula>
    </cfRule>
  </conditionalFormatting>
  <conditionalFormatting sqref="AR52:AR53">
    <cfRule type="expression" dxfId="1" priority="128">
      <formula>AR52&gt;=AQ52</formula>
    </cfRule>
  </conditionalFormatting>
  <conditionalFormatting sqref="AR44:AR45">
    <cfRule type="expression" dxfId="0" priority="129">
      <formula>AR44&lt;AQ44</formula>
    </cfRule>
  </conditionalFormatting>
  <conditionalFormatting sqref="AR44:AR45">
    <cfRule type="expression" dxfId="1" priority="130">
      <formula>AR44&gt;=AQ44</formula>
    </cfRule>
  </conditionalFormatting>
  <conditionalFormatting sqref="U68:U69">
    <cfRule type="expression" dxfId="0" priority="131">
      <formula>U68&lt;T68</formula>
    </cfRule>
  </conditionalFormatting>
  <conditionalFormatting sqref="U68:U69">
    <cfRule type="expression" dxfId="1" priority="132">
      <formula>U68&gt;=T68</formula>
    </cfRule>
  </conditionalFormatting>
  <conditionalFormatting sqref="Y68:Y69">
    <cfRule type="expression" dxfId="0" priority="133">
      <formula>Y68&lt;X68</formula>
    </cfRule>
  </conditionalFormatting>
  <conditionalFormatting sqref="Y68:Y69">
    <cfRule type="expression" dxfId="1" priority="134">
      <formula>Y68&gt;=X68</formula>
    </cfRule>
  </conditionalFormatting>
  <conditionalFormatting sqref="AV60:AV61">
    <cfRule type="expression" dxfId="0" priority="135">
      <formula>AV60&lt;AU60</formula>
    </cfRule>
  </conditionalFormatting>
  <conditionalFormatting sqref="AV60:AV61">
    <cfRule type="expression" dxfId="1" priority="136">
      <formula>AV60&gt;=AU60</formula>
    </cfRule>
  </conditionalFormatting>
  <conditionalFormatting sqref="AZ60:AZ61">
    <cfRule type="expression" dxfId="0" priority="137">
      <formula>AZ60&lt;AY60</formula>
    </cfRule>
  </conditionalFormatting>
  <conditionalFormatting sqref="AZ60:AZ61">
    <cfRule type="expression" dxfId="1" priority="138">
      <formula>AZ60&gt;=AY60</formula>
    </cfRule>
  </conditionalFormatting>
  <conditionalFormatting sqref="BD60:BD61">
    <cfRule type="expression" dxfId="0" priority="139">
      <formula>BD60&lt;BC60</formula>
    </cfRule>
  </conditionalFormatting>
  <conditionalFormatting sqref="BD60:BD61">
    <cfRule type="expression" dxfId="1" priority="140">
      <formula>BD60&gt;=BC60</formula>
    </cfRule>
  </conditionalFormatting>
  <conditionalFormatting sqref="AV52:AV53">
    <cfRule type="expression" dxfId="0" priority="141">
      <formula>AV52&lt;AU52</formula>
    </cfRule>
  </conditionalFormatting>
  <conditionalFormatting sqref="AV52:AV53">
    <cfRule type="expression" dxfId="1" priority="142">
      <formula>AV52&gt;=AU52</formula>
    </cfRule>
  </conditionalFormatting>
  <conditionalFormatting sqref="AZ52:AZ53">
    <cfRule type="expression" dxfId="0" priority="143">
      <formula>AZ52&lt;AY52</formula>
    </cfRule>
  </conditionalFormatting>
  <conditionalFormatting sqref="AZ52:AZ53">
    <cfRule type="expression" dxfId="1" priority="144">
      <formula>AZ52&gt;=AY52</formula>
    </cfRule>
  </conditionalFormatting>
  <conditionalFormatting sqref="BD52:BD53">
    <cfRule type="expression" dxfId="0" priority="145">
      <formula>BD52&lt;BC52</formula>
    </cfRule>
  </conditionalFormatting>
  <conditionalFormatting sqref="BD52:BD53">
    <cfRule type="expression" dxfId="1" priority="146">
      <formula>BD52&gt;=BC52</formula>
    </cfRule>
  </conditionalFormatting>
  <conditionalFormatting sqref="AV44:AV45">
    <cfRule type="expression" dxfId="0" priority="147">
      <formula>AV44&lt;AU44</formula>
    </cfRule>
  </conditionalFormatting>
  <conditionalFormatting sqref="AV44:AV45">
    <cfRule type="expression" dxfId="1" priority="148">
      <formula>AV44&gt;=AU44</formula>
    </cfRule>
  </conditionalFormatting>
  <conditionalFormatting sqref="AZ44:AZ45">
    <cfRule type="expression" dxfId="0" priority="149">
      <formula>AZ44&lt;AY44</formula>
    </cfRule>
  </conditionalFormatting>
  <conditionalFormatting sqref="AZ44:AZ45">
    <cfRule type="expression" dxfId="1" priority="150">
      <formula>AZ44&gt;=AY44</formula>
    </cfRule>
  </conditionalFormatting>
  <conditionalFormatting sqref="BD44:BD45">
    <cfRule type="expression" dxfId="0" priority="151">
      <formula>BD44&lt;BC44</formula>
    </cfRule>
  </conditionalFormatting>
  <conditionalFormatting sqref="BD44:BD45">
    <cfRule type="expression" dxfId="1" priority="152">
      <formula>BD44&gt;=BC44</formula>
    </cfRule>
  </conditionalFormatting>
  <conditionalFormatting sqref="BH44:BH45">
    <cfRule type="expression" dxfId="0" priority="153">
      <formula>BH44&lt;BG44</formula>
    </cfRule>
  </conditionalFormatting>
  <conditionalFormatting sqref="BH44:BH45">
    <cfRule type="expression" dxfId="1" priority="154">
      <formula>BH44&gt;=BG44</formula>
    </cfRule>
  </conditionalFormatting>
  <conditionalFormatting sqref="BH52:BH53">
    <cfRule type="expression" dxfId="0" priority="155">
      <formula>BH52&lt;BG52</formula>
    </cfRule>
  </conditionalFormatting>
  <conditionalFormatting sqref="BH52:BH53">
    <cfRule type="expression" dxfId="1" priority="156">
      <formula>BH52&gt;=BG52</formula>
    </cfRule>
  </conditionalFormatting>
  <conditionalFormatting sqref="BH60:BH61">
    <cfRule type="expression" dxfId="0" priority="157">
      <formula>BH60&lt;BG60</formula>
    </cfRule>
  </conditionalFormatting>
  <conditionalFormatting sqref="BH60:BH61">
    <cfRule type="expression" dxfId="1" priority="158">
      <formula>BH60&gt;=BG60</formula>
    </cfRule>
  </conditionalFormatting>
  <conditionalFormatting sqref="BH68:BH69">
    <cfRule type="expression" dxfId="0" priority="159">
      <formula>BH68&lt;BG68</formula>
    </cfRule>
  </conditionalFormatting>
  <conditionalFormatting sqref="BH68:BH69">
    <cfRule type="expression" dxfId="1" priority="160">
      <formula>BH68&gt;=BG68</formula>
    </cfRule>
  </conditionalFormatting>
  <conditionalFormatting sqref="BH76:BH77">
    <cfRule type="expression" dxfId="0" priority="161">
      <formula>BH76&lt;BG76</formula>
    </cfRule>
  </conditionalFormatting>
  <conditionalFormatting sqref="BH76:BH77">
    <cfRule type="expression" dxfId="1" priority="162">
      <formula>BH76&gt;=BG76</formula>
    </cfRule>
  </conditionalFormatting>
  <conditionalFormatting sqref="BH84:BH85">
    <cfRule type="expression" dxfId="0" priority="163">
      <formula>BH84&lt;BG84</formula>
    </cfRule>
  </conditionalFormatting>
  <conditionalFormatting sqref="BH84:BH85">
    <cfRule type="expression" dxfId="1" priority="164">
      <formula>BH84&gt;=BG84</formula>
    </cfRule>
  </conditionalFormatting>
  <conditionalFormatting sqref="BH92:BH93">
    <cfRule type="expression" dxfId="0" priority="165">
      <formula>BH92&lt;BG92</formula>
    </cfRule>
  </conditionalFormatting>
  <conditionalFormatting sqref="BH92:BH93">
    <cfRule type="expression" dxfId="1" priority="166">
      <formula>BH92&gt;=BG92</formula>
    </cfRule>
  </conditionalFormatting>
  <conditionalFormatting sqref="BH100:BH101">
    <cfRule type="expression" dxfId="0" priority="167">
      <formula>BH100&lt;BG100</formula>
    </cfRule>
  </conditionalFormatting>
  <conditionalFormatting sqref="BH100:BH101">
    <cfRule type="expression" dxfId="1" priority="168">
      <formula>BH100&gt;=BG100</formula>
    </cfRule>
  </conditionalFormatting>
  <conditionalFormatting sqref="BH108:BH109">
    <cfRule type="expression" dxfId="0" priority="169">
      <formula>BH108&lt;BG108</formula>
    </cfRule>
  </conditionalFormatting>
  <conditionalFormatting sqref="BH108:BH109">
    <cfRule type="expression" dxfId="1" priority="170">
      <formula>BH108&gt;=BG108</formula>
    </cfRule>
  </conditionalFormatting>
  <conditionalFormatting sqref="BH116:BH117">
    <cfRule type="expression" dxfId="0" priority="171">
      <formula>BH116&lt;BG116</formula>
    </cfRule>
  </conditionalFormatting>
  <conditionalFormatting sqref="BH116:BH117">
    <cfRule type="expression" dxfId="1" priority="172">
      <formula>BH116&gt;=BG116</formula>
    </cfRule>
  </conditionalFormatting>
  <conditionalFormatting sqref="BH124:BH125">
    <cfRule type="expression" dxfId="0" priority="173">
      <formula>BH124&lt;BG124</formula>
    </cfRule>
  </conditionalFormatting>
  <conditionalFormatting sqref="BH124:BH125">
    <cfRule type="expression" dxfId="1" priority="174">
      <formula>BH124&gt;=BG124</formula>
    </cfRule>
  </conditionalFormatting>
  <conditionalFormatting sqref="BH132:BH133">
    <cfRule type="expression" dxfId="0" priority="175">
      <formula>BH132&lt;BG132</formula>
    </cfRule>
  </conditionalFormatting>
  <conditionalFormatting sqref="BH132:BH133">
    <cfRule type="expression" dxfId="1" priority="176">
      <formula>BH132&gt;=BG132</formula>
    </cfRule>
  </conditionalFormatting>
  <conditionalFormatting sqref="BH140:BH141">
    <cfRule type="expression" dxfId="0" priority="177">
      <formula>BH140&lt;BG140</formula>
    </cfRule>
  </conditionalFormatting>
  <conditionalFormatting sqref="BH140:BH141">
    <cfRule type="expression" dxfId="1" priority="178">
      <formula>BH140&gt;=BG140</formula>
    </cfRule>
  </conditionalFormatting>
  <conditionalFormatting sqref="BD140:BD141">
    <cfRule type="expression" dxfId="0" priority="179">
      <formula>BD140&lt;BC140</formula>
    </cfRule>
  </conditionalFormatting>
  <conditionalFormatting sqref="BD140:BD141">
    <cfRule type="expression" dxfId="1" priority="180">
      <formula>BD140&gt;=BC140</formula>
    </cfRule>
  </conditionalFormatting>
  <conditionalFormatting sqref="BD132:BD133">
    <cfRule type="expression" dxfId="0" priority="181">
      <formula>BD132&lt;BC132</formula>
    </cfRule>
  </conditionalFormatting>
  <conditionalFormatting sqref="BD132:BD133">
    <cfRule type="expression" dxfId="1" priority="182">
      <formula>BD132&gt;=BC132</formula>
    </cfRule>
  </conditionalFormatting>
  <conditionalFormatting sqref="AZ140:AZ141">
    <cfRule type="expression" dxfId="0" priority="183">
      <formula>AZ140&lt;AY140</formula>
    </cfRule>
  </conditionalFormatting>
  <conditionalFormatting sqref="AZ140:AZ141">
    <cfRule type="expression" dxfId="1" priority="184">
      <formula>AZ140&gt;=AY140</formula>
    </cfRule>
  </conditionalFormatting>
  <conditionalFormatting sqref="AZ132:AZ133">
    <cfRule type="expression" dxfId="0" priority="185">
      <formula>AZ132&lt;AY132</formula>
    </cfRule>
  </conditionalFormatting>
  <conditionalFormatting sqref="AZ132:AZ133">
    <cfRule type="expression" dxfId="1" priority="186">
      <formula>AZ132&gt;=AY132</formula>
    </cfRule>
  </conditionalFormatting>
  <conditionalFormatting sqref="AZ124:AZ125">
    <cfRule type="expression" dxfId="0" priority="187">
      <formula>AZ124&lt;AY124</formula>
    </cfRule>
  </conditionalFormatting>
  <conditionalFormatting sqref="AZ124:AZ125">
    <cfRule type="expression" dxfId="1" priority="188">
      <formula>AZ124&gt;=AY124</formula>
    </cfRule>
  </conditionalFormatting>
  <conditionalFormatting sqref="AZ116:AZ117">
    <cfRule type="expression" dxfId="0" priority="189">
      <formula>AZ116&lt;AY116</formula>
    </cfRule>
  </conditionalFormatting>
  <conditionalFormatting sqref="AZ116:AZ117">
    <cfRule type="expression" dxfId="1" priority="190">
      <formula>AZ116&gt;=AY116</formula>
    </cfRule>
  </conditionalFormatting>
  <conditionalFormatting sqref="BD116:BD117">
    <cfRule type="expression" dxfId="0" priority="191">
      <formula>BD116&lt;BC116</formula>
    </cfRule>
  </conditionalFormatting>
  <conditionalFormatting sqref="BD116:BD117">
    <cfRule type="expression" dxfId="1" priority="192">
      <formula>BD116&gt;=BC116</formula>
    </cfRule>
  </conditionalFormatting>
  <conditionalFormatting sqref="BD124:BD125">
    <cfRule type="expression" dxfId="0" priority="193">
      <formula>BD124&lt;BC124</formula>
    </cfRule>
  </conditionalFormatting>
  <conditionalFormatting sqref="BD124:BD125">
    <cfRule type="expression" dxfId="1" priority="194">
      <formula>BD124&gt;=BC124</formula>
    </cfRule>
  </conditionalFormatting>
  <conditionalFormatting sqref="AZ108:AZ109">
    <cfRule type="expression" dxfId="0" priority="195">
      <formula>AZ108&lt;AY108</formula>
    </cfRule>
  </conditionalFormatting>
  <conditionalFormatting sqref="AZ108:AZ109">
    <cfRule type="expression" dxfId="1" priority="196">
      <formula>AZ108&gt;=AY108</formula>
    </cfRule>
  </conditionalFormatting>
  <conditionalFormatting sqref="BD108:BD109">
    <cfRule type="expression" dxfId="0" priority="197">
      <formula>BD108&lt;BC108</formula>
    </cfRule>
  </conditionalFormatting>
  <conditionalFormatting sqref="BD108:BD109">
    <cfRule type="expression" dxfId="1" priority="198">
      <formula>BD108&gt;=BC108</formula>
    </cfRule>
  </conditionalFormatting>
  <conditionalFormatting sqref="AZ100:AZ101">
    <cfRule type="expression" dxfId="0" priority="199">
      <formula>AZ100&lt;AY100</formula>
    </cfRule>
  </conditionalFormatting>
  <conditionalFormatting sqref="AZ100:AZ101">
    <cfRule type="expression" dxfId="1" priority="200">
      <formula>AZ100&gt;=AY100</formula>
    </cfRule>
  </conditionalFormatting>
  <conditionalFormatting sqref="BD100:BD101">
    <cfRule type="expression" dxfId="0" priority="201">
      <formula>BD100&lt;BC100</formula>
    </cfRule>
  </conditionalFormatting>
  <conditionalFormatting sqref="BD100:BD101">
    <cfRule type="expression" dxfId="1" priority="202">
      <formula>BD100&gt;=BC100</formula>
    </cfRule>
  </conditionalFormatting>
  <conditionalFormatting sqref="AZ92:AZ93">
    <cfRule type="expression" dxfId="0" priority="203">
      <formula>AZ92&lt;AY92</formula>
    </cfRule>
  </conditionalFormatting>
  <conditionalFormatting sqref="AZ92:AZ93">
    <cfRule type="expression" dxfId="1" priority="204">
      <formula>AZ92&gt;=AY92</formula>
    </cfRule>
  </conditionalFormatting>
  <conditionalFormatting sqref="BD92:BD93">
    <cfRule type="expression" dxfId="0" priority="205">
      <formula>BD92&lt;BC92</formula>
    </cfRule>
  </conditionalFormatting>
  <conditionalFormatting sqref="BD92:BD93">
    <cfRule type="expression" dxfId="1" priority="206">
      <formula>BD92&gt;=BC92</formula>
    </cfRule>
  </conditionalFormatting>
  <conditionalFormatting sqref="AZ84:AZ85">
    <cfRule type="expression" dxfId="0" priority="207">
      <formula>AZ84&lt;AY84</formula>
    </cfRule>
  </conditionalFormatting>
  <conditionalFormatting sqref="AZ84:AZ85">
    <cfRule type="expression" dxfId="1" priority="208">
      <formula>AZ84&gt;=AY84</formula>
    </cfRule>
  </conditionalFormatting>
  <conditionalFormatting sqref="BD84:BD85">
    <cfRule type="expression" dxfId="0" priority="209">
      <formula>BD84&lt;BC84</formula>
    </cfRule>
  </conditionalFormatting>
  <conditionalFormatting sqref="BD84:BD85">
    <cfRule type="expression" dxfId="1" priority="210">
      <formula>BD84&gt;=BC84</formula>
    </cfRule>
  </conditionalFormatting>
  <conditionalFormatting sqref="BD76:BD77">
    <cfRule type="expression" dxfId="0" priority="211">
      <formula>BD76&lt;BC76</formula>
    </cfRule>
  </conditionalFormatting>
  <conditionalFormatting sqref="BD76:BD77">
    <cfRule type="expression" dxfId="1" priority="212">
      <formula>BD76&gt;=BC76</formula>
    </cfRule>
  </conditionalFormatting>
  <conditionalFormatting sqref="AZ76:AZ77">
    <cfRule type="expression" dxfId="0" priority="213">
      <formula>AZ76&lt;AY76</formula>
    </cfRule>
  </conditionalFormatting>
  <conditionalFormatting sqref="AZ76:AZ77">
    <cfRule type="expression" dxfId="1" priority="214">
      <formula>AZ76&gt;=AY76</formula>
    </cfRule>
  </conditionalFormatting>
  <conditionalFormatting sqref="AZ68:AZ69">
    <cfRule type="expression" dxfId="0" priority="215">
      <formula>AZ68&lt;AY68</formula>
    </cfRule>
  </conditionalFormatting>
  <conditionalFormatting sqref="AZ68:AZ69">
    <cfRule type="expression" dxfId="1" priority="216">
      <formula>AZ68&gt;=AY68</formula>
    </cfRule>
  </conditionalFormatting>
  <conditionalFormatting sqref="BD68:BD69">
    <cfRule type="expression" dxfId="0" priority="217">
      <formula>BD68&lt;BC68</formula>
    </cfRule>
  </conditionalFormatting>
  <conditionalFormatting sqref="BD68:BD69">
    <cfRule type="expression" dxfId="1" priority="218">
      <formula>BD68&gt;=BC68</formula>
    </cfRule>
  </conditionalFormatting>
  <conditionalFormatting sqref="AV132:AV133">
    <cfRule type="expression" dxfId="0" priority="219">
      <formula>AV132&lt;AU132</formula>
    </cfRule>
  </conditionalFormatting>
  <conditionalFormatting sqref="AV132:AV133">
    <cfRule type="expression" dxfId="1" priority="220">
      <formula>AV132&gt;=AU132</formula>
    </cfRule>
  </conditionalFormatting>
  <conditionalFormatting sqref="AR132:AR133">
    <cfRule type="expression" dxfId="0" priority="221">
      <formula>AR132&lt;AQ132</formula>
    </cfRule>
  </conditionalFormatting>
  <conditionalFormatting sqref="AR132:AR133">
    <cfRule type="expression" dxfId="1" priority="222">
      <formula>AR132&gt;=AQ132</formula>
    </cfRule>
  </conditionalFormatting>
  <conditionalFormatting sqref="AN132:AN133">
    <cfRule type="expression" dxfId="0" priority="223">
      <formula>AN132&lt;AM132</formula>
    </cfRule>
  </conditionalFormatting>
  <conditionalFormatting sqref="AN132:AN133">
    <cfRule type="expression" dxfId="1" priority="224">
      <formula>AN132&gt;=AM132</formula>
    </cfRule>
  </conditionalFormatting>
  <conditionalFormatting sqref="AJ132:AJ133">
    <cfRule type="expression" dxfId="0" priority="225">
      <formula>AJ132&lt;AI132</formula>
    </cfRule>
  </conditionalFormatting>
  <conditionalFormatting sqref="AJ132:AJ133">
    <cfRule type="expression" dxfId="1" priority="226">
      <formula>AJ132&gt;=AI132</formula>
    </cfRule>
  </conditionalFormatting>
  <conditionalFormatting sqref="AJ124:AJ125">
    <cfRule type="expression" dxfId="0" priority="227">
      <formula>AJ124&lt;AI124</formula>
    </cfRule>
  </conditionalFormatting>
  <conditionalFormatting sqref="AJ124:AJ125">
    <cfRule type="expression" dxfId="1" priority="228">
      <formula>AJ124&gt;=AI124</formula>
    </cfRule>
  </conditionalFormatting>
  <conditionalFormatting sqref="AN124:AN125">
    <cfRule type="expression" dxfId="0" priority="229">
      <formula>AN124&lt;AM124</formula>
    </cfRule>
  </conditionalFormatting>
  <conditionalFormatting sqref="AN124:AN125">
    <cfRule type="expression" dxfId="1" priority="230">
      <formula>AN124&gt;=AM124</formula>
    </cfRule>
  </conditionalFormatting>
  <conditionalFormatting sqref="AR124:AR125">
    <cfRule type="expression" dxfId="0" priority="231">
      <formula>AR124&lt;AQ124</formula>
    </cfRule>
  </conditionalFormatting>
  <conditionalFormatting sqref="AR124:AR125">
    <cfRule type="expression" dxfId="1" priority="232">
      <formula>AR124&gt;=AQ124</formula>
    </cfRule>
  </conditionalFormatting>
  <conditionalFormatting sqref="AV124:AV125">
    <cfRule type="expression" dxfId="0" priority="233">
      <formula>AV124&lt;AU124</formula>
    </cfRule>
  </conditionalFormatting>
  <conditionalFormatting sqref="AV124:AV125">
    <cfRule type="expression" dxfId="1" priority="234">
      <formula>AV124&gt;=AU124</formula>
    </cfRule>
  </conditionalFormatting>
  <conditionalFormatting sqref="AV108:AV109">
    <cfRule type="expression" dxfId="0" priority="235">
      <formula>AV108&lt;AU108</formula>
    </cfRule>
  </conditionalFormatting>
  <conditionalFormatting sqref="AV108:AV109">
    <cfRule type="expression" dxfId="1" priority="236">
      <formula>AV108&gt;=AU108</formula>
    </cfRule>
  </conditionalFormatting>
  <conditionalFormatting sqref="AV116:AV117">
    <cfRule type="expression" dxfId="0" priority="237">
      <formula>AV116&lt;AU116</formula>
    </cfRule>
  </conditionalFormatting>
  <conditionalFormatting sqref="AV116:AV117">
    <cfRule type="expression" dxfId="1" priority="238">
      <formula>AV116&gt;=AU116</formula>
    </cfRule>
  </conditionalFormatting>
  <conditionalFormatting sqref="AR116:AR117">
    <cfRule type="expression" dxfId="0" priority="239">
      <formula>AR116&lt;AQ116</formula>
    </cfRule>
  </conditionalFormatting>
  <conditionalFormatting sqref="AR116:AR117">
    <cfRule type="expression" dxfId="1" priority="240">
      <formula>AR116&gt;=AQ116</formula>
    </cfRule>
  </conditionalFormatting>
  <conditionalFormatting sqref="AN116:AN117">
    <cfRule type="expression" dxfId="0" priority="241">
      <formula>AN116&lt;AM116</formula>
    </cfRule>
  </conditionalFormatting>
  <conditionalFormatting sqref="AN116:AN117">
    <cfRule type="expression" dxfId="1" priority="242">
      <formula>AN116&gt;=AM116</formula>
    </cfRule>
  </conditionalFormatting>
  <conditionalFormatting sqref="AJ116:AJ117">
    <cfRule type="expression" dxfId="0" priority="243">
      <formula>AJ116&lt;AI116</formula>
    </cfRule>
  </conditionalFormatting>
  <conditionalFormatting sqref="AJ116:AJ117">
    <cfRule type="expression" dxfId="1" priority="244">
      <formula>AJ116&gt;=AI116</formula>
    </cfRule>
  </conditionalFormatting>
  <conditionalFormatting sqref="AJ108:AJ109">
    <cfRule type="expression" dxfId="0" priority="245">
      <formula>AJ108&lt;AI108</formula>
    </cfRule>
  </conditionalFormatting>
  <conditionalFormatting sqref="AJ108:AJ109">
    <cfRule type="expression" dxfId="1" priority="246">
      <formula>AJ108&gt;=AI108</formula>
    </cfRule>
  </conditionalFormatting>
  <conditionalFormatting sqref="AN108:AN109">
    <cfRule type="expression" dxfId="0" priority="247">
      <formula>AN108&lt;AM108</formula>
    </cfRule>
  </conditionalFormatting>
  <conditionalFormatting sqref="AN108:AN109">
    <cfRule type="expression" dxfId="1" priority="248">
      <formula>AN108&gt;=AM108</formula>
    </cfRule>
  </conditionalFormatting>
  <conditionalFormatting sqref="AR108:AR109">
    <cfRule type="expression" dxfId="0" priority="249">
      <formula>AR108&lt;AQ108</formula>
    </cfRule>
  </conditionalFormatting>
  <conditionalFormatting sqref="AR108:AR109">
    <cfRule type="expression" dxfId="1" priority="250">
      <formula>AR108&gt;=AQ108</formula>
    </cfRule>
  </conditionalFormatting>
  <conditionalFormatting sqref="AJ76:AJ77">
    <cfRule type="expression" dxfId="0" priority="251">
      <formula>AJ76&lt;AI76</formula>
    </cfRule>
  </conditionalFormatting>
  <conditionalFormatting sqref="AJ76:AJ77">
    <cfRule type="expression" dxfId="1" priority="252">
      <formula>AJ76&gt;=AI76</formula>
    </cfRule>
  </conditionalFormatting>
  <conditionalFormatting sqref="AN76:AN77">
    <cfRule type="expression" dxfId="0" priority="253">
      <formula>AN76&lt;AM76</formula>
    </cfRule>
  </conditionalFormatting>
  <conditionalFormatting sqref="AN76:AN77">
    <cfRule type="expression" dxfId="1" priority="254">
      <formula>AN76&gt;=AM76</formula>
    </cfRule>
  </conditionalFormatting>
  <conditionalFormatting sqref="AR76:AR77">
    <cfRule type="expression" dxfId="0" priority="255">
      <formula>AR76&lt;AQ76</formula>
    </cfRule>
  </conditionalFormatting>
  <conditionalFormatting sqref="AR76:AR77">
    <cfRule type="expression" dxfId="1" priority="256">
      <formula>AR76&gt;=AQ76</formula>
    </cfRule>
  </conditionalFormatting>
  <conditionalFormatting sqref="AV76:AV77">
    <cfRule type="expression" dxfId="0" priority="257">
      <formula>AV76&lt;AU76</formula>
    </cfRule>
  </conditionalFormatting>
  <conditionalFormatting sqref="AV76:AV77">
    <cfRule type="expression" dxfId="1" priority="258">
      <formula>AV76&gt;=AU76</formula>
    </cfRule>
  </conditionalFormatting>
  <conditionalFormatting sqref="AJ84:AJ85">
    <cfRule type="expression" dxfId="0" priority="259">
      <formula>AJ84&lt;AI84</formula>
    </cfRule>
  </conditionalFormatting>
  <conditionalFormatting sqref="AJ84:AJ85">
    <cfRule type="expression" dxfId="1" priority="260">
      <formula>AJ84&gt;=AI84</formula>
    </cfRule>
  </conditionalFormatting>
  <conditionalFormatting sqref="AN84:AN85">
    <cfRule type="expression" dxfId="0" priority="261">
      <formula>AN84&lt;AM84</formula>
    </cfRule>
  </conditionalFormatting>
  <conditionalFormatting sqref="AN84:AN85">
    <cfRule type="expression" dxfId="1" priority="262">
      <formula>AN84&gt;=AM84</formula>
    </cfRule>
  </conditionalFormatting>
  <conditionalFormatting sqref="AR84:AR85">
    <cfRule type="expression" dxfId="0" priority="263">
      <formula>AR84&lt;AQ84</formula>
    </cfRule>
  </conditionalFormatting>
  <conditionalFormatting sqref="AR84:AR85">
    <cfRule type="expression" dxfId="1" priority="264">
      <formula>AR84&gt;=AQ84</formula>
    </cfRule>
  </conditionalFormatting>
  <conditionalFormatting sqref="AV84:AV85">
    <cfRule type="expression" dxfId="0" priority="265">
      <formula>AV84&lt;AU84</formula>
    </cfRule>
  </conditionalFormatting>
  <conditionalFormatting sqref="AV84:AV85">
    <cfRule type="expression" dxfId="1" priority="266">
      <formula>AV84&gt;=AU84</formula>
    </cfRule>
  </conditionalFormatting>
  <conditionalFormatting sqref="AJ92:AJ93">
    <cfRule type="expression" dxfId="0" priority="267">
      <formula>AJ92&lt;AI92</formula>
    </cfRule>
  </conditionalFormatting>
  <conditionalFormatting sqref="AJ92:AJ93">
    <cfRule type="expression" dxfId="1" priority="268">
      <formula>AJ92&gt;=AI92</formula>
    </cfRule>
  </conditionalFormatting>
  <conditionalFormatting sqref="AN92:AN93">
    <cfRule type="expression" dxfId="0" priority="269">
      <formula>AN92&lt;AM92</formula>
    </cfRule>
  </conditionalFormatting>
  <conditionalFormatting sqref="AN92:AN93">
    <cfRule type="expression" dxfId="1" priority="270">
      <formula>AN92&gt;=AM92</formula>
    </cfRule>
  </conditionalFormatting>
  <conditionalFormatting sqref="AR92:AR93">
    <cfRule type="expression" dxfId="0" priority="271">
      <formula>AR92&lt;AQ92</formula>
    </cfRule>
  </conditionalFormatting>
  <conditionalFormatting sqref="AR92:AR93">
    <cfRule type="expression" dxfId="1" priority="272">
      <formula>AR92&gt;=AQ92</formula>
    </cfRule>
  </conditionalFormatting>
  <conditionalFormatting sqref="AV92:AV93">
    <cfRule type="expression" dxfId="0" priority="273">
      <formula>AV92&lt;AU92</formula>
    </cfRule>
  </conditionalFormatting>
  <conditionalFormatting sqref="AV92:AV93">
    <cfRule type="expression" dxfId="1" priority="274">
      <formula>AV92&gt;=AU92</formula>
    </cfRule>
  </conditionalFormatting>
  <conditionalFormatting sqref="AJ100:AJ101">
    <cfRule type="expression" dxfId="0" priority="275">
      <formula>AJ100&lt;AI100</formula>
    </cfRule>
  </conditionalFormatting>
  <conditionalFormatting sqref="AJ100:AJ101">
    <cfRule type="expression" dxfId="1" priority="276">
      <formula>AJ100&gt;=AI100</formula>
    </cfRule>
  </conditionalFormatting>
  <conditionalFormatting sqref="AN100:AN101">
    <cfRule type="expression" dxfId="0" priority="277">
      <formula>AN100&lt;AM100</formula>
    </cfRule>
  </conditionalFormatting>
  <conditionalFormatting sqref="AN100:AN101">
    <cfRule type="expression" dxfId="1" priority="278">
      <formula>AN100&gt;=AM100</formula>
    </cfRule>
  </conditionalFormatting>
  <conditionalFormatting sqref="AR100:AR101">
    <cfRule type="expression" dxfId="0" priority="279">
      <formula>AR100&lt;AQ100</formula>
    </cfRule>
  </conditionalFormatting>
  <conditionalFormatting sqref="AR100:AR101">
    <cfRule type="expression" dxfId="1" priority="280">
      <formula>AR100&gt;=AQ100</formula>
    </cfRule>
  </conditionalFormatting>
  <conditionalFormatting sqref="AV100:AV101">
    <cfRule type="expression" dxfId="0" priority="281">
      <formula>AV100&lt;AU100</formula>
    </cfRule>
  </conditionalFormatting>
  <conditionalFormatting sqref="AV100:AV101">
    <cfRule type="expression" dxfId="1" priority="282">
      <formula>AV100&gt;=AU100</formula>
    </cfRule>
  </conditionalFormatting>
  <conditionalFormatting sqref="U76:U77">
    <cfRule type="expression" dxfId="0" priority="283">
      <formula>U76&lt;T76</formula>
    </cfRule>
  </conditionalFormatting>
  <conditionalFormatting sqref="U76:U77">
    <cfRule type="expression" dxfId="1" priority="284">
      <formula>U76&gt;=T76</formula>
    </cfRule>
  </conditionalFormatting>
  <conditionalFormatting sqref="Y76:Y77">
    <cfRule type="expression" dxfId="0" priority="285">
      <formula>Y76&lt;X76</formula>
    </cfRule>
  </conditionalFormatting>
  <conditionalFormatting sqref="Y76:Y77">
    <cfRule type="expression" dxfId="1" priority="286">
      <formula>Y76&gt;=X76</formula>
    </cfRule>
  </conditionalFormatting>
  <conditionalFormatting sqref="AD76:AE77">
    <cfRule type="expression" dxfId="0" priority="287">
      <formula>AD76&lt;AC76</formula>
    </cfRule>
  </conditionalFormatting>
  <conditionalFormatting sqref="AD76:AE77">
    <cfRule type="expression" dxfId="1" priority="288">
      <formula>AD76&gt;=AC76</formula>
    </cfRule>
  </conditionalFormatting>
  <conditionalFormatting sqref="U84:U85">
    <cfRule type="expression" dxfId="0" priority="289">
      <formula>U84&lt;T84</formula>
    </cfRule>
  </conditionalFormatting>
  <conditionalFormatting sqref="U84:U85">
    <cfRule type="expression" dxfId="1" priority="290">
      <formula>U84&gt;=T84</formula>
    </cfRule>
  </conditionalFormatting>
  <conditionalFormatting sqref="Y84:Y85">
    <cfRule type="expression" dxfId="0" priority="291">
      <formula>Y84&lt;X84</formula>
    </cfRule>
  </conditionalFormatting>
  <conditionalFormatting sqref="Y84:Y85">
    <cfRule type="expression" dxfId="1" priority="292">
      <formula>Y84&gt;=X84</formula>
    </cfRule>
  </conditionalFormatting>
  <conditionalFormatting sqref="AD84:AE85">
    <cfRule type="expression" dxfId="0" priority="293">
      <formula>AD84&lt;AC84</formula>
    </cfRule>
  </conditionalFormatting>
  <conditionalFormatting sqref="AD84:AE85">
    <cfRule type="expression" dxfId="1" priority="294">
      <formula>AD84&gt;=AC84</formula>
    </cfRule>
  </conditionalFormatting>
  <conditionalFormatting sqref="U92:U93">
    <cfRule type="expression" dxfId="0" priority="295">
      <formula>U92&lt;T92</formula>
    </cfRule>
  </conditionalFormatting>
  <conditionalFormatting sqref="U92:U93">
    <cfRule type="expression" dxfId="1" priority="296">
      <formula>U92&gt;=T92</formula>
    </cfRule>
  </conditionalFormatting>
  <conditionalFormatting sqref="Y92:Y93">
    <cfRule type="expression" dxfId="0" priority="297">
      <formula>Y92&lt;X92</formula>
    </cfRule>
  </conditionalFormatting>
  <conditionalFormatting sqref="Y92:Y93">
    <cfRule type="expression" dxfId="1" priority="298">
      <formula>Y92&gt;=X92</formula>
    </cfRule>
  </conditionalFormatting>
  <conditionalFormatting sqref="AD92:AE93">
    <cfRule type="expression" dxfId="0" priority="299">
      <formula>AD92&lt;AC92</formula>
    </cfRule>
  </conditionalFormatting>
  <conditionalFormatting sqref="AD92:AE93">
    <cfRule type="expression" dxfId="1" priority="300">
      <formula>AD92&gt;=AC92</formula>
    </cfRule>
  </conditionalFormatting>
  <conditionalFormatting sqref="AD100:AE101">
    <cfRule type="expression" dxfId="0" priority="301">
      <formula>AD100&lt;AC100</formula>
    </cfRule>
  </conditionalFormatting>
  <conditionalFormatting sqref="AD100:AE101">
    <cfRule type="expression" dxfId="1" priority="302">
      <formula>AD100&gt;=AC100</formula>
    </cfRule>
  </conditionalFormatting>
  <conditionalFormatting sqref="Y116:Y117">
    <cfRule type="expression" dxfId="0" priority="303">
      <formula>Y116&lt;X116</formula>
    </cfRule>
  </conditionalFormatting>
  <conditionalFormatting sqref="Y116:Y117">
    <cfRule type="expression" dxfId="1" priority="304">
      <formula>Y116&gt;=X116</formula>
    </cfRule>
  </conditionalFormatting>
  <conditionalFormatting sqref="AD116:AE117">
    <cfRule type="expression" dxfId="0" priority="305">
      <formula>AD116&lt;AC116</formula>
    </cfRule>
  </conditionalFormatting>
  <conditionalFormatting sqref="AD116:AE117">
    <cfRule type="expression" dxfId="1" priority="306">
      <formula>AD116&gt;=AC116</formula>
    </cfRule>
  </conditionalFormatting>
  <conditionalFormatting sqref="U116:U117">
    <cfRule type="expression" dxfId="0" priority="307">
      <formula>U116&lt;T116</formula>
    </cfRule>
  </conditionalFormatting>
  <conditionalFormatting sqref="U116:U117">
    <cfRule type="expression" dxfId="1" priority="308">
      <formula>U116&gt;=T116</formula>
    </cfRule>
  </conditionalFormatting>
  <conditionalFormatting sqref="U124:U125">
    <cfRule type="expression" dxfId="0" priority="309">
      <formula>U124&lt;T124</formula>
    </cfRule>
  </conditionalFormatting>
  <conditionalFormatting sqref="U124:U125">
    <cfRule type="expression" dxfId="1" priority="310">
      <formula>U124&gt;=T124</formula>
    </cfRule>
  </conditionalFormatting>
  <conditionalFormatting sqref="Y124:Y125">
    <cfRule type="expression" dxfId="0" priority="311">
      <formula>Y124&lt;X124</formula>
    </cfRule>
  </conditionalFormatting>
  <conditionalFormatting sqref="Y124:Y125">
    <cfRule type="expression" dxfId="1" priority="312">
      <formula>Y124&gt;=X124</formula>
    </cfRule>
  </conditionalFormatting>
  <conditionalFormatting sqref="AD124:AE125">
    <cfRule type="expression" dxfId="0" priority="313">
      <formula>AD124&lt;AC124</formula>
    </cfRule>
  </conditionalFormatting>
  <conditionalFormatting sqref="AD124:AE125">
    <cfRule type="expression" dxfId="1" priority="314">
      <formula>AD124&gt;=AC124</formula>
    </cfRule>
  </conditionalFormatting>
  <conditionalFormatting sqref="BN4:BN5 BN12:BN13 BN20:BN21 BN28:BN29 BN36:BN37 BN44:BN45 BN52:BN53 BN60:BN61 BN68:BN69 BN76:BN77 BN84:BN85 BN92:BN93 BN100:BN101 BN108:BN109 BN116:BN117 BN124:BN125 BN132:BN133 BN140:BN141">
    <cfRule type="expression" dxfId="2" priority="315">
      <formula>BN5&gt;=BM5</formula>
    </cfRule>
  </conditionalFormatting>
  <conditionalFormatting sqref="BN4:BN5 BN12:BN13 BN20:BN21 BN28:BN29 BN36:BN37 BN44:BN45 BN52:BN53 BN60:BN61 BN68:BN69 BN76:BN77 BN84:BN85 BN92:BN93 BN100:BN101 BN108:BN109 BN116:BN117 BN124:BN125 BN132:BN133 BN140:BN141">
    <cfRule type="expression" dxfId="0" priority="316">
      <formula>BN5&lt;BM5</formula>
    </cfRule>
  </conditionalFormatting>
  <printOptions/>
  <pageMargins bottom="0.787401575" footer="0.0" header="0.0" left="0.511811024" right="0.511811024" top="0.787401575"/>
  <pageSetup orientation="landscape"/>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10.0" ySplit="2.0" topLeftCell="K3" activePane="bottomRight" state="frozen"/>
      <selection activeCell="K1" sqref="K1" pane="topRight"/>
      <selection activeCell="A3" sqref="A3" pane="bottomLeft"/>
      <selection activeCell="K3" sqref="K3" pane="bottomRight"/>
    </sheetView>
  </sheetViews>
  <sheetFormatPr customHeight="1" defaultColWidth="14.43" defaultRowHeight="15.0"/>
  <cols>
    <col customWidth="1" min="1" max="1" width="1.43"/>
    <col customWidth="1" min="2" max="2" width="3.0"/>
    <col customWidth="1" hidden="1" min="3" max="3" width="20.29"/>
    <col customWidth="1" hidden="1" min="4" max="5" width="8.86"/>
    <col customWidth="1" hidden="1" min="6" max="6" width="13.43"/>
    <col customWidth="1" hidden="1" min="7" max="7" width="12.29"/>
    <col customWidth="1" hidden="1" min="8" max="8" width="7.43"/>
    <col customWidth="1" hidden="1" min="9" max="9" width="6.43"/>
    <col customWidth="1" min="10" max="10" width="20.71"/>
    <col customWidth="1" min="11" max="11" width="7.29"/>
    <col customWidth="1" min="12" max="12" width="15.14"/>
    <col customWidth="1" min="13" max="13" width="11.57"/>
    <col customWidth="1" min="14" max="14" width="15.0"/>
    <col customWidth="1" min="15" max="15" width="16.86"/>
    <col customWidth="1" min="16" max="16" width="15.43"/>
    <col customWidth="1" min="17" max="17" width="15.14"/>
    <col customWidth="1" min="18" max="19" width="16.43"/>
    <col customWidth="1" min="20" max="20" width="15.86"/>
    <col customWidth="1" min="21" max="22" width="16.43"/>
    <col customWidth="1" min="23" max="23" width="15.29"/>
    <col customWidth="1" min="24" max="24" width="16.14"/>
    <col customWidth="1" min="25" max="25" width="14.86"/>
    <col customWidth="1" min="26" max="27" width="15.57"/>
    <col customWidth="1" min="28" max="29" width="17.0"/>
    <col customWidth="1" min="30" max="30" width="15.14"/>
    <col customWidth="1" min="31" max="31" width="15.0"/>
    <col customWidth="1" min="32" max="32" width="14.57"/>
    <col customWidth="1" min="35" max="35" width="15.43"/>
    <col customWidth="1" min="38" max="38" width="15.14"/>
    <col customWidth="1" min="40" max="48" width="15.43"/>
    <col customWidth="1" min="49" max="49" width="15.57"/>
    <col customWidth="1" min="52" max="52" width="15.43"/>
    <col customWidth="1" min="54" max="54" width="12.57"/>
    <col customWidth="1" min="55" max="56" width="18.57"/>
    <col customWidth="1" min="58" max="58" width="18.57"/>
    <col customWidth="1" min="59" max="60" width="15.57"/>
    <col customWidth="1" min="63" max="64" width="15.43"/>
    <col customWidth="1" min="67" max="67" width="18.57"/>
  </cols>
  <sheetData>
    <row r="1" ht="15.75" customHeight="1">
      <c r="A1" s="1"/>
      <c r="B1" s="2"/>
      <c r="C1" s="1"/>
      <c r="D1" s="1"/>
      <c r="E1" s="3"/>
      <c r="F1" s="4"/>
      <c r="G1" s="5" t="s">
        <v>0</v>
      </c>
      <c r="H1" s="6"/>
      <c r="I1" s="7"/>
      <c r="J1" s="8"/>
      <c r="K1" s="9"/>
      <c r="L1" s="8"/>
      <c r="M1" s="10"/>
      <c r="N1" s="11"/>
      <c r="O1" s="11"/>
      <c r="P1" s="11"/>
      <c r="Q1" s="11"/>
      <c r="R1" s="11"/>
      <c r="S1" s="11"/>
      <c r="T1" s="11"/>
      <c r="U1" s="11"/>
      <c r="V1" s="11"/>
      <c r="W1" s="12"/>
      <c r="X1" s="13"/>
      <c r="Y1" s="14"/>
      <c r="Z1" s="15"/>
      <c r="AA1" s="3"/>
      <c r="AB1" s="3"/>
      <c r="AC1" s="3"/>
      <c r="AD1" s="3"/>
      <c r="AE1" s="3"/>
      <c r="AF1" s="3"/>
    </row>
    <row r="2" ht="15.75" customHeight="1">
      <c r="A2" s="1"/>
      <c r="B2" s="2"/>
      <c r="C2" s="16" t="s">
        <v>1</v>
      </c>
      <c r="D2" s="17" t="s">
        <v>2</v>
      </c>
      <c r="E2" s="18" t="s">
        <v>3</v>
      </c>
      <c r="F2" s="19" t="s">
        <v>4</v>
      </c>
      <c r="G2" s="20" t="s">
        <v>5</v>
      </c>
      <c r="H2" s="20" t="s">
        <v>6</v>
      </c>
      <c r="I2" s="20" t="s">
        <v>7</v>
      </c>
      <c r="J2" s="21"/>
      <c r="K2" s="22"/>
      <c r="L2" s="21"/>
      <c r="M2" s="21"/>
      <c r="N2" s="11"/>
      <c r="O2" s="11"/>
      <c r="P2" s="11"/>
      <c r="Q2" s="23"/>
      <c r="R2" s="24"/>
      <c r="S2" s="11"/>
      <c r="T2" s="11"/>
      <c r="U2" s="11"/>
      <c r="V2" s="11"/>
      <c r="W2" s="12"/>
      <c r="X2" s="13"/>
      <c r="Y2" s="14"/>
      <c r="Z2" s="15"/>
      <c r="AA2" s="3"/>
      <c r="AB2" s="3"/>
      <c r="AC2" s="3"/>
      <c r="AD2" s="3"/>
      <c r="AE2" s="3"/>
      <c r="AF2" s="3"/>
      <c r="BC2" s="25"/>
    </row>
    <row r="3">
      <c r="A3" s="1"/>
      <c r="B3" s="26">
        <v>1.0</v>
      </c>
      <c r="C3" s="27" t="s">
        <v>8</v>
      </c>
      <c r="D3" s="28"/>
      <c r="E3" s="29"/>
      <c r="F3" s="30"/>
      <c r="G3" s="31">
        <v>3.442912982002714E7</v>
      </c>
      <c r="H3" s="32">
        <v>329237.0</v>
      </c>
      <c r="I3" s="33">
        <v>104.57248067509771</v>
      </c>
      <c r="J3" s="34" t="s">
        <v>9</v>
      </c>
      <c r="K3" s="35"/>
      <c r="L3" s="36" t="s">
        <v>10</v>
      </c>
      <c r="M3" s="37" t="s">
        <v>11</v>
      </c>
      <c r="N3" s="38" t="s">
        <v>12</v>
      </c>
      <c r="O3" s="39" t="s">
        <v>13</v>
      </c>
      <c r="P3" s="40" t="s">
        <v>14</v>
      </c>
      <c r="Q3" s="41" t="s">
        <v>15</v>
      </c>
      <c r="R3" s="38" t="s">
        <v>16</v>
      </c>
      <c r="S3" s="42" t="s">
        <v>17</v>
      </c>
      <c r="T3" s="43" t="s">
        <v>18</v>
      </c>
      <c r="U3" s="37" t="s">
        <v>19</v>
      </c>
      <c r="V3" s="38" t="s">
        <v>20</v>
      </c>
      <c r="W3" s="39" t="s">
        <v>21</v>
      </c>
      <c r="X3" s="44" t="s">
        <v>22</v>
      </c>
      <c r="Y3" s="41" t="s">
        <v>23</v>
      </c>
      <c r="Z3" s="38" t="s">
        <v>24</v>
      </c>
      <c r="AA3" s="45" t="s">
        <v>25</v>
      </c>
      <c r="AB3" s="43" t="s">
        <v>26</v>
      </c>
      <c r="AC3" s="41" t="s">
        <v>27</v>
      </c>
      <c r="AD3" s="38" t="s">
        <v>28</v>
      </c>
      <c r="AE3" s="45" t="s">
        <v>29</v>
      </c>
      <c r="AF3" s="44" t="s">
        <v>30</v>
      </c>
      <c r="AG3" s="343" t="s">
        <v>120</v>
      </c>
      <c r="AH3" s="344" t="s">
        <v>121</v>
      </c>
      <c r="AI3" s="344" t="s">
        <v>122</v>
      </c>
      <c r="AJ3" s="344" t="s">
        <v>123</v>
      </c>
      <c r="AK3" s="344" t="s">
        <v>124</v>
      </c>
      <c r="AL3" s="344" t="s">
        <v>31</v>
      </c>
      <c r="AM3" s="38" t="s">
        <v>32</v>
      </c>
      <c r="AN3" s="45" t="s">
        <v>33</v>
      </c>
      <c r="AO3" s="43" t="s">
        <v>34</v>
      </c>
      <c r="AP3" s="343" t="s">
        <v>125</v>
      </c>
      <c r="AQ3" s="344" t="s">
        <v>126</v>
      </c>
      <c r="AR3" s="344" t="s">
        <v>127</v>
      </c>
      <c r="AS3" s="344" t="s">
        <v>128</v>
      </c>
      <c r="AT3" s="344" t="s">
        <v>129</v>
      </c>
      <c r="AU3" s="41" t="s">
        <v>35</v>
      </c>
      <c r="AV3" s="38" t="s">
        <v>36</v>
      </c>
      <c r="AW3" s="45" t="s">
        <v>37</v>
      </c>
      <c r="AX3" s="44" t="s">
        <v>38</v>
      </c>
      <c r="AY3" s="41" t="s">
        <v>39</v>
      </c>
      <c r="AZ3" s="38" t="s">
        <v>40</v>
      </c>
      <c r="BA3" s="45" t="s">
        <v>41</v>
      </c>
      <c r="BB3" s="43" t="s">
        <v>42</v>
      </c>
      <c r="BC3" s="41" t="s">
        <v>43</v>
      </c>
      <c r="BD3" s="38" t="s">
        <v>44</v>
      </c>
      <c r="BE3" s="45" t="s">
        <v>45</v>
      </c>
      <c r="BF3" s="44" t="s">
        <v>46</v>
      </c>
      <c r="BG3" s="41" t="s">
        <v>47</v>
      </c>
      <c r="BH3" s="38" t="s">
        <v>48</v>
      </c>
      <c r="BI3" s="45" t="s">
        <v>49</v>
      </c>
      <c r="BJ3" s="43" t="s">
        <v>50</v>
      </c>
      <c r="BK3" s="41" t="s">
        <v>51</v>
      </c>
      <c r="BL3" s="38" t="s">
        <v>52</v>
      </c>
      <c r="BM3" s="45" t="s">
        <v>53</v>
      </c>
      <c r="BN3" s="44" t="s">
        <v>54</v>
      </c>
      <c r="BO3" s="41" t="s">
        <v>55</v>
      </c>
      <c r="BP3" s="38" t="s">
        <v>56</v>
      </c>
      <c r="BQ3" s="45" t="s">
        <v>57</v>
      </c>
      <c r="BR3" s="345">
        <v>2026.0</v>
      </c>
      <c r="BS3" s="37" t="s">
        <v>61</v>
      </c>
      <c r="BT3" s="51" t="s">
        <v>62</v>
      </c>
      <c r="BU3" s="52">
        <v>2025.0</v>
      </c>
      <c r="BV3" s="53" t="s">
        <v>63</v>
      </c>
      <c r="BW3" s="3"/>
      <c r="BX3" s="3"/>
      <c r="BY3" s="3"/>
      <c r="BZ3" s="3"/>
      <c r="CA3" s="3"/>
      <c r="CB3" s="3"/>
    </row>
    <row r="4">
      <c r="A4" s="1"/>
      <c r="B4" s="26"/>
      <c r="C4" s="27"/>
      <c r="D4" s="28"/>
      <c r="E4" s="29"/>
      <c r="F4" s="30"/>
      <c r="G4" s="31"/>
      <c r="H4" s="32"/>
      <c r="I4" s="33"/>
      <c r="J4" s="346" t="s">
        <v>130</v>
      </c>
      <c r="K4" s="55"/>
      <c r="L4" s="56"/>
      <c r="M4" s="57"/>
      <c r="N4" s="58"/>
      <c r="O4" s="59"/>
      <c r="P4" s="60"/>
      <c r="Q4" s="57"/>
      <c r="R4" s="58"/>
      <c r="S4" s="61"/>
      <c r="T4" s="62"/>
      <c r="U4" s="63"/>
      <c r="V4" s="58"/>
      <c r="W4" s="59"/>
      <c r="X4" s="62"/>
      <c r="Y4" s="63"/>
      <c r="Z4" s="58"/>
      <c r="AA4" s="59"/>
      <c r="AB4" s="62"/>
      <c r="AC4" s="63"/>
      <c r="AD4" s="58"/>
      <c r="AE4" s="59"/>
      <c r="AF4" s="62"/>
      <c r="AG4" s="347">
        <f t="shared" ref="AG4:AK4" si="1">$AF$5/5</f>
        <v>0.016</v>
      </c>
      <c r="AH4" s="347">
        <f t="shared" si="1"/>
        <v>0.016</v>
      </c>
      <c r="AI4" s="347">
        <f t="shared" si="1"/>
        <v>0.016</v>
      </c>
      <c r="AJ4" s="347">
        <f t="shared" si="1"/>
        <v>0.016</v>
      </c>
      <c r="AK4" s="347">
        <f t="shared" si="1"/>
        <v>0.016</v>
      </c>
      <c r="AL4" s="348"/>
      <c r="AM4" s="58"/>
      <c r="AN4" s="59"/>
      <c r="AO4" s="62"/>
      <c r="AP4" s="347">
        <f t="shared" ref="AP4:AT4" si="2">$AO$5/5</f>
        <v>0.02</v>
      </c>
      <c r="AQ4" s="347">
        <f t="shared" si="2"/>
        <v>0.02</v>
      </c>
      <c r="AR4" s="347">
        <f t="shared" si="2"/>
        <v>0.02</v>
      </c>
      <c r="AS4" s="347">
        <f t="shared" si="2"/>
        <v>0.02</v>
      </c>
      <c r="AT4" s="347">
        <f t="shared" si="2"/>
        <v>0.02</v>
      </c>
      <c r="AU4" s="63"/>
      <c r="AV4" s="58"/>
      <c r="AW4" s="59"/>
      <c r="AX4" s="62"/>
      <c r="AY4" s="63"/>
      <c r="AZ4" s="58"/>
      <c r="BA4" s="59"/>
      <c r="BB4" s="62"/>
      <c r="BC4" s="63"/>
      <c r="BD4" s="58"/>
      <c r="BE4" s="59"/>
      <c r="BF4" s="62"/>
      <c r="BG4" s="63"/>
      <c r="BH4" s="58"/>
      <c r="BI4" s="59"/>
      <c r="BJ4" s="62"/>
      <c r="BK4" s="63"/>
      <c r="BL4" s="58"/>
      <c r="BM4" s="59"/>
      <c r="BN4" s="62"/>
      <c r="BO4" s="63"/>
      <c r="BP4" s="58"/>
      <c r="BQ4" s="59"/>
      <c r="BR4" s="66"/>
      <c r="BS4" s="349"/>
      <c r="BT4" s="69"/>
      <c r="BU4" s="70"/>
      <c r="BV4" s="71"/>
      <c r="BW4" s="3"/>
      <c r="BX4" s="3"/>
      <c r="BY4" s="3"/>
      <c r="BZ4" s="3"/>
      <c r="CA4" s="3"/>
      <c r="CB4" s="3"/>
    </row>
    <row r="5">
      <c r="A5" s="1"/>
      <c r="B5" s="26"/>
      <c r="C5" s="27"/>
      <c r="D5" s="28"/>
      <c r="E5" s="29"/>
      <c r="F5" s="30"/>
      <c r="G5" s="31"/>
      <c r="H5" s="32"/>
      <c r="I5" s="33"/>
      <c r="J5" s="72" t="s">
        <v>64</v>
      </c>
      <c r="K5" s="73"/>
      <c r="L5" s="74" t="s">
        <v>63</v>
      </c>
      <c r="M5" s="75" t="s">
        <v>63</v>
      </c>
      <c r="N5" s="76" t="s">
        <v>63</v>
      </c>
      <c r="O5" s="77" t="s">
        <v>65</v>
      </c>
      <c r="P5" s="78" t="s">
        <v>63</v>
      </c>
      <c r="Q5" s="75" t="s">
        <v>63</v>
      </c>
      <c r="R5" s="76" t="s">
        <v>63</v>
      </c>
      <c r="S5" s="79" t="s">
        <v>65</v>
      </c>
      <c r="T5" s="80">
        <v>0.04</v>
      </c>
      <c r="U5" s="81">
        <f>U6/(BR6-(L6 + P6))</f>
        <v>0.1186525251</v>
      </c>
      <c r="V5" s="76" t="s">
        <v>63</v>
      </c>
      <c r="W5" s="77" t="s">
        <v>65</v>
      </c>
      <c r="X5" s="80">
        <v>0.06</v>
      </c>
      <c r="Y5" s="81">
        <f>Y6/(BR6-(L6+P6))</f>
        <v>0.08226236219</v>
      </c>
      <c r="Z5" s="76" t="s">
        <v>63</v>
      </c>
      <c r="AA5" s="77" t="s">
        <v>65</v>
      </c>
      <c r="AB5" s="80">
        <v>0.08</v>
      </c>
      <c r="AC5" s="81">
        <f>AC6/(BR6-(L6+P6))</f>
        <v>0.07963860664</v>
      </c>
      <c r="AD5" s="76" t="s">
        <v>63</v>
      </c>
      <c r="AE5" s="77" t="s">
        <v>65</v>
      </c>
      <c r="AF5" s="80">
        <v>0.08</v>
      </c>
      <c r="AG5" s="350">
        <f t="shared" ref="AG5:AK5" si="3">AG6/($BR$6-($L$6+$P$6))</f>
        <v>0.007934322479</v>
      </c>
      <c r="AH5" s="350">
        <f t="shared" si="3"/>
        <v>0.01829872354</v>
      </c>
      <c r="AI5" s="350">
        <f t="shared" si="3"/>
        <v>0.01525350159</v>
      </c>
      <c r="AJ5" s="350">
        <f t="shared" si="3"/>
        <v>0.02321577804</v>
      </c>
      <c r="AK5" s="350">
        <f t="shared" si="3"/>
        <v>0.005405939026</v>
      </c>
      <c r="AL5" s="351">
        <f t="shared" ref="AL5:AL7" si="5">SUM(AG5:AK5)</f>
        <v>0.07010826467</v>
      </c>
      <c r="AM5" s="352">
        <f>AL5-AF5</f>
        <v>-0.009891735327</v>
      </c>
      <c r="AN5" s="77" t="s">
        <v>65</v>
      </c>
      <c r="AO5" s="80">
        <v>0.1</v>
      </c>
      <c r="AP5" s="350">
        <f t="shared" ref="AP5:AT5" si="4">AP6/($BR$6-($L$6+$P$6))</f>
        <v>0.01922129795</v>
      </c>
      <c r="AQ5" s="350">
        <f t="shared" si="4"/>
        <v>0.01276721788</v>
      </c>
      <c r="AR5" s="350">
        <f t="shared" si="4"/>
        <v>0</v>
      </c>
      <c r="AS5" s="350">
        <f t="shared" si="4"/>
        <v>0</v>
      </c>
      <c r="AT5" s="350">
        <f t="shared" si="4"/>
        <v>0</v>
      </c>
      <c r="AU5" s="351">
        <f t="shared" ref="AU5:AU7" si="6">SUM(AP5:AT5)</f>
        <v>0.03198851583</v>
      </c>
      <c r="AV5" s="76" t="s">
        <v>63</v>
      </c>
      <c r="AW5" s="77" t="s">
        <v>65</v>
      </c>
      <c r="AX5" s="80">
        <v>0.06</v>
      </c>
      <c r="AY5" s="81">
        <f>AY6/(BR6-(L6+P6))</f>
        <v>0</v>
      </c>
      <c r="AZ5" s="76" t="s">
        <v>63</v>
      </c>
      <c r="BA5" s="77" t="s">
        <v>65</v>
      </c>
      <c r="BB5" s="80">
        <v>0.14</v>
      </c>
      <c r="BC5" s="81">
        <f>BC6/(BR6-(L6+P6))</f>
        <v>0</v>
      </c>
      <c r="BD5" s="76" t="s">
        <v>63</v>
      </c>
      <c r="BE5" s="77" t="s">
        <v>65</v>
      </c>
      <c r="BF5" s="80">
        <v>0.14</v>
      </c>
      <c r="BG5" s="81">
        <f>BG6/(BR6-(L6+P6))</f>
        <v>0</v>
      </c>
      <c r="BH5" s="76" t="s">
        <v>63</v>
      </c>
      <c r="BI5" s="77" t="s">
        <v>65</v>
      </c>
      <c r="BJ5" s="80">
        <v>0.16</v>
      </c>
      <c r="BK5" s="81">
        <f>BK6/(BR6-(L6+P6))</f>
        <v>0</v>
      </c>
      <c r="BL5" s="76" t="s">
        <v>63</v>
      </c>
      <c r="BM5" s="77" t="s">
        <v>65</v>
      </c>
      <c r="BN5" s="80">
        <v>0.14</v>
      </c>
      <c r="BO5" s="81">
        <f>BO6/(CS6-(BF6 + BJ6))</f>
        <v>0</v>
      </c>
      <c r="BP5" s="76" t="s">
        <v>63</v>
      </c>
      <c r="BQ5" s="77" t="s">
        <v>65</v>
      </c>
      <c r="BR5" s="84">
        <f>SUM(T5,X5,AB5,AF5,AO5,AX5,BB5,BF5,BJ5,BN5)</f>
        <v>1</v>
      </c>
      <c r="BS5" s="350">
        <f>SUM(U5,Y5,AC5,AG5,AU5,AY5,BC5,BG5,BK5,BO5)</f>
        <v>0.3204763322</v>
      </c>
      <c r="BT5" s="88"/>
      <c r="BU5" s="89"/>
      <c r="BV5" s="71"/>
      <c r="BW5" s="3"/>
      <c r="BX5" s="3"/>
      <c r="BY5" s="3"/>
      <c r="BZ5" s="3"/>
      <c r="CA5" s="3"/>
      <c r="CB5" s="3"/>
    </row>
    <row r="6">
      <c r="A6" s="1"/>
      <c r="B6" s="26"/>
      <c r="C6" s="27"/>
      <c r="D6" s="28"/>
      <c r="E6" s="29"/>
      <c r="F6" s="30"/>
      <c r="G6" s="31"/>
      <c r="H6" s="32"/>
      <c r="I6" s="33"/>
      <c r="J6" s="72" t="s">
        <v>66</v>
      </c>
      <c r="K6" s="73"/>
      <c r="L6" s="90">
        <v>2864120.0</v>
      </c>
      <c r="M6" s="91">
        <v>3131157.88</v>
      </c>
      <c r="N6" s="92">
        <f t="shared" ref="N6:N9" si="7">IFERROR(M6-L6,"-")</f>
        <v>267037.88</v>
      </c>
      <c r="O6" s="93">
        <f t="shared" ref="O6:O9" si="8">IFERROR(M6/L6-1,"-")</f>
        <v>0.09323557672</v>
      </c>
      <c r="P6" s="94">
        <v>2553655.0</v>
      </c>
      <c r="Q6" s="91">
        <v>2769592.71</v>
      </c>
      <c r="R6" s="92">
        <f t="shared" ref="R6:R9" si="9">IFERROR(Q6-P6,"-")</f>
        <v>215937.71</v>
      </c>
      <c r="S6" s="95">
        <f t="shared" ref="S6:S9" si="10">IFERROR(Q6/P6-1,"-")</f>
        <v>0.08456025187</v>
      </c>
      <c r="T6" s="96">
        <f>($BR$6-($L$6+$P$6))*T5</f>
        <v>1783289</v>
      </c>
      <c r="U6" s="91">
        <v>5289793.57</v>
      </c>
      <c r="V6" s="92">
        <f t="shared" ref="V6:V9" si="11">IFERROR(U6-T6,"-")</f>
        <v>3506504.57</v>
      </c>
      <c r="W6" s="93">
        <f t="shared" ref="W6:W9" si="12">IFERROR(U6/T6-1,"-")</f>
        <v>1.966313127</v>
      </c>
      <c r="X6" s="96">
        <f>($BR$6-($L$6+$P$6))*X5</f>
        <v>2674933.5</v>
      </c>
      <c r="Y6" s="97">
        <v>3667439.14</v>
      </c>
      <c r="Z6" s="92">
        <f t="shared" ref="Z6:Z9" si="13">IFERROR(Y6-X6,"-")</f>
        <v>992505.64</v>
      </c>
      <c r="AA6" s="93">
        <f t="shared" ref="AA6:AA9" si="14">IFERROR(Y6/X6-1,"-")</f>
        <v>0.3710393698</v>
      </c>
      <c r="AB6" s="96">
        <f>($BR$6-($L$6+$P$6))*AB5</f>
        <v>3566578</v>
      </c>
      <c r="AC6" s="91">
        <v>3550466.28</v>
      </c>
      <c r="AD6" s="92">
        <f t="shared" ref="AD6:AD9" si="15">IFERROR(AC6-AB6,"-")</f>
        <v>-16111.72</v>
      </c>
      <c r="AE6" s="93">
        <f t="shared" ref="AE6:AE9" si="16">IFERROR(AC6/AB6-1,"-")</f>
        <v>-0.004517416975</v>
      </c>
      <c r="AF6" s="96">
        <f>($BR$6-($L$6+$P$6))*AF5</f>
        <v>3566578</v>
      </c>
      <c r="AG6" s="100">
        <v>353729.75</v>
      </c>
      <c r="AH6" s="353">
        <v>815797.81</v>
      </c>
      <c r="AI6" s="354">
        <v>680035.04</v>
      </c>
      <c r="AJ6" s="354">
        <v>1035011.04</v>
      </c>
      <c r="AK6" s="354">
        <v>241008.79</v>
      </c>
      <c r="AL6" s="355">
        <f t="shared" si="5"/>
        <v>3125582.43</v>
      </c>
      <c r="AM6" s="92">
        <f t="shared" ref="AM6:AM9" si="17">IFERROR(AL6-AF6,"-")</f>
        <v>-440995.57</v>
      </c>
      <c r="AN6" s="93">
        <f t="shared" ref="AN6:AN9" si="18">IFERROR(AL6/AF6-1,"-")</f>
        <v>-0.1236466916</v>
      </c>
      <c r="AO6" s="96">
        <f>($BR$6-($L$6+$P$6))*AO5</f>
        <v>4458222.5</v>
      </c>
      <c r="AP6" s="100">
        <v>856928.23</v>
      </c>
      <c r="AQ6" s="353">
        <v>569190.98</v>
      </c>
      <c r="AR6" s="354"/>
      <c r="AS6" s="354"/>
      <c r="AT6" s="354"/>
      <c r="AU6" s="91">
        <f t="shared" si="6"/>
        <v>1426119.21</v>
      </c>
      <c r="AV6" s="92">
        <f t="shared" ref="AV6:AV9" si="19">IFERROR(AU6-AO6,"-")</f>
        <v>-3032103.29</v>
      </c>
      <c r="AW6" s="93">
        <f t="shared" ref="AW6:AW9" si="20">IFERROR(AU6/AO6-1,"-")</f>
        <v>-0.6801148417</v>
      </c>
      <c r="AX6" s="96">
        <f>($BR$6-($L$6+$P$6))*AX5</f>
        <v>2674933.5</v>
      </c>
      <c r="AY6" s="91"/>
      <c r="AZ6" s="92">
        <f t="shared" ref="AZ6:AZ9" si="21">IFERROR(AY6-AX6,"-")</f>
        <v>-2674933.5</v>
      </c>
      <c r="BA6" s="93">
        <f t="shared" ref="BA6:BA9" si="22">IFERROR(AY6/AX6-1,"-")</f>
        <v>-1</v>
      </c>
      <c r="BB6" s="96">
        <f>($BR$6-($L$6+$P$6))*BB5</f>
        <v>6241511.5</v>
      </c>
      <c r="BC6" s="91"/>
      <c r="BD6" s="92">
        <f t="shared" ref="BD6:BD9" si="23">IFERROR(BC6-BB6,"-")</f>
        <v>-6241511.5</v>
      </c>
      <c r="BE6" s="93">
        <f t="shared" ref="BE6:BE9" si="24">IFERROR(BC6/BB6-1,"-")</f>
        <v>-1</v>
      </c>
      <c r="BF6" s="96">
        <f>($BR$6-($L$6+$P$6))*BF5</f>
        <v>6241511.5</v>
      </c>
      <c r="BG6" s="91"/>
      <c r="BH6" s="92">
        <f t="shared" ref="BH6:BH9" si="25">IFERROR(BG6-BF6,"-")</f>
        <v>-6241511.5</v>
      </c>
      <c r="BI6" s="93">
        <f t="shared" ref="BI6:BI9" si="26">IFERROR(BG6/BF6-1,"-")</f>
        <v>-1</v>
      </c>
      <c r="BJ6" s="96">
        <f>($BR$6-($L$6+$P$6))*BJ5</f>
        <v>7133156</v>
      </c>
      <c r="BK6" s="91"/>
      <c r="BL6" s="92">
        <f t="shared" ref="BL6:BL9" si="27">IFERROR(BK6-BJ6,"-")</f>
        <v>-7133156</v>
      </c>
      <c r="BM6" s="93">
        <f t="shared" ref="BM6:BM9" si="28">IFERROR(BK6/BJ6-1,"-")</f>
        <v>-1</v>
      </c>
      <c r="BN6" s="96">
        <f>($BR$6-($L$6+$P$6))*BN5</f>
        <v>6241511.5</v>
      </c>
      <c r="BO6" s="91"/>
      <c r="BP6" s="92">
        <f t="shared" ref="BP6:BP9" si="29">IFERROR(BO6-BN6,"-")</f>
        <v>-6241511.5</v>
      </c>
      <c r="BQ6" s="93">
        <f t="shared" ref="BQ6:BQ9" si="30">IFERROR(BO6/BN6-1,"-")</f>
        <v>-1</v>
      </c>
      <c r="BR6" s="101">
        <v>5.0E7</v>
      </c>
      <c r="BS6" s="102">
        <f t="shared" ref="BS6:BS7" si="31">SUM(M6,Q6,U6,Y6,AC6,AG6,AU6,AY6,BC6,BG6,BK6,BO6)</f>
        <v>20188298.54</v>
      </c>
      <c r="BT6" s="104">
        <f>IFERROR(BS6/BR6-1,"-")</f>
        <v>-0.5962340292</v>
      </c>
      <c r="BU6" s="105">
        <v>3.46450673E7</v>
      </c>
      <c r="BV6" s="106">
        <f t="shared" ref="BV6:BV9" si="32">BR6/BU6-1</f>
        <v>0.4432068949</v>
      </c>
      <c r="BW6" s="3"/>
      <c r="BX6" s="3"/>
      <c r="BY6" s="3"/>
      <c r="BZ6" s="3"/>
      <c r="CA6" s="3"/>
      <c r="CB6" s="3"/>
    </row>
    <row r="7">
      <c r="A7" s="1"/>
      <c r="B7" s="26"/>
      <c r="C7" s="27"/>
      <c r="D7" s="28"/>
      <c r="E7" s="29"/>
      <c r="F7" s="30"/>
      <c r="G7" s="31"/>
      <c r="H7" s="32"/>
      <c r="I7" s="33"/>
      <c r="J7" s="72" t="s">
        <v>67</v>
      </c>
      <c r="K7" s="107"/>
      <c r="L7" s="108">
        <v>33527.0</v>
      </c>
      <c r="M7" s="109">
        <v>33320.0</v>
      </c>
      <c r="N7" s="110">
        <f t="shared" si="7"/>
        <v>-207</v>
      </c>
      <c r="O7" s="93">
        <f t="shared" si="8"/>
        <v>-0.006174128314</v>
      </c>
      <c r="P7" s="111">
        <v>28807.0</v>
      </c>
      <c r="Q7" s="109">
        <v>28740.0</v>
      </c>
      <c r="R7" s="110">
        <f t="shared" si="9"/>
        <v>-67</v>
      </c>
      <c r="S7" s="95">
        <f t="shared" si="10"/>
        <v>-0.002325823585</v>
      </c>
      <c r="T7" s="112">
        <f>T6/$K$8</f>
        <v>19814.32222</v>
      </c>
      <c r="U7" s="109">
        <v>41947.0</v>
      </c>
      <c r="V7" s="110">
        <f t="shared" si="11"/>
        <v>22132.67778</v>
      </c>
      <c r="W7" s="93">
        <f t="shared" si="12"/>
        <v>1.11700403</v>
      </c>
      <c r="X7" s="112">
        <f>X6/$K$8</f>
        <v>29721.48333</v>
      </c>
      <c r="Y7" s="109">
        <v>37395.0</v>
      </c>
      <c r="Z7" s="110">
        <f t="shared" si="13"/>
        <v>7673.516667</v>
      </c>
      <c r="AA7" s="93">
        <f t="shared" si="14"/>
        <v>0.2581808109</v>
      </c>
      <c r="AB7" s="112">
        <f>AB6/$K$8</f>
        <v>39628.64444</v>
      </c>
      <c r="AC7" s="109">
        <v>35712.0</v>
      </c>
      <c r="AD7" s="110">
        <f t="shared" si="15"/>
        <v>-3916.644444</v>
      </c>
      <c r="AE7" s="93">
        <f t="shared" si="16"/>
        <v>-0.09883367194</v>
      </c>
      <c r="AF7" s="112">
        <f>AF6/$K$8</f>
        <v>39628.64444</v>
      </c>
      <c r="AG7" s="114">
        <v>4815.0</v>
      </c>
      <c r="AH7" s="356">
        <v>9026.0</v>
      </c>
      <c r="AI7" s="357">
        <v>7871.0</v>
      </c>
      <c r="AJ7" s="357">
        <v>8456.0</v>
      </c>
      <c r="AK7" s="357">
        <v>3035.0</v>
      </c>
      <c r="AL7" s="358">
        <f t="shared" si="5"/>
        <v>33203</v>
      </c>
      <c r="AM7" s="110">
        <f t="shared" si="17"/>
        <v>-6425.644444</v>
      </c>
      <c r="AN7" s="93">
        <f t="shared" si="18"/>
        <v>-0.1621464608</v>
      </c>
      <c r="AO7" s="112">
        <f>AO6/$K$8</f>
        <v>49535.80556</v>
      </c>
      <c r="AP7" s="114">
        <v>7831.0</v>
      </c>
      <c r="AQ7" s="356">
        <v>7152.0</v>
      </c>
      <c r="AR7" s="357"/>
      <c r="AS7" s="357"/>
      <c r="AT7" s="357"/>
      <c r="AU7" s="109">
        <f t="shared" si="6"/>
        <v>14983</v>
      </c>
      <c r="AV7" s="110">
        <f t="shared" si="19"/>
        <v>-34552.80556</v>
      </c>
      <c r="AW7" s="93">
        <f t="shared" si="20"/>
        <v>-0.69753192</v>
      </c>
      <c r="AX7" s="112">
        <f>AX6/$K$8</f>
        <v>29721.48333</v>
      </c>
      <c r="AY7" s="109"/>
      <c r="AZ7" s="110">
        <f t="shared" si="21"/>
        <v>-29721.48333</v>
      </c>
      <c r="BA7" s="93">
        <f t="shared" si="22"/>
        <v>-1</v>
      </c>
      <c r="BB7" s="112">
        <f>BB6/$K$8</f>
        <v>69350.12778</v>
      </c>
      <c r="BC7" s="109"/>
      <c r="BD7" s="110">
        <f t="shared" si="23"/>
        <v>-69350.12778</v>
      </c>
      <c r="BE7" s="93">
        <f t="shared" si="24"/>
        <v>-1</v>
      </c>
      <c r="BF7" s="112">
        <f>BF6/$K$8</f>
        <v>69350.12778</v>
      </c>
      <c r="BG7" s="109"/>
      <c r="BH7" s="110">
        <f t="shared" si="25"/>
        <v>-69350.12778</v>
      </c>
      <c r="BI7" s="93">
        <f t="shared" si="26"/>
        <v>-1</v>
      </c>
      <c r="BJ7" s="112">
        <f>BJ6/$K$8</f>
        <v>79257.28889</v>
      </c>
      <c r="BK7" s="109"/>
      <c r="BL7" s="110">
        <f t="shared" si="27"/>
        <v>-79257.28889</v>
      </c>
      <c r="BM7" s="93">
        <f t="shared" si="28"/>
        <v>-1</v>
      </c>
      <c r="BN7" s="112">
        <f>BN6/$K$8</f>
        <v>69350.12778</v>
      </c>
      <c r="BO7" s="109"/>
      <c r="BP7" s="110">
        <f t="shared" si="29"/>
        <v>-69350.12778</v>
      </c>
      <c r="BQ7" s="93">
        <f t="shared" si="30"/>
        <v>-1</v>
      </c>
      <c r="BR7" s="115">
        <f>SUM(L7,P7,T7,X7,AB7,AF7,AO7,AX7,BB7,BF7,BJ7,BN7)</f>
        <v>557692.0556</v>
      </c>
      <c r="BS7" s="207">
        <f t="shared" si="31"/>
        <v>196912</v>
      </c>
      <c r="BT7" s="104">
        <f t="shared" ref="BT7:BT9" si="37">(BS7/BR7-1)</f>
        <v>-0.6469162542</v>
      </c>
      <c r="BU7" s="119">
        <v>329232.0</v>
      </c>
      <c r="BV7" s="106">
        <f t="shared" si="32"/>
        <v>0.6939181354</v>
      </c>
      <c r="BW7" s="3"/>
      <c r="BX7" s="3"/>
      <c r="BY7" s="3"/>
      <c r="BZ7" s="3"/>
      <c r="CA7" s="3"/>
      <c r="CB7" s="3"/>
    </row>
    <row r="8">
      <c r="A8" s="1"/>
      <c r="B8" s="26"/>
      <c r="C8" s="27"/>
      <c r="D8" s="28"/>
      <c r="E8" s="29"/>
      <c r="F8" s="30"/>
      <c r="G8" s="31"/>
      <c r="H8" s="32"/>
      <c r="I8" s="33"/>
      <c r="J8" s="72" t="s">
        <v>68</v>
      </c>
      <c r="K8" s="107">
        <v>90.0</v>
      </c>
      <c r="L8" s="90">
        <v>90.0</v>
      </c>
      <c r="M8" s="91">
        <f>IFERROR(M6/M7,"-")</f>
        <v>93.97232533</v>
      </c>
      <c r="N8" s="92">
        <f t="shared" si="7"/>
        <v>3.97232533</v>
      </c>
      <c r="O8" s="93">
        <f t="shared" si="8"/>
        <v>0.04413694811</v>
      </c>
      <c r="P8" s="94">
        <v>90.0</v>
      </c>
      <c r="Q8" s="91">
        <f>Q6/Q7</f>
        <v>96.3671785</v>
      </c>
      <c r="R8" s="92">
        <f t="shared" si="9"/>
        <v>6.367178497</v>
      </c>
      <c r="S8" s="95">
        <f t="shared" si="10"/>
        <v>0.07074642774</v>
      </c>
      <c r="T8" s="96">
        <v>90.0</v>
      </c>
      <c r="U8" s="91">
        <f>IFERROR(U6/U7,"-")</f>
        <v>126.1066005</v>
      </c>
      <c r="V8" s="92">
        <f t="shared" si="11"/>
        <v>36.10660047</v>
      </c>
      <c r="W8" s="93">
        <f t="shared" si="12"/>
        <v>0.4011844497</v>
      </c>
      <c r="X8" s="96">
        <f t="shared" ref="X8:Y8" si="33">IFERROR(X6/X7,"-")</f>
        <v>90</v>
      </c>
      <c r="Y8" s="91">
        <f t="shared" si="33"/>
        <v>98.07298141</v>
      </c>
      <c r="Z8" s="92">
        <f t="shared" si="13"/>
        <v>8.072981415</v>
      </c>
      <c r="AA8" s="93">
        <f t="shared" si="14"/>
        <v>0.0896997935</v>
      </c>
      <c r="AB8" s="96">
        <v>90.0</v>
      </c>
      <c r="AC8" s="91">
        <f>IFERROR(AC6/AC7,"-")</f>
        <v>99.41941868</v>
      </c>
      <c r="AD8" s="92">
        <f t="shared" si="15"/>
        <v>9.419418683</v>
      </c>
      <c r="AE8" s="93">
        <f t="shared" si="16"/>
        <v>0.1046602076</v>
      </c>
      <c r="AF8" s="96">
        <f>AF6/AF7</f>
        <v>90</v>
      </c>
      <c r="AG8" s="91">
        <f t="shared" ref="AG8:AL8" si="34">IFERROR(AG6/AG7,"-")</f>
        <v>73.46412253</v>
      </c>
      <c r="AH8" s="91">
        <f t="shared" si="34"/>
        <v>90.38309439</v>
      </c>
      <c r="AI8" s="359">
        <f t="shared" si="34"/>
        <v>86.39754034</v>
      </c>
      <c r="AJ8" s="359">
        <f t="shared" si="34"/>
        <v>122.3996026</v>
      </c>
      <c r="AK8" s="359">
        <f t="shared" si="34"/>
        <v>79.40981549</v>
      </c>
      <c r="AL8" s="360">
        <f t="shared" si="34"/>
        <v>94.13554287</v>
      </c>
      <c r="AM8" s="92">
        <f t="shared" si="17"/>
        <v>4.135542873</v>
      </c>
      <c r="AN8" s="93">
        <f t="shared" si="18"/>
        <v>0.04595047636</v>
      </c>
      <c r="AO8" s="96">
        <f>AO6/AO7</f>
        <v>90</v>
      </c>
      <c r="AP8" s="91">
        <f t="shared" ref="AP8:AU8" si="35">IFERROR(AP6/AP7,"-")</f>
        <v>109.4276887</v>
      </c>
      <c r="AQ8" s="91">
        <f t="shared" si="35"/>
        <v>79.58486857</v>
      </c>
      <c r="AR8" s="359" t="str">
        <f t="shared" si="35"/>
        <v>-</v>
      </c>
      <c r="AS8" s="359" t="str">
        <f t="shared" si="35"/>
        <v>-</v>
      </c>
      <c r="AT8" s="359" t="str">
        <f t="shared" si="35"/>
        <v>-</v>
      </c>
      <c r="AU8" s="91">
        <f t="shared" si="35"/>
        <v>95.18248749</v>
      </c>
      <c r="AV8" s="92">
        <f t="shared" si="19"/>
        <v>5.182487486</v>
      </c>
      <c r="AW8" s="93">
        <f t="shared" si="20"/>
        <v>0.05758319429</v>
      </c>
      <c r="AX8" s="96">
        <f>AX6/AX7</f>
        <v>90</v>
      </c>
      <c r="AY8" s="91" t="str">
        <f>IFERROR(AY6/AY7,"-")</f>
        <v>-</v>
      </c>
      <c r="AZ8" s="92" t="str">
        <f t="shared" si="21"/>
        <v>-</v>
      </c>
      <c r="BA8" s="93" t="str">
        <f t="shared" si="22"/>
        <v>-</v>
      </c>
      <c r="BB8" s="96">
        <f>BB6/BB7</f>
        <v>90</v>
      </c>
      <c r="BC8" s="91" t="str">
        <f>IFERROR(BC6/BC7,"-")</f>
        <v>-</v>
      </c>
      <c r="BD8" s="92" t="str">
        <f t="shared" si="23"/>
        <v>-</v>
      </c>
      <c r="BE8" s="93" t="str">
        <f t="shared" si="24"/>
        <v>-</v>
      </c>
      <c r="BF8" s="96">
        <f>BF6/BF7</f>
        <v>90</v>
      </c>
      <c r="BG8" s="91" t="str">
        <f>IFERROR(BG6/BG7,"-")</f>
        <v>-</v>
      </c>
      <c r="BH8" s="92" t="str">
        <f t="shared" si="25"/>
        <v>-</v>
      </c>
      <c r="BI8" s="93" t="str">
        <f t="shared" si="26"/>
        <v>-</v>
      </c>
      <c r="BJ8" s="96">
        <f>BJ6/BJ7</f>
        <v>90</v>
      </c>
      <c r="BK8" s="91" t="str">
        <f>IFERROR(BK6/BK7,"-")</f>
        <v>-</v>
      </c>
      <c r="BL8" s="92" t="str">
        <f t="shared" si="27"/>
        <v>-</v>
      </c>
      <c r="BM8" s="93" t="str">
        <f t="shared" si="28"/>
        <v>-</v>
      </c>
      <c r="BN8" s="96">
        <f>BN6/BN7</f>
        <v>90</v>
      </c>
      <c r="BO8" s="91" t="str">
        <f>IFERROR(BO6/BO7,"-")</f>
        <v>-</v>
      </c>
      <c r="BP8" s="92" t="str">
        <f t="shared" si="29"/>
        <v>-</v>
      </c>
      <c r="BQ8" s="93" t="str">
        <f t="shared" si="30"/>
        <v>-</v>
      </c>
      <c r="BR8" s="120">
        <f t="shared" ref="BR8:BS8" si="36">BR6/BR7</f>
        <v>89.65521295</v>
      </c>
      <c r="BS8" s="209">
        <f t="shared" si="36"/>
        <v>102.5244705</v>
      </c>
      <c r="BT8" s="104">
        <f t="shared" si="37"/>
        <v>0.1435416542</v>
      </c>
      <c r="BU8" s="105">
        <f>BU6/BU7</f>
        <v>105.2299512</v>
      </c>
      <c r="BV8" s="106">
        <f t="shared" si="32"/>
        <v>-0.1480067043</v>
      </c>
      <c r="BW8" s="3"/>
      <c r="BX8" s="3"/>
      <c r="BY8" s="3"/>
      <c r="BZ8" s="3"/>
      <c r="CA8" s="3"/>
      <c r="CB8" s="3"/>
    </row>
    <row r="9">
      <c r="A9" s="1"/>
      <c r="B9" s="26"/>
      <c r="C9" s="27"/>
      <c r="D9" s="28"/>
      <c r="E9" s="29"/>
      <c r="F9" s="30"/>
      <c r="G9" s="31"/>
      <c r="H9" s="32"/>
      <c r="I9" s="33"/>
      <c r="J9" s="124" t="s">
        <v>69</v>
      </c>
      <c r="K9" s="125">
        <v>0.049</v>
      </c>
      <c r="L9" s="126">
        <f t="shared" ref="L9:M9" si="38">L6*$K$9</f>
        <v>140341.88</v>
      </c>
      <c r="M9" s="127">
        <f t="shared" si="38"/>
        <v>153426.7361</v>
      </c>
      <c r="N9" s="128">
        <f t="shared" si="7"/>
        <v>13084.85612</v>
      </c>
      <c r="O9" s="129">
        <f t="shared" si="8"/>
        <v>0.09323557672</v>
      </c>
      <c r="P9" s="130">
        <f t="shared" ref="P9:Q9" si="39">P6*$K$9</f>
        <v>125129.095</v>
      </c>
      <c r="Q9" s="127">
        <f t="shared" si="39"/>
        <v>135710.0428</v>
      </c>
      <c r="R9" s="128">
        <f t="shared" si="9"/>
        <v>10580.94779</v>
      </c>
      <c r="S9" s="131">
        <f t="shared" si="10"/>
        <v>0.08456025187</v>
      </c>
      <c r="T9" s="132">
        <f t="shared" ref="T9:U9" si="40">T6*$K$9</f>
        <v>87381.161</v>
      </c>
      <c r="U9" s="127">
        <f t="shared" si="40"/>
        <v>259199.8849</v>
      </c>
      <c r="V9" s="128">
        <f t="shared" si="11"/>
        <v>171818.7239</v>
      </c>
      <c r="W9" s="129">
        <f t="shared" si="12"/>
        <v>1.966313127</v>
      </c>
      <c r="X9" s="126">
        <f t="shared" ref="X9:Y9" si="41">X6*$K$9</f>
        <v>131071.7415</v>
      </c>
      <c r="Y9" s="130">
        <f t="shared" si="41"/>
        <v>179704.5179</v>
      </c>
      <c r="Z9" s="128">
        <f t="shared" si="13"/>
        <v>48632.77636</v>
      </c>
      <c r="AA9" s="129">
        <f t="shared" si="14"/>
        <v>0.3710393698</v>
      </c>
      <c r="AB9" s="126">
        <f t="shared" ref="AB9:AC9" si="42">AB6*$K$9</f>
        <v>174762.322</v>
      </c>
      <c r="AC9" s="130">
        <f t="shared" si="42"/>
        <v>173972.8477</v>
      </c>
      <c r="AD9" s="128">
        <f t="shared" si="15"/>
        <v>-789.47428</v>
      </c>
      <c r="AE9" s="129">
        <f t="shared" si="16"/>
        <v>-0.004517416975</v>
      </c>
      <c r="AF9" s="126">
        <f t="shared" ref="AF9:AL9" si="43">AF6*$K$9</f>
        <v>174762.322</v>
      </c>
      <c r="AG9" s="130">
        <f t="shared" si="43"/>
        <v>17332.75775</v>
      </c>
      <c r="AH9" s="130">
        <f t="shared" si="43"/>
        <v>39974.09269</v>
      </c>
      <c r="AI9" s="361">
        <f t="shared" si="43"/>
        <v>33321.71696</v>
      </c>
      <c r="AJ9" s="361">
        <f t="shared" si="43"/>
        <v>50715.54096</v>
      </c>
      <c r="AK9" s="361">
        <f t="shared" si="43"/>
        <v>11809.43071</v>
      </c>
      <c r="AL9" s="362">
        <f t="shared" si="43"/>
        <v>153153.5391</v>
      </c>
      <c r="AM9" s="128">
        <f t="shared" si="17"/>
        <v>-21608.78293</v>
      </c>
      <c r="AN9" s="129">
        <f t="shared" si="18"/>
        <v>-0.1236466916</v>
      </c>
      <c r="AO9" s="126">
        <f t="shared" ref="AO9:AU9" si="44">AO6*$K$9</f>
        <v>218452.9025</v>
      </c>
      <c r="AP9" s="130">
        <f t="shared" si="44"/>
        <v>41989.48327</v>
      </c>
      <c r="AQ9" s="130">
        <f t="shared" si="44"/>
        <v>27890.35802</v>
      </c>
      <c r="AR9" s="361">
        <f t="shared" si="44"/>
        <v>0</v>
      </c>
      <c r="AS9" s="361">
        <f t="shared" si="44"/>
        <v>0</v>
      </c>
      <c r="AT9" s="361">
        <f t="shared" si="44"/>
        <v>0</v>
      </c>
      <c r="AU9" s="130">
        <f t="shared" si="44"/>
        <v>69879.84129</v>
      </c>
      <c r="AV9" s="128">
        <f t="shared" si="19"/>
        <v>-148573.0612</v>
      </c>
      <c r="AW9" s="129">
        <f t="shared" si="20"/>
        <v>-0.6801148417</v>
      </c>
      <c r="AX9" s="126">
        <f t="shared" ref="AX9:AY9" si="45">AX6*$K$9</f>
        <v>131071.7415</v>
      </c>
      <c r="AY9" s="130">
        <f t="shared" si="45"/>
        <v>0</v>
      </c>
      <c r="AZ9" s="128">
        <f t="shared" si="21"/>
        <v>-131071.7415</v>
      </c>
      <c r="BA9" s="129">
        <f t="shared" si="22"/>
        <v>-1</v>
      </c>
      <c r="BB9" s="126">
        <f t="shared" ref="BB9:BC9" si="46">BB6*$K$9</f>
        <v>305834.0635</v>
      </c>
      <c r="BC9" s="130">
        <f t="shared" si="46"/>
        <v>0</v>
      </c>
      <c r="BD9" s="128">
        <f t="shared" si="23"/>
        <v>-305834.0635</v>
      </c>
      <c r="BE9" s="129">
        <f t="shared" si="24"/>
        <v>-1</v>
      </c>
      <c r="BF9" s="126">
        <f t="shared" ref="BF9:BG9" si="47">BF6*$K$9</f>
        <v>305834.0635</v>
      </c>
      <c r="BG9" s="130">
        <f t="shared" si="47"/>
        <v>0</v>
      </c>
      <c r="BH9" s="128">
        <f t="shared" si="25"/>
        <v>-305834.0635</v>
      </c>
      <c r="BI9" s="129">
        <f t="shared" si="26"/>
        <v>-1</v>
      </c>
      <c r="BJ9" s="126">
        <f t="shared" ref="BJ9:BK9" si="48">BJ6*$K$9</f>
        <v>349524.644</v>
      </c>
      <c r="BK9" s="130">
        <f t="shared" si="48"/>
        <v>0</v>
      </c>
      <c r="BL9" s="128">
        <f t="shared" si="27"/>
        <v>-349524.644</v>
      </c>
      <c r="BM9" s="129">
        <f t="shared" si="28"/>
        <v>-1</v>
      </c>
      <c r="BN9" s="126">
        <f t="shared" ref="BN9:BO9" si="49">BN6*$K$9</f>
        <v>305834.0635</v>
      </c>
      <c r="BO9" s="130">
        <f t="shared" si="49"/>
        <v>0</v>
      </c>
      <c r="BP9" s="128">
        <f t="shared" si="29"/>
        <v>-305834.0635</v>
      </c>
      <c r="BQ9" s="129">
        <f t="shared" si="30"/>
        <v>-1</v>
      </c>
      <c r="BR9" s="135">
        <f>SUM(L9,P9,T9,X9,AB9,AF9,AO9,AX9,BB9,BF9,BJ9,BN9)</f>
        <v>2450000</v>
      </c>
      <c r="BS9" s="213">
        <f>SUM(M9,Q9,U9,Y9,AC9,AG9,AU9,AY9,BC9,BG9,BK9,BO9)</f>
        <v>989226.6285</v>
      </c>
      <c r="BT9" s="139">
        <f t="shared" si="37"/>
        <v>-0.5962340292</v>
      </c>
      <c r="BU9" s="140">
        <f>BU6*0.049</f>
        <v>1697608.298</v>
      </c>
      <c r="BV9" s="141">
        <f t="shared" si="32"/>
        <v>0.4432068949</v>
      </c>
      <c r="BW9" s="3"/>
      <c r="BX9" s="3"/>
      <c r="BY9" s="4"/>
      <c r="BZ9" s="3"/>
      <c r="CA9" s="3"/>
      <c r="CB9" s="3"/>
    </row>
    <row r="10">
      <c r="A10" s="1"/>
      <c r="B10" s="142"/>
      <c r="C10" s="143"/>
      <c r="D10" s="144"/>
      <c r="E10" s="145"/>
      <c r="F10" s="146"/>
      <c r="G10" s="147"/>
      <c r="H10" s="148"/>
      <c r="I10" s="149"/>
      <c r="J10" s="13"/>
      <c r="K10" s="150"/>
      <c r="L10" s="150"/>
      <c r="M10" s="151"/>
      <c r="N10" s="151"/>
      <c r="O10" s="151"/>
      <c r="P10" s="152">
        <v>16.0</v>
      </c>
      <c r="Q10" s="23"/>
      <c r="R10" s="152">
        <v>100.0</v>
      </c>
      <c r="S10" s="152">
        <v>180.0</v>
      </c>
      <c r="T10" s="152">
        <v>300.0</v>
      </c>
      <c r="U10" s="152">
        <v>400.0</v>
      </c>
      <c r="V10" s="152">
        <v>450.0</v>
      </c>
      <c r="W10" s="152">
        <v>500.0</v>
      </c>
      <c r="X10" s="153"/>
      <c r="Y10" s="14"/>
      <c r="Z10" s="15"/>
      <c r="AA10" s="3"/>
      <c r="AB10" s="3"/>
      <c r="AC10" s="3"/>
      <c r="AD10" s="3"/>
      <c r="AE10" s="3"/>
      <c r="AF10" s="3"/>
      <c r="AG10" s="363"/>
      <c r="AH10" s="363"/>
      <c r="AI10" s="363"/>
      <c r="AJ10" s="363"/>
      <c r="AK10" s="363"/>
      <c r="AL10" s="363"/>
      <c r="AP10" s="363"/>
      <c r="AQ10" s="363"/>
      <c r="AR10" s="363"/>
      <c r="AS10" s="363"/>
      <c r="AT10" s="363"/>
      <c r="AZ10" s="155"/>
      <c r="BA10" s="25"/>
      <c r="BB10" s="155"/>
      <c r="BC10" s="156"/>
      <c r="BD10" s="25"/>
    </row>
    <row r="11">
      <c r="A11" s="1"/>
      <c r="B11" s="142"/>
      <c r="C11" s="143"/>
      <c r="D11" s="144"/>
      <c r="E11" s="145"/>
      <c r="F11" s="146"/>
      <c r="G11" s="147"/>
      <c r="H11" s="148"/>
      <c r="I11" s="149"/>
      <c r="J11" s="34" t="s">
        <v>71</v>
      </c>
      <c r="K11" s="35"/>
      <c r="L11" s="36" t="s">
        <v>10</v>
      </c>
      <c r="M11" s="37" t="s">
        <v>11</v>
      </c>
      <c r="N11" s="38" t="s">
        <v>12</v>
      </c>
      <c r="O11" s="39" t="s">
        <v>13</v>
      </c>
      <c r="P11" s="157" t="s">
        <v>14</v>
      </c>
      <c r="Q11" s="37" t="s">
        <v>15</v>
      </c>
      <c r="R11" s="38" t="s">
        <v>16</v>
      </c>
      <c r="S11" s="39" t="s">
        <v>17</v>
      </c>
      <c r="T11" s="36" t="s">
        <v>18</v>
      </c>
      <c r="U11" s="37" t="s">
        <v>19</v>
      </c>
      <c r="V11" s="38" t="s">
        <v>20</v>
      </c>
      <c r="W11" s="39" t="s">
        <v>21</v>
      </c>
      <c r="X11" s="157" t="s">
        <v>22</v>
      </c>
      <c r="Y11" s="158" t="s">
        <v>23</v>
      </c>
      <c r="Z11" s="38" t="s">
        <v>24</v>
      </c>
      <c r="AA11" s="159" t="s">
        <v>25</v>
      </c>
      <c r="AB11" s="43" t="s">
        <v>26</v>
      </c>
      <c r="AC11" s="158" t="s">
        <v>27</v>
      </c>
      <c r="AD11" s="38" t="s">
        <v>28</v>
      </c>
      <c r="AE11" s="159" t="s">
        <v>29</v>
      </c>
      <c r="AF11" s="44" t="s">
        <v>30</v>
      </c>
      <c r="AG11" s="343" t="s">
        <v>120</v>
      </c>
      <c r="AH11" s="344" t="s">
        <v>121</v>
      </c>
      <c r="AI11" s="344" t="s">
        <v>122</v>
      </c>
      <c r="AJ11" s="344" t="s">
        <v>123</v>
      </c>
      <c r="AK11" s="344" t="s">
        <v>124</v>
      </c>
      <c r="AL11" s="344" t="s">
        <v>31</v>
      </c>
      <c r="AM11" s="38" t="s">
        <v>32</v>
      </c>
      <c r="AN11" s="159" t="s">
        <v>33</v>
      </c>
      <c r="AO11" s="43" t="s">
        <v>34</v>
      </c>
      <c r="AP11" s="343" t="s">
        <v>125</v>
      </c>
      <c r="AQ11" s="344" t="s">
        <v>126</v>
      </c>
      <c r="AR11" s="344" t="s">
        <v>127</v>
      </c>
      <c r="AS11" s="344" t="s">
        <v>128</v>
      </c>
      <c r="AT11" s="344" t="s">
        <v>129</v>
      </c>
      <c r="AU11" s="158" t="s">
        <v>35</v>
      </c>
      <c r="AV11" s="38" t="s">
        <v>36</v>
      </c>
      <c r="AW11" s="159" t="s">
        <v>37</v>
      </c>
      <c r="AX11" s="44" t="s">
        <v>38</v>
      </c>
      <c r="AY11" s="158" t="s">
        <v>39</v>
      </c>
      <c r="AZ11" s="38" t="s">
        <v>40</v>
      </c>
      <c r="BA11" s="159" t="s">
        <v>41</v>
      </c>
      <c r="BB11" s="43" t="s">
        <v>42</v>
      </c>
      <c r="BC11" s="158" t="s">
        <v>43</v>
      </c>
      <c r="BD11" s="38" t="s">
        <v>44</v>
      </c>
      <c r="BE11" s="159" t="s">
        <v>45</v>
      </c>
      <c r="BF11" s="44" t="s">
        <v>46</v>
      </c>
      <c r="BG11" s="158" t="s">
        <v>47</v>
      </c>
      <c r="BH11" s="38" t="s">
        <v>48</v>
      </c>
      <c r="BI11" s="159" t="s">
        <v>49</v>
      </c>
      <c r="BJ11" s="43" t="s">
        <v>50</v>
      </c>
      <c r="BK11" s="158" t="s">
        <v>51</v>
      </c>
      <c r="BL11" s="38" t="s">
        <v>52</v>
      </c>
      <c r="BM11" s="159" t="s">
        <v>53</v>
      </c>
      <c r="BN11" s="44" t="s">
        <v>54</v>
      </c>
      <c r="BO11" s="158" t="s">
        <v>55</v>
      </c>
      <c r="BP11" s="38" t="s">
        <v>56</v>
      </c>
      <c r="BQ11" s="159" t="s">
        <v>57</v>
      </c>
      <c r="BR11" s="364">
        <v>2026.0</v>
      </c>
      <c r="BS11" s="162" t="s">
        <v>61</v>
      </c>
      <c r="BT11" s="51" t="s">
        <v>62</v>
      </c>
      <c r="BU11" s="163">
        <v>2025.0</v>
      </c>
      <c r="BV11" s="53" t="s">
        <v>63</v>
      </c>
      <c r="BW11" s="3"/>
      <c r="BX11" s="3"/>
      <c r="BY11" s="3"/>
      <c r="BZ11" s="3"/>
      <c r="CA11" s="3"/>
      <c r="CB11" s="3"/>
    </row>
    <row r="12">
      <c r="A12" s="1"/>
      <c r="B12" s="142"/>
      <c r="C12" s="143"/>
      <c r="D12" s="144"/>
      <c r="E12" s="145"/>
      <c r="F12" s="146"/>
      <c r="G12" s="147"/>
      <c r="H12" s="148"/>
      <c r="I12" s="149"/>
      <c r="J12" s="346" t="s">
        <v>130</v>
      </c>
      <c r="K12" s="55"/>
      <c r="L12" s="56"/>
      <c r="M12" s="57"/>
      <c r="N12" s="58"/>
      <c r="O12" s="59"/>
      <c r="P12" s="56"/>
      <c r="Q12" s="57"/>
      <c r="R12" s="58"/>
      <c r="S12" s="59"/>
      <c r="T12" s="56"/>
      <c r="U12" s="57"/>
      <c r="V12" s="58"/>
      <c r="W12" s="59"/>
      <c r="X12" s="56"/>
      <c r="Y12" s="57"/>
      <c r="Z12" s="58"/>
      <c r="AA12" s="59"/>
      <c r="AB12" s="62"/>
      <c r="AC12" s="63"/>
      <c r="AD12" s="58"/>
      <c r="AE12" s="59"/>
      <c r="AF12" s="62"/>
      <c r="AG12" s="347">
        <f t="shared" ref="AG12:AK12" si="50">$AF$13/5</f>
        <v>0.004</v>
      </c>
      <c r="AH12" s="347">
        <f t="shared" si="50"/>
        <v>0.004</v>
      </c>
      <c r="AI12" s="347">
        <f t="shared" si="50"/>
        <v>0.004</v>
      </c>
      <c r="AJ12" s="347">
        <f t="shared" si="50"/>
        <v>0.004</v>
      </c>
      <c r="AK12" s="347">
        <f t="shared" si="50"/>
        <v>0.004</v>
      </c>
      <c r="AL12" s="348"/>
      <c r="AM12" s="58"/>
      <c r="AN12" s="59"/>
      <c r="AO12" s="62"/>
      <c r="AP12" s="347">
        <f t="shared" ref="AP12:AT12" si="51">$AO$13/5</f>
        <v>0.01</v>
      </c>
      <c r="AQ12" s="347">
        <f t="shared" si="51"/>
        <v>0.01</v>
      </c>
      <c r="AR12" s="347">
        <f t="shared" si="51"/>
        <v>0.01</v>
      </c>
      <c r="AS12" s="347">
        <f t="shared" si="51"/>
        <v>0.01</v>
      </c>
      <c r="AT12" s="347">
        <f t="shared" si="51"/>
        <v>0.01</v>
      </c>
      <c r="AU12" s="63"/>
      <c r="AV12" s="58"/>
      <c r="AW12" s="59"/>
      <c r="AX12" s="62"/>
      <c r="AY12" s="63"/>
      <c r="AZ12" s="58"/>
      <c r="BA12" s="59"/>
      <c r="BB12" s="62"/>
      <c r="BC12" s="63"/>
      <c r="BD12" s="58"/>
      <c r="BE12" s="59"/>
      <c r="BF12" s="62"/>
      <c r="BG12" s="63"/>
      <c r="BH12" s="58"/>
      <c r="BI12" s="59"/>
      <c r="BJ12" s="62"/>
      <c r="BK12" s="63"/>
      <c r="BL12" s="58"/>
      <c r="BM12" s="59"/>
      <c r="BN12" s="62"/>
      <c r="BO12" s="63"/>
      <c r="BP12" s="58"/>
      <c r="BQ12" s="59"/>
      <c r="BR12" s="365"/>
      <c r="BS12" s="366"/>
      <c r="BT12" s="69"/>
      <c r="BU12" s="165"/>
      <c r="BV12" s="71"/>
      <c r="BW12" s="3"/>
      <c r="BX12" s="3"/>
      <c r="BY12" s="3"/>
      <c r="BZ12" s="3"/>
      <c r="CA12" s="3"/>
      <c r="CB12" s="3"/>
    </row>
    <row r="13">
      <c r="A13" s="1"/>
      <c r="B13" s="142">
        <v>3.0</v>
      </c>
      <c r="C13" s="143" t="s">
        <v>73</v>
      </c>
      <c r="D13" s="144"/>
      <c r="E13" s="145"/>
      <c r="F13" s="146"/>
      <c r="G13" s="147"/>
      <c r="H13" s="148"/>
      <c r="I13" s="149"/>
      <c r="J13" s="72" t="s">
        <v>64</v>
      </c>
      <c r="K13" s="73"/>
      <c r="L13" s="74" t="s">
        <v>63</v>
      </c>
      <c r="M13" s="75" t="s">
        <v>63</v>
      </c>
      <c r="N13" s="76" t="s">
        <v>63</v>
      </c>
      <c r="O13" s="77" t="s">
        <v>65</v>
      </c>
      <c r="P13" s="74" t="s">
        <v>63</v>
      </c>
      <c r="Q13" s="75"/>
      <c r="R13" s="76" t="s">
        <v>63</v>
      </c>
      <c r="S13" s="77" t="s">
        <v>65</v>
      </c>
      <c r="T13" s="74" t="s">
        <v>63</v>
      </c>
      <c r="U13" s="75"/>
      <c r="V13" s="76" t="s">
        <v>63</v>
      </c>
      <c r="W13" s="77" t="s">
        <v>65</v>
      </c>
      <c r="X13" s="74" t="s">
        <v>63</v>
      </c>
      <c r="Y13" s="75"/>
      <c r="Z13" s="76" t="s">
        <v>63</v>
      </c>
      <c r="AA13" s="77" t="s">
        <v>65</v>
      </c>
      <c r="AB13" s="80">
        <v>0.01</v>
      </c>
      <c r="AC13" s="81">
        <f>AC14/(BR14-(L14+P14+T14+X14))</f>
        <v>0.000267215</v>
      </c>
      <c r="AD13" s="76" t="s">
        <v>63</v>
      </c>
      <c r="AE13" s="77" t="s">
        <v>65</v>
      </c>
      <c r="AF13" s="80">
        <v>0.02</v>
      </c>
      <c r="AG13" s="350">
        <f t="shared" ref="AG13:AK13" si="52">AG14/($BR$14-($L$14+$P$14+$T$14+$X$14))</f>
        <v>0.000475815</v>
      </c>
      <c r="AH13" s="350">
        <f t="shared" si="52"/>
        <v>0.00113945</v>
      </c>
      <c r="AI13" s="350">
        <f t="shared" si="52"/>
        <v>0.00010949</v>
      </c>
      <c r="AJ13" s="350">
        <f t="shared" si="52"/>
        <v>0.00013898</v>
      </c>
      <c r="AK13" s="350">
        <f t="shared" si="52"/>
        <v>0</v>
      </c>
      <c r="AL13" s="351">
        <f t="shared" ref="AL13:AL15" si="54">SUM(AG13:AK13)</f>
        <v>0.001863735</v>
      </c>
      <c r="AM13" s="352">
        <f>AL13-AF13</f>
        <v>-0.018136265</v>
      </c>
      <c r="AN13" s="77" t="s">
        <v>65</v>
      </c>
      <c r="AO13" s="80">
        <v>0.05</v>
      </c>
      <c r="AP13" s="350">
        <f t="shared" ref="AP13:AT13" si="53">AP14/($BR$14-($L$14+$P$14+$T$14+$X$14))</f>
        <v>0</v>
      </c>
      <c r="AQ13" s="350">
        <f t="shared" si="53"/>
        <v>0.00008449</v>
      </c>
      <c r="AR13" s="350">
        <f t="shared" si="53"/>
        <v>0</v>
      </c>
      <c r="AS13" s="350">
        <f t="shared" si="53"/>
        <v>0</v>
      </c>
      <c r="AT13" s="350">
        <f t="shared" si="53"/>
        <v>0</v>
      </c>
      <c r="AU13" s="351">
        <f t="shared" ref="AU13:AU15" si="55">SUM(AP13:AT13)</f>
        <v>0.00008449</v>
      </c>
      <c r="AV13" s="76" t="s">
        <v>63</v>
      </c>
      <c r="AW13" s="77" t="s">
        <v>65</v>
      </c>
      <c r="AX13" s="80">
        <v>0.1</v>
      </c>
      <c r="AY13" s="81">
        <f>AY14/(BR14-(L14+P14+T14+X14))</f>
        <v>0</v>
      </c>
      <c r="AZ13" s="76" t="s">
        <v>63</v>
      </c>
      <c r="BA13" s="77" t="s">
        <v>65</v>
      </c>
      <c r="BB13" s="80">
        <v>0.12</v>
      </c>
      <c r="BC13" s="81">
        <f>BC14/(BR14-(L14+P14+T14+X14))</f>
        <v>0</v>
      </c>
      <c r="BD13" s="76" t="s">
        <v>63</v>
      </c>
      <c r="BE13" s="77" t="s">
        <v>65</v>
      </c>
      <c r="BF13" s="80">
        <v>0.2</v>
      </c>
      <c r="BG13" s="81">
        <f>BG14/(BR14-(L14+P14+T14+X14))</f>
        <v>0</v>
      </c>
      <c r="BH13" s="76" t="s">
        <v>63</v>
      </c>
      <c r="BI13" s="77" t="s">
        <v>65</v>
      </c>
      <c r="BJ13" s="80">
        <v>0.25</v>
      </c>
      <c r="BK13" s="81">
        <f>BK14/(BR14-(L14+P14+T14+X14))</f>
        <v>0</v>
      </c>
      <c r="BL13" s="76" t="s">
        <v>63</v>
      </c>
      <c r="BM13" s="77" t="s">
        <v>65</v>
      </c>
      <c r="BN13" s="80">
        <v>0.25</v>
      </c>
      <c r="BO13" s="81">
        <f>BO14/(BR14-(L14+P14+T14+X14))</f>
        <v>0</v>
      </c>
      <c r="BP13" s="76" t="s">
        <v>63</v>
      </c>
      <c r="BQ13" s="77" t="s">
        <v>65</v>
      </c>
      <c r="BR13" s="367">
        <f>SUM(AB13,AF13,AO13,AX13,BB13,BF13,BJ13,BN13)</f>
        <v>1</v>
      </c>
      <c r="BS13" s="368">
        <f>SUM(AC13,AG13,AU13,AY13,BC13,BG13,BK13,BO13)</f>
        <v>0.00082752</v>
      </c>
      <c r="BT13" s="88"/>
      <c r="BU13" s="89" t="s">
        <v>63</v>
      </c>
      <c r="BV13" s="71"/>
      <c r="BW13" s="3"/>
      <c r="BX13" s="3"/>
      <c r="BY13" s="3"/>
      <c r="BZ13" s="3"/>
      <c r="CA13" s="3"/>
      <c r="CB13" s="3"/>
    </row>
    <row r="14">
      <c r="A14" s="1"/>
      <c r="B14" s="142"/>
      <c r="C14" s="143"/>
      <c r="D14" s="144"/>
      <c r="E14" s="145"/>
      <c r="F14" s="146"/>
      <c r="G14" s="147"/>
      <c r="H14" s="148"/>
      <c r="I14" s="149"/>
      <c r="J14" s="72" t="s">
        <v>66</v>
      </c>
      <c r="K14" s="73"/>
      <c r="L14" s="167">
        <v>0.0</v>
      </c>
      <c r="M14" s="91">
        <v>345.44</v>
      </c>
      <c r="N14" s="92">
        <f t="shared" ref="N14:N17" si="56">IFERROR(M14-L14,"-")</f>
        <v>345.44</v>
      </c>
      <c r="O14" s="93" t="str">
        <f t="shared" ref="O14:O17" si="57">IFERROR(M14/L14-1,"-")</f>
        <v>-</v>
      </c>
      <c r="P14" s="167">
        <v>0.0</v>
      </c>
      <c r="Q14" s="91">
        <v>511.94</v>
      </c>
      <c r="R14" s="92">
        <f t="shared" ref="R14:R17" si="58">IFERROR(Q14-P14,"-")</f>
        <v>511.94</v>
      </c>
      <c r="S14" s="93" t="str">
        <f t="shared" ref="S14:S17" si="59">IFERROR(Q14/P14-1,"-")</f>
        <v>-</v>
      </c>
      <c r="T14" s="90">
        <v>0.0</v>
      </c>
      <c r="U14" s="91">
        <v>724.91</v>
      </c>
      <c r="V14" s="92">
        <f t="shared" ref="V14:V17" si="60">IFERROR(U14-T14,"-")</f>
        <v>724.91</v>
      </c>
      <c r="W14" s="93" t="str">
        <f t="shared" ref="W14:W17" si="61">IFERROR(U14/T14-1,"-")</f>
        <v>-</v>
      </c>
      <c r="X14" s="90">
        <v>0.0</v>
      </c>
      <c r="Y14" s="91">
        <v>682.92</v>
      </c>
      <c r="Z14" s="92">
        <f t="shared" ref="Z14:Z17" si="62">IFERROR(Y14-X14,"-")</f>
        <v>682.92</v>
      </c>
      <c r="AA14" s="93" t="str">
        <f t="shared" ref="AA14:AA17" si="63">IFERROR(Y14/X14-1,"-")</f>
        <v>-</v>
      </c>
      <c r="AB14" s="96">
        <f>($BR$14-($L$14+$P$14+T14+X14))*AB13</f>
        <v>20000</v>
      </c>
      <c r="AC14" s="91">
        <v>534.43</v>
      </c>
      <c r="AD14" s="92">
        <f t="shared" ref="AD14:AD17" si="64">IFERROR(AC14-AB14,"-")</f>
        <v>-19465.57</v>
      </c>
      <c r="AE14" s="93">
        <f t="shared" ref="AE14:AE17" si="65">IFERROR(AC14/AB14-1,"-")</f>
        <v>-0.9732785</v>
      </c>
      <c r="AF14" s="96">
        <f>($BR$14-($L$14+$P$14+$T$14+$X$14))*AF13</f>
        <v>40000</v>
      </c>
      <c r="AG14" s="100">
        <v>951.63</v>
      </c>
      <c r="AH14" s="353">
        <v>2278.9</v>
      </c>
      <c r="AI14" s="354">
        <v>218.98</v>
      </c>
      <c r="AJ14" s="354">
        <v>277.96</v>
      </c>
      <c r="AK14" s="354">
        <v>0.0</v>
      </c>
      <c r="AL14" s="355">
        <f t="shared" si="54"/>
        <v>3727.47</v>
      </c>
      <c r="AM14" s="92">
        <f t="shared" ref="AM14:AM17" si="66">IFERROR(AL14-AF14,"-")</f>
        <v>-36272.53</v>
      </c>
      <c r="AN14" s="93">
        <f t="shared" ref="AN14:AN17" si="67">IFERROR(AL14/AF14-1,"-")</f>
        <v>-0.90681325</v>
      </c>
      <c r="AO14" s="96">
        <f>($BR$14-($L$14+$P$14+$T$14+$X$14))*AO13</f>
        <v>100000</v>
      </c>
      <c r="AP14" s="100">
        <v>0.0</v>
      </c>
      <c r="AQ14" s="353">
        <v>168.98</v>
      </c>
      <c r="AR14" s="354"/>
      <c r="AS14" s="354"/>
      <c r="AT14" s="354"/>
      <c r="AU14" s="91">
        <f t="shared" si="55"/>
        <v>168.98</v>
      </c>
      <c r="AV14" s="92">
        <f t="shared" ref="AV14:AV17" si="68">IFERROR(AU14-AO14,"-")</f>
        <v>-99831.02</v>
      </c>
      <c r="AW14" s="93">
        <f t="shared" ref="AW14:AW17" si="69">IFERROR(AU14/AO14-1,"-")</f>
        <v>-0.9983102</v>
      </c>
      <c r="AX14" s="96">
        <f>($BR$14-($L$14+$P$14+$T$14+$X$14))*AX13</f>
        <v>200000</v>
      </c>
      <c r="AY14" s="91"/>
      <c r="AZ14" s="92">
        <f t="shared" ref="AZ14:AZ17" si="70">IFERROR(AY14-AX14,"-")</f>
        <v>-200000</v>
      </c>
      <c r="BA14" s="93">
        <f t="shared" ref="BA14:BA17" si="71">IFERROR(AY14/AX14-1,"-")</f>
        <v>-1</v>
      </c>
      <c r="BB14" s="96">
        <f>($BR$14-($L$14+$P$14+$T$14+$X$14))*BB13</f>
        <v>240000</v>
      </c>
      <c r="BC14" s="91"/>
      <c r="BD14" s="92">
        <f t="shared" ref="BD14:BD17" si="72">IFERROR(BC14-BB14,"-")</f>
        <v>-240000</v>
      </c>
      <c r="BE14" s="93">
        <f t="shared" ref="BE14:BE17" si="73">IFERROR(BC14/BB14-1,"-")</f>
        <v>-1</v>
      </c>
      <c r="BF14" s="96">
        <f>($BR$14-($L$14+$P$14+$T$14+$X$14))*BF13</f>
        <v>400000</v>
      </c>
      <c r="BG14" s="91"/>
      <c r="BH14" s="92">
        <f t="shared" ref="BH14:BH17" si="74">IFERROR(BG14-BF14,"-")</f>
        <v>-400000</v>
      </c>
      <c r="BI14" s="93">
        <f t="shared" ref="BI14:BI17" si="75">IFERROR(BG14/BF14-1,"-")</f>
        <v>-1</v>
      </c>
      <c r="BJ14" s="96">
        <f>($BR$14-($L$14+$P$14+$T$14+$X$14))*BJ13</f>
        <v>500000</v>
      </c>
      <c r="BK14" s="91"/>
      <c r="BL14" s="92">
        <f t="shared" ref="BL14:BL17" si="76">IFERROR(BK14-BJ14,"-")</f>
        <v>-500000</v>
      </c>
      <c r="BM14" s="93">
        <f t="shared" ref="BM14:BM17" si="77">IFERROR(BK14/BJ14-1,"-")</f>
        <v>-1</v>
      </c>
      <c r="BN14" s="96">
        <f>($BR$14-($L$14+$P$14+$T$14+$X$14))*BN13</f>
        <v>500000</v>
      </c>
      <c r="BO14" s="91"/>
      <c r="BP14" s="92">
        <f t="shared" ref="BP14:BP17" si="78">IFERROR(BO14-BN14,"-")</f>
        <v>-500000</v>
      </c>
      <c r="BQ14" s="93">
        <f t="shared" ref="BQ14:BQ17" si="79">IFERROR(BO14/BN14-1,"-")</f>
        <v>-1</v>
      </c>
      <c r="BR14" s="102">
        <v>2000000.0</v>
      </c>
      <c r="BS14" s="170">
        <f t="shared" ref="BS14:BS15" si="80">SUM(M14,Q14,U14,Y14,AC14,AG14,AU14,AY14,BC14,BG14,BK14,BO14)</f>
        <v>3920.25</v>
      </c>
      <c r="BT14" s="104">
        <f t="shared" ref="BT14:BT17" si="81">IFERROR(BS14/BR14-1,"-")</f>
        <v>-0.998039875</v>
      </c>
      <c r="BU14" s="105" t="s">
        <v>63</v>
      </c>
      <c r="BV14" s="106" t="str">
        <f t="shared" ref="BV14:BV15" si="82">IFERROR((BR14/BU14),"-")</f>
        <v>-</v>
      </c>
      <c r="BW14" s="3"/>
      <c r="BX14" s="3"/>
      <c r="BY14" s="3"/>
      <c r="BZ14" s="3"/>
      <c r="CA14" s="3"/>
      <c r="CB14" s="3"/>
    </row>
    <row r="15">
      <c r="A15" s="1"/>
      <c r="B15" s="142"/>
      <c r="C15" s="143"/>
      <c r="D15" s="144"/>
      <c r="E15" s="145"/>
      <c r="F15" s="146"/>
      <c r="G15" s="147"/>
      <c r="H15" s="148"/>
      <c r="I15" s="149"/>
      <c r="J15" s="72" t="s">
        <v>67</v>
      </c>
      <c r="K15" s="107"/>
      <c r="L15" s="171">
        <v>0.0</v>
      </c>
      <c r="M15" s="109">
        <v>15.0</v>
      </c>
      <c r="N15" s="110">
        <f t="shared" si="56"/>
        <v>15</v>
      </c>
      <c r="O15" s="93" t="str">
        <f t="shared" si="57"/>
        <v>-</v>
      </c>
      <c r="P15" s="171">
        <v>0.0</v>
      </c>
      <c r="Q15" s="109">
        <v>8.0</v>
      </c>
      <c r="R15" s="110">
        <f t="shared" si="58"/>
        <v>8</v>
      </c>
      <c r="S15" s="93" t="str">
        <f t="shared" si="59"/>
        <v>-</v>
      </c>
      <c r="T15" s="108">
        <f>T14/$K$16</f>
        <v>0</v>
      </c>
      <c r="U15" s="109">
        <v>9.0</v>
      </c>
      <c r="V15" s="110">
        <f t="shared" si="60"/>
        <v>9</v>
      </c>
      <c r="W15" s="93" t="str">
        <f t="shared" si="61"/>
        <v>-</v>
      </c>
      <c r="X15" s="108">
        <f>X14/$K$16</f>
        <v>0</v>
      </c>
      <c r="Y15" s="109">
        <v>11.0</v>
      </c>
      <c r="Z15" s="110">
        <f t="shared" si="62"/>
        <v>11</v>
      </c>
      <c r="AA15" s="93" t="str">
        <f t="shared" si="63"/>
        <v>-</v>
      </c>
      <c r="AB15" s="112">
        <f>AB14/$K$16</f>
        <v>666.6666667</v>
      </c>
      <c r="AC15" s="109">
        <v>11.0</v>
      </c>
      <c r="AD15" s="110">
        <f t="shared" si="64"/>
        <v>-655.6666667</v>
      </c>
      <c r="AE15" s="93">
        <f t="shared" si="65"/>
        <v>-0.9835</v>
      </c>
      <c r="AF15" s="112">
        <f>AF14/$K$16</f>
        <v>1333.333333</v>
      </c>
      <c r="AG15" s="114">
        <v>52.0</v>
      </c>
      <c r="AH15" s="356">
        <v>88.0</v>
      </c>
      <c r="AI15" s="357">
        <v>7.0</v>
      </c>
      <c r="AJ15" s="357">
        <v>7.0</v>
      </c>
      <c r="AK15" s="357">
        <v>0.0</v>
      </c>
      <c r="AL15" s="358">
        <f t="shared" si="54"/>
        <v>154</v>
      </c>
      <c r="AM15" s="110">
        <f t="shared" si="66"/>
        <v>-1179.333333</v>
      </c>
      <c r="AN15" s="93">
        <f t="shared" si="67"/>
        <v>-0.8845</v>
      </c>
      <c r="AO15" s="112">
        <f>AO14/$K$16</f>
        <v>3333.333333</v>
      </c>
      <c r="AP15" s="114">
        <v>2.0</v>
      </c>
      <c r="AQ15" s="356">
        <v>3.0</v>
      </c>
      <c r="AR15" s="357"/>
      <c r="AS15" s="357"/>
      <c r="AT15" s="357"/>
      <c r="AU15" s="109">
        <f t="shared" si="55"/>
        <v>5</v>
      </c>
      <c r="AV15" s="110">
        <f t="shared" si="68"/>
        <v>-3328.333333</v>
      </c>
      <c r="AW15" s="93">
        <f t="shared" si="69"/>
        <v>-0.9985</v>
      </c>
      <c r="AX15" s="112">
        <f>AX14/$K$16</f>
        <v>6666.666667</v>
      </c>
      <c r="AY15" s="109"/>
      <c r="AZ15" s="110">
        <f t="shared" si="70"/>
        <v>-6666.666667</v>
      </c>
      <c r="BA15" s="93">
        <f t="shared" si="71"/>
        <v>-1</v>
      </c>
      <c r="BB15" s="112">
        <f>BB14/$K$16</f>
        <v>8000</v>
      </c>
      <c r="BC15" s="109"/>
      <c r="BD15" s="110">
        <f t="shared" si="72"/>
        <v>-8000</v>
      </c>
      <c r="BE15" s="93">
        <f t="shared" si="73"/>
        <v>-1</v>
      </c>
      <c r="BF15" s="112">
        <f>BF14/$K$16</f>
        <v>13333.33333</v>
      </c>
      <c r="BG15" s="109"/>
      <c r="BH15" s="110">
        <f t="shared" si="74"/>
        <v>-13333.33333</v>
      </c>
      <c r="BI15" s="93">
        <f t="shared" si="75"/>
        <v>-1</v>
      </c>
      <c r="BJ15" s="112">
        <f>BJ14/$K$16</f>
        <v>16666.66667</v>
      </c>
      <c r="BK15" s="109"/>
      <c r="BL15" s="110">
        <f t="shared" si="76"/>
        <v>-16666.66667</v>
      </c>
      <c r="BM15" s="93">
        <f t="shared" si="77"/>
        <v>-1</v>
      </c>
      <c r="BN15" s="112">
        <f>BN14/$K$16</f>
        <v>16666.66667</v>
      </c>
      <c r="BO15" s="109"/>
      <c r="BP15" s="110">
        <f t="shared" si="78"/>
        <v>-16666.66667</v>
      </c>
      <c r="BQ15" s="93">
        <f t="shared" si="79"/>
        <v>-1</v>
      </c>
      <c r="BR15" s="207">
        <f>SUM(L15,P15,T15,X15,AB15,AF15,AO15,AX15,BB15,BF15,BJ15,BN15)</f>
        <v>66666.66667</v>
      </c>
      <c r="BS15" s="174">
        <f t="shared" si="80"/>
        <v>111</v>
      </c>
      <c r="BT15" s="104">
        <f t="shared" si="81"/>
        <v>-0.998335</v>
      </c>
      <c r="BU15" s="119" t="s">
        <v>63</v>
      </c>
      <c r="BV15" s="106" t="str">
        <f t="shared" si="82"/>
        <v>-</v>
      </c>
      <c r="BW15" s="3"/>
      <c r="BX15" s="3"/>
      <c r="BY15" s="4"/>
      <c r="BZ15" s="3"/>
      <c r="CA15" s="3"/>
      <c r="CB15" s="3"/>
    </row>
    <row r="16">
      <c r="A16" s="1"/>
      <c r="B16" s="142"/>
      <c r="C16" s="143"/>
      <c r="D16" s="144"/>
      <c r="E16" s="145"/>
      <c r="F16" s="146"/>
      <c r="G16" s="147"/>
      <c r="H16" s="148"/>
      <c r="I16" s="149"/>
      <c r="J16" s="72" t="s">
        <v>68</v>
      </c>
      <c r="K16" s="107">
        <v>30.0</v>
      </c>
      <c r="L16" s="167">
        <v>30.0</v>
      </c>
      <c r="M16" s="91">
        <f>IFERROR(M14/M15,"-")</f>
        <v>23.02933333</v>
      </c>
      <c r="N16" s="92">
        <f t="shared" si="56"/>
        <v>-6.970666667</v>
      </c>
      <c r="O16" s="93">
        <f t="shared" si="57"/>
        <v>-0.2323555556</v>
      </c>
      <c r="P16" s="167">
        <v>30.0</v>
      </c>
      <c r="Q16" s="91">
        <f>IFERROR(Q14/Q15,"-")</f>
        <v>63.9925</v>
      </c>
      <c r="R16" s="92">
        <f t="shared" si="58"/>
        <v>33.9925</v>
      </c>
      <c r="S16" s="93">
        <f t="shared" si="59"/>
        <v>1.133083333</v>
      </c>
      <c r="T16" s="90">
        <v>30.0</v>
      </c>
      <c r="U16" s="91">
        <f>IFERROR(U14/U15,"-")</f>
        <v>80.54555556</v>
      </c>
      <c r="V16" s="92">
        <f t="shared" si="60"/>
        <v>50.54555556</v>
      </c>
      <c r="W16" s="93">
        <f t="shared" si="61"/>
        <v>1.684851852</v>
      </c>
      <c r="X16" s="90">
        <v>30.0</v>
      </c>
      <c r="Y16" s="91">
        <f>IFERROR(Y14/Y15,"-")</f>
        <v>62.08363636</v>
      </c>
      <c r="Z16" s="92">
        <f t="shared" si="62"/>
        <v>32.08363636</v>
      </c>
      <c r="AA16" s="93">
        <f t="shared" si="63"/>
        <v>1.069454545</v>
      </c>
      <c r="AB16" s="96">
        <f>AB14/AB15</f>
        <v>30</v>
      </c>
      <c r="AC16" s="91">
        <f>IFERROR(AC14/AC15,"-")</f>
        <v>48.58454545</v>
      </c>
      <c r="AD16" s="92">
        <f t="shared" si="64"/>
        <v>18.58454545</v>
      </c>
      <c r="AE16" s="93">
        <f t="shared" si="65"/>
        <v>0.6194848485</v>
      </c>
      <c r="AF16" s="369">
        <f>AF14/AF15</f>
        <v>30</v>
      </c>
      <c r="AG16" s="370">
        <f t="shared" ref="AG16:AL16" si="83">IFERROR(AG14/AG15,"-")</f>
        <v>18.30057692</v>
      </c>
      <c r="AH16" s="370">
        <f t="shared" si="83"/>
        <v>25.89659091</v>
      </c>
      <c r="AI16" s="371">
        <f t="shared" si="83"/>
        <v>31.28285714</v>
      </c>
      <c r="AJ16" s="371">
        <f t="shared" si="83"/>
        <v>39.70857143</v>
      </c>
      <c r="AK16" s="371" t="str">
        <f t="shared" si="83"/>
        <v>-</v>
      </c>
      <c r="AL16" s="372">
        <f t="shared" si="83"/>
        <v>24.20435065</v>
      </c>
      <c r="AM16" s="92">
        <f t="shared" si="66"/>
        <v>-5.795649351</v>
      </c>
      <c r="AN16" s="93">
        <f t="shared" si="67"/>
        <v>-0.1931883117</v>
      </c>
      <c r="AO16" s="369">
        <f>AO14/AO15</f>
        <v>30</v>
      </c>
      <c r="AP16" s="370">
        <f t="shared" ref="AP16:AU16" si="84">IFERROR(AP14/AP15,"-")</f>
        <v>0</v>
      </c>
      <c r="AQ16" s="370">
        <f t="shared" si="84"/>
        <v>56.32666667</v>
      </c>
      <c r="AR16" s="371" t="str">
        <f t="shared" si="84"/>
        <v>-</v>
      </c>
      <c r="AS16" s="371" t="str">
        <f t="shared" si="84"/>
        <v>-</v>
      </c>
      <c r="AT16" s="371" t="str">
        <f t="shared" si="84"/>
        <v>-</v>
      </c>
      <c r="AU16" s="370">
        <f t="shared" si="84"/>
        <v>33.796</v>
      </c>
      <c r="AV16" s="92">
        <f t="shared" si="68"/>
        <v>3.796</v>
      </c>
      <c r="AW16" s="93">
        <f t="shared" si="69"/>
        <v>0.1265333333</v>
      </c>
      <c r="AX16" s="96">
        <f>AX14/AX15</f>
        <v>30</v>
      </c>
      <c r="AY16" s="91" t="str">
        <f>IFERROR(AY14/AY15,"-")</f>
        <v>-</v>
      </c>
      <c r="AZ16" s="92" t="str">
        <f t="shared" si="70"/>
        <v>-</v>
      </c>
      <c r="BA16" s="93" t="str">
        <f t="shared" si="71"/>
        <v>-</v>
      </c>
      <c r="BB16" s="96">
        <f>BB14/BB15</f>
        <v>30</v>
      </c>
      <c r="BC16" s="91" t="str">
        <f>IFERROR(BC14/BC15,"-")</f>
        <v>-</v>
      </c>
      <c r="BD16" s="92" t="str">
        <f t="shared" si="72"/>
        <v>-</v>
      </c>
      <c r="BE16" s="93" t="str">
        <f t="shared" si="73"/>
        <v>-</v>
      </c>
      <c r="BF16" s="96">
        <f>BF14/BF15</f>
        <v>30</v>
      </c>
      <c r="BG16" s="91" t="str">
        <f>IFERROR(BG14/BG15,"-")</f>
        <v>-</v>
      </c>
      <c r="BH16" s="92" t="str">
        <f t="shared" si="74"/>
        <v>-</v>
      </c>
      <c r="BI16" s="93" t="str">
        <f t="shared" si="75"/>
        <v>-</v>
      </c>
      <c r="BJ16" s="96">
        <f>BJ14/BJ15</f>
        <v>30</v>
      </c>
      <c r="BK16" s="91" t="str">
        <f>IFERROR(BK14/BK15,"-")</f>
        <v>-</v>
      </c>
      <c r="BL16" s="92" t="str">
        <f t="shared" si="76"/>
        <v>-</v>
      </c>
      <c r="BM16" s="93" t="str">
        <f t="shared" si="77"/>
        <v>-</v>
      </c>
      <c r="BN16" s="96">
        <f>BN14/BN15</f>
        <v>30</v>
      </c>
      <c r="BO16" s="91" t="str">
        <f>IFERROR(BO14/BO15,"-")</f>
        <v>-</v>
      </c>
      <c r="BP16" s="92" t="str">
        <f t="shared" si="78"/>
        <v>-</v>
      </c>
      <c r="BQ16" s="93" t="str">
        <f t="shared" si="79"/>
        <v>-</v>
      </c>
      <c r="BR16" s="209">
        <f t="shared" ref="BR16:BS16" si="85">BR14/BR15</f>
        <v>30</v>
      </c>
      <c r="BS16" s="177">
        <f t="shared" si="85"/>
        <v>35.31756757</v>
      </c>
      <c r="BT16" s="104">
        <f t="shared" si="81"/>
        <v>0.1772522523</v>
      </c>
      <c r="BU16" s="105" t="s">
        <v>63</v>
      </c>
      <c r="BV16" s="178"/>
      <c r="BW16" s="3"/>
      <c r="BX16" s="3"/>
      <c r="BY16" s="3"/>
      <c r="BZ16" s="3"/>
      <c r="CA16" s="3"/>
      <c r="CB16" s="3"/>
    </row>
    <row r="17">
      <c r="A17" s="1"/>
      <c r="B17" s="142"/>
      <c r="C17" s="143"/>
      <c r="D17" s="144"/>
      <c r="E17" s="145"/>
      <c r="F17" s="146"/>
      <c r="G17" s="147"/>
      <c r="H17" s="148"/>
      <c r="I17" s="149"/>
      <c r="J17" s="124" t="s">
        <v>69</v>
      </c>
      <c r="K17" s="179">
        <v>1.4</v>
      </c>
      <c r="L17" s="132">
        <f t="shared" ref="L17:M17" si="86">IF(L15=0, 0,
  MIN(L15, 10000) * 1.4 +
  MAX(0, MIN(L15, 25000) - 10000) * 1.25 +
  MAX(0, MIN(L15, 50000) - 25000) * 1.15 +
  MAX(0, MIN(L15, 100000) - 50000) * 0.9 +
  MAX(0, MIN(L15, 150000) - 100000) * 0.8 +
  MAX(0, L15 - 150000) * 0.7
)</f>
        <v>0</v>
      </c>
      <c r="M17" s="127">
        <f t="shared" si="86"/>
        <v>21</v>
      </c>
      <c r="N17" s="128">
        <f t="shared" si="56"/>
        <v>21</v>
      </c>
      <c r="O17" s="129" t="str">
        <f t="shared" si="57"/>
        <v>-</v>
      </c>
      <c r="P17" s="132">
        <f t="shared" ref="P17:Q17" si="87">IF(P15=0, 0,
  MIN(P15, 10000) * 1.4 +
  MAX(0, MIN(P15, 25000) - 10000) * 1.25 +
  MAX(0, MIN(P15, 50000) - 25000) * 1.15 +
  MAX(0, MIN(P15, 100000) - 50000) * 0.9 +
  MAX(0, MIN(P15, 150000) - 100000) * 0.8 +
  MAX(0, P15 - 150000) * 0.7
)</f>
        <v>0</v>
      </c>
      <c r="Q17" s="127">
        <f t="shared" si="87"/>
        <v>11.2</v>
      </c>
      <c r="R17" s="128">
        <f t="shared" si="58"/>
        <v>11.2</v>
      </c>
      <c r="S17" s="129" t="str">
        <f t="shared" si="59"/>
        <v>-</v>
      </c>
      <c r="T17" s="132">
        <f t="shared" ref="T17:U17" si="88">IF(T15=0, 0,
  MIN(T15, 10000) * 1.4 +
  MAX(0, MIN(T15, 25000) - 10000) * 1.25 +
  MAX(0, MIN(T15, 50000) - 25000) * 1.15 +
  MAX(0, MIN(T15, 100000) - 50000) * 0.9 +
  MAX(0, MIN(T15, 150000) - 100000) * 0.8 +
  MAX(0, T15 - 150000) * 0.7
)</f>
        <v>0</v>
      </c>
      <c r="U17" s="127">
        <f t="shared" si="88"/>
        <v>12.6</v>
      </c>
      <c r="V17" s="128">
        <f t="shared" si="60"/>
        <v>12.6</v>
      </c>
      <c r="W17" s="129" t="str">
        <f t="shared" si="61"/>
        <v>-</v>
      </c>
      <c r="X17" s="132">
        <f t="shared" ref="X17:Y17" si="89">IF(X15=0, 0,
  MIN(X15, 10000) * 1.4 +
  MAX(0, MIN(X15, 25000) - 10000) * 1.25 +
  MAX(0, MIN(X15, 50000) - 25000) * 1.15 +
  MAX(0, MIN(X15, 100000) - 50000) * 0.9 +
  MAX(0, MIN(X15, 150000) - 100000) * 0.8 +
  MAX(0, X15 - 150000) * 0.7
)</f>
        <v>0</v>
      </c>
      <c r="Y17" s="127">
        <f t="shared" si="89"/>
        <v>15.4</v>
      </c>
      <c r="Z17" s="128">
        <f t="shared" si="62"/>
        <v>15.4</v>
      </c>
      <c r="AA17" s="129" t="str">
        <f t="shared" si="63"/>
        <v>-</v>
      </c>
      <c r="AB17" s="132">
        <f t="shared" ref="AB17:AC17" si="90">IF(AB15=0, 0,
  MIN(AB15, 10000) * 1.4 +
  MAX(0, MIN(AB15, 25000) - 10000) * 1.25 +
  MAX(0, MIN(AB15, 50000) - 25000) * 1.15 +
  MAX(0, MIN(AB15, 100000) - 50000) * 0.9 +
  MAX(0, MIN(AB15, 150000) - 100000) * 0.8 +
  MAX(0, AB15 - 150000) * 0.7
)</f>
        <v>933.3333333</v>
      </c>
      <c r="AC17" s="127">
        <f t="shared" si="90"/>
        <v>15.4</v>
      </c>
      <c r="AD17" s="128">
        <f t="shared" si="64"/>
        <v>-917.9333333</v>
      </c>
      <c r="AE17" s="134">
        <f t="shared" si="65"/>
        <v>-0.9835</v>
      </c>
      <c r="AF17" s="373">
        <f t="shared" ref="AF17:AL17" si="91">IF(AF15=0, 0,
  MIN(AF15, 10000) * 1.4 +
  MAX(0, MIN(AF15, 25000) - 10000) * 1.25 +
  MAX(0, MIN(AF15, 50000) - 25000) * 1.15 +
  MAX(0, MIN(AF15, 100000) - 50000) * 0.9 +
  MAX(0, MIN(AF15, 150000) - 100000) * 0.8 +
  MAX(0, AF15 - 150000) * 0.7
)</f>
        <v>1866.666667</v>
      </c>
      <c r="AG17" s="374">
        <f t="shared" si="91"/>
        <v>72.8</v>
      </c>
      <c r="AH17" s="374">
        <f t="shared" si="91"/>
        <v>123.2</v>
      </c>
      <c r="AI17" s="374">
        <f t="shared" si="91"/>
        <v>9.8</v>
      </c>
      <c r="AJ17" s="374">
        <f t="shared" si="91"/>
        <v>9.8</v>
      </c>
      <c r="AK17" s="374">
        <f t="shared" si="91"/>
        <v>0</v>
      </c>
      <c r="AL17" s="375">
        <f t="shared" si="91"/>
        <v>215.6</v>
      </c>
      <c r="AM17" s="128">
        <f t="shared" si="66"/>
        <v>-1651.066667</v>
      </c>
      <c r="AN17" s="134">
        <f t="shared" si="67"/>
        <v>-0.8845</v>
      </c>
      <c r="AO17" s="373">
        <f t="shared" ref="AO17:AU17" si="92">IF(AO15=0, 0,
  MIN(AO15, 10000) * 1.4 +
  MAX(0, MIN(AO15, 25000) - 10000) * 1.25 +
  MAX(0, MIN(AO15, 50000) - 25000) * 1.15 +
  MAX(0, MIN(AO15, 100000) - 50000) * 0.9 +
  MAX(0, MIN(AO15, 150000) - 100000) * 0.8 +
  MAX(0, AO15 - 150000) * 0.7
)</f>
        <v>4666.666667</v>
      </c>
      <c r="AP17" s="374">
        <f t="shared" si="92"/>
        <v>2.8</v>
      </c>
      <c r="AQ17" s="374">
        <f t="shared" si="92"/>
        <v>4.2</v>
      </c>
      <c r="AR17" s="374">
        <f t="shared" si="92"/>
        <v>0</v>
      </c>
      <c r="AS17" s="374">
        <f t="shared" si="92"/>
        <v>0</v>
      </c>
      <c r="AT17" s="374">
        <f t="shared" si="92"/>
        <v>0</v>
      </c>
      <c r="AU17" s="374">
        <f t="shared" si="92"/>
        <v>7</v>
      </c>
      <c r="AV17" s="376">
        <f t="shared" si="68"/>
        <v>-4659.666667</v>
      </c>
      <c r="AW17" s="129">
        <f t="shared" si="69"/>
        <v>-0.9985</v>
      </c>
      <c r="AX17" s="132">
        <f t="shared" ref="AX17:AY17" si="93">IF(AX15=0, 0,
  MIN(AX15, 10000) * 1.4 +
  MAX(0, MIN(AX15, 25000) - 10000) * 1.25 +
  MAX(0, MIN(AX15, 50000) - 25000) * 1.15 +
  MAX(0, MIN(AX15, 100000) - 50000) * 0.9 +
  MAX(0, MIN(AX15, 150000) - 100000) * 0.8 +
  MAX(0, AX15 - 150000) * 0.7
)</f>
        <v>9333.333333</v>
      </c>
      <c r="AY17" s="127">
        <f t="shared" si="93"/>
        <v>0</v>
      </c>
      <c r="AZ17" s="128">
        <f t="shared" si="70"/>
        <v>-9333.333333</v>
      </c>
      <c r="BA17" s="129">
        <f t="shared" si="71"/>
        <v>-1</v>
      </c>
      <c r="BB17" s="132">
        <f t="shared" ref="BB17:BC17" si="94">IF(BB15=0, 0,
  MIN(BB15, 10000) * 1.4 +
  MAX(0, MIN(BB15, 25000) - 10000) * 1.25 +
  MAX(0, MIN(BB15, 50000) - 25000) * 1.15 +
  MAX(0, MIN(BB15, 100000) - 50000) * 0.9 +
  MAX(0, MIN(BB15, 150000) - 100000) * 0.8 +
  MAX(0, BB15 - 150000) * 0.7
)</f>
        <v>11200</v>
      </c>
      <c r="BC17" s="127">
        <f t="shared" si="94"/>
        <v>0</v>
      </c>
      <c r="BD17" s="128">
        <f t="shared" si="72"/>
        <v>-11200</v>
      </c>
      <c r="BE17" s="129">
        <f t="shared" si="73"/>
        <v>-1</v>
      </c>
      <c r="BF17" s="132">
        <f t="shared" ref="BF17:BG17" si="95">IF(BF15=0, 0,
  MIN(BF15, 10000) * 1.4 +
  MAX(0, MIN(BF15, 25000) - 10000) * 1.25 +
  MAX(0, MIN(BF15, 50000) - 25000) * 1.15 +
  MAX(0, MIN(BF15, 100000) - 50000) * 0.9 +
  MAX(0, MIN(BF15, 150000) - 100000) * 0.8 +
  MAX(0, BF15 - 150000) * 0.7
)</f>
        <v>18166.66667</v>
      </c>
      <c r="BG17" s="127">
        <f t="shared" si="95"/>
        <v>0</v>
      </c>
      <c r="BH17" s="128">
        <f t="shared" si="74"/>
        <v>-18166.66667</v>
      </c>
      <c r="BI17" s="129">
        <f t="shared" si="75"/>
        <v>-1</v>
      </c>
      <c r="BJ17" s="132">
        <f t="shared" ref="BJ17:BK17" si="96">IF(BJ15=0, 0,
  MIN(BJ15, 10000) * 1.4 +
  MAX(0, MIN(BJ15, 25000) - 10000) * 1.25 +
  MAX(0, MIN(BJ15, 50000) - 25000) * 1.15 +
  MAX(0, MIN(BJ15, 100000) - 50000) * 0.9 +
  MAX(0, MIN(BJ15, 150000) - 100000) * 0.8 +
  MAX(0, BJ15 - 150000) * 0.7
)</f>
        <v>22333.33333</v>
      </c>
      <c r="BK17" s="127">
        <f t="shared" si="96"/>
        <v>0</v>
      </c>
      <c r="BL17" s="128">
        <f t="shared" si="76"/>
        <v>-22333.33333</v>
      </c>
      <c r="BM17" s="129">
        <f t="shared" si="77"/>
        <v>-1</v>
      </c>
      <c r="BN17" s="132">
        <f t="shared" ref="BN17:BO17" si="97">IF(BN15=0, 0,
  MIN(BN15, 10000) * 1.4 +
  MAX(0, MIN(BN15, 25000) - 10000) * 1.25 +
  MAX(0, MIN(BN15, 50000) - 25000) * 1.15 +
  MAX(0, MIN(BN15, 100000) - 50000) * 0.9 +
  MAX(0, MIN(BN15, 150000) - 100000) * 0.8 +
  MAX(0, BN15 - 150000) * 0.7
)</f>
        <v>22333.33333</v>
      </c>
      <c r="BO17" s="127">
        <f t="shared" si="97"/>
        <v>0</v>
      </c>
      <c r="BP17" s="128">
        <f t="shared" si="78"/>
        <v>-22333.33333</v>
      </c>
      <c r="BQ17" s="129">
        <f t="shared" si="79"/>
        <v>-1</v>
      </c>
      <c r="BR17" s="213">
        <f>SUM(L17,P17,T17,X17,AB17,AF17,AO17,AX17,BB17,BF17,BJ17,BN17)</f>
        <v>90833.33333</v>
      </c>
      <c r="BS17" s="183">
        <f>SUM(M17,Q17,U17,Y17,AC17,AG17,AU17,AY17,BC17,BG17,BK17,BO17)</f>
        <v>155.4</v>
      </c>
      <c r="BT17" s="139">
        <f t="shared" si="81"/>
        <v>-0.9982891743</v>
      </c>
      <c r="BU17" s="140" t="s">
        <v>63</v>
      </c>
      <c r="BV17" s="141" t="str">
        <f>IFERROR((BR17/BU17),"-")</f>
        <v>-</v>
      </c>
      <c r="BW17" s="3"/>
      <c r="BX17" s="3"/>
      <c r="BY17" s="3"/>
      <c r="BZ17" s="3"/>
      <c r="CA17" s="3"/>
      <c r="CB17" s="3"/>
    </row>
    <row r="18">
      <c r="A18" s="1"/>
      <c r="B18" s="142"/>
      <c r="C18" s="143"/>
      <c r="D18" s="144"/>
      <c r="E18" s="145"/>
      <c r="F18" s="146"/>
      <c r="G18" s="147"/>
      <c r="H18" s="148"/>
      <c r="I18" s="149"/>
      <c r="J18" s="13"/>
      <c r="K18" s="184"/>
      <c r="L18" s="185"/>
      <c r="M18" s="185"/>
      <c r="N18" s="185"/>
      <c r="O18" s="185"/>
      <c r="P18" s="185"/>
      <c r="Q18" s="23"/>
      <c r="R18" s="185"/>
      <c r="S18" s="185"/>
      <c r="T18" s="185"/>
      <c r="U18" s="185"/>
      <c r="V18" s="185"/>
      <c r="W18" s="185"/>
      <c r="X18" s="186"/>
      <c r="Y18" s="14"/>
      <c r="Z18" s="15"/>
      <c r="AA18" s="3"/>
      <c r="AB18" s="3"/>
      <c r="AC18" s="3"/>
      <c r="AD18" s="3"/>
      <c r="AE18" s="3"/>
      <c r="AF18" s="3"/>
      <c r="AG18" s="377"/>
      <c r="AH18" s="377"/>
      <c r="AI18" s="377"/>
      <c r="AJ18" s="377"/>
      <c r="AK18" s="377"/>
      <c r="AL18" s="377"/>
      <c r="AM18" s="25"/>
      <c r="AN18" s="25"/>
      <c r="AO18" s="25"/>
      <c r="AP18" s="363"/>
      <c r="AQ18" s="363"/>
      <c r="AR18" s="363"/>
      <c r="AS18" s="363"/>
      <c r="AT18" s="363"/>
      <c r="AU18" s="25"/>
      <c r="AV18" s="25"/>
      <c r="AW18" s="25"/>
      <c r="AX18" s="25"/>
      <c r="AY18" s="25"/>
      <c r="AZ18" s="25"/>
      <c r="BA18" s="187"/>
      <c r="BB18" s="25"/>
      <c r="BC18" s="188"/>
      <c r="BD18" s="25"/>
    </row>
    <row r="19">
      <c r="A19" s="1"/>
      <c r="B19" s="142"/>
      <c r="C19" s="143"/>
      <c r="D19" s="144"/>
      <c r="E19" s="145"/>
      <c r="F19" s="146"/>
      <c r="G19" s="147"/>
      <c r="H19" s="148"/>
      <c r="I19" s="189"/>
      <c r="J19" s="34" t="s">
        <v>74</v>
      </c>
      <c r="K19" s="35"/>
      <c r="L19" s="36" t="s">
        <v>10</v>
      </c>
      <c r="M19" s="37" t="s">
        <v>11</v>
      </c>
      <c r="N19" s="38" t="s">
        <v>12</v>
      </c>
      <c r="O19" s="39" t="s">
        <v>13</v>
      </c>
      <c r="P19" s="190" t="s">
        <v>14</v>
      </c>
      <c r="Q19" s="37" t="s">
        <v>15</v>
      </c>
      <c r="R19" s="38" t="s">
        <v>16</v>
      </c>
      <c r="S19" s="39" t="s">
        <v>17</v>
      </c>
      <c r="T19" s="191" t="s">
        <v>18</v>
      </c>
      <c r="U19" s="37" t="s">
        <v>19</v>
      </c>
      <c r="V19" s="38" t="s">
        <v>20</v>
      </c>
      <c r="W19" s="39" t="s">
        <v>21</v>
      </c>
      <c r="X19" s="157" t="s">
        <v>22</v>
      </c>
      <c r="Y19" s="41" t="s">
        <v>23</v>
      </c>
      <c r="Z19" s="38" t="s">
        <v>24</v>
      </c>
      <c r="AA19" s="45" t="s">
        <v>25</v>
      </c>
      <c r="AB19" s="43" t="s">
        <v>26</v>
      </c>
      <c r="AC19" s="41" t="s">
        <v>27</v>
      </c>
      <c r="AD19" s="38" t="s">
        <v>28</v>
      </c>
      <c r="AE19" s="45" t="s">
        <v>29</v>
      </c>
      <c r="AF19" s="44" t="s">
        <v>30</v>
      </c>
      <c r="AG19" s="343" t="s">
        <v>120</v>
      </c>
      <c r="AH19" s="344" t="s">
        <v>121</v>
      </c>
      <c r="AI19" s="344" t="s">
        <v>122</v>
      </c>
      <c r="AJ19" s="344" t="s">
        <v>123</v>
      </c>
      <c r="AK19" s="344" t="s">
        <v>124</v>
      </c>
      <c r="AL19" s="344" t="s">
        <v>31</v>
      </c>
      <c r="AM19" s="38" t="s">
        <v>32</v>
      </c>
      <c r="AN19" s="45" t="s">
        <v>33</v>
      </c>
      <c r="AO19" s="43" t="s">
        <v>34</v>
      </c>
      <c r="AP19" s="343" t="s">
        <v>125</v>
      </c>
      <c r="AQ19" s="344" t="s">
        <v>126</v>
      </c>
      <c r="AR19" s="344" t="s">
        <v>127</v>
      </c>
      <c r="AS19" s="344" t="s">
        <v>128</v>
      </c>
      <c r="AT19" s="344" t="s">
        <v>129</v>
      </c>
      <c r="AU19" s="41" t="s">
        <v>35</v>
      </c>
      <c r="AV19" s="38" t="s">
        <v>36</v>
      </c>
      <c r="AW19" s="45" t="s">
        <v>37</v>
      </c>
      <c r="AX19" s="44" t="s">
        <v>38</v>
      </c>
      <c r="AY19" s="41" t="s">
        <v>39</v>
      </c>
      <c r="AZ19" s="38" t="s">
        <v>40</v>
      </c>
      <c r="BA19" s="45" t="s">
        <v>41</v>
      </c>
      <c r="BB19" s="43" t="s">
        <v>42</v>
      </c>
      <c r="BC19" s="41" t="s">
        <v>43</v>
      </c>
      <c r="BD19" s="38" t="s">
        <v>44</v>
      </c>
      <c r="BE19" s="45" t="s">
        <v>45</v>
      </c>
      <c r="BF19" s="44" t="s">
        <v>46</v>
      </c>
      <c r="BG19" s="41" t="s">
        <v>47</v>
      </c>
      <c r="BH19" s="38" t="s">
        <v>48</v>
      </c>
      <c r="BI19" s="45" t="s">
        <v>49</v>
      </c>
      <c r="BJ19" s="43" t="s">
        <v>50</v>
      </c>
      <c r="BK19" s="41" t="s">
        <v>51</v>
      </c>
      <c r="BL19" s="38" t="s">
        <v>52</v>
      </c>
      <c r="BM19" s="45" t="s">
        <v>53</v>
      </c>
      <c r="BN19" s="44" t="s">
        <v>54</v>
      </c>
      <c r="BO19" s="41" t="s">
        <v>55</v>
      </c>
      <c r="BP19" s="38" t="s">
        <v>56</v>
      </c>
      <c r="BQ19" s="45" t="s">
        <v>57</v>
      </c>
      <c r="BR19" s="378">
        <v>2026.0</v>
      </c>
      <c r="BS19" s="162" t="s">
        <v>61</v>
      </c>
      <c r="BT19" s="51" t="s">
        <v>62</v>
      </c>
      <c r="BU19" s="52">
        <v>2025.0</v>
      </c>
      <c r="BV19" s="53" t="s">
        <v>63</v>
      </c>
      <c r="BW19" s="3"/>
      <c r="BX19" s="3"/>
      <c r="BY19" s="3"/>
      <c r="BZ19" s="3"/>
      <c r="CA19" s="3"/>
      <c r="CB19" s="3"/>
    </row>
    <row r="20" ht="15.75" customHeight="1">
      <c r="A20" s="1"/>
      <c r="B20" s="142"/>
      <c r="C20" s="143"/>
      <c r="D20" s="144"/>
      <c r="E20" s="192"/>
      <c r="F20" s="146"/>
      <c r="G20" s="147"/>
      <c r="H20" s="148"/>
      <c r="I20" s="189"/>
      <c r="J20" s="346" t="s">
        <v>130</v>
      </c>
      <c r="K20" s="55"/>
      <c r="L20" s="56"/>
      <c r="M20" s="57"/>
      <c r="N20" s="58"/>
      <c r="O20" s="59"/>
      <c r="P20" s="56"/>
      <c r="Q20" s="57"/>
      <c r="R20" s="58"/>
      <c r="S20" s="59"/>
      <c r="T20" s="56"/>
      <c r="U20" s="57"/>
      <c r="V20" s="58"/>
      <c r="W20" s="59"/>
      <c r="X20" s="56"/>
      <c r="Y20" s="57"/>
      <c r="Z20" s="58"/>
      <c r="AA20" s="59"/>
      <c r="AB20" s="62"/>
      <c r="AC20" s="63"/>
      <c r="AD20" s="58"/>
      <c r="AE20" s="59"/>
      <c r="AF20" s="62"/>
      <c r="AG20" s="347">
        <f t="shared" ref="AG20:AK20" si="98">$AF$21/5</f>
        <v>0.01</v>
      </c>
      <c r="AH20" s="347">
        <f t="shared" si="98"/>
        <v>0.01</v>
      </c>
      <c r="AI20" s="347">
        <f t="shared" si="98"/>
        <v>0.01</v>
      </c>
      <c r="AJ20" s="347">
        <f t="shared" si="98"/>
        <v>0.01</v>
      </c>
      <c r="AK20" s="347">
        <f t="shared" si="98"/>
        <v>0.01</v>
      </c>
      <c r="AL20" s="348"/>
      <c r="AM20" s="58"/>
      <c r="AN20" s="59"/>
      <c r="AO20" s="62"/>
      <c r="AP20" s="347">
        <f t="shared" ref="AP20:AT20" si="99">$AO$21/5</f>
        <v>0.02</v>
      </c>
      <c r="AQ20" s="347">
        <f t="shared" si="99"/>
        <v>0.02</v>
      </c>
      <c r="AR20" s="347">
        <f t="shared" si="99"/>
        <v>0.02</v>
      </c>
      <c r="AS20" s="347">
        <f t="shared" si="99"/>
        <v>0.02</v>
      </c>
      <c r="AT20" s="347">
        <f t="shared" si="99"/>
        <v>0.02</v>
      </c>
      <c r="AU20" s="63"/>
      <c r="AV20" s="58"/>
      <c r="AW20" s="59"/>
      <c r="AX20" s="62"/>
      <c r="AY20" s="63"/>
      <c r="AZ20" s="58"/>
      <c r="BA20" s="59"/>
      <c r="BB20" s="62"/>
      <c r="BC20" s="63"/>
      <c r="BD20" s="58"/>
      <c r="BE20" s="59"/>
      <c r="BF20" s="62"/>
      <c r="BG20" s="63"/>
      <c r="BH20" s="58"/>
      <c r="BI20" s="59"/>
      <c r="BJ20" s="62"/>
      <c r="BK20" s="63"/>
      <c r="BL20" s="58"/>
      <c r="BM20" s="59"/>
      <c r="BN20" s="62"/>
      <c r="BO20" s="63"/>
      <c r="BP20" s="58"/>
      <c r="BQ20" s="59"/>
      <c r="BR20" s="379"/>
      <c r="BS20" s="366"/>
      <c r="BT20" s="69"/>
      <c r="BU20" s="70"/>
      <c r="BV20" s="71"/>
      <c r="BW20" s="3"/>
      <c r="BX20" s="3"/>
      <c r="BY20" s="3"/>
      <c r="BZ20" s="3"/>
      <c r="CA20" s="3"/>
      <c r="CB20" s="3"/>
    </row>
    <row r="21" ht="15.75" customHeight="1">
      <c r="A21" s="1"/>
      <c r="B21" s="142">
        <v>4.0</v>
      </c>
      <c r="C21" s="143" t="s">
        <v>75</v>
      </c>
      <c r="D21" s="144">
        <f>15000*12*4</f>
        <v>720000</v>
      </c>
      <c r="E21" s="192">
        <v>92.0</v>
      </c>
      <c r="F21" s="146">
        <f>E21*D21</f>
        <v>66240000</v>
      </c>
      <c r="G21" s="147">
        <v>1632825.7999999607</v>
      </c>
      <c r="H21" s="148">
        <v>15759.0</v>
      </c>
      <c r="I21" s="189">
        <v>103.61227235230413</v>
      </c>
      <c r="J21" s="72" t="s">
        <v>64</v>
      </c>
      <c r="K21" s="73"/>
      <c r="L21" s="74" t="s">
        <v>63</v>
      </c>
      <c r="M21" s="75" t="s">
        <v>63</v>
      </c>
      <c r="N21" s="76" t="s">
        <v>63</v>
      </c>
      <c r="O21" s="77" t="s">
        <v>65</v>
      </c>
      <c r="P21" s="74" t="s">
        <v>63</v>
      </c>
      <c r="Q21" s="75" t="s">
        <v>63</v>
      </c>
      <c r="R21" s="76" t="s">
        <v>63</v>
      </c>
      <c r="S21" s="77" t="s">
        <v>65</v>
      </c>
      <c r="T21" s="74" t="s">
        <v>63</v>
      </c>
      <c r="U21" s="75"/>
      <c r="V21" s="76" t="s">
        <v>63</v>
      </c>
      <c r="W21" s="77" t="s">
        <v>65</v>
      </c>
      <c r="X21" s="74" t="s">
        <v>63</v>
      </c>
      <c r="Y21" s="75"/>
      <c r="Z21" s="76" t="s">
        <v>63</v>
      </c>
      <c r="AA21" s="77" t="s">
        <v>65</v>
      </c>
      <c r="AB21" s="80">
        <v>0.01</v>
      </c>
      <c r="AC21" s="81">
        <f>AC22/(BR22-(L22+P22+T22+X22))</f>
        <v>0.00001</v>
      </c>
      <c r="AD21" s="76" t="s">
        <v>63</v>
      </c>
      <c r="AE21" s="77" t="s">
        <v>65</v>
      </c>
      <c r="AF21" s="80">
        <v>0.05</v>
      </c>
      <c r="AG21" s="350">
        <f t="shared" ref="AG21:AK21" si="100">AG22/($BR$22-($L$22+$P$22+$T$22+$X$22))</f>
        <v>0</v>
      </c>
      <c r="AH21" s="350">
        <f t="shared" si="100"/>
        <v>0</v>
      </c>
      <c r="AI21" s="350">
        <f t="shared" si="100"/>
        <v>0.0000197225</v>
      </c>
      <c r="AJ21" s="350">
        <f t="shared" si="100"/>
        <v>0.000002475</v>
      </c>
      <c r="AK21" s="350">
        <f t="shared" si="100"/>
        <v>0</v>
      </c>
      <c r="AL21" s="351">
        <f>SUM(AG21:AK21)</f>
        <v>0.0000221975</v>
      </c>
      <c r="AM21" s="352">
        <f>AL21-AF21</f>
        <v>-0.0499778025</v>
      </c>
      <c r="AN21" s="77" t="s">
        <v>65</v>
      </c>
      <c r="AO21" s="80">
        <v>0.1</v>
      </c>
      <c r="AP21" s="350">
        <f t="shared" ref="AP21:AT21" si="101">AP22/($BR$22-($L$22+$P$22+$T$22+$X$22))</f>
        <v>0</v>
      </c>
      <c r="AQ21" s="350">
        <f t="shared" si="101"/>
        <v>0.0005073175</v>
      </c>
      <c r="AR21" s="350">
        <f t="shared" si="101"/>
        <v>0</v>
      </c>
      <c r="AS21" s="350">
        <f t="shared" si="101"/>
        <v>0</v>
      </c>
      <c r="AT21" s="350">
        <f t="shared" si="101"/>
        <v>0</v>
      </c>
      <c r="AU21" s="351">
        <f t="shared" ref="AU21:AU23" si="102">SUM(AP21:AT21)</f>
        <v>0.0005073175</v>
      </c>
      <c r="AV21" s="76" t="s">
        <v>63</v>
      </c>
      <c r="AW21" s="77" t="s">
        <v>65</v>
      </c>
      <c r="AX21" s="80">
        <v>0.14</v>
      </c>
      <c r="AY21" s="81">
        <f>AY22/(BR22-(L22+P22+T22+X22))</f>
        <v>0</v>
      </c>
      <c r="AZ21" s="76" t="s">
        <v>63</v>
      </c>
      <c r="BA21" s="77" t="s">
        <v>65</v>
      </c>
      <c r="BB21" s="80">
        <v>0.15</v>
      </c>
      <c r="BC21" s="81">
        <f>BC22/(BR22-(L22+P22+T22+X22))</f>
        <v>0</v>
      </c>
      <c r="BD21" s="76" t="s">
        <v>63</v>
      </c>
      <c r="BE21" s="77" t="s">
        <v>65</v>
      </c>
      <c r="BF21" s="80">
        <v>0.2</v>
      </c>
      <c r="BG21" s="81">
        <f>BG22/(BR22-(L22+P22+T22+X22))</f>
        <v>0</v>
      </c>
      <c r="BH21" s="76" t="s">
        <v>63</v>
      </c>
      <c r="BI21" s="77" t="s">
        <v>65</v>
      </c>
      <c r="BJ21" s="80">
        <v>0.2</v>
      </c>
      <c r="BK21" s="81">
        <f>BK22/(BR22-(L22+P22+T22+X22))</f>
        <v>0</v>
      </c>
      <c r="BL21" s="76" t="s">
        <v>63</v>
      </c>
      <c r="BM21" s="77" t="s">
        <v>65</v>
      </c>
      <c r="BN21" s="80">
        <v>0.15</v>
      </c>
      <c r="BO21" s="81">
        <f>BO22/(BR22-(L22+P22+T22+X22))</f>
        <v>0</v>
      </c>
      <c r="BP21" s="76" t="s">
        <v>63</v>
      </c>
      <c r="BQ21" s="77" t="s">
        <v>65</v>
      </c>
      <c r="BR21" s="367">
        <f>SUM(AB21,AF21,AO21,AX21,BB21,BF21,BJ21,BN21)</f>
        <v>1</v>
      </c>
      <c r="BS21" s="368">
        <f>SUM(AC21,AG21,AU21,AY21,BC21,BG21,BK21,BO21)</f>
        <v>0.0005173175</v>
      </c>
      <c r="BT21" s="88"/>
      <c r="BU21" s="89" t="s">
        <v>63</v>
      </c>
      <c r="BV21" s="71"/>
      <c r="BW21" s="3"/>
      <c r="BX21" s="3"/>
      <c r="BY21" s="3"/>
      <c r="BZ21" s="3"/>
      <c r="CA21" s="3"/>
      <c r="CB21" s="3"/>
    </row>
    <row r="22" ht="15.75" customHeight="1">
      <c r="A22" s="1"/>
      <c r="B22" s="26"/>
      <c r="C22" s="27"/>
      <c r="D22" s="28"/>
      <c r="E22" s="29"/>
      <c r="F22" s="30"/>
      <c r="G22" s="31"/>
      <c r="H22" s="32"/>
      <c r="I22" s="33"/>
      <c r="J22" s="72" t="s">
        <v>66</v>
      </c>
      <c r="K22" s="73"/>
      <c r="L22" s="167">
        <v>0.0</v>
      </c>
      <c r="M22" s="91"/>
      <c r="N22" s="92">
        <f t="shared" ref="N22:N25" si="103">IFERROR(M22-L22,"-")</f>
        <v>0</v>
      </c>
      <c r="O22" s="93" t="str">
        <f t="shared" ref="O22:O25" si="104">IFERROR(M22/L22-1,"-")</f>
        <v>-</v>
      </c>
      <c r="P22" s="167">
        <v>0.0</v>
      </c>
      <c r="Q22" s="91"/>
      <c r="R22" s="92">
        <f t="shared" ref="R22:R25" si="105">IFERROR(Q22-P22,"-")</f>
        <v>0</v>
      </c>
      <c r="S22" s="93" t="str">
        <f t="shared" ref="S22:S25" si="106">IFERROR(Q22/P22-1,"-")</f>
        <v>-</v>
      </c>
      <c r="T22" s="90">
        <v>0.0</v>
      </c>
      <c r="U22" s="91"/>
      <c r="V22" s="92">
        <f t="shared" ref="V22:V25" si="107">IFERROR(U22-T22,"-")</f>
        <v>0</v>
      </c>
      <c r="W22" s="93" t="str">
        <f t="shared" ref="W22:W25" si="108">IFERROR(U22/T22-1,"-")</f>
        <v>-</v>
      </c>
      <c r="X22" s="90">
        <v>0.0</v>
      </c>
      <c r="Y22" s="91"/>
      <c r="Z22" s="92">
        <f t="shared" ref="Z22:Z25" si="109">IFERROR(Y22-X22,"-")</f>
        <v>0</v>
      </c>
      <c r="AA22" s="93" t="str">
        <f t="shared" ref="AA22:AA25" si="110">IFERROR(Y22/X22-1,"-")</f>
        <v>-</v>
      </c>
      <c r="AB22" s="96">
        <f>($BR$22-($L$22+$P$22+T22+X22))*AB21</f>
        <v>40000</v>
      </c>
      <c r="AC22" s="91">
        <v>40.0</v>
      </c>
      <c r="AD22" s="92">
        <f t="shared" ref="AD22:AD25" si="111">IFERROR(AC22-AB22,"-")</f>
        <v>-39960</v>
      </c>
      <c r="AE22" s="93">
        <f t="shared" ref="AE22:AE25" si="112">IFERROR(AC22/AB22-1,"-")</f>
        <v>-0.999</v>
      </c>
      <c r="AF22" s="96">
        <f>($BR$22-($L$22+$P$22+$T$22+$X$22))*AF21</f>
        <v>200000</v>
      </c>
      <c r="AG22" s="91"/>
      <c r="AH22" s="91"/>
      <c r="AI22" s="100">
        <v>78.89</v>
      </c>
      <c r="AJ22" s="100">
        <v>9.9</v>
      </c>
      <c r="AK22" s="100">
        <v>0.0</v>
      </c>
      <c r="AL22" s="91"/>
      <c r="AM22" s="92">
        <f t="shared" ref="AM22:AM25" si="113">IFERROR(AL22-AF22,"-")</f>
        <v>-200000</v>
      </c>
      <c r="AN22" s="93">
        <f t="shared" ref="AN22:AN25" si="114">IFERROR(AL22/AF22-1,"-")</f>
        <v>-1</v>
      </c>
      <c r="AO22" s="96">
        <f>($BR$22-($L$22+$P$22+$T$22+$X$22))*AO21</f>
        <v>400000</v>
      </c>
      <c r="AP22" s="100">
        <v>0.0</v>
      </c>
      <c r="AQ22" s="353">
        <v>2029.27</v>
      </c>
      <c r="AR22" s="354"/>
      <c r="AS22" s="354"/>
      <c r="AT22" s="354"/>
      <c r="AU22" s="91">
        <f t="shared" si="102"/>
        <v>2029.27</v>
      </c>
      <c r="AV22" s="92">
        <f t="shared" ref="AV22:AV25" si="115">IFERROR(AU22-AO22,"-")</f>
        <v>-397970.73</v>
      </c>
      <c r="AW22" s="93">
        <f t="shared" ref="AW22:AW25" si="116">IFERROR(AU22/AO22-1,"-")</f>
        <v>-0.994926825</v>
      </c>
      <c r="AX22" s="96">
        <f>($BR$22-($L$22+$P$22+$T$22+$X$22))*AX21</f>
        <v>560000</v>
      </c>
      <c r="AY22" s="91"/>
      <c r="AZ22" s="92">
        <f t="shared" ref="AZ22:AZ25" si="117">IFERROR(AY22-AX22,"-")</f>
        <v>-560000</v>
      </c>
      <c r="BA22" s="93">
        <f t="shared" ref="BA22:BA25" si="118">IFERROR(AY22/AX22-1,"-")</f>
        <v>-1</v>
      </c>
      <c r="BB22" s="96">
        <f>($BR$22-($L$22+$P$22+$T$22+$X$22))*BB21</f>
        <v>600000</v>
      </c>
      <c r="BC22" s="91"/>
      <c r="BD22" s="92">
        <f t="shared" ref="BD22:BD25" si="119">IFERROR(BC22-BB22,"-")</f>
        <v>-600000</v>
      </c>
      <c r="BE22" s="93">
        <f t="shared" ref="BE22:BE25" si="120">IFERROR(BC22/BB22-1,"-")</f>
        <v>-1</v>
      </c>
      <c r="BF22" s="96">
        <f>($BR$22-($L$22+$P$22+$T$22+$X$22))*BF21</f>
        <v>800000</v>
      </c>
      <c r="BG22" s="91"/>
      <c r="BH22" s="92">
        <f t="shared" ref="BH22:BH25" si="121">IFERROR(BG22-BF22,"-")</f>
        <v>-800000</v>
      </c>
      <c r="BI22" s="93">
        <f t="shared" ref="BI22:BI25" si="122">IFERROR(BG22/BF22-1,"-")</f>
        <v>-1</v>
      </c>
      <c r="BJ22" s="96">
        <f>($BR$22-($L$22+$P$22+$T$22+$X$22))*BJ21</f>
        <v>800000</v>
      </c>
      <c r="BK22" s="91"/>
      <c r="BL22" s="92">
        <f t="shared" ref="BL22:BL25" si="123">IFERROR(BK22-BJ22,"-")</f>
        <v>-800000</v>
      </c>
      <c r="BM22" s="93">
        <f t="shared" ref="BM22:BM25" si="124">IFERROR(BK22/BJ22-1,"-")</f>
        <v>-1</v>
      </c>
      <c r="BN22" s="96">
        <f>($BR$22-($L$22+$P$22+$T$22+$X$22))*BN21</f>
        <v>600000</v>
      </c>
      <c r="BO22" s="91"/>
      <c r="BP22" s="92">
        <f t="shared" ref="BP22:BP25" si="125">IFERROR(BO22-BN22,"-")</f>
        <v>-600000</v>
      </c>
      <c r="BQ22" s="93">
        <f t="shared" ref="BQ22:BQ25" si="126">IFERROR(BO22/BN22-1,"-")</f>
        <v>-1</v>
      </c>
      <c r="BR22" s="102">
        <v>4000000.0</v>
      </c>
      <c r="BS22" s="177">
        <f t="shared" ref="BS22:BS23" si="127">SUM(M22,Q22,U22,Y22,AC22,AG22,AU22,AY22,BC22,BG22,BK22,BO22)</f>
        <v>2069.27</v>
      </c>
      <c r="BT22" s="104">
        <f t="shared" ref="BT22:BT25" si="128">IFERROR(BS22/BR22-1,"-")</f>
        <v>-0.9994826825</v>
      </c>
      <c r="BU22" s="105" t="s">
        <v>63</v>
      </c>
      <c r="BV22" s="106" t="str">
        <f t="shared" ref="BV22:BV23" si="129">IFERROR((BR22/BU22),"-")</f>
        <v>-</v>
      </c>
      <c r="BW22" s="3"/>
      <c r="BX22" s="3"/>
      <c r="BY22" s="3"/>
      <c r="BZ22" s="3"/>
      <c r="CA22" s="3"/>
      <c r="CB22" s="3"/>
    </row>
    <row r="23" ht="15.75" customHeight="1">
      <c r="A23" s="1"/>
      <c r="B23" s="142"/>
      <c r="C23" s="143"/>
      <c r="D23" s="144"/>
      <c r="E23" s="192"/>
      <c r="F23" s="146"/>
      <c r="G23" s="31"/>
      <c r="H23" s="32"/>
      <c r="I23" s="193"/>
      <c r="J23" s="72" t="s">
        <v>67</v>
      </c>
      <c r="K23" s="107"/>
      <c r="L23" s="171">
        <f>L22/$K$24</f>
        <v>0</v>
      </c>
      <c r="M23" s="109"/>
      <c r="N23" s="110">
        <f t="shared" si="103"/>
        <v>0</v>
      </c>
      <c r="O23" s="93" t="str">
        <f t="shared" si="104"/>
        <v>-</v>
      </c>
      <c r="P23" s="171">
        <f>P22/$K$24</f>
        <v>0</v>
      </c>
      <c r="Q23" s="109"/>
      <c r="R23" s="110">
        <f t="shared" si="105"/>
        <v>0</v>
      </c>
      <c r="S23" s="93" t="str">
        <f t="shared" si="106"/>
        <v>-</v>
      </c>
      <c r="T23" s="108">
        <f>T22/$K$24</f>
        <v>0</v>
      </c>
      <c r="U23" s="109"/>
      <c r="V23" s="110">
        <f t="shared" si="107"/>
        <v>0</v>
      </c>
      <c r="W23" s="93" t="str">
        <f t="shared" si="108"/>
        <v>-</v>
      </c>
      <c r="X23" s="108">
        <f>X22/$K$24</f>
        <v>0</v>
      </c>
      <c r="Y23" s="109"/>
      <c r="Z23" s="110">
        <f t="shared" si="109"/>
        <v>0</v>
      </c>
      <c r="AA23" s="93" t="str">
        <f t="shared" si="110"/>
        <v>-</v>
      </c>
      <c r="AB23" s="112">
        <f>AB22/$K$24</f>
        <v>222.2222222</v>
      </c>
      <c r="AC23" s="109">
        <v>2.0</v>
      </c>
      <c r="AD23" s="110">
        <f t="shared" si="111"/>
        <v>-220.2222222</v>
      </c>
      <c r="AE23" s="93">
        <f t="shared" si="112"/>
        <v>-0.991</v>
      </c>
      <c r="AF23" s="112">
        <f>AF22/$K$24</f>
        <v>1111.111111</v>
      </c>
      <c r="AG23" s="109"/>
      <c r="AH23" s="109"/>
      <c r="AI23" s="114">
        <v>2.0</v>
      </c>
      <c r="AJ23" s="114">
        <v>1.0</v>
      </c>
      <c r="AK23" s="114">
        <v>0.0</v>
      </c>
      <c r="AL23" s="109"/>
      <c r="AM23" s="110">
        <f t="shared" si="113"/>
        <v>-1111.111111</v>
      </c>
      <c r="AN23" s="93">
        <f t="shared" si="114"/>
        <v>-1</v>
      </c>
      <c r="AO23" s="112">
        <f>AO22/$K$24</f>
        <v>2222.222222</v>
      </c>
      <c r="AP23" s="114">
        <v>0.0</v>
      </c>
      <c r="AQ23" s="356">
        <v>16.0</v>
      </c>
      <c r="AR23" s="357"/>
      <c r="AS23" s="357"/>
      <c r="AT23" s="357"/>
      <c r="AU23" s="109">
        <f t="shared" si="102"/>
        <v>16</v>
      </c>
      <c r="AV23" s="110">
        <f t="shared" si="115"/>
        <v>-2206.222222</v>
      </c>
      <c r="AW23" s="93">
        <f t="shared" si="116"/>
        <v>-0.9928</v>
      </c>
      <c r="AX23" s="112">
        <f>AX22/$K$24</f>
        <v>3111.111111</v>
      </c>
      <c r="AY23" s="109"/>
      <c r="AZ23" s="110">
        <f t="shared" si="117"/>
        <v>-3111.111111</v>
      </c>
      <c r="BA23" s="93">
        <f t="shared" si="118"/>
        <v>-1</v>
      </c>
      <c r="BB23" s="112">
        <f>BB22/$K$24</f>
        <v>3333.333333</v>
      </c>
      <c r="BC23" s="109"/>
      <c r="BD23" s="110">
        <f t="shared" si="119"/>
        <v>-3333.333333</v>
      </c>
      <c r="BE23" s="93">
        <f t="shared" si="120"/>
        <v>-1</v>
      </c>
      <c r="BF23" s="112">
        <f>BF22/$K$24</f>
        <v>4444.444444</v>
      </c>
      <c r="BG23" s="109"/>
      <c r="BH23" s="110">
        <f t="shared" si="121"/>
        <v>-4444.444444</v>
      </c>
      <c r="BI23" s="93">
        <f t="shared" si="122"/>
        <v>-1</v>
      </c>
      <c r="BJ23" s="112">
        <f>BJ22/$K$24</f>
        <v>4444.444444</v>
      </c>
      <c r="BK23" s="109"/>
      <c r="BL23" s="110">
        <f t="shared" si="123"/>
        <v>-4444.444444</v>
      </c>
      <c r="BM23" s="93">
        <f t="shared" si="124"/>
        <v>-1</v>
      </c>
      <c r="BN23" s="112">
        <f>BN22/$K$24</f>
        <v>3333.333333</v>
      </c>
      <c r="BO23" s="109"/>
      <c r="BP23" s="110">
        <f t="shared" si="125"/>
        <v>-3333.333333</v>
      </c>
      <c r="BQ23" s="93">
        <f t="shared" si="126"/>
        <v>-1</v>
      </c>
      <c r="BR23" s="207">
        <f>SUM(L23,P23,T23,X23,AB23,AF23,AO23,AX23,BB23,BF23,BJ23,BN23)</f>
        <v>22222.22222</v>
      </c>
      <c r="BS23" s="174">
        <f t="shared" si="127"/>
        <v>18</v>
      </c>
      <c r="BT23" s="104">
        <f t="shared" si="128"/>
        <v>-0.99919</v>
      </c>
      <c r="BU23" s="119" t="s">
        <v>63</v>
      </c>
      <c r="BV23" s="106" t="str">
        <f t="shared" si="129"/>
        <v>-</v>
      </c>
      <c r="BW23" s="4"/>
      <c r="BX23" s="3"/>
      <c r="BY23" s="3"/>
      <c r="BZ23" s="3"/>
      <c r="CA23" s="3"/>
      <c r="CB23" s="3"/>
    </row>
    <row r="24" ht="15.75" customHeight="1">
      <c r="A24" s="1"/>
      <c r="B24" s="142"/>
      <c r="C24" s="143"/>
      <c r="D24" s="144"/>
      <c r="E24" s="192"/>
      <c r="F24" s="146"/>
      <c r="G24" s="31"/>
      <c r="H24" s="32"/>
      <c r="I24" s="193"/>
      <c r="J24" s="72" t="s">
        <v>68</v>
      </c>
      <c r="K24" s="107">
        <v>180.0</v>
      </c>
      <c r="L24" s="167">
        <v>180.0</v>
      </c>
      <c r="M24" s="91" t="str">
        <f>IFERROR(M22/M23,"-")</f>
        <v>-</v>
      </c>
      <c r="N24" s="92" t="str">
        <f t="shared" si="103"/>
        <v>-</v>
      </c>
      <c r="O24" s="93" t="str">
        <f t="shared" si="104"/>
        <v>-</v>
      </c>
      <c r="P24" s="167">
        <v>180.0</v>
      </c>
      <c r="Q24" s="91" t="str">
        <f>IFERROR(Q22/Q23,"-")</f>
        <v>-</v>
      </c>
      <c r="R24" s="92" t="str">
        <f t="shared" si="105"/>
        <v>-</v>
      </c>
      <c r="S24" s="93" t="str">
        <f t="shared" si="106"/>
        <v>-</v>
      </c>
      <c r="T24" s="90">
        <v>180.0</v>
      </c>
      <c r="U24" s="91" t="str">
        <f>IFERROR(U22/U23,"-")</f>
        <v>-</v>
      </c>
      <c r="V24" s="92" t="str">
        <f t="shared" si="107"/>
        <v>-</v>
      </c>
      <c r="W24" s="93" t="str">
        <f t="shared" si="108"/>
        <v>-</v>
      </c>
      <c r="X24" s="167">
        <v>180.0</v>
      </c>
      <c r="Y24" s="91" t="str">
        <f>IFERROR(Y22/Y23,"-")</f>
        <v>-</v>
      </c>
      <c r="Z24" s="92" t="str">
        <f t="shared" si="109"/>
        <v>-</v>
      </c>
      <c r="AA24" s="93" t="str">
        <f t="shared" si="110"/>
        <v>-</v>
      </c>
      <c r="AB24" s="96">
        <f>AB22/AB23</f>
        <v>180</v>
      </c>
      <c r="AC24" s="91">
        <f>IFERROR(AC22/AC23,"-")</f>
        <v>20</v>
      </c>
      <c r="AD24" s="92">
        <f t="shared" si="111"/>
        <v>-160</v>
      </c>
      <c r="AE24" s="93">
        <f t="shared" si="112"/>
        <v>-0.8888888889</v>
      </c>
      <c r="AF24" s="369">
        <f>AF22/AF23</f>
        <v>180</v>
      </c>
      <c r="AG24" s="370" t="str">
        <f t="shared" ref="AG24:AL24" si="130">IFERROR(AG22/AG23,"-")</f>
        <v>-</v>
      </c>
      <c r="AH24" s="370" t="str">
        <f t="shared" si="130"/>
        <v>-</v>
      </c>
      <c r="AI24" s="370">
        <f t="shared" si="130"/>
        <v>39.445</v>
      </c>
      <c r="AJ24" s="370">
        <f t="shared" si="130"/>
        <v>9.9</v>
      </c>
      <c r="AK24" s="370" t="str">
        <f t="shared" si="130"/>
        <v>-</v>
      </c>
      <c r="AL24" s="370" t="str">
        <f t="shared" si="130"/>
        <v>-</v>
      </c>
      <c r="AM24" s="92" t="str">
        <f t="shared" si="113"/>
        <v>-</v>
      </c>
      <c r="AN24" s="93" t="str">
        <f t="shared" si="114"/>
        <v>-</v>
      </c>
      <c r="AO24" s="369">
        <f>AO22/AO23</f>
        <v>180</v>
      </c>
      <c r="AP24" s="370" t="str">
        <f t="shared" ref="AP24:AU24" si="131">IFERROR(AP22/AP23,"-")</f>
        <v>-</v>
      </c>
      <c r="AQ24" s="370">
        <f t="shared" si="131"/>
        <v>126.829375</v>
      </c>
      <c r="AR24" s="371" t="str">
        <f t="shared" si="131"/>
        <v>-</v>
      </c>
      <c r="AS24" s="371" t="str">
        <f t="shared" si="131"/>
        <v>-</v>
      </c>
      <c r="AT24" s="371" t="str">
        <f t="shared" si="131"/>
        <v>-</v>
      </c>
      <c r="AU24" s="370">
        <f t="shared" si="131"/>
        <v>126.829375</v>
      </c>
      <c r="AV24" s="92">
        <f t="shared" si="115"/>
        <v>-53.170625</v>
      </c>
      <c r="AW24" s="93">
        <f t="shared" si="116"/>
        <v>-0.2953923611</v>
      </c>
      <c r="AX24" s="96">
        <f>AX22/AX23</f>
        <v>180</v>
      </c>
      <c r="AY24" s="91" t="str">
        <f>IFERROR(AY22/AY23,"-")</f>
        <v>-</v>
      </c>
      <c r="AZ24" s="92" t="str">
        <f t="shared" si="117"/>
        <v>-</v>
      </c>
      <c r="BA24" s="93" t="str">
        <f t="shared" si="118"/>
        <v>-</v>
      </c>
      <c r="BB24" s="96">
        <f>BB22/BB23</f>
        <v>180</v>
      </c>
      <c r="BC24" s="91" t="str">
        <f>IFERROR(BC22/BC23,"-")</f>
        <v>-</v>
      </c>
      <c r="BD24" s="92" t="str">
        <f t="shared" si="119"/>
        <v>-</v>
      </c>
      <c r="BE24" s="93" t="str">
        <f t="shared" si="120"/>
        <v>-</v>
      </c>
      <c r="BF24" s="96">
        <f>BF22/BF23</f>
        <v>180</v>
      </c>
      <c r="BG24" s="91" t="str">
        <f>IFERROR(BG22/BG23,"-")</f>
        <v>-</v>
      </c>
      <c r="BH24" s="92" t="str">
        <f t="shared" si="121"/>
        <v>-</v>
      </c>
      <c r="BI24" s="93" t="str">
        <f t="shared" si="122"/>
        <v>-</v>
      </c>
      <c r="BJ24" s="96">
        <f>BJ22/BJ23</f>
        <v>180</v>
      </c>
      <c r="BK24" s="91" t="str">
        <f>IFERROR(BK22/BK23,"-")</f>
        <v>-</v>
      </c>
      <c r="BL24" s="92" t="str">
        <f t="shared" si="123"/>
        <v>-</v>
      </c>
      <c r="BM24" s="93" t="str">
        <f t="shared" si="124"/>
        <v>-</v>
      </c>
      <c r="BN24" s="96">
        <f>BN22/BN23</f>
        <v>180</v>
      </c>
      <c r="BO24" s="91" t="str">
        <f>IFERROR(BO22/BO23,"-")</f>
        <v>-</v>
      </c>
      <c r="BP24" s="92" t="str">
        <f t="shared" si="125"/>
        <v>-</v>
      </c>
      <c r="BQ24" s="93" t="str">
        <f t="shared" si="126"/>
        <v>-</v>
      </c>
      <c r="BR24" s="209">
        <f>BR22/BR23</f>
        <v>180</v>
      </c>
      <c r="BS24" s="380">
        <f>IFERROR(BS22/BS23,"-")</f>
        <v>114.9594444</v>
      </c>
      <c r="BT24" s="104">
        <f t="shared" si="128"/>
        <v>-0.3613364198</v>
      </c>
      <c r="BU24" s="119"/>
      <c r="BV24" s="106"/>
      <c r="BW24" s="4"/>
      <c r="BX24" s="3"/>
      <c r="BY24" s="3"/>
      <c r="BZ24" s="3"/>
      <c r="CA24" s="3"/>
      <c r="CB24" s="3"/>
    </row>
    <row r="25" ht="15.75" customHeight="1">
      <c r="A25" s="1"/>
      <c r="B25" s="142"/>
      <c r="C25" s="143"/>
      <c r="D25" s="144"/>
      <c r="E25" s="192"/>
      <c r="F25" s="146"/>
      <c r="G25" s="147"/>
      <c r="H25" s="148"/>
      <c r="I25" s="189"/>
      <c r="J25" s="124" t="s">
        <v>69</v>
      </c>
      <c r="K25" s="179">
        <v>4.5</v>
      </c>
      <c r="L25" s="132">
        <f t="shared" ref="L25:M25" si="132">$K$25*L23</f>
        <v>0</v>
      </c>
      <c r="M25" s="127">
        <f t="shared" si="132"/>
        <v>0</v>
      </c>
      <c r="N25" s="128">
        <f t="shared" si="103"/>
        <v>0</v>
      </c>
      <c r="O25" s="129" t="str">
        <f t="shared" si="104"/>
        <v>-</v>
      </c>
      <c r="P25" s="132">
        <f t="shared" ref="P25:Q25" si="133">$K$25*P23</f>
        <v>0</v>
      </c>
      <c r="Q25" s="127">
        <f t="shared" si="133"/>
        <v>0</v>
      </c>
      <c r="R25" s="128">
        <f t="shared" si="105"/>
        <v>0</v>
      </c>
      <c r="S25" s="129" t="str">
        <f t="shared" si="106"/>
        <v>-</v>
      </c>
      <c r="T25" s="126">
        <f t="shared" ref="T25:U25" si="134">$K$25*T23</f>
        <v>0</v>
      </c>
      <c r="U25" s="130">
        <f t="shared" si="134"/>
        <v>0</v>
      </c>
      <c r="V25" s="128">
        <f t="shared" si="107"/>
        <v>0</v>
      </c>
      <c r="W25" s="129" t="str">
        <f t="shared" si="108"/>
        <v>-</v>
      </c>
      <c r="X25" s="126">
        <f t="shared" ref="X25:Y25" si="135">$K$25*X23</f>
        <v>0</v>
      </c>
      <c r="Y25" s="130">
        <f t="shared" si="135"/>
        <v>0</v>
      </c>
      <c r="Z25" s="128">
        <f t="shared" si="109"/>
        <v>0</v>
      </c>
      <c r="AA25" s="129" t="str">
        <f t="shared" si="110"/>
        <v>-</v>
      </c>
      <c r="AB25" s="126">
        <f t="shared" ref="AB25:AC25" si="136">$K$25*AB23</f>
        <v>1000</v>
      </c>
      <c r="AC25" s="130">
        <f t="shared" si="136"/>
        <v>9</v>
      </c>
      <c r="AD25" s="128">
        <f t="shared" si="111"/>
        <v>-991</v>
      </c>
      <c r="AE25" s="134">
        <f t="shared" si="112"/>
        <v>-0.991</v>
      </c>
      <c r="AF25" s="381">
        <f t="shared" ref="AF25:AL25" si="137">$K$25*AF23</f>
        <v>5000</v>
      </c>
      <c r="AG25" s="382">
        <f t="shared" si="137"/>
        <v>0</v>
      </c>
      <c r="AH25" s="382">
        <f t="shared" si="137"/>
        <v>0</v>
      </c>
      <c r="AI25" s="382">
        <f t="shared" si="137"/>
        <v>9</v>
      </c>
      <c r="AJ25" s="382">
        <f t="shared" si="137"/>
        <v>4.5</v>
      </c>
      <c r="AK25" s="382">
        <f t="shared" si="137"/>
        <v>0</v>
      </c>
      <c r="AL25" s="382">
        <f t="shared" si="137"/>
        <v>0</v>
      </c>
      <c r="AM25" s="128">
        <f t="shared" si="113"/>
        <v>-5000</v>
      </c>
      <c r="AN25" s="134">
        <f t="shared" si="114"/>
        <v>-1</v>
      </c>
      <c r="AO25" s="381">
        <f t="shared" ref="AO25:AU25" si="138">$K$25*AO23</f>
        <v>10000</v>
      </c>
      <c r="AP25" s="382">
        <f t="shared" si="138"/>
        <v>0</v>
      </c>
      <c r="AQ25" s="382">
        <f t="shared" si="138"/>
        <v>72</v>
      </c>
      <c r="AR25" s="382">
        <f t="shared" si="138"/>
        <v>0</v>
      </c>
      <c r="AS25" s="382">
        <f t="shared" si="138"/>
        <v>0</v>
      </c>
      <c r="AT25" s="382">
        <f t="shared" si="138"/>
        <v>0</v>
      </c>
      <c r="AU25" s="382">
        <f t="shared" si="138"/>
        <v>72</v>
      </c>
      <c r="AV25" s="376">
        <f t="shared" si="115"/>
        <v>-9928</v>
      </c>
      <c r="AW25" s="129">
        <f t="shared" si="116"/>
        <v>-0.9928</v>
      </c>
      <c r="AX25" s="126">
        <f t="shared" ref="AX25:AY25" si="139">$K$25*AX23</f>
        <v>14000</v>
      </c>
      <c r="AY25" s="130">
        <f t="shared" si="139"/>
        <v>0</v>
      </c>
      <c r="AZ25" s="128">
        <f t="shared" si="117"/>
        <v>-14000</v>
      </c>
      <c r="BA25" s="129">
        <f t="shared" si="118"/>
        <v>-1</v>
      </c>
      <c r="BB25" s="126">
        <f t="shared" ref="BB25:BC25" si="140">$K$25*BB23</f>
        <v>15000</v>
      </c>
      <c r="BC25" s="130">
        <f t="shared" si="140"/>
        <v>0</v>
      </c>
      <c r="BD25" s="128">
        <f t="shared" si="119"/>
        <v>-15000</v>
      </c>
      <c r="BE25" s="129">
        <f t="shared" si="120"/>
        <v>-1</v>
      </c>
      <c r="BF25" s="126">
        <f t="shared" ref="BF25:BG25" si="141">$K$25*BF23</f>
        <v>20000</v>
      </c>
      <c r="BG25" s="130">
        <f t="shared" si="141"/>
        <v>0</v>
      </c>
      <c r="BH25" s="128">
        <f t="shared" si="121"/>
        <v>-20000</v>
      </c>
      <c r="BI25" s="129">
        <f t="shared" si="122"/>
        <v>-1</v>
      </c>
      <c r="BJ25" s="126">
        <f t="shared" ref="BJ25:BK25" si="142">$K$25*BJ23</f>
        <v>20000</v>
      </c>
      <c r="BK25" s="130">
        <f t="shared" si="142"/>
        <v>0</v>
      </c>
      <c r="BL25" s="128">
        <f t="shared" si="123"/>
        <v>-20000</v>
      </c>
      <c r="BM25" s="129">
        <f t="shared" si="124"/>
        <v>-1</v>
      </c>
      <c r="BN25" s="126">
        <f t="shared" ref="BN25:BO25" si="143">$K$25*BN23</f>
        <v>15000</v>
      </c>
      <c r="BO25" s="130">
        <f t="shared" si="143"/>
        <v>0</v>
      </c>
      <c r="BP25" s="128">
        <f t="shared" si="125"/>
        <v>-15000</v>
      </c>
      <c r="BQ25" s="129">
        <f t="shared" si="126"/>
        <v>-1</v>
      </c>
      <c r="BR25" s="213">
        <f>SUM(L25,P25,T25,X25,AB25,AF25,AO25,AX25,BB25,BF25,BJ25,BN25)</f>
        <v>100000</v>
      </c>
      <c r="BS25" s="183">
        <f>SUM(M25,Q25,U25,Y25,AC25,AG25,AU25,AY25,BC25,BG25,BK25,BO25)</f>
        <v>81</v>
      </c>
      <c r="BT25" s="139">
        <f t="shared" si="128"/>
        <v>-0.99919</v>
      </c>
      <c r="BU25" s="140" t="s">
        <v>63</v>
      </c>
      <c r="BV25" s="141" t="str">
        <f>IFERROR((BR25/BU25),"-")</f>
        <v>-</v>
      </c>
      <c r="BW25" s="194"/>
      <c r="BX25" s="194"/>
      <c r="BY25" s="3"/>
      <c r="BZ25" s="3"/>
      <c r="CA25" s="3"/>
      <c r="CB25" s="3"/>
    </row>
    <row r="26" ht="15.75" customHeight="1">
      <c r="A26" s="1"/>
      <c r="B26" s="142"/>
      <c r="C26" s="143"/>
      <c r="D26" s="144"/>
      <c r="E26" s="192"/>
      <c r="F26" s="146"/>
      <c r="G26" s="147"/>
      <c r="H26" s="148"/>
      <c r="I26" s="189"/>
      <c r="J26" s="12"/>
      <c r="K26" s="195"/>
      <c r="L26" s="12"/>
      <c r="M26" s="196"/>
      <c r="N26" s="196"/>
      <c r="O26" s="197"/>
      <c r="P26" s="196"/>
      <c r="Q26" s="23"/>
      <c r="R26" s="196"/>
      <c r="S26" s="12"/>
      <c r="T26" s="12"/>
      <c r="U26" s="12"/>
      <c r="V26" s="12"/>
      <c r="W26" s="12"/>
      <c r="X26" s="13"/>
      <c r="Y26" s="14"/>
      <c r="Z26" s="15"/>
      <c r="AA26" s="3"/>
      <c r="AB26" s="3"/>
      <c r="AC26" s="3"/>
      <c r="AD26" s="3"/>
      <c r="AE26" s="3"/>
      <c r="AF26" s="3"/>
      <c r="AG26" s="363"/>
      <c r="AH26" s="363"/>
      <c r="AI26" s="363"/>
      <c r="AJ26" s="363"/>
      <c r="AK26" s="363"/>
      <c r="AL26" s="363"/>
      <c r="AP26" s="363"/>
      <c r="AQ26" s="363"/>
      <c r="AR26" s="363"/>
      <c r="AS26" s="363"/>
      <c r="AT26" s="363"/>
      <c r="BA26" s="187"/>
      <c r="BB26" s="25"/>
      <c r="BC26" s="188"/>
      <c r="BD26" s="25"/>
    </row>
    <row r="27" ht="15.75" customHeight="1">
      <c r="A27" s="1"/>
      <c r="B27" s="142"/>
      <c r="C27" s="143"/>
      <c r="D27" s="144"/>
      <c r="E27" s="192"/>
      <c r="F27" s="146"/>
      <c r="G27" s="147"/>
      <c r="H27" s="148"/>
      <c r="I27" s="149"/>
      <c r="J27" s="34" t="s">
        <v>76</v>
      </c>
      <c r="K27" s="198"/>
      <c r="L27" s="36" t="s">
        <v>10</v>
      </c>
      <c r="M27" s="199" t="s">
        <v>11</v>
      </c>
      <c r="N27" s="38" t="s">
        <v>12</v>
      </c>
      <c r="O27" s="45" t="s">
        <v>13</v>
      </c>
      <c r="P27" s="157" t="s">
        <v>14</v>
      </c>
      <c r="Q27" s="199" t="s">
        <v>15</v>
      </c>
      <c r="R27" s="38" t="s">
        <v>16</v>
      </c>
      <c r="S27" s="45" t="s">
        <v>17</v>
      </c>
      <c r="T27" s="43" t="s">
        <v>18</v>
      </c>
      <c r="U27" s="199" t="s">
        <v>19</v>
      </c>
      <c r="V27" s="38" t="s">
        <v>20</v>
      </c>
      <c r="W27" s="45" t="s">
        <v>21</v>
      </c>
      <c r="X27" s="44" t="s">
        <v>22</v>
      </c>
      <c r="Y27" s="199" t="s">
        <v>23</v>
      </c>
      <c r="Z27" s="38" t="s">
        <v>24</v>
      </c>
      <c r="AA27" s="45" t="s">
        <v>25</v>
      </c>
      <c r="AB27" s="43" t="s">
        <v>26</v>
      </c>
      <c r="AC27" s="199" t="s">
        <v>27</v>
      </c>
      <c r="AD27" s="38" t="s">
        <v>28</v>
      </c>
      <c r="AE27" s="45" t="s">
        <v>29</v>
      </c>
      <c r="AF27" s="44" t="s">
        <v>30</v>
      </c>
      <c r="AG27" s="343" t="s">
        <v>120</v>
      </c>
      <c r="AH27" s="344" t="s">
        <v>121</v>
      </c>
      <c r="AI27" s="344" t="s">
        <v>122</v>
      </c>
      <c r="AJ27" s="344" t="s">
        <v>123</v>
      </c>
      <c r="AK27" s="344" t="s">
        <v>124</v>
      </c>
      <c r="AL27" s="344" t="s">
        <v>31</v>
      </c>
      <c r="AM27" s="38" t="s">
        <v>32</v>
      </c>
      <c r="AN27" s="45" t="s">
        <v>33</v>
      </c>
      <c r="AO27" s="43" t="s">
        <v>34</v>
      </c>
      <c r="AP27" s="343" t="s">
        <v>125</v>
      </c>
      <c r="AQ27" s="344" t="s">
        <v>126</v>
      </c>
      <c r="AR27" s="344" t="s">
        <v>127</v>
      </c>
      <c r="AS27" s="344" t="s">
        <v>128</v>
      </c>
      <c r="AT27" s="344" t="s">
        <v>129</v>
      </c>
      <c r="AU27" s="41" t="s">
        <v>35</v>
      </c>
      <c r="AV27" s="38" t="s">
        <v>36</v>
      </c>
      <c r="AW27" s="45" t="s">
        <v>37</v>
      </c>
      <c r="AX27" s="44" t="s">
        <v>38</v>
      </c>
      <c r="AY27" s="199" t="s">
        <v>39</v>
      </c>
      <c r="AZ27" s="38" t="s">
        <v>40</v>
      </c>
      <c r="BA27" s="42" t="s">
        <v>41</v>
      </c>
      <c r="BB27" s="43" t="s">
        <v>42</v>
      </c>
      <c r="BC27" s="199" t="s">
        <v>43</v>
      </c>
      <c r="BD27" s="38" t="s">
        <v>44</v>
      </c>
      <c r="BE27" s="45" t="s">
        <v>45</v>
      </c>
      <c r="BF27" s="44" t="s">
        <v>46</v>
      </c>
      <c r="BG27" s="199" t="s">
        <v>47</v>
      </c>
      <c r="BH27" s="38" t="s">
        <v>48</v>
      </c>
      <c r="BI27" s="45" t="s">
        <v>49</v>
      </c>
      <c r="BJ27" s="43" t="s">
        <v>50</v>
      </c>
      <c r="BK27" s="199" t="s">
        <v>51</v>
      </c>
      <c r="BL27" s="38" t="s">
        <v>52</v>
      </c>
      <c r="BM27" s="45" t="s">
        <v>53</v>
      </c>
      <c r="BN27" s="201" t="s">
        <v>54</v>
      </c>
      <c r="BO27" s="199" t="s">
        <v>55</v>
      </c>
      <c r="BP27" s="38" t="s">
        <v>56</v>
      </c>
      <c r="BQ27" s="42" t="s">
        <v>57</v>
      </c>
      <c r="BR27" s="345">
        <v>2026.0</v>
      </c>
      <c r="BS27" s="37" t="s">
        <v>61</v>
      </c>
      <c r="BT27" s="51" t="s">
        <v>62</v>
      </c>
      <c r="BU27" s="52">
        <v>2025.0</v>
      </c>
      <c r="BV27" s="53"/>
      <c r="BW27" s="3"/>
      <c r="BX27" s="3"/>
      <c r="BY27" s="3"/>
      <c r="BZ27" s="3"/>
      <c r="CA27" s="3"/>
      <c r="CB27" s="3"/>
    </row>
    <row r="28" ht="15.75" customHeight="1">
      <c r="A28" s="1"/>
      <c r="B28" s="142"/>
      <c r="C28" s="143"/>
      <c r="D28" s="144"/>
      <c r="E28" s="192"/>
      <c r="F28" s="146"/>
      <c r="G28" s="147"/>
      <c r="H28" s="148"/>
      <c r="I28" s="149"/>
      <c r="J28" s="346" t="s">
        <v>130</v>
      </c>
      <c r="K28" s="55"/>
      <c r="L28" s="56"/>
      <c r="M28" s="202"/>
      <c r="N28" s="58"/>
      <c r="O28" s="59"/>
      <c r="P28" s="56"/>
      <c r="Q28" s="202"/>
      <c r="R28" s="58"/>
      <c r="S28" s="59"/>
      <c r="T28" s="62"/>
      <c r="U28" s="63"/>
      <c r="V28" s="58"/>
      <c r="W28" s="59"/>
      <c r="X28" s="62"/>
      <c r="Y28" s="63"/>
      <c r="Z28" s="58"/>
      <c r="AA28" s="59"/>
      <c r="AB28" s="62"/>
      <c r="AC28" s="63"/>
      <c r="AD28" s="58"/>
      <c r="AE28" s="59"/>
      <c r="AF28" s="62"/>
      <c r="AG28" s="347">
        <f t="shared" ref="AG28:AK28" si="144">$AF$29/5</f>
        <v>0.016</v>
      </c>
      <c r="AH28" s="347">
        <f t="shared" si="144"/>
        <v>0.016</v>
      </c>
      <c r="AI28" s="347">
        <f t="shared" si="144"/>
        <v>0.016</v>
      </c>
      <c r="AJ28" s="347">
        <f t="shared" si="144"/>
        <v>0.016</v>
      </c>
      <c r="AK28" s="347">
        <f t="shared" si="144"/>
        <v>0.016</v>
      </c>
      <c r="AL28" s="347"/>
      <c r="AM28" s="58"/>
      <c r="AN28" s="59"/>
      <c r="AO28" s="62"/>
      <c r="AP28" s="347">
        <f t="shared" ref="AP28:AT28" si="145">$AO$29/5</f>
        <v>0.026</v>
      </c>
      <c r="AQ28" s="347">
        <f t="shared" si="145"/>
        <v>0.026</v>
      </c>
      <c r="AR28" s="347">
        <f t="shared" si="145"/>
        <v>0.026</v>
      </c>
      <c r="AS28" s="347">
        <f t="shared" si="145"/>
        <v>0.026</v>
      </c>
      <c r="AT28" s="347">
        <f t="shared" si="145"/>
        <v>0.026</v>
      </c>
      <c r="AU28" s="63"/>
      <c r="AV28" s="58"/>
      <c r="AW28" s="59"/>
      <c r="AX28" s="62"/>
      <c r="AY28" s="63"/>
      <c r="AZ28" s="58"/>
      <c r="BA28" s="61"/>
      <c r="BB28" s="62"/>
      <c r="BC28" s="63"/>
      <c r="BD28" s="58"/>
      <c r="BE28" s="59"/>
      <c r="BF28" s="62"/>
      <c r="BG28" s="63"/>
      <c r="BH28" s="58"/>
      <c r="BI28" s="59"/>
      <c r="BJ28" s="62"/>
      <c r="BK28" s="63"/>
      <c r="BL28" s="58"/>
      <c r="BM28" s="59"/>
      <c r="BN28" s="203"/>
      <c r="BO28" s="63"/>
      <c r="BP28" s="58"/>
      <c r="BQ28" s="61"/>
      <c r="BR28" s="66"/>
      <c r="BS28" s="349"/>
      <c r="BT28" s="69"/>
      <c r="BU28" s="70"/>
      <c r="BV28" s="71"/>
      <c r="BW28" s="3"/>
      <c r="BX28" s="3"/>
      <c r="BY28" s="3"/>
      <c r="BZ28" s="3"/>
      <c r="CA28" s="3"/>
      <c r="CB28" s="3"/>
    </row>
    <row r="29" ht="15.75" customHeight="1">
      <c r="A29" s="1"/>
      <c r="B29" s="142">
        <v>5.0</v>
      </c>
      <c r="C29" s="143" t="s">
        <v>77</v>
      </c>
      <c r="D29" s="144">
        <f>28*2*12</f>
        <v>672</v>
      </c>
      <c r="E29" s="192"/>
      <c r="F29" s="146">
        <f>D29*35</f>
        <v>23520</v>
      </c>
      <c r="G29" s="147">
        <v>14.9</v>
      </c>
      <c r="H29" s="148">
        <v>1.0</v>
      </c>
      <c r="I29" s="149">
        <v>14.9</v>
      </c>
      <c r="J29" s="72" t="s">
        <v>64</v>
      </c>
      <c r="K29" s="73"/>
      <c r="L29" s="74" t="s">
        <v>63</v>
      </c>
      <c r="M29" s="204" t="s">
        <v>63</v>
      </c>
      <c r="N29" s="76" t="s">
        <v>63</v>
      </c>
      <c r="O29" s="77" t="s">
        <v>65</v>
      </c>
      <c r="P29" s="74" t="s">
        <v>63</v>
      </c>
      <c r="Q29" s="204" t="s">
        <v>63</v>
      </c>
      <c r="R29" s="76" t="s">
        <v>63</v>
      </c>
      <c r="S29" s="77" t="s">
        <v>65</v>
      </c>
      <c r="T29" s="80">
        <v>0.03</v>
      </c>
      <c r="U29" s="81">
        <f>U30/(BR30-(L30 + P30))</f>
        <v>0.02879612608</v>
      </c>
      <c r="V29" s="76" t="s">
        <v>63</v>
      </c>
      <c r="W29" s="77" t="s">
        <v>65</v>
      </c>
      <c r="X29" s="80">
        <v>0.03</v>
      </c>
      <c r="Y29" s="81">
        <f>Y30/(BR30-(L30+P30))</f>
        <v>0.02240856239</v>
      </c>
      <c r="Z29" s="76" t="s">
        <v>63</v>
      </c>
      <c r="AA29" s="77" t="s">
        <v>65</v>
      </c>
      <c r="AB29" s="80">
        <v>0.05</v>
      </c>
      <c r="AC29" s="81">
        <f>AC30/(BR30-(L30+P30))</f>
        <v>0.02664965997</v>
      </c>
      <c r="AD29" s="76" t="s">
        <v>63</v>
      </c>
      <c r="AE29" s="77" t="s">
        <v>65</v>
      </c>
      <c r="AF29" s="80">
        <v>0.08</v>
      </c>
      <c r="AG29" s="350">
        <f t="shared" ref="AG29:AK29" si="146">AG30/($BR$30-($L$30+$P$30))</f>
        <v>0.00611913753</v>
      </c>
      <c r="AH29" s="350">
        <f t="shared" si="146"/>
        <v>0.00632571369</v>
      </c>
      <c r="AI29" s="350">
        <f t="shared" si="146"/>
        <v>0.006139438357</v>
      </c>
      <c r="AJ29" s="350">
        <f t="shared" si="146"/>
        <v>0.007241180785</v>
      </c>
      <c r="AK29" s="350">
        <f t="shared" si="146"/>
        <v>0.001116292806</v>
      </c>
      <c r="AL29" s="351">
        <f t="shared" ref="AL29:AL31" si="148">SUM(AG29:AK29)</f>
        <v>0.02694176317</v>
      </c>
      <c r="AM29" s="352">
        <f>AL29-AF29</f>
        <v>-0.05305823683</v>
      </c>
      <c r="AN29" s="77" t="s">
        <v>65</v>
      </c>
      <c r="AO29" s="80">
        <v>0.13</v>
      </c>
      <c r="AP29" s="350">
        <f t="shared" ref="AP29:AT29" si="147">AP30/($BR$30-($L$30+$P$30))</f>
        <v>0.007001905481</v>
      </c>
      <c r="AQ29" s="350">
        <f t="shared" si="147"/>
        <v>0.009665432777</v>
      </c>
      <c r="AR29" s="350">
        <f t="shared" si="147"/>
        <v>0</v>
      </c>
      <c r="AS29" s="350">
        <f t="shared" si="147"/>
        <v>0</v>
      </c>
      <c r="AT29" s="350">
        <f t="shared" si="147"/>
        <v>0</v>
      </c>
      <c r="AU29" s="351">
        <f t="shared" ref="AU29:AU31" si="149">SUM(AP29:AT29)</f>
        <v>0.01666733826</v>
      </c>
      <c r="AV29" s="76" t="s">
        <v>63</v>
      </c>
      <c r="AW29" s="77" t="s">
        <v>65</v>
      </c>
      <c r="AX29" s="80">
        <v>0.13</v>
      </c>
      <c r="AY29" s="81">
        <f>AY30/(BR30-(L30+P30))</f>
        <v>0</v>
      </c>
      <c r="AZ29" s="76" t="s">
        <v>63</v>
      </c>
      <c r="BA29" s="79" t="s">
        <v>65</v>
      </c>
      <c r="BB29" s="80">
        <v>0.13</v>
      </c>
      <c r="BC29" s="81">
        <f>BC30/(BR30-(L30+P30))</f>
        <v>0</v>
      </c>
      <c r="BD29" s="76" t="s">
        <v>63</v>
      </c>
      <c r="BE29" s="77" t="s">
        <v>65</v>
      </c>
      <c r="BF29" s="80">
        <v>0.13</v>
      </c>
      <c r="BG29" s="81">
        <f>BG30/(BR30-(L30+P30))</f>
        <v>0</v>
      </c>
      <c r="BH29" s="76" t="s">
        <v>63</v>
      </c>
      <c r="BI29" s="77" t="s">
        <v>65</v>
      </c>
      <c r="BJ29" s="80">
        <v>0.16</v>
      </c>
      <c r="BK29" s="81">
        <f>BK30/(BR30-(L30+P30))</f>
        <v>0</v>
      </c>
      <c r="BL29" s="76" t="s">
        <v>63</v>
      </c>
      <c r="BM29" s="77" t="s">
        <v>65</v>
      </c>
      <c r="BN29" s="205">
        <v>0.13</v>
      </c>
      <c r="BO29" s="81">
        <f>BO30/(BR30-(L30+P30))</f>
        <v>0</v>
      </c>
      <c r="BP29" s="76" t="s">
        <v>63</v>
      </c>
      <c r="BQ29" s="79" t="s">
        <v>65</v>
      </c>
      <c r="BR29" s="84">
        <f>SUM(T29,X29,AB29,AF29,AO29,AX29,BB29,BF29,BJ29,BN29)</f>
        <v>1</v>
      </c>
      <c r="BS29" s="350">
        <f>SUM(U29,Y29,AC29,AG29,AU29,AY29,BC29,BG29,BK29,BO29)</f>
        <v>0.1006408242</v>
      </c>
      <c r="BT29" s="88"/>
      <c r="BU29" s="89" t="s">
        <v>63</v>
      </c>
      <c r="BV29" s="71"/>
      <c r="BW29" s="3"/>
      <c r="BX29" s="3"/>
      <c r="BY29" s="3"/>
      <c r="BZ29" s="3"/>
      <c r="CA29" s="3"/>
      <c r="CB29" s="3"/>
    </row>
    <row r="30" ht="15.75" customHeight="1">
      <c r="A30" s="1"/>
      <c r="B30" s="142"/>
      <c r="C30" s="143"/>
      <c r="D30" s="144"/>
      <c r="E30" s="192"/>
      <c r="F30" s="146"/>
      <c r="G30" s="147"/>
      <c r="H30" s="148"/>
      <c r="I30" s="149"/>
      <c r="J30" s="72" t="s">
        <v>66</v>
      </c>
      <c r="K30" s="73"/>
      <c r="L30" s="167">
        <v>138541.22</v>
      </c>
      <c r="M30" s="91">
        <v>150043.78</v>
      </c>
      <c r="N30" s="92">
        <f t="shared" ref="N30:N33" si="150">IFERROR(M30-L30,"-")</f>
        <v>11502.56</v>
      </c>
      <c r="O30" s="93">
        <f t="shared" ref="O30:O33" si="151">IFERROR(M30/L30-1,"-")</f>
        <v>0.08302626467</v>
      </c>
      <c r="P30" s="167">
        <v>119609.0</v>
      </c>
      <c r="Q30" s="91">
        <v>130221.82</v>
      </c>
      <c r="R30" s="92">
        <f t="shared" ref="R30:R33" si="152">IFERROR(Q30-P30,"-")</f>
        <v>10612.82</v>
      </c>
      <c r="S30" s="93">
        <f t="shared" ref="S30:S33" si="153">IFERROR(Q30/P30-1,"-")</f>
        <v>0.08872927623</v>
      </c>
      <c r="T30" s="96">
        <f>($BR$30-($L$30+$P$30))*T29</f>
        <v>137728.3802</v>
      </c>
      <c r="U30" s="91">
        <v>132201.46</v>
      </c>
      <c r="V30" s="92">
        <f t="shared" ref="V30:V33" si="154">IFERROR(U30-T30,"-")</f>
        <v>-5526.920171</v>
      </c>
      <c r="W30" s="93">
        <f t="shared" ref="W30:W33" si="155">IFERROR(U30/T30-1,"-")</f>
        <v>-0.04012913071</v>
      </c>
      <c r="X30" s="96">
        <f>($BR$30-($L$30+$P$30))*X29</f>
        <v>137728.3802</v>
      </c>
      <c r="Y30" s="91">
        <v>102876.5</v>
      </c>
      <c r="Z30" s="92">
        <f t="shared" ref="Z30:Z33" si="156">IFERROR(Y30-X30,"-")</f>
        <v>-34851.88017</v>
      </c>
      <c r="AA30" s="93">
        <f t="shared" ref="AA30:AA33" si="157">IFERROR(Y30/X30-1,"-")</f>
        <v>-0.2530479203</v>
      </c>
      <c r="AB30" s="96">
        <f>($BR$30-($L$30+$P$30))*AB29</f>
        <v>229547.3003</v>
      </c>
      <c r="AC30" s="91">
        <v>122347.15</v>
      </c>
      <c r="AD30" s="92">
        <f t="shared" ref="AD30:AD33" si="158">IFERROR(AC30-AB30,"-")</f>
        <v>-107200.1503</v>
      </c>
      <c r="AE30" s="93">
        <f t="shared" ref="AE30:AE33" si="159">IFERROR(AC30/AB30-1,"-")</f>
        <v>-0.4670068006</v>
      </c>
      <c r="AF30" s="96">
        <f>($BR$30-($L$30+$P$30))*AF29</f>
        <v>367275.6805</v>
      </c>
      <c r="AG30" s="100">
        <v>28092.63</v>
      </c>
      <c r="AH30" s="100">
        <v>29041.01</v>
      </c>
      <c r="AI30" s="100">
        <v>28185.83</v>
      </c>
      <c r="AJ30" s="100">
        <v>33243.87</v>
      </c>
      <c r="AK30" s="100">
        <v>5124.84</v>
      </c>
      <c r="AL30" s="355">
        <f t="shared" si="148"/>
        <v>123688.18</v>
      </c>
      <c r="AM30" s="92">
        <f t="shared" ref="AM30:AM33" si="160">IFERROR(AL30-AF30,"-")</f>
        <v>-243587.5005</v>
      </c>
      <c r="AN30" s="93">
        <f t="shared" ref="AN30:AN33" si="161">IFERROR(AL30/AF30-1,"-")</f>
        <v>-0.6632279604</v>
      </c>
      <c r="AO30" s="96">
        <f>($BR$30-($L$30+$P$30))*AO29</f>
        <v>596822.9807</v>
      </c>
      <c r="AP30" s="100">
        <v>32145.37</v>
      </c>
      <c r="AQ30" s="353">
        <v>44373.48</v>
      </c>
      <c r="AR30" s="354"/>
      <c r="AS30" s="354"/>
      <c r="AT30" s="354"/>
      <c r="AU30" s="91">
        <f t="shared" si="149"/>
        <v>76518.85</v>
      </c>
      <c r="AV30" s="92">
        <f t="shared" ref="AV30:AV33" si="162">IFERROR(AU30-AO30,"-")</f>
        <v>-520304.1307</v>
      </c>
      <c r="AW30" s="93">
        <f t="shared" ref="AW30:AW33" si="163">IFERROR(AU30/AO30-1,"-")</f>
        <v>-0.8717897057</v>
      </c>
      <c r="AX30" s="96">
        <f>($BR$30-($L$30+$P$30))*AX29</f>
        <v>596822.9807</v>
      </c>
      <c r="AY30" s="91"/>
      <c r="AZ30" s="92">
        <f t="shared" ref="AZ30:AZ33" si="164">IFERROR(AY30-AX30,"-")</f>
        <v>-596822.9807</v>
      </c>
      <c r="BA30" s="95">
        <f t="shared" ref="BA30:BA33" si="165">IFERROR(AY30/AX30-1,"-")</f>
        <v>-1</v>
      </c>
      <c r="BB30" s="96">
        <f>($BR$30-($L$30+$P$30))*BB29</f>
        <v>596822.9807</v>
      </c>
      <c r="BC30" s="91"/>
      <c r="BD30" s="92">
        <f t="shared" ref="BD30:BD33" si="166">IFERROR(BC30-BB30,"-")</f>
        <v>-596822.9807</v>
      </c>
      <c r="BE30" s="93">
        <f t="shared" ref="BE30:BE33" si="167">IFERROR(BC30/BB30-1,"-")</f>
        <v>-1</v>
      </c>
      <c r="BF30" s="96">
        <f>($BR$30-($L$30+$P$30))*BF29</f>
        <v>596822.9807</v>
      </c>
      <c r="BG30" s="91"/>
      <c r="BH30" s="92">
        <f t="shared" ref="BH30:BH33" si="168">IFERROR(BG30-BF30,"-")</f>
        <v>-596822.9807</v>
      </c>
      <c r="BI30" s="93">
        <f t="shared" ref="BI30:BI33" si="169">IFERROR(BG30/BF30-1,"-")</f>
        <v>-1</v>
      </c>
      <c r="BJ30" s="96">
        <f>($BR$30-($L$30+$P$30))*BJ29</f>
        <v>734551.3609</v>
      </c>
      <c r="BK30" s="91"/>
      <c r="BL30" s="92">
        <f t="shared" ref="BL30:BL33" si="170">IFERROR(BK30-BJ30,"-")</f>
        <v>-734551.3609</v>
      </c>
      <c r="BM30" s="93">
        <f t="shared" ref="BM30:BM33" si="171">IFERROR(BK30/BJ30-1,"-")</f>
        <v>-1</v>
      </c>
      <c r="BN30" s="91">
        <f>($BR$30-($L$30+$P$30))*BN29</f>
        <v>596822.9807</v>
      </c>
      <c r="BO30" s="91"/>
      <c r="BP30" s="92">
        <f t="shared" ref="BP30:BP33" si="172">IFERROR(BO30-BN30,"-")</f>
        <v>-596822.9807</v>
      </c>
      <c r="BQ30" s="95">
        <f t="shared" ref="BQ30:BQ33" si="173">IFERROR(BO30/BN30-1,"-")</f>
        <v>-1</v>
      </c>
      <c r="BR30" s="101">
        <v>4849096.225694574</v>
      </c>
      <c r="BS30" s="102">
        <f t="shared" ref="BS30:BS31" si="174">SUM(M30,Q30,U30,Y30,AC30,AG30,AU30,AY30,BC30,BG30,BK30,BO30)</f>
        <v>742302.19</v>
      </c>
      <c r="BT30" s="104">
        <f t="shared" ref="BT30:BT33" si="175">IFERROR(BS30/BR30-1,"-")</f>
        <v>-0.8469194762</v>
      </c>
      <c r="BU30" s="105">
        <v>1632825.8</v>
      </c>
      <c r="BV30" s="106">
        <f t="shared" ref="BV30:BV32" si="176">BR30/BU30-1</f>
        <v>1.96975723</v>
      </c>
      <c r="BW30" s="3"/>
      <c r="BX30" s="4"/>
      <c r="BY30" s="3"/>
      <c r="BZ30" s="3"/>
      <c r="CA30" s="3"/>
      <c r="CB30" s="3"/>
    </row>
    <row r="31" ht="15.75" customHeight="1">
      <c r="A31" s="1"/>
      <c r="B31" s="142"/>
      <c r="C31" s="143"/>
      <c r="D31" s="144"/>
      <c r="E31" s="192"/>
      <c r="F31" s="146"/>
      <c r="G31" s="147"/>
      <c r="H31" s="148"/>
      <c r="I31" s="149"/>
      <c r="J31" s="72" t="s">
        <v>67</v>
      </c>
      <c r="K31" s="107"/>
      <c r="L31" s="171">
        <f>L30/$K$32</f>
        <v>1294.777757</v>
      </c>
      <c r="M31" s="109">
        <v>1236.0</v>
      </c>
      <c r="N31" s="110">
        <f t="shared" si="150"/>
        <v>-58.77775701</v>
      </c>
      <c r="O31" s="93">
        <f t="shared" si="151"/>
        <v>-0.04539602004</v>
      </c>
      <c r="P31" s="171">
        <f>P30/$K$32</f>
        <v>1117.841121</v>
      </c>
      <c r="Q31" s="109">
        <v>1061.0</v>
      </c>
      <c r="R31" s="110">
        <f t="shared" si="152"/>
        <v>-56.8411215</v>
      </c>
      <c r="S31" s="93">
        <f t="shared" si="153"/>
        <v>-0.05084901638</v>
      </c>
      <c r="T31" s="112">
        <f>T30/$K$32</f>
        <v>1287.181123</v>
      </c>
      <c r="U31" s="109">
        <v>1100.0</v>
      </c>
      <c r="V31" s="110">
        <f t="shared" si="154"/>
        <v>-187.1811231</v>
      </c>
      <c r="W31" s="93">
        <f t="shared" si="155"/>
        <v>-0.1454194128</v>
      </c>
      <c r="X31" s="112">
        <f>X30/$K$32</f>
        <v>1287.181123</v>
      </c>
      <c r="Y31" s="109">
        <v>881.0</v>
      </c>
      <c r="Z31" s="110">
        <f t="shared" si="156"/>
        <v>-406.1811231</v>
      </c>
      <c r="AA31" s="93">
        <f t="shared" si="157"/>
        <v>-0.3155586388</v>
      </c>
      <c r="AB31" s="112">
        <f>AB30/$K$32</f>
        <v>2145.301872</v>
      </c>
      <c r="AC31" s="109">
        <v>1012.0</v>
      </c>
      <c r="AD31" s="110">
        <f t="shared" si="158"/>
        <v>-1133.301872</v>
      </c>
      <c r="AE31" s="93">
        <f t="shared" si="159"/>
        <v>-0.5282715159</v>
      </c>
      <c r="AF31" s="112">
        <f>AF30/$K$32</f>
        <v>3432.482995</v>
      </c>
      <c r="AG31" s="114">
        <v>234.0</v>
      </c>
      <c r="AH31" s="114">
        <v>238.0</v>
      </c>
      <c r="AI31" s="114">
        <v>253.0</v>
      </c>
      <c r="AJ31" s="114">
        <v>281.0</v>
      </c>
      <c r="AK31" s="114">
        <v>52.0</v>
      </c>
      <c r="AL31" s="358">
        <f t="shared" si="148"/>
        <v>1058</v>
      </c>
      <c r="AM31" s="110">
        <f t="shared" si="160"/>
        <v>-2374.482995</v>
      </c>
      <c r="AN31" s="93">
        <f t="shared" si="161"/>
        <v>-0.69176832</v>
      </c>
      <c r="AO31" s="112">
        <f>AO30/$K$32</f>
        <v>5577.784867</v>
      </c>
      <c r="AP31" s="114">
        <v>278.0</v>
      </c>
      <c r="AQ31" s="356">
        <v>387.0</v>
      </c>
      <c r="AR31" s="357"/>
      <c r="AS31" s="357"/>
      <c r="AT31" s="357"/>
      <c r="AU31" s="109">
        <f t="shared" si="149"/>
        <v>665</v>
      </c>
      <c r="AV31" s="110">
        <f t="shared" si="162"/>
        <v>-4912.784867</v>
      </c>
      <c r="AW31" s="93">
        <f t="shared" si="163"/>
        <v>-0.880777044</v>
      </c>
      <c r="AX31" s="112">
        <f>AX30/$K$32</f>
        <v>5577.784867</v>
      </c>
      <c r="AY31" s="109"/>
      <c r="AZ31" s="110">
        <f t="shared" si="164"/>
        <v>-5577.784867</v>
      </c>
      <c r="BA31" s="95">
        <f t="shared" si="165"/>
        <v>-1</v>
      </c>
      <c r="BB31" s="112">
        <f>BB30/$K$32</f>
        <v>5577.784867</v>
      </c>
      <c r="BC31" s="109"/>
      <c r="BD31" s="110">
        <f t="shared" si="166"/>
        <v>-5577.784867</v>
      </c>
      <c r="BE31" s="93">
        <f t="shared" si="167"/>
        <v>-1</v>
      </c>
      <c r="BF31" s="112">
        <f>BF30/$K$32</f>
        <v>5577.784867</v>
      </c>
      <c r="BG31" s="109"/>
      <c r="BH31" s="110">
        <f t="shared" si="168"/>
        <v>-5577.784867</v>
      </c>
      <c r="BI31" s="93">
        <f t="shared" si="169"/>
        <v>-1</v>
      </c>
      <c r="BJ31" s="112">
        <f>BJ30/$K$32</f>
        <v>6864.96599</v>
      </c>
      <c r="BK31" s="109"/>
      <c r="BL31" s="110">
        <f t="shared" si="170"/>
        <v>-6864.96599</v>
      </c>
      <c r="BM31" s="93">
        <f t="shared" si="171"/>
        <v>-1</v>
      </c>
      <c r="BN31" s="109">
        <f>BN30/$K$32</f>
        <v>5577.784867</v>
      </c>
      <c r="BO31" s="109"/>
      <c r="BP31" s="110">
        <f t="shared" si="172"/>
        <v>-5577.784867</v>
      </c>
      <c r="BQ31" s="95">
        <f t="shared" si="173"/>
        <v>-1</v>
      </c>
      <c r="BR31" s="206">
        <f>SUM(L31,P31,T31,X31,AB31,AF31,AO31,AX31,BB31,BF31,BJ31,BN31)</f>
        <v>45318.65631</v>
      </c>
      <c r="BS31" s="207">
        <f t="shared" si="174"/>
        <v>6189</v>
      </c>
      <c r="BT31" s="104">
        <f t="shared" si="175"/>
        <v>-0.8634337268</v>
      </c>
      <c r="BU31" s="119">
        <v>15759.0</v>
      </c>
      <c r="BV31" s="106">
        <f t="shared" si="176"/>
        <v>1.875731729</v>
      </c>
      <c r="BW31" s="3"/>
      <c r="BX31" s="208"/>
      <c r="BY31" s="3"/>
      <c r="BZ31" s="3"/>
      <c r="CA31" s="3"/>
      <c r="CB31" s="3"/>
    </row>
    <row r="32" ht="15.75" customHeight="1">
      <c r="A32" s="1"/>
      <c r="B32" s="142"/>
      <c r="C32" s="143"/>
      <c r="D32" s="144"/>
      <c r="E32" s="192"/>
      <c r="F32" s="146"/>
      <c r="G32" s="147"/>
      <c r="H32" s="148"/>
      <c r="I32" s="149"/>
      <c r="J32" s="72" t="s">
        <v>68</v>
      </c>
      <c r="K32" s="107">
        <v>107.0</v>
      </c>
      <c r="L32" s="171">
        <f>L30/L31</f>
        <v>107</v>
      </c>
      <c r="M32" s="91">
        <f>IFERROR(M30/M31,"-")</f>
        <v>121.394644</v>
      </c>
      <c r="N32" s="92">
        <f t="shared" si="150"/>
        <v>14.39464401</v>
      </c>
      <c r="O32" s="93">
        <f t="shared" si="151"/>
        <v>0.1345293833</v>
      </c>
      <c r="P32" s="90">
        <f t="shared" ref="P32:Q32" si="177">IFERROR(P30/P31,"-")</f>
        <v>107</v>
      </c>
      <c r="Q32" s="91">
        <f t="shared" si="177"/>
        <v>122.7349859</v>
      </c>
      <c r="R32" s="92">
        <f t="shared" si="152"/>
        <v>15.73498586</v>
      </c>
      <c r="S32" s="93">
        <f t="shared" si="153"/>
        <v>0.1470559426</v>
      </c>
      <c r="T32" s="112">
        <f>T30/T31</f>
        <v>107</v>
      </c>
      <c r="U32" s="91">
        <f>IFERROR(U30/U31,"-")</f>
        <v>120.1831455</v>
      </c>
      <c r="V32" s="92">
        <f t="shared" si="154"/>
        <v>13.18314545</v>
      </c>
      <c r="W32" s="93">
        <f t="shared" si="155"/>
        <v>0.1232069669</v>
      </c>
      <c r="X32" s="96">
        <f t="shared" ref="X32:Y32" si="178">IFERROR(X30/X31,"-")</f>
        <v>107</v>
      </c>
      <c r="Y32" s="91">
        <f t="shared" si="178"/>
        <v>116.7724177</v>
      </c>
      <c r="Z32" s="92">
        <f t="shared" si="156"/>
        <v>9.772417707</v>
      </c>
      <c r="AA32" s="93">
        <f t="shared" si="157"/>
        <v>0.09133100661</v>
      </c>
      <c r="AB32" s="112">
        <f>AB30/AB31</f>
        <v>107</v>
      </c>
      <c r="AC32" s="91">
        <f>IFERROR(AC30/AC31,"-")</f>
        <v>120.8963933</v>
      </c>
      <c r="AD32" s="92">
        <f t="shared" si="158"/>
        <v>13.89639328</v>
      </c>
      <c r="AE32" s="93">
        <f t="shared" si="159"/>
        <v>0.1298728344</v>
      </c>
      <c r="AF32" s="383">
        <f>AF30/AF31</f>
        <v>107</v>
      </c>
      <c r="AG32" s="370">
        <f t="shared" ref="AG32:AL32" si="179">IFERROR(AG30/AG31,"-")</f>
        <v>120.0539744</v>
      </c>
      <c r="AH32" s="370">
        <f t="shared" si="179"/>
        <v>122.0210504</v>
      </c>
      <c r="AI32" s="370">
        <f t="shared" si="179"/>
        <v>111.4064427</v>
      </c>
      <c r="AJ32" s="370">
        <f t="shared" si="179"/>
        <v>118.3055872</v>
      </c>
      <c r="AK32" s="370">
        <f t="shared" si="179"/>
        <v>98.55461538</v>
      </c>
      <c r="AL32" s="372">
        <f t="shared" si="179"/>
        <v>116.9075425</v>
      </c>
      <c r="AM32" s="92">
        <f t="shared" si="160"/>
        <v>9.907542533</v>
      </c>
      <c r="AN32" s="93">
        <f t="shared" si="161"/>
        <v>0.09259385545</v>
      </c>
      <c r="AO32" s="112">
        <f>AO30/AO31</f>
        <v>107</v>
      </c>
      <c r="AP32" s="91">
        <f t="shared" ref="AP32:AU32" si="180">IFERROR(AP30/AP31,"-")</f>
        <v>115.6308273</v>
      </c>
      <c r="AQ32" s="91">
        <f t="shared" si="180"/>
        <v>114.660155</v>
      </c>
      <c r="AR32" s="359" t="str">
        <f t="shared" si="180"/>
        <v>-</v>
      </c>
      <c r="AS32" s="359" t="str">
        <f t="shared" si="180"/>
        <v>-</v>
      </c>
      <c r="AT32" s="359" t="str">
        <f t="shared" si="180"/>
        <v>-</v>
      </c>
      <c r="AU32" s="91">
        <f t="shared" si="180"/>
        <v>115.0659398</v>
      </c>
      <c r="AV32" s="92">
        <f t="shared" si="162"/>
        <v>8.06593985</v>
      </c>
      <c r="AW32" s="93">
        <f t="shared" si="163"/>
        <v>0.07538261542</v>
      </c>
      <c r="AX32" s="112">
        <f>AX30/AX31</f>
        <v>107</v>
      </c>
      <c r="AY32" s="91" t="str">
        <f>IFERROR(AY30/AY31,"-")</f>
        <v>-</v>
      </c>
      <c r="AZ32" s="92" t="str">
        <f t="shared" si="164"/>
        <v>-</v>
      </c>
      <c r="BA32" s="95" t="str">
        <f t="shared" si="165"/>
        <v>-</v>
      </c>
      <c r="BB32" s="112">
        <f>BB30/BB31</f>
        <v>107</v>
      </c>
      <c r="BC32" s="91" t="str">
        <f>IFERROR(BC30/BC31,"-")</f>
        <v>-</v>
      </c>
      <c r="BD32" s="92" t="str">
        <f t="shared" si="166"/>
        <v>-</v>
      </c>
      <c r="BE32" s="93" t="str">
        <f t="shared" si="167"/>
        <v>-</v>
      </c>
      <c r="BF32" s="112">
        <f>BF30/BF31</f>
        <v>107</v>
      </c>
      <c r="BG32" s="91" t="str">
        <f>IFERROR(BG30/BG31,"-")</f>
        <v>-</v>
      </c>
      <c r="BH32" s="92" t="str">
        <f t="shared" si="168"/>
        <v>-</v>
      </c>
      <c r="BI32" s="93" t="str">
        <f t="shared" si="169"/>
        <v>-</v>
      </c>
      <c r="BJ32" s="112">
        <f>BJ30/BJ31</f>
        <v>107</v>
      </c>
      <c r="BK32" s="91" t="str">
        <f>IFERROR(BK30/BK31,"-")</f>
        <v>-</v>
      </c>
      <c r="BL32" s="92" t="str">
        <f t="shared" si="170"/>
        <v>-</v>
      </c>
      <c r="BM32" s="93" t="str">
        <f t="shared" si="171"/>
        <v>-</v>
      </c>
      <c r="BN32" s="109">
        <f>BN30/BN31</f>
        <v>107</v>
      </c>
      <c r="BO32" s="91" t="str">
        <f>IFERROR(BO30/BO31,"-")</f>
        <v>-</v>
      </c>
      <c r="BP32" s="92" t="str">
        <f t="shared" si="172"/>
        <v>-</v>
      </c>
      <c r="BQ32" s="95" t="str">
        <f t="shared" si="173"/>
        <v>-</v>
      </c>
      <c r="BR32" s="120">
        <f t="shared" ref="BR32:BS32" si="181">BR30/BR31</f>
        <v>107</v>
      </c>
      <c r="BS32" s="209">
        <f t="shared" si="181"/>
        <v>119.9389546</v>
      </c>
      <c r="BT32" s="104">
        <f t="shared" si="175"/>
        <v>0.1209248093</v>
      </c>
      <c r="BU32" s="119">
        <f>BU30/BU31</f>
        <v>103.6122724</v>
      </c>
      <c r="BV32" s="106">
        <f t="shared" si="176"/>
        <v>0.03269620066</v>
      </c>
      <c r="BW32" s="3"/>
      <c r="BX32" s="3"/>
      <c r="BY32" s="3"/>
      <c r="BZ32" s="3"/>
      <c r="CA32" s="3"/>
      <c r="CB32" s="3"/>
    </row>
    <row r="33" ht="15.75" customHeight="1">
      <c r="A33" s="1"/>
      <c r="B33" s="142"/>
      <c r="C33" s="143"/>
      <c r="D33" s="144"/>
      <c r="E33" s="192"/>
      <c r="F33" s="146"/>
      <c r="G33" s="147"/>
      <c r="H33" s="148"/>
      <c r="I33" s="149"/>
      <c r="J33" s="124" t="s">
        <v>69</v>
      </c>
      <c r="K33" s="125">
        <v>0.039</v>
      </c>
      <c r="L33" s="132">
        <f t="shared" ref="L33:M33" si="182">IF(L31=0, 0, (L30/L31) * (
  MIN(L31, 1000) * 0.049 +
  MAX(0, MIN(L31, 2500) - 1000) * 0.039 +
  MAX(0, MIN(L31, 5000) - 2500) * 0.032 +
  MAX(0, L31 - 5000) * 0.029
))</f>
        <v>6473.10758</v>
      </c>
      <c r="M33" s="210">
        <f t="shared" si="182"/>
        <v>7065.65386</v>
      </c>
      <c r="N33" s="128">
        <f t="shared" si="150"/>
        <v>592.5462801</v>
      </c>
      <c r="O33" s="129">
        <f t="shared" si="151"/>
        <v>0.09153969292</v>
      </c>
      <c r="P33" s="132">
        <f t="shared" ref="P33:Q33" si="183">IF(P31=0, 0, (P30/P31) * (
  MIN(P31, 1000) * 0.049 +
  MAX(0, MIN(P31, 2500) - 1000) * 0.039 +
  MAX(0, MIN(P31, 5000) - 2500) * 0.032 +
  MAX(0, P31 - 5000) * 0.029
))</f>
        <v>5734.751</v>
      </c>
      <c r="Q33" s="210">
        <f t="shared" si="183"/>
        <v>6306.000839</v>
      </c>
      <c r="R33" s="128">
        <f t="shared" si="152"/>
        <v>571.2498386</v>
      </c>
      <c r="S33" s="129">
        <f t="shared" si="153"/>
        <v>0.09961196896</v>
      </c>
      <c r="T33" s="211">
        <f t="shared" ref="T33:U33" si="184">IF(T31=0, 0, (T30/T31) * (
  MIN(T31, 1000) * 0.049 +
  MAX(0, MIN(T31, 2500) - 1000) * 0.039 +
  MAX(0, MIN(T31, 5000) - 2500) * 0.032 +
  MAX(0, T31 - 5000) * 0.029
))</f>
        <v>6441.406827</v>
      </c>
      <c r="U33" s="210">
        <f t="shared" si="184"/>
        <v>6357.688395</v>
      </c>
      <c r="V33" s="128">
        <f t="shared" si="154"/>
        <v>-83.71843212</v>
      </c>
      <c r="W33" s="129">
        <f t="shared" si="155"/>
        <v>-0.01299691735</v>
      </c>
      <c r="X33" s="132">
        <f t="shared" ref="X33:Y33" si="185">IF(X31=0, 0, (X30/X31) * (
  MIN(X31, 1000) * 0.049 +
  MAX(0, MIN(X31, 2500) - 1000) * 0.039 +
  MAX(0, MIN(X31, 5000) - 2500) * 0.032 +
  MAX(0, X31 - 5000) * 0.029
))</f>
        <v>6441.406827</v>
      </c>
      <c r="Y33" s="127">
        <f t="shared" si="185"/>
        <v>5040.9485</v>
      </c>
      <c r="Z33" s="128">
        <f t="shared" si="156"/>
        <v>-1400.458327</v>
      </c>
      <c r="AA33" s="129">
        <f t="shared" si="157"/>
        <v>-0.2174149785</v>
      </c>
      <c r="AB33" s="132">
        <f t="shared" ref="AB33:AC33" si="186">IF(AB31=0, 0, (AB30/AB31) * (
  MIN(AB31, 1000) * 0.049 +
  MAX(0, MIN(AB31, 2500) - 1000) * 0.039 +
  MAX(0, MIN(AB31, 5000) - 2500) * 0.032 +
  MAX(0, AB31 - 5000) * 0.029
))</f>
        <v>10022.34471</v>
      </c>
      <c r="AC33" s="210">
        <f t="shared" si="186"/>
        <v>5980.502783</v>
      </c>
      <c r="AD33" s="128">
        <f t="shared" si="158"/>
        <v>-4041.841928</v>
      </c>
      <c r="AE33" s="129">
        <f t="shared" si="159"/>
        <v>-0.4032830685</v>
      </c>
      <c r="AF33" s="384">
        <f t="shared" ref="AF33:AL33" si="187">IF(AF31=0, 0, (AF30/AF31) * (
  MIN(AF31, 1000) * 0.049 +
  MAX(0, MIN(AF31, 2500) - 1000) * 0.039 +
  MAX(0, MIN(AF31, 5000) - 2500) * 0.032 +
  MAX(0, AF31 - 5000) * 0.029
))</f>
        <v>14695.32177</v>
      </c>
      <c r="AG33" s="374">
        <f t="shared" si="187"/>
        <v>1376.53887</v>
      </c>
      <c r="AH33" s="374">
        <f t="shared" si="187"/>
        <v>1423.00949</v>
      </c>
      <c r="AI33" s="374">
        <f t="shared" si="187"/>
        <v>1381.10567</v>
      </c>
      <c r="AJ33" s="374">
        <f t="shared" si="187"/>
        <v>1628.94963</v>
      </c>
      <c r="AK33" s="374">
        <f t="shared" si="187"/>
        <v>251.11716</v>
      </c>
      <c r="AL33" s="375">
        <f t="shared" si="187"/>
        <v>5992.914445</v>
      </c>
      <c r="AM33" s="376">
        <f t="shared" si="160"/>
        <v>-8702.407329</v>
      </c>
      <c r="AN33" s="129">
        <f t="shared" si="161"/>
        <v>-0.5921889607</v>
      </c>
      <c r="AO33" s="132">
        <f>IF(AO31=0, 0, (AO30/AO31) * (
  MIN(AO31, 1000) * 0.049 +
  MAX(0, MIN(AO31, 2500) - 1000) * 0.039 +
  MAX(0, MIN(AO31, 5000) - 2500) * 0.032 +
  MAX(0, AO31 - 5000) * 0.029
))</f>
        <v>21855.36644</v>
      </c>
      <c r="AP33" s="130">
        <f t="shared" ref="AP33:AT33" si="188">AP30*$K$9</f>
        <v>1575.12313</v>
      </c>
      <c r="AQ33" s="130">
        <f t="shared" si="188"/>
        <v>2174.30052</v>
      </c>
      <c r="AR33" s="361">
        <f t="shared" si="188"/>
        <v>0</v>
      </c>
      <c r="AS33" s="361">
        <f t="shared" si="188"/>
        <v>0</v>
      </c>
      <c r="AT33" s="361">
        <f t="shared" si="188"/>
        <v>0</v>
      </c>
      <c r="AU33" s="210">
        <f>IF(AU31=0, 0, (AU30/AU31) * (
  MIN(AU31, 1000) * 0.049 +
  MAX(0, MIN(AU31, 2500) - 1000) * 0.039 +
  MAX(0, MIN(AU31, 5000) - 2500) * 0.032 +
  MAX(0, AU31 - 5000) * 0.029
))</f>
        <v>3749.42365</v>
      </c>
      <c r="AV33" s="128">
        <f t="shared" si="162"/>
        <v>-18105.94279</v>
      </c>
      <c r="AW33" s="129">
        <f t="shared" si="163"/>
        <v>-0.8284437985</v>
      </c>
      <c r="AX33" s="132">
        <f t="shared" ref="AX33:AY33" si="189">IF(AX31=0, 0, (AX30/AX31) * (
  MIN(AX31, 1000) * 0.049 +
  MAX(0, MIN(AX31, 2500) - 1000) * 0.039 +
  MAX(0, MIN(AX31, 5000) - 2500) * 0.032 +
  MAX(0, AX31 - 5000) * 0.029
))</f>
        <v>21855.36644</v>
      </c>
      <c r="AY33" s="210">
        <f t="shared" si="189"/>
        <v>0</v>
      </c>
      <c r="AZ33" s="128">
        <f t="shared" si="164"/>
        <v>-21855.36644</v>
      </c>
      <c r="BA33" s="131">
        <f t="shared" si="165"/>
        <v>-1</v>
      </c>
      <c r="BB33" s="132">
        <f t="shared" ref="BB33:BC33" si="190">IF(BB31=0, 0, (BB30/BB31) * (
  MIN(BB31, 1000) * 0.049 +
  MAX(0, MIN(BB31, 2500) - 1000) * 0.039 +
  MAX(0, MIN(BB31, 5000) - 2500) * 0.032 +
  MAX(0, BB31 - 5000) * 0.029
))</f>
        <v>21855.36644</v>
      </c>
      <c r="BC33" s="210">
        <f t="shared" si="190"/>
        <v>0</v>
      </c>
      <c r="BD33" s="128">
        <f t="shared" si="166"/>
        <v>-21855.36644</v>
      </c>
      <c r="BE33" s="129">
        <f t="shared" si="167"/>
        <v>-1</v>
      </c>
      <c r="BF33" s="132">
        <f t="shared" ref="BF33:BG33" si="191">IF(BF31=0, 0, (BF30/BF31) * (
  MIN(BF31, 1000) * 0.049 +
  MAX(0, MIN(BF31, 2500) - 1000) * 0.039 +
  MAX(0, MIN(BF31, 5000) - 2500) * 0.032 +
  MAX(0, BF31 - 5000) * 0.029
))</f>
        <v>21855.36644</v>
      </c>
      <c r="BG33" s="210">
        <f t="shared" si="191"/>
        <v>0</v>
      </c>
      <c r="BH33" s="128">
        <f t="shared" si="168"/>
        <v>-21855.36644</v>
      </c>
      <c r="BI33" s="129">
        <f t="shared" si="169"/>
        <v>-1</v>
      </c>
      <c r="BJ33" s="132">
        <f t="shared" ref="BJ33:BK33" si="192">IF(BJ31=0, 0, (BJ30/BJ31) * (
  MIN(BJ31, 1000) * 0.049 +
  MAX(0, MIN(BJ31, 2500) - 1000) * 0.039 +
  MAX(0, MIN(BJ31, 5000) - 2500) * 0.032 +
  MAX(0, BJ31 - 5000) * 0.029
))</f>
        <v>25849.48947</v>
      </c>
      <c r="BK33" s="210">
        <f t="shared" si="192"/>
        <v>0</v>
      </c>
      <c r="BL33" s="128">
        <f t="shared" si="170"/>
        <v>-25849.48947</v>
      </c>
      <c r="BM33" s="129">
        <f t="shared" si="171"/>
        <v>-1</v>
      </c>
      <c r="BN33" s="127">
        <f t="shared" ref="BN33:BO33" si="193">IF(BN31=0, 0, (BN30/BN31) * (
  MIN(BN31, 1000) * 0.049 +
  MAX(0, MIN(BN31, 2500) - 1000) * 0.039 +
  MAX(0, MIN(BN31, 5000) - 2500) * 0.032 +
  MAX(0, BN31 - 5000) * 0.029
))</f>
        <v>21855.36644</v>
      </c>
      <c r="BO33" s="210">
        <f t="shared" si="193"/>
        <v>0</v>
      </c>
      <c r="BP33" s="128">
        <f t="shared" si="172"/>
        <v>-21855.36644</v>
      </c>
      <c r="BQ33" s="131">
        <f t="shared" si="173"/>
        <v>-1</v>
      </c>
      <c r="BR33" s="135">
        <f>SUM(L33,P33,T33,X33,AB33,AF33,AO33,AX33,BB33,BF33,BJ33,BN33)</f>
        <v>184934.6604</v>
      </c>
      <c r="BS33" s="213">
        <f>SUM(M33,Q33,U33,Y33,AC33,AG33,AU33,AY33,BC33,BG33,BK33,BO33)</f>
        <v>35876.7569</v>
      </c>
      <c r="BT33" s="139">
        <f t="shared" si="175"/>
        <v>-0.8060030671</v>
      </c>
      <c r="BU33" s="140">
        <f>BU30*0.39</f>
        <v>636802.062</v>
      </c>
      <c r="BV33" s="141">
        <f>BR33/BU33</f>
        <v>0.2904115288</v>
      </c>
      <c r="BW33" s="3"/>
      <c r="BX33" s="3"/>
      <c r="BY33" s="3"/>
      <c r="BZ33" s="3"/>
      <c r="CA33" s="3"/>
      <c r="CB33" s="3"/>
    </row>
    <row r="34" ht="15.75" customHeight="1">
      <c r="A34" s="1"/>
      <c r="B34" s="142"/>
      <c r="C34" s="143"/>
      <c r="D34" s="144"/>
      <c r="E34" s="192"/>
      <c r="F34" s="146"/>
      <c r="G34" s="147"/>
      <c r="H34" s="148"/>
      <c r="I34" s="149"/>
      <c r="J34" s="12"/>
      <c r="K34" s="195"/>
      <c r="L34" s="12"/>
      <c r="M34" s="196"/>
      <c r="N34" s="196"/>
      <c r="O34" s="196"/>
      <c r="P34" s="196"/>
      <c r="Q34" s="214"/>
      <c r="R34" s="196"/>
      <c r="S34" s="12"/>
      <c r="T34" s="12"/>
      <c r="U34" s="12"/>
      <c r="V34" s="12"/>
      <c r="W34" s="12"/>
      <c r="X34" s="13"/>
      <c r="Y34" s="14"/>
      <c r="Z34" s="15"/>
      <c r="AA34" s="3"/>
      <c r="AB34" s="3"/>
      <c r="AC34" s="3"/>
      <c r="AD34" s="3"/>
      <c r="AE34" s="3"/>
      <c r="AF34" s="3"/>
      <c r="AG34" s="363"/>
      <c r="AH34" s="363"/>
      <c r="AI34" s="363"/>
      <c r="AJ34" s="363"/>
      <c r="AK34" s="363"/>
      <c r="AL34" s="363"/>
      <c r="AP34" s="363"/>
      <c r="AQ34" s="363"/>
      <c r="AR34" s="363"/>
      <c r="AS34" s="363"/>
      <c r="AT34" s="363"/>
      <c r="BA34" s="187"/>
      <c r="BB34" s="25"/>
      <c r="BC34" s="188"/>
      <c r="BD34" s="25"/>
    </row>
    <row r="35" ht="15.75" customHeight="1">
      <c r="A35" s="1"/>
      <c r="B35" s="142"/>
      <c r="C35" s="143"/>
      <c r="D35" s="144"/>
      <c r="E35" s="192"/>
      <c r="F35" s="146"/>
      <c r="G35" s="147"/>
      <c r="H35" s="148"/>
      <c r="I35" s="149"/>
      <c r="J35" s="34" t="s">
        <v>78</v>
      </c>
      <c r="K35" s="198"/>
      <c r="L35" s="36" t="s">
        <v>10</v>
      </c>
      <c r="M35" s="37" t="s">
        <v>11</v>
      </c>
      <c r="N35" s="38" t="s">
        <v>12</v>
      </c>
      <c r="O35" s="39" t="s">
        <v>13</v>
      </c>
      <c r="P35" s="157" t="s">
        <v>14</v>
      </c>
      <c r="Q35" s="37" t="s">
        <v>15</v>
      </c>
      <c r="R35" s="38" t="s">
        <v>16</v>
      </c>
      <c r="S35" s="215" t="s">
        <v>17</v>
      </c>
      <c r="T35" s="36" t="s">
        <v>18</v>
      </c>
      <c r="U35" s="199" t="s">
        <v>19</v>
      </c>
      <c r="V35" s="38" t="s">
        <v>20</v>
      </c>
      <c r="W35" s="45" t="s">
        <v>21</v>
      </c>
      <c r="X35" s="157" t="s">
        <v>22</v>
      </c>
      <c r="Y35" s="199" t="s">
        <v>23</v>
      </c>
      <c r="Z35" s="38" t="s">
        <v>24</v>
      </c>
      <c r="AA35" s="45" t="s">
        <v>25</v>
      </c>
      <c r="AB35" s="43" t="s">
        <v>26</v>
      </c>
      <c r="AC35" s="199" t="s">
        <v>27</v>
      </c>
      <c r="AD35" s="38" t="s">
        <v>28</v>
      </c>
      <c r="AE35" s="45" t="s">
        <v>29</v>
      </c>
      <c r="AF35" s="44" t="s">
        <v>30</v>
      </c>
      <c r="AG35" s="343" t="s">
        <v>120</v>
      </c>
      <c r="AH35" s="344" t="s">
        <v>121</v>
      </c>
      <c r="AI35" s="344" t="s">
        <v>122</v>
      </c>
      <c r="AJ35" s="344" t="s">
        <v>123</v>
      </c>
      <c r="AK35" s="344" t="s">
        <v>124</v>
      </c>
      <c r="AL35" s="344" t="s">
        <v>31</v>
      </c>
      <c r="AM35" s="38" t="s">
        <v>32</v>
      </c>
      <c r="AN35" s="45" t="s">
        <v>33</v>
      </c>
      <c r="AO35" s="43" t="s">
        <v>34</v>
      </c>
      <c r="AP35" s="343" t="s">
        <v>125</v>
      </c>
      <c r="AQ35" s="344" t="s">
        <v>126</v>
      </c>
      <c r="AR35" s="344" t="s">
        <v>127</v>
      </c>
      <c r="AS35" s="344" t="s">
        <v>128</v>
      </c>
      <c r="AT35" s="344" t="s">
        <v>129</v>
      </c>
      <c r="AU35" s="199" t="s">
        <v>35</v>
      </c>
      <c r="AV35" s="38" t="s">
        <v>36</v>
      </c>
      <c r="AW35" s="45" t="s">
        <v>37</v>
      </c>
      <c r="AX35" s="44" t="s">
        <v>38</v>
      </c>
      <c r="AY35" s="199" t="s">
        <v>39</v>
      </c>
      <c r="AZ35" s="38" t="s">
        <v>40</v>
      </c>
      <c r="BA35" s="45" t="s">
        <v>41</v>
      </c>
      <c r="BB35" s="43" t="s">
        <v>42</v>
      </c>
      <c r="BC35" s="199" t="s">
        <v>43</v>
      </c>
      <c r="BD35" s="38" t="s">
        <v>44</v>
      </c>
      <c r="BE35" s="45" t="s">
        <v>45</v>
      </c>
      <c r="BF35" s="44" t="s">
        <v>46</v>
      </c>
      <c r="BG35" s="199" t="s">
        <v>47</v>
      </c>
      <c r="BH35" s="38" t="s">
        <v>48</v>
      </c>
      <c r="BI35" s="45" t="s">
        <v>49</v>
      </c>
      <c r="BJ35" s="43" t="s">
        <v>50</v>
      </c>
      <c r="BK35" s="199" t="s">
        <v>51</v>
      </c>
      <c r="BL35" s="38" t="s">
        <v>52</v>
      </c>
      <c r="BM35" s="45" t="s">
        <v>53</v>
      </c>
      <c r="BN35" s="201" t="s">
        <v>54</v>
      </c>
      <c r="BO35" s="199" t="s">
        <v>55</v>
      </c>
      <c r="BP35" s="38" t="s">
        <v>56</v>
      </c>
      <c r="BQ35" s="42" t="s">
        <v>57</v>
      </c>
      <c r="BR35" s="345">
        <v>2026.0</v>
      </c>
      <c r="BS35" s="37" t="s">
        <v>61</v>
      </c>
      <c r="BT35" s="51" t="s">
        <v>62</v>
      </c>
      <c r="BU35" s="52">
        <v>2025.0</v>
      </c>
      <c r="BV35" s="53" t="s">
        <v>63</v>
      </c>
      <c r="BW35" s="3"/>
      <c r="BX35" s="3"/>
      <c r="BY35" s="3"/>
      <c r="BZ35" s="3"/>
      <c r="CA35" s="3"/>
      <c r="CB35" s="3"/>
    </row>
    <row r="36" ht="15.75" customHeight="1">
      <c r="A36" s="1"/>
      <c r="B36" s="142"/>
      <c r="C36" s="143"/>
      <c r="D36" s="144"/>
      <c r="E36" s="192"/>
      <c r="F36" s="146"/>
      <c r="G36" s="147"/>
      <c r="H36" s="148"/>
      <c r="I36" s="149"/>
      <c r="J36" s="346" t="s">
        <v>130</v>
      </c>
      <c r="K36" s="55"/>
      <c r="L36" s="56"/>
      <c r="M36" s="57"/>
      <c r="N36" s="58"/>
      <c r="O36" s="59"/>
      <c r="P36" s="56"/>
      <c r="Q36" s="57"/>
      <c r="R36" s="58"/>
      <c r="S36" s="61"/>
      <c r="T36" s="56"/>
      <c r="U36" s="202"/>
      <c r="V36" s="58"/>
      <c r="W36" s="59"/>
      <c r="X36" s="56"/>
      <c r="Y36" s="202"/>
      <c r="Z36" s="58"/>
      <c r="AA36" s="59"/>
      <c r="AB36" s="62"/>
      <c r="AC36" s="63"/>
      <c r="AD36" s="58"/>
      <c r="AE36" s="59"/>
      <c r="AF36" s="62"/>
      <c r="AG36" s="347">
        <f t="shared" ref="AG36:AK36" si="194">$AF$37/5</f>
        <v>0.008</v>
      </c>
      <c r="AH36" s="347">
        <f t="shared" si="194"/>
        <v>0.008</v>
      </c>
      <c r="AI36" s="347">
        <f t="shared" si="194"/>
        <v>0.008</v>
      </c>
      <c r="AJ36" s="347">
        <f t="shared" si="194"/>
        <v>0.008</v>
      </c>
      <c r="AK36" s="347">
        <f t="shared" si="194"/>
        <v>0.008</v>
      </c>
      <c r="AL36" s="347"/>
      <c r="AM36" s="58"/>
      <c r="AN36" s="59"/>
      <c r="AO36" s="62"/>
      <c r="AP36" s="347">
        <f t="shared" ref="AP36:AT36" si="195">$AO$37/5</f>
        <v>0.014</v>
      </c>
      <c r="AQ36" s="347">
        <f t="shared" si="195"/>
        <v>0.014</v>
      </c>
      <c r="AR36" s="347">
        <f t="shared" si="195"/>
        <v>0.014</v>
      </c>
      <c r="AS36" s="347">
        <f t="shared" si="195"/>
        <v>0.014</v>
      </c>
      <c r="AT36" s="347">
        <f t="shared" si="195"/>
        <v>0.014</v>
      </c>
      <c r="AU36" s="63"/>
      <c r="AV36" s="58"/>
      <c r="AW36" s="59"/>
      <c r="AX36" s="62"/>
      <c r="AY36" s="63"/>
      <c r="AZ36" s="58"/>
      <c r="BA36" s="59"/>
      <c r="BB36" s="62"/>
      <c r="BC36" s="63"/>
      <c r="BD36" s="58"/>
      <c r="BE36" s="59"/>
      <c r="BF36" s="62"/>
      <c r="BG36" s="63"/>
      <c r="BH36" s="58"/>
      <c r="BI36" s="59"/>
      <c r="BJ36" s="62"/>
      <c r="BK36" s="63"/>
      <c r="BL36" s="58"/>
      <c r="BM36" s="59"/>
      <c r="BN36" s="203"/>
      <c r="BO36" s="63"/>
      <c r="BP36" s="58"/>
      <c r="BQ36" s="61"/>
      <c r="BR36" s="66"/>
      <c r="BS36" s="349"/>
      <c r="BT36" s="69"/>
      <c r="BU36" s="70"/>
      <c r="BV36" s="71"/>
      <c r="BW36" s="3"/>
      <c r="BX36" s="3"/>
      <c r="BY36" s="3"/>
      <c r="BZ36" s="3"/>
      <c r="CA36" s="3"/>
      <c r="CB36" s="3"/>
    </row>
    <row r="37" ht="15.75" customHeight="1">
      <c r="A37" s="1"/>
      <c r="B37" s="142">
        <v>6.0</v>
      </c>
      <c r="C37" s="143" t="s">
        <v>79</v>
      </c>
      <c r="D37" s="144">
        <f>17000*12</f>
        <v>204000</v>
      </c>
      <c r="E37" s="192">
        <v>170.0</v>
      </c>
      <c r="F37" s="146">
        <f>E37*D37</f>
        <v>34680000</v>
      </c>
      <c r="G37" s="147">
        <v>368854.13999999926</v>
      </c>
      <c r="H37" s="148">
        <v>5074.0</v>
      </c>
      <c r="I37" s="149">
        <v>72.69494284588082</v>
      </c>
      <c r="J37" s="72" t="s">
        <v>64</v>
      </c>
      <c r="K37" s="73"/>
      <c r="L37" s="74" t="s">
        <v>63</v>
      </c>
      <c r="M37" s="75" t="s">
        <v>63</v>
      </c>
      <c r="N37" s="76" t="s">
        <v>63</v>
      </c>
      <c r="O37" s="77" t="s">
        <v>65</v>
      </c>
      <c r="P37" s="74" t="s">
        <v>63</v>
      </c>
      <c r="Q37" s="75" t="s">
        <v>63</v>
      </c>
      <c r="R37" s="76" t="s">
        <v>63</v>
      </c>
      <c r="S37" s="79" t="s">
        <v>65</v>
      </c>
      <c r="T37" s="74"/>
      <c r="U37" s="204" t="s">
        <v>63</v>
      </c>
      <c r="V37" s="76" t="s">
        <v>63</v>
      </c>
      <c r="W37" s="77" t="s">
        <v>65</v>
      </c>
      <c r="X37" s="74"/>
      <c r="Y37" s="204" t="s">
        <v>63</v>
      </c>
      <c r="Z37" s="76" t="s">
        <v>63</v>
      </c>
      <c r="AA37" s="77" t="s">
        <v>65</v>
      </c>
      <c r="AB37" s="80">
        <v>0.02</v>
      </c>
      <c r="AC37" s="81">
        <f>AC38/(BR38-(L38+P38+T38+X38))</f>
        <v>0</v>
      </c>
      <c r="AD37" s="76" t="s">
        <v>63</v>
      </c>
      <c r="AE37" s="77" t="s">
        <v>65</v>
      </c>
      <c r="AF37" s="80">
        <v>0.04</v>
      </c>
      <c r="AG37" s="350">
        <f t="shared" ref="AG37:AK37" si="196">AG38/($BR$38-($L$38+$P$38+$T$38+$X$38))</f>
        <v>0</v>
      </c>
      <c r="AH37" s="350">
        <f t="shared" si="196"/>
        <v>0</v>
      </c>
      <c r="AI37" s="350">
        <f t="shared" si="196"/>
        <v>0</v>
      </c>
      <c r="AJ37" s="350">
        <f t="shared" si="196"/>
        <v>0</v>
      </c>
      <c r="AK37" s="350">
        <f t="shared" si="196"/>
        <v>0</v>
      </c>
      <c r="AL37" s="351">
        <f t="shared" ref="AL37:AL39" si="198">SUM(AG37:AK37)</f>
        <v>0</v>
      </c>
      <c r="AM37" s="352">
        <f>AL37-AF37</f>
        <v>-0.04</v>
      </c>
      <c r="AN37" s="77" t="s">
        <v>65</v>
      </c>
      <c r="AO37" s="80">
        <v>0.07</v>
      </c>
      <c r="AP37" s="350">
        <f t="shared" ref="AP37:AT37" si="197">AP38/($BR$38-($L$38+$P$38+$T$38+$X$38))</f>
        <v>0</v>
      </c>
      <c r="AQ37" s="350">
        <f t="shared" si="197"/>
        <v>0</v>
      </c>
      <c r="AR37" s="350">
        <f t="shared" si="197"/>
        <v>0</v>
      </c>
      <c r="AS37" s="350">
        <f t="shared" si="197"/>
        <v>0</v>
      </c>
      <c r="AT37" s="350">
        <f t="shared" si="197"/>
        <v>0</v>
      </c>
      <c r="AU37" s="351">
        <f t="shared" ref="AU37:AU39" si="199">SUM(AP37:AT37)</f>
        <v>0</v>
      </c>
      <c r="AV37" s="76" t="s">
        <v>63</v>
      </c>
      <c r="AW37" s="77" t="s">
        <v>65</v>
      </c>
      <c r="AX37" s="80">
        <v>0.11</v>
      </c>
      <c r="AY37" s="81">
        <f>AY38/(BR38-(L38+P38+T38+X38))</f>
        <v>0</v>
      </c>
      <c r="AZ37" s="76" t="s">
        <v>63</v>
      </c>
      <c r="BA37" s="77" t="s">
        <v>65</v>
      </c>
      <c r="BB37" s="80">
        <v>0.15</v>
      </c>
      <c r="BC37" s="81">
        <f>BC38/(BR38-(L38+P38+T38+X38))</f>
        <v>0</v>
      </c>
      <c r="BD37" s="76" t="s">
        <v>63</v>
      </c>
      <c r="BE37" s="77" t="s">
        <v>65</v>
      </c>
      <c r="BF37" s="80">
        <v>0.2</v>
      </c>
      <c r="BG37" s="81">
        <f>BG38/(BR38-(L38+P38+T38+X38))</f>
        <v>0</v>
      </c>
      <c r="BH37" s="76" t="s">
        <v>63</v>
      </c>
      <c r="BI37" s="77" t="s">
        <v>65</v>
      </c>
      <c r="BJ37" s="80">
        <v>0.2</v>
      </c>
      <c r="BK37" s="81">
        <f>BK38/(BR38-(L38+P38+T38+X38))</f>
        <v>0</v>
      </c>
      <c r="BL37" s="76" t="s">
        <v>63</v>
      </c>
      <c r="BM37" s="77" t="s">
        <v>65</v>
      </c>
      <c r="BN37" s="205">
        <v>0.21</v>
      </c>
      <c r="BO37" s="81">
        <f>BO38/(BR38-(L38+P38+T38+X38))</f>
        <v>0</v>
      </c>
      <c r="BP37" s="76" t="s">
        <v>63</v>
      </c>
      <c r="BQ37" s="79" t="s">
        <v>65</v>
      </c>
      <c r="BR37" s="84">
        <f>SUM(AB37,AF37,AO37,AX37,BB37,BF37,BJ37,BN37)</f>
        <v>1</v>
      </c>
      <c r="BS37" s="350">
        <f>SUM(AC37,AG37,AU37,AY37,BC37,BG37,BK37,BO37)</f>
        <v>0</v>
      </c>
      <c r="BT37" s="88"/>
      <c r="BU37" s="89" t="s">
        <v>63</v>
      </c>
      <c r="BV37" s="71"/>
      <c r="BW37" s="3"/>
      <c r="BX37" s="3"/>
      <c r="BY37" s="3"/>
      <c r="BZ37" s="3"/>
      <c r="CA37" s="3"/>
      <c r="CB37" s="3"/>
    </row>
    <row r="38" ht="15.75" customHeight="1">
      <c r="A38" s="1"/>
      <c r="B38" s="142"/>
      <c r="C38" s="143"/>
      <c r="D38" s="144"/>
      <c r="E38" s="192"/>
      <c r="F38" s="146"/>
      <c r="G38" s="147"/>
      <c r="H38" s="148"/>
      <c r="I38" s="149"/>
      <c r="J38" s="72" t="s">
        <v>66</v>
      </c>
      <c r="K38" s="73"/>
      <c r="L38" s="167">
        <v>0.0</v>
      </c>
      <c r="M38" s="91">
        <v>232.36</v>
      </c>
      <c r="N38" s="92">
        <f t="shared" ref="N38:N41" si="200">IFERROR(M38-L38,"-")</f>
        <v>232.36</v>
      </c>
      <c r="O38" s="93" t="str">
        <f t="shared" ref="O38:O41" si="201">IFERROR(M38/L38-1,"-")</f>
        <v>-</v>
      </c>
      <c r="P38" s="90">
        <v>0.0</v>
      </c>
      <c r="Q38" s="91">
        <v>367.46</v>
      </c>
      <c r="R38" s="92">
        <f t="shared" ref="R38:R41" si="202">IFERROR(Q38-P38,"-")</f>
        <v>367.46</v>
      </c>
      <c r="S38" s="95" t="str">
        <f t="shared" ref="S38:S41" si="203">IFERROR(Q38/P38-1,"-")</f>
        <v>-</v>
      </c>
      <c r="T38" s="90">
        <f>($BR$38-($L$38+$P$38))*T37</f>
        <v>0</v>
      </c>
      <c r="U38" s="91">
        <v>177.46</v>
      </c>
      <c r="V38" s="92">
        <f t="shared" ref="V38:V41" si="204">IFERROR(U38-T38,"-")</f>
        <v>177.46</v>
      </c>
      <c r="W38" s="93" t="str">
        <f t="shared" ref="W38:W41" si="205">IFERROR(U38/T38-1,"-")</f>
        <v>-</v>
      </c>
      <c r="X38" s="90">
        <f>($BR$38-($L$38+$P$38))*X37</f>
        <v>0</v>
      </c>
      <c r="Y38" s="91">
        <v>82.24</v>
      </c>
      <c r="Z38" s="92">
        <f t="shared" ref="Z38:Z41" si="206">IFERROR(Y38-X38,"-")</f>
        <v>82.24</v>
      </c>
      <c r="AA38" s="93" t="str">
        <f t="shared" ref="AA38:AA41" si="207">IFERROR(Y38/X38-1,"-")</f>
        <v>-</v>
      </c>
      <c r="AB38" s="96">
        <f>($BR$38-($L$38+$P$38+$T$38+$X$38))*AB37</f>
        <v>1000</v>
      </c>
      <c r="AC38" s="91"/>
      <c r="AD38" s="92">
        <f t="shared" ref="AD38:AD41" si="208">IFERROR(AC38-AB38,"-")</f>
        <v>-1000</v>
      </c>
      <c r="AE38" s="93">
        <f t="shared" ref="AE38:AE41" si="209">IFERROR(AC38/AB38-1,"-")</f>
        <v>-1</v>
      </c>
      <c r="AF38" s="96">
        <f>($BR$38-($L$38+$P$38))*AF37</f>
        <v>2000</v>
      </c>
      <c r="AG38" s="100"/>
      <c r="AH38" s="100"/>
      <c r="AI38" s="100"/>
      <c r="AJ38" s="100"/>
      <c r="AK38" s="100"/>
      <c r="AL38" s="355">
        <f t="shared" si="198"/>
        <v>0</v>
      </c>
      <c r="AM38" s="92">
        <f t="shared" ref="AM38:AM41" si="210">IFERROR(AL38-AF38,"-")</f>
        <v>-2000</v>
      </c>
      <c r="AN38" s="93">
        <f t="shared" ref="AN38:AN41" si="211">IFERROR(AL38/AF38-1,"-")</f>
        <v>-1</v>
      </c>
      <c r="AO38" s="96">
        <f>($BR$38-($L$38+$P$38))*AO37</f>
        <v>3500</v>
      </c>
      <c r="AP38" s="100">
        <v>0.0</v>
      </c>
      <c r="AQ38" s="353">
        <v>0.0</v>
      </c>
      <c r="AR38" s="354"/>
      <c r="AS38" s="354"/>
      <c r="AT38" s="354"/>
      <c r="AU38" s="91">
        <f t="shared" si="199"/>
        <v>0</v>
      </c>
      <c r="AV38" s="92">
        <f t="shared" ref="AV38:AV41" si="212">IFERROR(AU38-AO38,"-")</f>
        <v>-3500</v>
      </c>
      <c r="AW38" s="93">
        <f t="shared" ref="AW38:AW41" si="213">IFERROR(AU38/AO38-1,"-")</f>
        <v>-1</v>
      </c>
      <c r="AX38" s="96">
        <f>($BR$38-($L$38+$P$38))*AX37</f>
        <v>5500</v>
      </c>
      <c r="AY38" s="91"/>
      <c r="AZ38" s="92">
        <f t="shared" ref="AZ38:AZ41" si="214">IFERROR(AY38-AX38,"-")</f>
        <v>-5500</v>
      </c>
      <c r="BA38" s="93">
        <f t="shared" ref="BA38:BA41" si="215">IFERROR(AY38/AX38-1,"-")</f>
        <v>-1</v>
      </c>
      <c r="BB38" s="96">
        <f>($BR$38-($L$38+$P$38))*BB37</f>
        <v>7500</v>
      </c>
      <c r="BC38" s="91"/>
      <c r="BD38" s="92">
        <f t="shared" ref="BD38:BD41" si="216">IFERROR(BC38-BB38,"-")</f>
        <v>-7500</v>
      </c>
      <c r="BE38" s="93">
        <f t="shared" ref="BE38:BE41" si="217">IFERROR(BC38/BB38-1,"-")</f>
        <v>-1</v>
      </c>
      <c r="BF38" s="96">
        <f>($BR$38-($L$38+$P$38))*BF37</f>
        <v>10000</v>
      </c>
      <c r="BG38" s="91"/>
      <c r="BH38" s="92">
        <f t="shared" ref="BH38:BH41" si="218">IFERROR(BG38-BF38,"-")</f>
        <v>-10000</v>
      </c>
      <c r="BI38" s="93">
        <f t="shared" ref="BI38:BI41" si="219">IFERROR(BG38/BF38-1,"-")</f>
        <v>-1</v>
      </c>
      <c r="BJ38" s="96">
        <f>($BR$38-($L$38+$P$38))*BJ37</f>
        <v>10000</v>
      </c>
      <c r="BK38" s="91"/>
      <c r="BL38" s="92">
        <f t="shared" ref="BL38:BL41" si="220">IFERROR(BK38-BJ38,"-")</f>
        <v>-10000</v>
      </c>
      <c r="BM38" s="93">
        <f t="shared" ref="BM38:BM41" si="221">IFERROR(BK38/BJ38-1,"-")</f>
        <v>-1</v>
      </c>
      <c r="BN38" s="91">
        <f>($BR$38-($L$38+$P$38))*BN37</f>
        <v>10500</v>
      </c>
      <c r="BO38" s="91"/>
      <c r="BP38" s="92">
        <f t="shared" ref="BP38:BP41" si="222">IFERROR(BO38-BN38,"-")</f>
        <v>-10500</v>
      </c>
      <c r="BQ38" s="95">
        <f t="shared" ref="BQ38:BQ41" si="223">IFERROR(BO38/BN38-1,"-")</f>
        <v>-1</v>
      </c>
      <c r="BR38" s="101">
        <v>50000.0</v>
      </c>
      <c r="BS38" s="102">
        <f t="shared" ref="BS38:BS39" si="224">SUM(M38,Q38,U38,Y38,AC38,AG38,AU38,AY38,BC38,BG38,BK38,BO38)</f>
        <v>859.52</v>
      </c>
      <c r="BT38" s="104">
        <f t="shared" ref="BT38:BT41" si="225">IFERROR(BS38/BR38-1,"-")</f>
        <v>-0.9828096</v>
      </c>
      <c r="BU38" s="105" t="s">
        <v>63</v>
      </c>
      <c r="BV38" s="106" t="str">
        <f t="shared" ref="BV38:BV39" si="226">IFERROR((BR38/BU38),"-")</f>
        <v>-</v>
      </c>
      <c r="BW38" s="3"/>
      <c r="BX38" s="3"/>
      <c r="BY38" s="3"/>
      <c r="BZ38" s="3"/>
      <c r="CA38" s="3"/>
      <c r="CB38" s="3"/>
    </row>
    <row r="39" ht="15.75" customHeight="1">
      <c r="A39" s="1"/>
      <c r="B39" s="142"/>
      <c r="C39" s="143"/>
      <c r="D39" s="144"/>
      <c r="E39" s="192"/>
      <c r="F39" s="146"/>
      <c r="G39" s="147"/>
      <c r="H39" s="148"/>
      <c r="I39" s="149"/>
      <c r="J39" s="72" t="s">
        <v>67</v>
      </c>
      <c r="K39" s="107"/>
      <c r="L39" s="108">
        <f>L38/$K$40</f>
        <v>0</v>
      </c>
      <c r="M39" s="109">
        <v>16.0</v>
      </c>
      <c r="N39" s="110">
        <f t="shared" si="200"/>
        <v>16</v>
      </c>
      <c r="O39" s="93" t="str">
        <f t="shared" si="201"/>
        <v>-</v>
      </c>
      <c r="P39" s="108">
        <f>P38/$K$40</f>
        <v>0</v>
      </c>
      <c r="Q39" s="109">
        <v>122.0</v>
      </c>
      <c r="R39" s="110">
        <f t="shared" si="202"/>
        <v>122</v>
      </c>
      <c r="S39" s="95" t="str">
        <f t="shared" si="203"/>
        <v>-</v>
      </c>
      <c r="T39" s="108">
        <f>T38/$K$40</f>
        <v>0</v>
      </c>
      <c r="U39" s="109">
        <v>31.0</v>
      </c>
      <c r="V39" s="110">
        <f t="shared" si="204"/>
        <v>31</v>
      </c>
      <c r="W39" s="93" t="str">
        <f t="shared" si="205"/>
        <v>-</v>
      </c>
      <c r="X39" s="108">
        <f>X38/$K$40</f>
        <v>0</v>
      </c>
      <c r="Y39" s="109">
        <v>2.0</v>
      </c>
      <c r="Z39" s="110">
        <f t="shared" si="206"/>
        <v>2</v>
      </c>
      <c r="AA39" s="93" t="str">
        <f t="shared" si="207"/>
        <v>-</v>
      </c>
      <c r="AB39" s="112">
        <f>AB38/$K$40</f>
        <v>16.66666667</v>
      </c>
      <c r="AC39" s="109"/>
      <c r="AD39" s="110">
        <f t="shared" si="208"/>
        <v>-16.66666667</v>
      </c>
      <c r="AE39" s="93">
        <f t="shared" si="209"/>
        <v>-1</v>
      </c>
      <c r="AF39" s="112">
        <f>AF38/$K$40</f>
        <v>33.33333333</v>
      </c>
      <c r="AG39" s="109"/>
      <c r="AH39" s="109"/>
      <c r="AI39" s="109"/>
      <c r="AJ39" s="109"/>
      <c r="AK39" s="109"/>
      <c r="AL39" s="358">
        <f t="shared" si="198"/>
        <v>0</v>
      </c>
      <c r="AM39" s="110">
        <f t="shared" si="210"/>
        <v>-33.33333333</v>
      </c>
      <c r="AN39" s="93">
        <f t="shared" si="211"/>
        <v>-1</v>
      </c>
      <c r="AO39" s="112">
        <f>AO38/$K$40</f>
        <v>58.33333333</v>
      </c>
      <c r="AP39" s="114">
        <v>0.0</v>
      </c>
      <c r="AQ39" s="356">
        <v>0.0</v>
      </c>
      <c r="AR39" s="357"/>
      <c r="AS39" s="357"/>
      <c r="AT39" s="357"/>
      <c r="AU39" s="109">
        <f t="shared" si="199"/>
        <v>0</v>
      </c>
      <c r="AV39" s="110">
        <f t="shared" si="212"/>
        <v>-58.33333333</v>
      </c>
      <c r="AW39" s="93">
        <f t="shared" si="213"/>
        <v>-1</v>
      </c>
      <c r="AX39" s="112">
        <f>AX38/$K$40</f>
        <v>91.66666667</v>
      </c>
      <c r="AY39" s="109"/>
      <c r="AZ39" s="110">
        <f t="shared" si="214"/>
        <v>-91.66666667</v>
      </c>
      <c r="BA39" s="93">
        <f t="shared" si="215"/>
        <v>-1</v>
      </c>
      <c r="BB39" s="112">
        <f>BB38/$K$40</f>
        <v>125</v>
      </c>
      <c r="BC39" s="109"/>
      <c r="BD39" s="110">
        <f t="shared" si="216"/>
        <v>-125</v>
      </c>
      <c r="BE39" s="93">
        <f t="shared" si="217"/>
        <v>-1</v>
      </c>
      <c r="BF39" s="112">
        <f>BF38/$K$40</f>
        <v>166.6666667</v>
      </c>
      <c r="BG39" s="109"/>
      <c r="BH39" s="110">
        <f t="shared" si="218"/>
        <v>-166.6666667</v>
      </c>
      <c r="BI39" s="93">
        <f t="shared" si="219"/>
        <v>-1</v>
      </c>
      <c r="BJ39" s="112">
        <f>BJ38/$K$40</f>
        <v>166.6666667</v>
      </c>
      <c r="BK39" s="109"/>
      <c r="BL39" s="110">
        <f t="shared" si="220"/>
        <v>-166.6666667</v>
      </c>
      <c r="BM39" s="93">
        <f t="shared" si="221"/>
        <v>-1</v>
      </c>
      <c r="BN39" s="109">
        <f>BN38/$K$40</f>
        <v>175</v>
      </c>
      <c r="BO39" s="109"/>
      <c r="BP39" s="110">
        <f t="shared" si="222"/>
        <v>-175</v>
      </c>
      <c r="BQ39" s="95">
        <f t="shared" si="223"/>
        <v>-1</v>
      </c>
      <c r="BR39" s="115">
        <f>SUM(L39,P39,T39,X39,AB39,AF39,AO39,AX39,BB39,BF39,BJ39,BN39)</f>
        <v>833.3333333</v>
      </c>
      <c r="BS39" s="207">
        <f t="shared" si="224"/>
        <v>171</v>
      </c>
      <c r="BT39" s="104">
        <f t="shared" si="225"/>
        <v>-0.7948</v>
      </c>
      <c r="BU39" s="119" t="s">
        <v>63</v>
      </c>
      <c r="BV39" s="106" t="str">
        <f t="shared" si="226"/>
        <v>-</v>
      </c>
      <c r="BW39" s="194"/>
      <c r="BX39" s="3"/>
      <c r="BY39" s="3"/>
      <c r="BZ39" s="3"/>
      <c r="CA39" s="3"/>
      <c r="CB39" s="3"/>
      <c r="CJ39" s="154" t="s">
        <v>80</v>
      </c>
    </row>
    <row r="40" ht="15.75" customHeight="1">
      <c r="A40" s="1"/>
      <c r="B40" s="142"/>
      <c r="C40" s="143"/>
      <c r="D40" s="144"/>
      <c r="E40" s="192"/>
      <c r="F40" s="146"/>
      <c r="G40" s="147"/>
      <c r="H40" s="148"/>
      <c r="I40" s="149"/>
      <c r="J40" s="72" t="s">
        <v>68</v>
      </c>
      <c r="K40" s="107">
        <v>60.0</v>
      </c>
      <c r="L40" s="108">
        <v>60.0</v>
      </c>
      <c r="M40" s="91">
        <f>IFERROR(M38/M39,"-")</f>
        <v>14.5225</v>
      </c>
      <c r="N40" s="92">
        <f t="shared" si="200"/>
        <v>-45.4775</v>
      </c>
      <c r="O40" s="93">
        <f t="shared" si="201"/>
        <v>-0.7579583333</v>
      </c>
      <c r="P40" s="167">
        <v>60.0</v>
      </c>
      <c r="Q40" s="91">
        <f>IFERROR(Q38/Q39,"-")</f>
        <v>3.011967213</v>
      </c>
      <c r="R40" s="92">
        <f t="shared" si="202"/>
        <v>-56.98803279</v>
      </c>
      <c r="S40" s="95">
        <f t="shared" si="203"/>
        <v>-0.9498005464</v>
      </c>
      <c r="T40" s="108">
        <v>60.0</v>
      </c>
      <c r="U40" s="91">
        <f>IFERROR(U38/U39,"-")</f>
        <v>5.724516129</v>
      </c>
      <c r="V40" s="92">
        <f t="shared" si="204"/>
        <v>-54.27548387</v>
      </c>
      <c r="W40" s="93">
        <f t="shared" si="205"/>
        <v>-0.9045913978</v>
      </c>
      <c r="X40" s="108">
        <v>60.0</v>
      </c>
      <c r="Y40" s="109">
        <f>Y38/Y39</f>
        <v>41.12</v>
      </c>
      <c r="Z40" s="92">
        <f t="shared" si="206"/>
        <v>-18.88</v>
      </c>
      <c r="AA40" s="93">
        <f t="shared" si="207"/>
        <v>-0.3146666667</v>
      </c>
      <c r="AB40" s="112">
        <f>AB38/AB39</f>
        <v>60</v>
      </c>
      <c r="AC40" s="91" t="str">
        <f>IFERROR(AC38/AC39,"-")</f>
        <v>-</v>
      </c>
      <c r="AD40" s="92" t="str">
        <f t="shared" si="208"/>
        <v>-</v>
      </c>
      <c r="AE40" s="93" t="str">
        <f t="shared" si="209"/>
        <v>-</v>
      </c>
      <c r="AF40" s="385">
        <f>AF38/AF39</f>
        <v>60</v>
      </c>
      <c r="AG40" s="370" t="str">
        <f t="shared" ref="AG40:AL40" si="227">IFERROR(AG38/AG39,"-")</f>
        <v>-</v>
      </c>
      <c r="AH40" s="370" t="str">
        <f t="shared" si="227"/>
        <v>-</v>
      </c>
      <c r="AI40" s="370" t="str">
        <f t="shared" si="227"/>
        <v>-</v>
      </c>
      <c r="AJ40" s="370" t="str">
        <f t="shared" si="227"/>
        <v>-</v>
      </c>
      <c r="AK40" s="370" t="str">
        <f t="shared" si="227"/>
        <v>-</v>
      </c>
      <c r="AL40" s="372" t="str">
        <f t="shared" si="227"/>
        <v>-</v>
      </c>
      <c r="AM40" s="92" t="str">
        <f t="shared" si="210"/>
        <v>-</v>
      </c>
      <c r="AN40" s="93" t="str">
        <f t="shared" si="211"/>
        <v>-</v>
      </c>
      <c r="AO40" s="112">
        <f>AO38/AO39</f>
        <v>60</v>
      </c>
      <c r="AP40" s="91" t="str">
        <f t="shared" ref="AP40:AU40" si="228">IFERROR(AP38/AP39,"-")</f>
        <v>-</v>
      </c>
      <c r="AQ40" s="91" t="str">
        <f t="shared" si="228"/>
        <v>-</v>
      </c>
      <c r="AR40" s="359" t="str">
        <f t="shared" si="228"/>
        <v>-</v>
      </c>
      <c r="AS40" s="359" t="str">
        <f t="shared" si="228"/>
        <v>-</v>
      </c>
      <c r="AT40" s="359" t="str">
        <f t="shared" si="228"/>
        <v>-</v>
      </c>
      <c r="AU40" s="91" t="str">
        <f t="shared" si="228"/>
        <v>-</v>
      </c>
      <c r="AV40" s="92" t="str">
        <f t="shared" si="212"/>
        <v>-</v>
      </c>
      <c r="AW40" s="93" t="str">
        <f t="shared" si="213"/>
        <v>-</v>
      </c>
      <c r="AX40" s="112">
        <f>AX38/AX39</f>
        <v>60</v>
      </c>
      <c r="AY40" s="91" t="str">
        <f>IFERROR(AY38/AY39,"-")</f>
        <v>-</v>
      </c>
      <c r="AZ40" s="92" t="str">
        <f t="shared" si="214"/>
        <v>-</v>
      </c>
      <c r="BA40" s="93" t="str">
        <f t="shared" si="215"/>
        <v>-</v>
      </c>
      <c r="BB40" s="112">
        <f>BB38/BB39</f>
        <v>60</v>
      </c>
      <c r="BC40" s="91" t="str">
        <f>IFERROR(BC38/BC39,"-")</f>
        <v>-</v>
      </c>
      <c r="BD40" s="92" t="str">
        <f t="shared" si="216"/>
        <v>-</v>
      </c>
      <c r="BE40" s="93" t="str">
        <f t="shared" si="217"/>
        <v>-</v>
      </c>
      <c r="BF40" s="112">
        <f>BF38/BF39</f>
        <v>60</v>
      </c>
      <c r="BG40" s="91" t="str">
        <f>IFERROR(BG38/BG39,"-")</f>
        <v>-</v>
      </c>
      <c r="BH40" s="92" t="str">
        <f t="shared" si="218"/>
        <v>-</v>
      </c>
      <c r="BI40" s="93" t="str">
        <f t="shared" si="219"/>
        <v>-</v>
      </c>
      <c r="BJ40" s="112">
        <f>BJ38/BJ39</f>
        <v>60</v>
      </c>
      <c r="BK40" s="91" t="str">
        <f>IFERROR(BK38/BK39,"-")</f>
        <v>-</v>
      </c>
      <c r="BL40" s="92" t="str">
        <f t="shared" si="220"/>
        <v>-</v>
      </c>
      <c r="BM40" s="93" t="str">
        <f t="shared" si="221"/>
        <v>-</v>
      </c>
      <c r="BN40" s="109">
        <f>BN38/BN39</f>
        <v>60</v>
      </c>
      <c r="BO40" s="91" t="str">
        <f>IFERROR(BO38/BO39,"-")</f>
        <v>-</v>
      </c>
      <c r="BP40" s="92" t="str">
        <f t="shared" si="222"/>
        <v>-</v>
      </c>
      <c r="BQ40" s="95" t="str">
        <f t="shared" si="223"/>
        <v>-</v>
      </c>
      <c r="BR40" s="216">
        <f t="shared" ref="BR40:BS40" si="229">BR38/BR39</f>
        <v>60</v>
      </c>
      <c r="BS40" s="209">
        <f t="shared" si="229"/>
        <v>5.026432749</v>
      </c>
      <c r="BT40" s="104">
        <f t="shared" si="225"/>
        <v>-0.9162261209</v>
      </c>
      <c r="BU40" s="119"/>
      <c r="BV40" s="106"/>
      <c r="BW40" s="194"/>
      <c r="BX40" s="3"/>
      <c r="BY40" s="3"/>
      <c r="BZ40" s="3"/>
      <c r="CA40" s="3"/>
      <c r="CB40" s="3"/>
    </row>
    <row r="41" ht="15.75" customHeight="1">
      <c r="A41" s="1"/>
      <c r="B41" s="142"/>
      <c r="C41" s="143"/>
      <c r="D41" s="144"/>
      <c r="E41" s="192"/>
      <c r="F41" s="146"/>
      <c r="G41" s="147"/>
      <c r="H41" s="148"/>
      <c r="I41" s="149"/>
      <c r="J41" s="124" t="s">
        <v>69</v>
      </c>
      <c r="K41" s="125">
        <v>0.049</v>
      </c>
      <c r="L41" s="126">
        <f t="shared" ref="L41:M41" si="230">L38*$K$41</f>
        <v>0</v>
      </c>
      <c r="M41" s="130">
        <f t="shared" si="230"/>
        <v>11.38564</v>
      </c>
      <c r="N41" s="128">
        <f t="shared" si="200"/>
        <v>11.38564</v>
      </c>
      <c r="O41" s="129" t="str">
        <f t="shared" si="201"/>
        <v>-</v>
      </c>
      <c r="P41" s="126">
        <f t="shared" ref="P41:Q41" si="231">P38*$K$41</f>
        <v>0</v>
      </c>
      <c r="Q41" s="130">
        <f t="shared" si="231"/>
        <v>18.00554</v>
      </c>
      <c r="R41" s="128">
        <f t="shared" si="202"/>
        <v>18.00554</v>
      </c>
      <c r="S41" s="131" t="str">
        <f t="shared" si="203"/>
        <v>-</v>
      </c>
      <c r="T41" s="126">
        <f t="shared" ref="T41:U41" si="232">T38*$K$41</f>
        <v>0</v>
      </c>
      <c r="U41" s="130">
        <f t="shared" si="232"/>
        <v>8.69554</v>
      </c>
      <c r="V41" s="128">
        <f t="shared" si="204"/>
        <v>8.69554</v>
      </c>
      <c r="W41" s="129" t="str">
        <f t="shared" si="205"/>
        <v>-</v>
      </c>
      <c r="X41" s="126">
        <f t="shared" ref="X41:Y41" si="233">X38*$K$41</f>
        <v>0</v>
      </c>
      <c r="Y41" s="130">
        <f t="shared" si="233"/>
        <v>4.02976</v>
      </c>
      <c r="Z41" s="128">
        <f t="shared" si="206"/>
        <v>4.02976</v>
      </c>
      <c r="AA41" s="129" t="str">
        <f t="shared" si="207"/>
        <v>-</v>
      </c>
      <c r="AB41" s="126">
        <f t="shared" ref="AB41:AC41" si="234">AB38*$K$41</f>
        <v>49</v>
      </c>
      <c r="AC41" s="130">
        <f t="shared" si="234"/>
        <v>0</v>
      </c>
      <c r="AD41" s="128">
        <f t="shared" si="208"/>
        <v>-49</v>
      </c>
      <c r="AE41" s="134">
        <f t="shared" si="209"/>
        <v>-1</v>
      </c>
      <c r="AF41" s="381">
        <f t="shared" ref="AF41:AL41" si="235">AF38*$K$41</f>
        <v>98</v>
      </c>
      <c r="AG41" s="382">
        <f t="shared" si="235"/>
        <v>0</v>
      </c>
      <c r="AH41" s="382">
        <f t="shared" si="235"/>
        <v>0</v>
      </c>
      <c r="AI41" s="382">
        <f t="shared" si="235"/>
        <v>0</v>
      </c>
      <c r="AJ41" s="382">
        <f t="shared" si="235"/>
        <v>0</v>
      </c>
      <c r="AK41" s="382">
        <f t="shared" si="235"/>
        <v>0</v>
      </c>
      <c r="AL41" s="386">
        <f t="shared" si="235"/>
        <v>0</v>
      </c>
      <c r="AM41" s="376">
        <f t="shared" si="210"/>
        <v>-98</v>
      </c>
      <c r="AN41" s="129">
        <f t="shared" si="211"/>
        <v>-1</v>
      </c>
      <c r="AO41" s="126">
        <f>AO38*$K$41</f>
        <v>171.5</v>
      </c>
      <c r="AP41" s="130">
        <f t="shared" ref="AP41:AT41" si="236">AP38*$K$9</f>
        <v>0</v>
      </c>
      <c r="AQ41" s="130">
        <f t="shared" si="236"/>
        <v>0</v>
      </c>
      <c r="AR41" s="361">
        <f t="shared" si="236"/>
        <v>0</v>
      </c>
      <c r="AS41" s="361">
        <f t="shared" si="236"/>
        <v>0</v>
      </c>
      <c r="AT41" s="361">
        <f t="shared" si="236"/>
        <v>0</v>
      </c>
      <c r="AU41" s="130">
        <f>AU38*$K$41</f>
        <v>0</v>
      </c>
      <c r="AV41" s="128">
        <f t="shared" si="212"/>
        <v>-171.5</v>
      </c>
      <c r="AW41" s="129">
        <f t="shared" si="213"/>
        <v>-1</v>
      </c>
      <c r="AX41" s="126">
        <f t="shared" ref="AX41:AY41" si="237">AX38*$K$41</f>
        <v>269.5</v>
      </c>
      <c r="AY41" s="130">
        <f t="shared" si="237"/>
        <v>0</v>
      </c>
      <c r="AZ41" s="128">
        <f t="shared" si="214"/>
        <v>-269.5</v>
      </c>
      <c r="BA41" s="129">
        <f t="shared" si="215"/>
        <v>-1</v>
      </c>
      <c r="BB41" s="126">
        <f t="shared" ref="BB41:BC41" si="238">BB38*$K$41</f>
        <v>367.5</v>
      </c>
      <c r="BC41" s="130">
        <f t="shared" si="238"/>
        <v>0</v>
      </c>
      <c r="BD41" s="128">
        <f t="shared" si="216"/>
        <v>-367.5</v>
      </c>
      <c r="BE41" s="129">
        <f t="shared" si="217"/>
        <v>-1</v>
      </c>
      <c r="BF41" s="126">
        <f t="shared" ref="BF41:BG41" si="239">BF38*$K$41</f>
        <v>490</v>
      </c>
      <c r="BG41" s="130">
        <f t="shared" si="239"/>
        <v>0</v>
      </c>
      <c r="BH41" s="128">
        <f t="shared" si="218"/>
        <v>-490</v>
      </c>
      <c r="BI41" s="129">
        <f t="shared" si="219"/>
        <v>-1</v>
      </c>
      <c r="BJ41" s="126">
        <f t="shared" ref="BJ41:BK41" si="240">BJ38*$K$41</f>
        <v>490</v>
      </c>
      <c r="BK41" s="130">
        <f t="shared" si="240"/>
        <v>0</v>
      </c>
      <c r="BL41" s="128">
        <f t="shared" si="220"/>
        <v>-490</v>
      </c>
      <c r="BM41" s="129">
        <f t="shared" si="221"/>
        <v>-1</v>
      </c>
      <c r="BN41" s="130">
        <f t="shared" ref="BN41:BO41" si="241">BN38*$K$41</f>
        <v>514.5</v>
      </c>
      <c r="BO41" s="130">
        <f t="shared" si="241"/>
        <v>0</v>
      </c>
      <c r="BP41" s="128">
        <f t="shared" si="222"/>
        <v>-514.5</v>
      </c>
      <c r="BQ41" s="131">
        <f t="shared" si="223"/>
        <v>-1</v>
      </c>
      <c r="BR41" s="135">
        <f>SUM(L41,P41,T41,X41,AB41,AF41,AO41,AX41,BB41,BF41,BJ41,BN41)</f>
        <v>2450</v>
      </c>
      <c r="BS41" s="213">
        <f>SUM(M41,Q41,U41,Y41,AC41,AG41,AU41,AY41,BC41,BG41,BK41,BO41)</f>
        <v>42.11648</v>
      </c>
      <c r="BT41" s="139">
        <f t="shared" si="225"/>
        <v>-0.9828096</v>
      </c>
      <c r="BU41" s="140" t="s">
        <v>63</v>
      </c>
      <c r="BV41" s="141" t="str">
        <f>IFERROR((BR41/BU41),"-")</f>
        <v>-</v>
      </c>
      <c r="BW41" s="3"/>
      <c r="BX41" s="3"/>
      <c r="BY41" s="3"/>
      <c r="BZ41" s="3"/>
    </row>
    <row r="42" ht="15.75" customHeight="1">
      <c r="A42" s="1"/>
      <c r="B42" s="142"/>
      <c r="C42" s="143"/>
      <c r="D42" s="144"/>
      <c r="E42" s="192"/>
      <c r="F42" s="146"/>
      <c r="G42" s="147"/>
      <c r="H42" s="148"/>
      <c r="I42" s="149"/>
      <c r="J42" s="12"/>
      <c r="K42" s="195"/>
      <c r="L42" s="12"/>
      <c r="M42" s="196"/>
      <c r="N42" s="196"/>
      <c r="O42" s="196"/>
      <c r="P42" s="196"/>
      <c r="Q42" s="23"/>
      <c r="R42" s="196"/>
      <c r="S42" s="12"/>
      <c r="T42" s="12"/>
      <c r="U42" s="12"/>
      <c r="V42" s="12"/>
      <c r="W42" s="12"/>
      <c r="X42" s="13"/>
      <c r="Y42" s="14"/>
      <c r="Z42" s="15"/>
      <c r="AA42" s="3"/>
      <c r="AB42" s="3"/>
      <c r="AC42" s="3"/>
      <c r="AD42" s="3"/>
      <c r="AE42" s="3"/>
      <c r="AF42" s="3"/>
      <c r="AG42" s="363"/>
      <c r="AH42" s="363"/>
      <c r="AI42" s="363"/>
      <c r="AJ42" s="363"/>
      <c r="AK42" s="363"/>
      <c r="AL42" s="363"/>
      <c r="AP42" s="363"/>
      <c r="AQ42" s="363"/>
      <c r="AR42" s="363"/>
      <c r="AS42" s="363"/>
      <c r="AT42" s="363"/>
      <c r="BA42" s="187"/>
      <c r="BB42" s="25"/>
      <c r="BC42" s="188"/>
      <c r="BD42" s="25"/>
    </row>
    <row r="43" ht="15.75" customHeight="1">
      <c r="A43" s="1"/>
      <c r="B43" s="142"/>
      <c r="C43" s="143"/>
      <c r="D43" s="144"/>
      <c r="E43" s="192"/>
      <c r="F43" s="146"/>
      <c r="G43" s="147"/>
      <c r="H43" s="148"/>
      <c r="I43" s="149"/>
      <c r="J43" s="34" t="s">
        <v>81</v>
      </c>
      <c r="K43" s="35"/>
      <c r="L43" s="36" t="s">
        <v>10</v>
      </c>
      <c r="M43" s="199" t="s">
        <v>11</v>
      </c>
      <c r="N43" s="38" t="s">
        <v>12</v>
      </c>
      <c r="O43" s="45" t="s">
        <v>13</v>
      </c>
      <c r="P43" s="157" t="s">
        <v>14</v>
      </c>
      <c r="Q43" s="199" t="s">
        <v>15</v>
      </c>
      <c r="R43" s="38" t="s">
        <v>16</v>
      </c>
      <c r="S43" s="42" t="s">
        <v>17</v>
      </c>
      <c r="T43" s="217" t="s">
        <v>18</v>
      </c>
      <c r="U43" s="199" t="s">
        <v>19</v>
      </c>
      <c r="V43" s="38" t="s">
        <v>20</v>
      </c>
      <c r="W43" s="45" t="s">
        <v>21</v>
      </c>
      <c r="X43" s="44" t="s">
        <v>22</v>
      </c>
      <c r="Y43" s="199" t="s">
        <v>23</v>
      </c>
      <c r="Z43" s="38" t="s">
        <v>24</v>
      </c>
      <c r="AA43" s="45" t="s">
        <v>25</v>
      </c>
      <c r="AB43" s="43" t="s">
        <v>26</v>
      </c>
      <c r="AC43" s="199" t="s">
        <v>27</v>
      </c>
      <c r="AD43" s="38" t="s">
        <v>28</v>
      </c>
      <c r="AE43" s="45" t="s">
        <v>29</v>
      </c>
      <c r="AF43" s="44" t="s">
        <v>30</v>
      </c>
      <c r="AG43" s="343" t="s">
        <v>120</v>
      </c>
      <c r="AH43" s="344" t="s">
        <v>121</v>
      </c>
      <c r="AI43" s="344" t="s">
        <v>122</v>
      </c>
      <c r="AJ43" s="344" t="s">
        <v>123</v>
      </c>
      <c r="AK43" s="344" t="s">
        <v>124</v>
      </c>
      <c r="AL43" s="344" t="s">
        <v>31</v>
      </c>
      <c r="AM43" s="38" t="s">
        <v>32</v>
      </c>
      <c r="AN43" s="45" t="s">
        <v>33</v>
      </c>
      <c r="AO43" s="43" t="s">
        <v>34</v>
      </c>
      <c r="AP43" s="343" t="s">
        <v>125</v>
      </c>
      <c r="AQ43" s="344" t="s">
        <v>126</v>
      </c>
      <c r="AR43" s="344" t="s">
        <v>127</v>
      </c>
      <c r="AS43" s="344" t="s">
        <v>128</v>
      </c>
      <c r="AT43" s="344" t="s">
        <v>129</v>
      </c>
      <c r="AU43" s="41" t="s">
        <v>35</v>
      </c>
      <c r="AV43" s="38" t="s">
        <v>36</v>
      </c>
      <c r="AW43" s="45" t="s">
        <v>37</v>
      </c>
      <c r="AX43" s="201" t="s">
        <v>38</v>
      </c>
      <c r="AY43" s="199" t="s">
        <v>39</v>
      </c>
      <c r="AZ43" s="38" t="s">
        <v>40</v>
      </c>
      <c r="BA43" s="45" t="s">
        <v>41</v>
      </c>
      <c r="BB43" s="43" t="s">
        <v>42</v>
      </c>
      <c r="BC43" s="199" t="s">
        <v>43</v>
      </c>
      <c r="BD43" s="38" t="s">
        <v>44</v>
      </c>
      <c r="BE43" s="45" t="s">
        <v>45</v>
      </c>
      <c r="BF43" s="44" t="s">
        <v>46</v>
      </c>
      <c r="BG43" s="199" t="s">
        <v>47</v>
      </c>
      <c r="BH43" s="38" t="s">
        <v>48</v>
      </c>
      <c r="BI43" s="45" t="s">
        <v>49</v>
      </c>
      <c r="BJ43" s="43" t="s">
        <v>50</v>
      </c>
      <c r="BK43" s="199" t="s">
        <v>51</v>
      </c>
      <c r="BL43" s="38" t="s">
        <v>52</v>
      </c>
      <c r="BM43" s="45" t="s">
        <v>53</v>
      </c>
      <c r="BN43" s="44" t="s">
        <v>54</v>
      </c>
      <c r="BO43" s="199" t="s">
        <v>55</v>
      </c>
      <c r="BP43" s="38" t="s">
        <v>56</v>
      </c>
      <c r="BQ43" s="45" t="s">
        <v>57</v>
      </c>
      <c r="BR43" s="364">
        <v>2026.0</v>
      </c>
      <c r="BS43" s="37" t="s">
        <v>61</v>
      </c>
      <c r="BT43" s="51" t="s">
        <v>62</v>
      </c>
      <c r="BU43" s="52">
        <v>2025.0</v>
      </c>
      <c r="BV43" s="53"/>
      <c r="BW43" s="3"/>
      <c r="BX43" s="3"/>
      <c r="BY43" s="3"/>
      <c r="BZ43" s="3"/>
      <c r="CA43" s="3"/>
      <c r="CB43" s="3"/>
    </row>
    <row r="44" ht="15.75" customHeight="1">
      <c r="A44" s="1"/>
      <c r="B44" s="142"/>
      <c r="C44" s="143"/>
      <c r="D44" s="144"/>
      <c r="E44" s="192"/>
      <c r="F44" s="146"/>
      <c r="G44" s="147"/>
      <c r="H44" s="148"/>
      <c r="I44" s="149"/>
      <c r="J44" s="346" t="s">
        <v>130</v>
      </c>
      <c r="K44" s="55"/>
      <c r="L44" s="56"/>
      <c r="M44" s="202"/>
      <c r="N44" s="58"/>
      <c r="O44" s="59"/>
      <c r="P44" s="56"/>
      <c r="Q44" s="202"/>
      <c r="R44" s="58"/>
      <c r="S44" s="61"/>
      <c r="T44" s="62"/>
      <c r="U44" s="63"/>
      <c r="V44" s="58"/>
      <c r="W44" s="59"/>
      <c r="X44" s="62"/>
      <c r="Y44" s="63"/>
      <c r="Z44" s="58"/>
      <c r="AA44" s="59"/>
      <c r="AB44" s="62"/>
      <c r="AC44" s="63"/>
      <c r="AD44" s="58"/>
      <c r="AE44" s="59"/>
      <c r="AF44" s="62"/>
      <c r="AG44" s="347">
        <f t="shared" ref="AG44:AK44" si="242">$AF$45/5</f>
        <v>0.016</v>
      </c>
      <c r="AH44" s="347">
        <f t="shared" si="242"/>
        <v>0.016</v>
      </c>
      <c r="AI44" s="347">
        <f t="shared" si="242"/>
        <v>0.016</v>
      </c>
      <c r="AJ44" s="347">
        <f t="shared" si="242"/>
        <v>0.016</v>
      </c>
      <c r="AK44" s="347">
        <f t="shared" si="242"/>
        <v>0.016</v>
      </c>
      <c r="AL44" s="347"/>
      <c r="AM44" s="58"/>
      <c r="AN44" s="59"/>
      <c r="AO44" s="62"/>
      <c r="AP44" s="347">
        <f t="shared" ref="AP44:AT44" si="243">$AO$45/5</f>
        <v>0.016</v>
      </c>
      <c r="AQ44" s="347">
        <f t="shared" si="243"/>
        <v>0.016</v>
      </c>
      <c r="AR44" s="347">
        <f t="shared" si="243"/>
        <v>0.016</v>
      </c>
      <c r="AS44" s="347">
        <f t="shared" si="243"/>
        <v>0.016</v>
      </c>
      <c r="AT44" s="347">
        <f t="shared" si="243"/>
        <v>0.016</v>
      </c>
      <c r="AU44" s="63"/>
      <c r="AV44" s="58"/>
      <c r="AW44" s="59"/>
      <c r="AX44" s="203"/>
      <c r="AY44" s="63"/>
      <c r="AZ44" s="58"/>
      <c r="BA44" s="59"/>
      <c r="BB44" s="62"/>
      <c r="BC44" s="63"/>
      <c r="BD44" s="58"/>
      <c r="BE44" s="59"/>
      <c r="BF44" s="62"/>
      <c r="BG44" s="63"/>
      <c r="BH44" s="58"/>
      <c r="BI44" s="59"/>
      <c r="BJ44" s="62"/>
      <c r="BK44" s="63"/>
      <c r="BL44" s="58"/>
      <c r="BM44" s="59"/>
      <c r="BN44" s="62"/>
      <c r="BO44" s="63"/>
      <c r="BP44" s="58"/>
      <c r="BQ44" s="59"/>
      <c r="BR44" s="387"/>
      <c r="BS44" s="349"/>
      <c r="BT44" s="69"/>
      <c r="BU44" s="70"/>
      <c r="BV44" s="71"/>
      <c r="BW44" s="3"/>
      <c r="BX44" s="3"/>
      <c r="BY44" s="3"/>
      <c r="BZ44" s="3"/>
      <c r="CA44" s="3"/>
      <c r="CB44" s="3"/>
    </row>
    <row r="45" ht="15.75" customHeight="1">
      <c r="A45" s="1"/>
      <c r="B45" s="142">
        <v>7.0</v>
      </c>
      <c r="C45" s="143" t="s">
        <v>82</v>
      </c>
      <c r="D45" s="144"/>
      <c r="E45" s="192"/>
      <c r="F45" s="146"/>
      <c r="G45" s="147"/>
      <c r="H45" s="148"/>
      <c r="I45" s="149"/>
      <c r="J45" s="388" t="s">
        <v>64</v>
      </c>
      <c r="K45" s="73"/>
      <c r="L45" s="74" t="s">
        <v>63</v>
      </c>
      <c r="M45" s="204" t="s">
        <v>63</v>
      </c>
      <c r="N45" s="76" t="s">
        <v>63</v>
      </c>
      <c r="O45" s="77" t="s">
        <v>65</v>
      </c>
      <c r="P45" s="74" t="s">
        <v>63</v>
      </c>
      <c r="Q45" s="204" t="s">
        <v>63</v>
      </c>
      <c r="R45" s="76" t="s">
        <v>63</v>
      </c>
      <c r="S45" s="79" t="s">
        <v>65</v>
      </c>
      <c r="T45" s="80">
        <v>0.04</v>
      </c>
      <c r="U45" s="81">
        <f>U46/(BR46-(L46 + P46))</f>
        <v>0.05181774334</v>
      </c>
      <c r="V45" s="76" t="s">
        <v>63</v>
      </c>
      <c r="W45" s="77" t="s">
        <v>65</v>
      </c>
      <c r="X45" s="80">
        <v>0.05</v>
      </c>
      <c r="Y45" s="81">
        <f>Y46/(BR46-(L46+P46))</f>
        <v>0.03728023143</v>
      </c>
      <c r="Z45" s="76" t="s">
        <v>63</v>
      </c>
      <c r="AA45" s="77" t="s">
        <v>65</v>
      </c>
      <c r="AB45" s="80">
        <v>0.05</v>
      </c>
      <c r="AC45" s="81">
        <f>AC46/(BR46-(L46+P46))</f>
        <v>0.05252107165</v>
      </c>
      <c r="AD45" s="76" t="s">
        <v>63</v>
      </c>
      <c r="AE45" s="77" t="s">
        <v>65</v>
      </c>
      <c r="AF45" s="80">
        <v>0.08</v>
      </c>
      <c r="AG45" s="350">
        <f t="shared" ref="AG45:AK45" si="244">AG46/($BR$46-($L$46+$P$46))</f>
        <v>0.01186046675</v>
      </c>
      <c r="AH45" s="350">
        <f t="shared" si="244"/>
        <v>0.01049521492</v>
      </c>
      <c r="AI45" s="350">
        <f t="shared" si="244"/>
        <v>0.01513056078</v>
      </c>
      <c r="AJ45" s="350">
        <f t="shared" si="244"/>
        <v>0.01720955172</v>
      </c>
      <c r="AK45" s="350">
        <f t="shared" si="244"/>
        <v>0.003753825382</v>
      </c>
      <c r="AL45" s="351">
        <f t="shared" ref="AL45:AL47" si="246">SUM(AG45:AK45)</f>
        <v>0.05844961955</v>
      </c>
      <c r="AM45" s="352">
        <f>AL45-AF45</f>
        <v>-0.02155038045</v>
      </c>
      <c r="AN45" s="77" t="s">
        <v>65</v>
      </c>
      <c r="AO45" s="80">
        <v>0.08</v>
      </c>
      <c r="AP45" s="350">
        <f t="shared" ref="AP45:AT45" si="245">AP46/($BR$46-($L$46+$P$46))</f>
        <v>0.0116919618</v>
      </c>
      <c r="AQ45" s="350">
        <f t="shared" si="245"/>
        <v>0.01510912631</v>
      </c>
      <c r="AR45" s="350">
        <f t="shared" si="245"/>
        <v>0</v>
      </c>
      <c r="AS45" s="350">
        <f t="shared" si="245"/>
        <v>0</v>
      </c>
      <c r="AT45" s="350">
        <f t="shared" si="245"/>
        <v>0</v>
      </c>
      <c r="AU45" s="351">
        <f t="shared" ref="AU45:AU47" si="247">SUM(AP45:AT45)</f>
        <v>0.02680108811</v>
      </c>
      <c r="AV45" s="76" t="s">
        <v>63</v>
      </c>
      <c r="AW45" s="77" t="s">
        <v>65</v>
      </c>
      <c r="AX45" s="205">
        <v>0.08</v>
      </c>
      <c r="AY45" s="81">
        <f>AY46/(BR46-(L46+P46))</f>
        <v>0</v>
      </c>
      <c r="AZ45" s="76" t="s">
        <v>63</v>
      </c>
      <c r="BA45" s="77" t="s">
        <v>65</v>
      </c>
      <c r="BB45" s="80">
        <v>0.13</v>
      </c>
      <c r="BC45" s="81">
        <f>BC46/(BR46-(L46+P46))</f>
        <v>0</v>
      </c>
      <c r="BD45" s="76" t="s">
        <v>63</v>
      </c>
      <c r="BE45" s="77" t="s">
        <v>65</v>
      </c>
      <c r="BF45" s="80">
        <v>0.13</v>
      </c>
      <c r="BG45" s="81">
        <f>BG46/(BR46-(L46+P46))</f>
        <v>0</v>
      </c>
      <c r="BH45" s="76" t="s">
        <v>63</v>
      </c>
      <c r="BI45" s="77" t="s">
        <v>65</v>
      </c>
      <c r="BJ45" s="80">
        <v>0.23</v>
      </c>
      <c r="BK45" s="81">
        <f>BK46/(BR46-(L46+P46))</f>
        <v>0</v>
      </c>
      <c r="BL45" s="76" t="s">
        <v>63</v>
      </c>
      <c r="BM45" s="77" t="s">
        <v>65</v>
      </c>
      <c r="BN45" s="80">
        <v>0.13</v>
      </c>
      <c r="BO45" s="81">
        <f>BO46/(BR46-(L46+P46))</f>
        <v>0</v>
      </c>
      <c r="BP45" s="76" t="s">
        <v>63</v>
      </c>
      <c r="BQ45" s="77" t="s">
        <v>65</v>
      </c>
      <c r="BR45" s="166">
        <f>SUM(T45,X45,AB45,AF45,AO45,AX45,BB45,BF45,BJ45,BN45)</f>
        <v>1</v>
      </c>
      <c r="BS45" s="350">
        <f>SUM(U45,Y45,AC45,AG45,AU45,AY45,BC45,BG45,BK45,BO45)</f>
        <v>0.1802806013</v>
      </c>
      <c r="BT45" s="88"/>
      <c r="BU45" s="89" t="s">
        <v>63</v>
      </c>
      <c r="BV45" s="71"/>
      <c r="BW45" s="3"/>
      <c r="BX45" s="3"/>
      <c r="BY45" s="3"/>
      <c r="BZ45" s="3"/>
      <c r="CA45" s="3"/>
      <c r="CB45" s="3"/>
    </row>
    <row r="46" ht="15.75" customHeight="1">
      <c r="A46" s="1"/>
      <c r="B46" s="142"/>
      <c r="C46" s="143"/>
      <c r="D46" s="144"/>
      <c r="E46" s="192"/>
      <c r="F46" s="146"/>
      <c r="G46" s="147"/>
      <c r="H46" s="148"/>
      <c r="I46" s="149"/>
      <c r="J46" s="72" t="s">
        <v>66</v>
      </c>
      <c r="K46" s="73"/>
      <c r="L46" s="167">
        <v>60057.0</v>
      </c>
      <c r="M46" s="91">
        <v>45206.81</v>
      </c>
      <c r="N46" s="92">
        <f t="shared" ref="N46:N49" si="248">IFERROR(M46-L46,"-")</f>
        <v>-14850.19</v>
      </c>
      <c r="O46" s="93">
        <f t="shared" ref="O46:O49" si="249">IFERROR(M46/L46-1,"-")</f>
        <v>-0.2472682618</v>
      </c>
      <c r="P46" s="167">
        <v>44180.0</v>
      </c>
      <c r="Q46" s="91">
        <v>42436.91</v>
      </c>
      <c r="R46" s="92">
        <f t="shared" ref="R46:R49" si="250">IFERROR(Q46-P46,"-")</f>
        <v>-1743.09</v>
      </c>
      <c r="S46" s="95">
        <f t="shared" ref="S46:S49" si="251">IFERROR(Q46/P46-1,"-")</f>
        <v>-0.03945427795</v>
      </c>
      <c r="T46" s="96">
        <f>($BR$46-($L$46+$P$46))*T45</f>
        <v>46989.71903</v>
      </c>
      <c r="U46" s="91">
        <v>60872.53</v>
      </c>
      <c r="V46" s="92">
        <f t="shared" ref="V46:V49" si="252">IFERROR(U46-T46,"-")</f>
        <v>13882.81097</v>
      </c>
      <c r="W46" s="93">
        <f t="shared" ref="W46:W49" si="253">IFERROR(U46/T46-1,"-")</f>
        <v>0.2954435834</v>
      </c>
      <c r="X46" s="96">
        <f>($BR$46-($L$46+$P$46))*X45</f>
        <v>58737.14879</v>
      </c>
      <c r="Y46" s="91">
        <v>43794.69</v>
      </c>
      <c r="Z46" s="92">
        <f t="shared" ref="Z46:Z49" si="254">IFERROR(Y46-X46,"-")</f>
        <v>-14942.45879</v>
      </c>
      <c r="AA46" s="93">
        <f t="shared" ref="AA46:AA49" si="255">IFERROR(Y46/X46-1,"-")</f>
        <v>-0.2543953715</v>
      </c>
      <c r="AB46" s="96">
        <f>($BR$46-($L$46+$P$46))*AB45</f>
        <v>58737.14879</v>
      </c>
      <c r="AC46" s="91">
        <v>61698.76</v>
      </c>
      <c r="AD46" s="92">
        <f t="shared" ref="AD46:AD49" si="256">IFERROR(AC46-AB46,"-")</f>
        <v>2961.611215</v>
      </c>
      <c r="AE46" s="93">
        <f t="shared" ref="AE46:AE49" si="257">IFERROR(AC46/AB46-1,"-")</f>
        <v>0.05042143304</v>
      </c>
      <c r="AF46" s="96">
        <f>($BR$46-($L$46+$P$46))*AF45</f>
        <v>93979.43806</v>
      </c>
      <c r="AG46" s="100">
        <v>13933.0</v>
      </c>
      <c r="AH46" s="100">
        <v>12329.18</v>
      </c>
      <c r="AI46" s="100">
        <v>17774.52</v>
      </c>
      <c r="AJ46" s="100">
        <v>20216.8</v>
      </c>
      <c r="AK46" s="100">
        <v>4409.78</v>
      </c>
      <c r="AL46" s="355">
        <f t="shared" si="246"/>
        <v>68663.28</v>
      </c>
      <c r="AM46" s="92">
        <f t="shared" ref="AM46:AM49" si="258">IFERROR(AL46-AF46,"-")</f>
        <v>-25316.15806</v>
      </c>
      <c r="AN46" s="93">
        <f t="shared" ref="AN46:AN49" si="259">IFERROR(AL46/AF46-1,"-")</f>
        <v>-0.2693797556</v>
      </c>
      <c r="AO46" s="96">
        <f>($BR$46-($L$46+$P$46))*AO45</f>
        <v>93979.43806</v>
      </c>
      <c r="AP46" s="100">
        <v>13735.05</v>
      </c>
      <c r="AQ46" s="353">
        <v>17749.34</v>
      </c>
      <c r="AR46" s="354"/>
      <c r="AS46" s="354"/>
      <c r="AT46" s="354"/>
      <c r="AU46" s="91">
        <f t="shared" si="247"/>
        <v>31484.39</v>
      </c>
      <c r="AV46" s="92">
        <f t="shared" ref="AV46:AV49" si="260">IFERROR(AU46-AO46,"-")</f>
        <v>-62495.04806</v>
      </c>
      <c r="AW46" s="93">
        <f t="shared" ref="AW46:AW49" si="261">IFERROR(AU46/AO46-1,"-")</f>
        <v>-0.6649863986</v>
      </c>
      <c r="AX46" s="91">
        <f>($BR$46-($L$46+$P$46))*AX45</f>
        <v>93979.43806</v>
      </c>
      <c r="AY46" s="91">
        <v>0.0</v>
      </c>
      <c r="AZ46" s="92">
        <f t="shared" ref="AZ46:AZ49" si="262">IFERROR(AY46-AX46,"-")</f>
        <v>-93979.43806</v>
      </c>
      <c r="BA46" s="93">
        <f t="shared" ref="BA46:BA49" si="263">IFERROR(AY46/AX46-1,"-")</f>
        <v>-1</v>
      </c>
      <c r="BB46" s="96">
        <f>($BR$46-($L$46+$P$46))*BB45</f>
        <v>152716.5868</v>
      </c>
      <c r="BC46" s="91">
        <v>0.0</v>
      </c>
      <c r="BD46" s="92">
        <f t="shared" ref="BD46:BD49" si="264">IFERROR(BC46-BB46,"-")</f>
        <v>-152716.5868</v>
      </c>
      <c r="BE46" s="93">
        <f t="shared" ref="BE46:BE49" si="265">IFERROR(BC46/BB46-1,"-")</f>
        <v>-1</v>
      </c>
      <c r="BF46" s="96">
        <f>($BR$46-($L$46+$P$46))*BF45</f>
        <v>152716.5868</v>
      </c>
      <c r="BG46" s="91">
        <v>0.0</v>
      </c>
      <c r="BH46" s="92">
        <f t="shared" ref="BH46:BH49" si="266">IFERROR(BG46-BF46,"-")</f>
        <v>-152716.5868</v>
      </c>
      <c r="BI46" s="93">
        <f t="shared" ref="BI46:BI49" si="267">IFERROR(BG46/BF46-1,"-")</f>
        <v>-1</v>
      </c>
      <c r="BJ46" s="96">
        <f>($BR$46-($L$46+$P$46))*BJ45</f>
        <v>270190.8844</v>
      </c>
      <c r="BK46" s="91">
        <v>0.0</v>
      </c>
      <c r="BL46" s="92">
        <f t="shared" ref="BL46:BL49" si="268">IFERROR(BK46-BJ46,"-")</f>
        <v>-270190.8844</v>
      </c>
      <c r="BM46" s="93">
        <f t="shared" ref="BM46:BM49" si="269">IFERROR(BK46/BJ46-1,"-")</f>
        <v>-1</v>
      </c>
      <c r="BN46" s="96">
        <f>($BR$46-($L$46+$P$46))*BN45</f>
        <v>152716.5868</v>
      </c>
      <c r="BO46" s="91">
        <v>0.0</v>
      </c>
      <c r="BP46" s="92">
        <f t="shared" ref="BP46:BP49" si="270">IFERROR(BO46-BN46,"-")</f>
        <v>-152716.5868</v>
      </c>
      <c r="BQ46" s="93">
        <f t="shared" ref="BQ46:BQ49" si="271">IFERROR(BO46/BN46-1,"-")</f>
        <v>-1</v>
      </c>
      <c r="BR46" s="168">
        <v>1278979.9757081596</v>
      </c>
      <c r="BS46" s="102">
        <f t="shared" ref="BS46:BS47" si="272">SUM(M46,Q46,U46,Y46,AC46,AG46,AU46,AY46,BC46,BG46,BK46,BO46)</f>
        <v>299427.09</v>
      </c>
      <c r="BT46" s="104">
        <f t="shared" ref="BT46:BT49" si="273">IFERROR(BS46/BR46-1,"-")</f>
        <v>-0.7658860219</v>
      </c>
      <c r="BU46" s="105">
        <v>368854.14</v>
      </c>
      <c r="BV46" s="106">
        <f t="shared" ref="BV46:BV47" si="274">BR46/BU46</f>
        <v>3.467441021</v>
      </c>
      <c r="BW46" s="3"/>
      <c r="BX46" s="3"/>
      <c r="BY46" s="3"/>
      <c r="BZ46" s="3"/>
      <c r="CA46" s="3"/>
      <c r="CB46" s="3"/>
    </row>
    <row r="47" ht="15.75" customHeight="1">
      <c r="A47" s="1"/>
      <c r="B47" s="142"/>
      <c r="C47" s="143"/>
      <c r="D47" s="144"/>
      <c r="E47" s="192"/>
      <c r="F47" s="146"/>
      <c r="G47" s="147"/>
      <c r="H47" s="148"/>
      <c r="I47" s="149"/>
      <c r="J47" s="72" t="s">
        <v>67</v>
      </c>
      <c r="K47" s="107"/>
      <c r="L47" s="171">
        <f>L46/$K$48</f>
        <v>834.125</v>
      </c>
      <c r="M47" s="109">
        <v>647.0</v>
      </c>
      <c r="N47" s="110">
        <f t="shared" si="248"/>
        <v>-187.125</v>
      </c>
      <c r="O47" s="93">
        <f t="shared" si="249"/>
        <v>-0.22433688</v>
      </c>
      <c r="P47" s="171">
        <f>P46/$K$48</f>
        <v>613.6111111</v>
      </c>
      <c r="Q47" s="109">
        <v>585.0</v>
      </c>
      <c r="R47" s="110">
        <f t="shared" si="250"/>
        <v>-28.61111111</v>
      </c>
      <c r="S47" s="95">
        <f t="shared" si="251"/>
        <v>-0.04662743323</v>
      </c>
      <c r="T47" s="112">
        <f>T46/$K$48</f>
        <v>652.6349865</v>
      </c>
      <c r="U47" s="109">
        <v>1063.0</v>
      </c>
      <c r="V47" s="110">
        <f t="shared" si="252"/>
        <v>410.3650135</v>
      </c>
      <c r="W47" s="93">
        <f t="shared" si="253"/>
        <v>0.6287818183</v>
      </c>
      <c r="X47" s="112">
        <f>X46/$K$48</f>
        <v>815.7937331</v>
      </c>
      <c r="Y47" s="109">
        <v>793.0</v>
      </c>
      <c r="Z47" s="110">
        <f t="shared" si="254"/>
        <v>-22.79373313</v>
      </c>
      <c r="AA47" s="93">
        <f t="shared" si="255"/>
        <v>-0.02794055924</v>
      </c>
      <c r="AB47" s="112">
        <f>AB46/$K$48</f>
        <v>815.7937331</v>
      </c>
      <c r="AC47" s="109">
        <v>852.0</v>
      </c>
      <c r="AD47" s="110">
        <f t="shared" si="256"/>
        <v>36.20626687</v>
      </c>
      <c r="AE47" s="93">
        <f t="shared" si="257"/>
        <v>0.04438164379</v>
      </c>
      <c r="AF47" s="112">
        <f>AF46/$K$48</f>
        <v>1305.269973</v>
      </c>
      <c r="AG47" s="114">
        <v>193.0</v>
      </c>
      <c r="AH47" s="114">
        <v>195.0</v>
      </c>
      <c r="AI47" s="114">
        <v>230.0</v>
      </c>
      <c r="AJ47" s="114">
        <v>198.0</v>
      </c>
      <c r="AK47" s="114">
        <v>43.0</v>
      </c>
      <c r="AL47" s="358">
        <f t="shared" si="246"/>
        <v>859</v>
      </c>
      <c r="AM47" s="110">
        <f t="shared" si="258"/>
        <v>-446.269973</v>
      </c>
      <c r="AN47" s="93">
        <f t="shared" si="259"/>
        <v>-0.3418985974</v>
      </c>
      <c r="AO47" s="112">
        <f>AO46/$K$48</f>
        <v>1305.269973</v>
      </c>
      <c r="AP47" s="114">
        <v>148.0</v>
      </c>
      <c r="AQ47" s="356">
        <v>208.0</v>
      </c>
      <c r="AR47" s="357"/>
      <c r="AS47" s="357"/>
      <c r="AT47" s="357"/>
      <c r="AU47" s="109">
        <f t="shared" si="247"/>
        <v>356</v>
      </c>
      <c r="AV47" s="110">
        <f t="shared" si="260"/>
        <v>-949.269973</v>
      </c>
      <c r="AW47" s="93">
        <f t="shared" si="261"/>
        <v>-0.7272594886</v>
      </c>
      <c r="AX47" s="109">
        <f>AX46/$K$48</f>
        <v>1305.269973</v>
      </c>
      <c r="AY47" s="109">
        <v>0.0</v>
      </c>
      <c r="AZ47" s="110">
        <f t="shared" si="262"/>
        <v>-1305.269973</v>
      </c>
      <c r="BA47" s="93">
        <f t="shared" si="263"/>
        <v>-1</v>
      </c>
      <c r="BB47" s="112">
        <f>BB46/$K$48</f>
        <v>2121.063706</v>
      </c>
      <c r="BC47" s="109">
        <v>0.0</v>
      </c>
      <c r="BD47" s="110">
        <f t="shared" si="264"/>
        <v>-2121.063706</v>
      </c>
      <c r="BE47" s="93">
        <f t="shared" si="265"/>
        <v>-1</v>
      </c>
      <c r="BF47" s="112">
        <f>BF46/$K$48</f>
        <v>2121.063706</v>
      </c>
      <c r="BG47" s="109">
        <v>0.0</v>
      </c>
      <c r="BH47" s="110">
        <f t="shared" si="266"/>
        <v>-2121.063706</v>
      </c>
      <c r="BI47" s="93">
        <f t="shared" si="267"/>
        <v>-1</v>
      </c>
      <c r="BJ47" s="112">
        <f>BJ46/$K$48</f>
        <v>3752.651172</v>
      </c>
      <c r="BK47" s="109">
        <v>0.0</v>
      </c>
      <c r="BL47" s="110">
        <f t="shared" si="268"/>
        <v>-3752.651172</v>
      </c>
      <c r="BM47" s="93">
        <f t="shared" si="269"/>
        <v>-1</v>
      </c>
      <c r="BN47" s="112">
        <f>BN46/$K$48</f>
        <v>2121.063706</v>
      </c>
      <c r="BO47" s="109">
        <v>0.0</v>
      </c>
      <c r="BP47" s="110">
        <f t="shared" si="270"/>
        <v>-2121.063706</v>
      </c>
      <c r="BQ47" s="93">
        <f t="shared" si="271"/>
        <v>-1</v>
      </c>
      <c r="BR47" s="218">
        <f>SUM(L47,P47,T47,X47,AB47,AF47,AO47,AX47,BB47,BF47,BJ47,BN47)</f>
        <v>17763.61077</v>
      </c>
      <c r="BS47" s="207">
        <f t="shared" si="272"/>
        <v>4489</v>
      </c>
      <c r="BT47" s="104">
        <f t="shared" si="273"/>
        <v>-0.7472923688</v>
      </c>
      <c r="BU47" s="119">
        <v>5074.0</v>
      </c>
      <c r="BV47" s="106">
        <f t="shared" si="274"/>
        <v>3.500908706</v>
      </c>
      <c r="BW47" s="3"/>
      <c r="BX47" s="3"/>
      <c r="BY47" s="3"/>
      <c r="BZ47" s="3"/>
      <c r="CA47" s="3"/>
      <c r="CB47" s="3"/>
    </row>
    <row r="48" ht="15.75" customHeight="1">
      <c r="A48" s="1"/>
      <c r="B48" s="142"/>
      <c r="C48" s="143"/>
      <c r="D48" s="144"/>
      <c r="E48" s="192"/>
      <c r="F48" s="146"/>
      <c r="G48" s="147"/>
      <c r="H48" s="148"/>
      <c r="I48" s="149"/>
      <c r="J48" s="72" t="s">
        <v>68</v>
      </c>
      <c r="K48" s="107">
        <v>72.0</v>
      </c>
      <c r="L48" s="171">
        <f>L46/L47</f>
        <v>72</v>
      </c>
      <c r="M48" s="91">
        <f>IFERROR(M46/M47,"-")</f>
        <v>69.87142195</v>
      </c>
      <c r="N48" s="92">
        <f t="shared" si="248"/>
        <v>-2.128578053</v>
      </c>
      <c r="O48" s="93">
        <f t="shared" si="249"/>
        <v>-0.02956358406</v>
      </c>
      <c r="P48" s="90">
        <f t="shared" ref="P48:Q48" si="275">IFERROR(P46/P47,"-")</f>
        <v>72</v>
      </c>
      <c r="Q48" s="91">
        <f t="shared" si="275"/>
        <v>72.5417265</v>
      </c>
      <c r="R48" s="92">
        <f t="shared" si="250"/>
        <v>0.5417264957</v>
      </c>
      <c r="S48" s="95">
        <f t="shared" si="251"/>
        <v>0.007523979107</v>
      </c>
      <c r="T48" s="112">
        <f>T46/T47</f>
        <v>72</v>
      </c>
      <c r="U48" s="91">
        <f>IFERROR(U46/U47,"-")</f>
        <v>57.26484478</v>
      </c>
      <c r="V48" s="92">
        <f t="shared" si="252"/>
        <v>-14.73515522</v>
      </c>
      <c r="W48" s="93">
        <f t="shared" si="253"/>
        <v>-0.2046549336</v>
      </c>
      <c r="X48" s="96">
        <f t="shared" ref="X48:Y48" si="276">IFERROR(X46/X47,"-")</f>
        <v>72</v>
      </c>
      <c r="Y48" s="91">
        <f t="shared" si="276"/>
        <v>55.22659521</v>
      </c>
      <c r="Z48" s="92">
        <f t="shared" si="254"/>
        <v>-16.77340479</v>
      </c>
      <c r="AA48" s="93">
        <f t="shared" si="255"/>
        <v>-0.2329639554</v>
      </c>
      <c r="AB48" s="112">
        <f>AB46/AB47</f>
        <v>72</v>
      </c>
      <c r="AC48" s="91">
        <f>IFERROR(AC46/AC47,"-")</f>
        <v>72.41638498</v>
      </c>
      <c r="AD48" s="92">
        <f t="shared" si="256"/>
        <v>0.4163849765</v>
      </c>
      <c r="AE48" s="93">
        <f t="shared" si="257"/>
        <v>0.005783124674</v>
      </c>
      <c r="AF48" s="385">
        <f>AF46/AF47</f>
        <v>72</v>
      </c>
      <c r="AG48" s="370">
        <f t="shared" ref="AG48:AL48" si="277">IFERROR(AG46/AG47,"-")</f>
        <v>72.19170984</v>
      </c>
      <c r="AH48" s="389">
        <f t="shared" si="277"/>
        <v>63.2265641</v>
      </c>
      <c r="AI48" s="389">
        <f t="shared" si="277"/>
        <v>77.28052174</v>
      </c>
      <c r="AJ48" s="389">
        <f t="shared" si="277"/>
        <v>102.1050505</v>
      </c>
      <c r="AK48" s="389">
        <f t="shared" si="277"/>
        <v>102.5530233</v>
      </c>
      <c r="AL48" s="372">
        <f t="shared" si="277"/>
        <v>79.93396973</v>
      </c>
      <c r="AM48" s="92">
        <f t="shared" si="258"/>
        <v>7.933969732</v>
      </c>
      <c r="AN48" s="93">
        <f t="shared" si="259"/>
        <v>0.1101940241</v>
      </c>
      <c r="AO48" s="112">
        <f>AO46/AO47</f>
        <v>72</v>
      </c>
      <c r="AP48" s="91">
        <f t="shared" ref="AP48:AU48" si="278">IFERROR(AP46/AP47,"-")</f>
        <v>92.80439189</v>
      </c>
      <c r="AQ48" s="91">
        <f t="shared" si="278"/>
        <v>85.33336538</v>
      </c>
      <c r="AR48" s="359" t="str">
        <f t="shared" si="278"/>
        <v>-</v>
      </c>
      <c r="AS48" s="359" t="str">
        <f t="shared" si="278"/>
        <v>-</v>
      </c>
      <c r="AT48" s="359" t="str">
        <f t="shared" si="278"/>
        <v>-</v>
      </c>
      <c r="AU48" s="91">
        <f t="shared" si="278"/>
        <v>88.43929775</v>
      </c>
      <c r="AV48" s="92">
        <f t="shared" si="260"/>
        <v>16.43929775</v>
      </c>
      <c r="AW48" s="93">
        <f t="shared" si="261"/>
        <v>0.2283235799</v>
      </c>
      <c r="AX48" s="109">
        <f>AX46/AX47</f>
        <v>72</v>
      </c>
      <c r="AY48" s="91" t="str">
        <f>IFERROR(AY46/AY47,"-")</f>
        <v>-</v>
      </c>
      <c r="AZ48" s="92" t="str">
        <f t="shared" si="262"/>
        <v>-</v>
      </c>
      <c r="BA48" s="93" t="str">
        <f t="shared" si="263"/>
        <v>-</v>
      </c>
      <c r="BB48" s="112">
        <f>BB46/BB47</f>
        <v>72</v>
      </c>
      <c r="BC48" s="91" t="str">
        <f>IFERROR(BC46/BC47,"-")</f>
        <v>-</v>
      </c>
      <c r="BD48" s="92" t="str">
        <f t="shared" si="264"/>
        <v>-</v>
      </c>
      <c r="BE48" s="93" t="str">
        <f t="shared" si="265"/>
        <v>-</v>
      </c>
      <c r="BF48" s="112">
        <f>BF46/BF47</f>
        <v>72</v>
      </c>
      <c r="BG48" s="91" t="str">
        <f>IFERROR(BG46/BG47,"-")</f>
        <v>-</v>
      </c>
      <c r="BH48" s="92" t="str">
        <f t="shared" si="266"/>
        <v>-</v>
      </c>
      <c r="BI48" s="93" t="str">
        <f t="shared" si="267"/>
        <v>-</v>
      </c>
      <c r="BJ48" s="112">
        <f>BJ46/BJ47</f>
        <v>72</v>
      </c>
      <c r="BK48" s="91" t="str">
        <f>IFERROR(BK46/BK47,"-")</f>
        <v>-</v>
      </c>
      <c r="BL48" s="92" t="str">
        <f t="shared" si="268"/>
        <v>-</v>
      </c>
      <c r="BM48" s="93" t="str">
        <f t="shared" si="269"/>
        <v>-</v>
      </c>
      <c r="BN48" s="112">
        <f>BN46/BN47</f>
        <v>72</v>
      </c>
      <c r="BO48" s="91" t="str">
        <f>IFERROR(BO46/BO47,"-")</f>
        <v>-</v>
      </c>
      <c r="BP48" s="92" t="str">
        <f t="shared" si="270"/>
        <v>-</v>
      </c>
      <c r="BQ48" s="93" t="str">
        <f t="shared" si="271"/>
        <v>-</v>
      </c>
      <c r="BR48" s="175">
        <f t="shared" ref="BR48:BS48" si="279">BR46/BR47</f>
        <v>72</v>
      </c>
      <c r="BS48" s="209">
        <f t="shared" si="279"/>
        <v>66.70240365</v>
      </c>
      <c r="BT48" s="104">
        <f t="shared" si="273"/>
        <v>-0.07357772704</v>
      </c>
      <c r="BU48" s="119">
        <f>BU46/BU47</f>
        <v>72.69494285</v>
      </c>
      <c r="BV48" s="106">
        <f>BR48/BU48-1</f>
        <v>-0.009559713767</v>
      </c>
      <c r="BW48" s="3"/>
      <c r="BX48" s="3"/>
      <c r="BY48" s="3"/>
      <c r="BZ48" s="3"/>
      <c r="CA48" s="3"/>
      <c r="CB48" s="3"/>
    </row>
    <row r="49" ht="15.75" customHeight="1">
      <c r="A49" s="1"/>
      <c r="B49" s="142"/>
      <c r="C49" s="143"/>
      <c r="D49" s="144"/>
      <c r="E49" s="192"/>
      <c r="F49" s="146"/>
      <c r="G49" s="147"/>
      <c r="H49" s="148"/>
      <c r="I49" s="149"/>
      <c r="J49" s="124" t="s">
        <v>69</v>
      </c>
      <c r="K49" s="125">
        <v>0.04</v>
      </c>
      <c r="L49" s="132">
        <f t="shared" ref="L49:M49" si="280">MIN(L46, 500000) * 0.04 +
 MAX(0, MIN(L46, 1000000) - 500000) * 0.035 +
 MAX(0, L46 - 1000000) * 0.03</f>
        <v>2402.28</v>
      </c>
      <c r="M49" s="127">
        <f t="shared" si="280"/>
        <v>1808.2724</v>
      </c>
      <c r="N49" s="128">
        <f t="shared" si="248"/>
        <v>-594.0076</v>
      </c>
      <c r="O49" s="129">
        <f t="shared" si="249"/>
        <v>-0.2472682618</v>
      </c>
      <c r="P49" s="132">
        <f t="shared" ref="P49:Q49" si="281">MIN(P46, 500000) * 0.04 +
 MAX(0, MIN(P46, 1000000) - 500000) * 0.035 +
 MAX(0, P46 - 1000000) * 0.03</f>
        <v>1767.2</v>
      </c>
      <c r="Q49" s="127">
        <f t="shared" si="281"/>
        <v>1697.4764</v>
      </c>
      <c r="R49" s="128">
        <f t="shared" si="250"/>
        <v>-69.7236</v>
      </c>
      <c r="S49" s="131">
        <f t="shared" si="251"/>
        <v>-0.03945427795</v>
      </c>
      <c r="T49" s="132">
        <f t="shared" ref="T49:U49" si="282">MIN(T46, 500000) * 0.04 +
 MAX(0, MIN(T46, 1000000) - 500000) * 0.035 +
 MAX(0, T46 - 1000000) * 0.03</f>
        <v>1879.588761</v>
      </c>
      <c r="U49" s="127">
        <f t="shared" si="282"/>
        <v>2434.9012</v>
      </c>
      <c r="V49" s="128">
        <f t="shared" si="252"/>
        <v>555.3124389</v>
      </c>
      <c r="W49" s="129">
        <f t="shared" si="253"/>
        <v>0.2954435834</v>
      </c>
      <c r="X49" s="132">
        <f t="shared" ref="X49:Y49" si="283">MIN(X46, 500000) * 0.04 +
 MAX(0, MIN(X46, 1000000) - 500000) * 0.035 +
 MAX(0, X46 - 1000000) * 0.03</f>
        <v>2349.485951</v>
      </c>
      <c r="Y49" s="127">
        <f t="shared" si="283"/>
        <v>1751.7876</v>
      </c>
      <c r="Z49" s="128">
        <f t="shared" si="254"/>
        <v>-597.6983514</v>
      </c>
      <c r="AA49" s="129">
        <f t="shared" si="255"/>
        <v>-0.2543953715</v>
      </c>
      <c r="AB49" s="132">
        <f t="shared" ref="AB49:AC49" si="284">MIN(AB46, 500000) * 0.04 +
 MAX(0, MIN(AB46, 1000000) - 500000) * 0.035 +
 MAX(0, AB46 - 1000000) * 0.03</f>
        <v>2349.485951</v>
      </c>
      <c r="AC49" s="127">
        <f t="shared" si="284"/>
        <v>2467.9504</v>
      </c>
      <c r="AD49" s="128">
        <f t="shared" si="256"/>
        <v>118.4644486</v>
      </c>
      <c r="AE49" s="134">
        <f t="shared" si="257"/>
        <v>0.05042143304</v>
      </c>
      <c r="AF49" s="373">
        <f t="shared" ref="AF49:AL49" si="285">MIN(AF46, 500000) * 0.04 +
 MAX(0, MIN(AF46, 1000000) - 500000) * 0.035 +
 MAX(0, AF46 - 1000000) * 0.03</f>
        <v>3759.177522</v>
      </c>
      <c r="AG49" s="374">
        <f t="shared" si="285"/>
        <v>557.32</v>
      </c>
      <c r="AH49" s="390">
        <f t="shared" si="285"/>
        <v>493.1672</v>
      </c>
      <c r="AI49" s="390">
        <f t="shared" si="285"/>
        <v>710.9808</v>
      </c>
      <c r="AJ49" s="390">
        <f t="shared" si="285"/>
        <v>808.672</v>
      </c>
      <c r="AK49" s="390">
        <f t="shared" si="285"/>
        <v>176.3912</v>
      </c>
      <c r="AL49" s="375">
        <f t="shared" si="285"/>
        <v>2746.5312</v>
      </c>
      <c r="AM49" s="376">
        <f t="shared" si="258"/>
        <v>-1012.646322</v>
      </c>
      <c r="AN49" s="129">
        <f t="shared" si="259"/>
        <v>-0.2693797556</v>
      </c>
      <c r="AO49" s="132">
        <f>MIN(AO46, 500000) * 0.04 +
 MAX(0, MIN(AO46, 1000000) - 500000) * 0.035 +
 MAX(0, AO46 - 1000000) * 0.03</f>
        <v>3759.177522</v>
      </c>
      <c r="AP49" s="130">
        <f t="shared" ref="AP49:AT49" si="286">AP46*$K$9</f>
        <v>673.01745</v>
      </c>
      <c r="AQ49" s="130">
        <f t="shared" si="286"/>
        <v>869.71766</v>
      </c>
      <c r="AR49" s="361">
        <f t="shared" si="286"/>
        <v>0</v>
      </c>
      <c r="AS49" s="361">
        <f t="shared" si="286"/>
        <v>0</v>
      </c>
      <c r="AT49" s="361">
        <f t="shared" si="286"/>
        <v>0</v>
      </c>
      <c r="AU49" s="127">
        <f>MIN(AU46, 500000) * 0.04 +
 MAX(0, MIN(AU46, 1000000) - 500000) * 0.035 +
 MAX(0, AU46 - 1000000) * 0.03</f>
        <v>1259.3756</v>
      </c>
      <c r="AV49" s="128">
        <f t="shared" si="260"/>
        <v>-2499.801922</v>
      </c>
      <c r="AW49" s="129">
        <f t="shared" si="261"/>
        <v>-0.6649863986</v>
      </c>
      <c r="AX49" s="127">
        <f t="shared" ref="AX49:AY49" si="287">MIN(AX46, 500000) * 0.04 +
 MAX(0, MIN(AX46, 1000000) - 500000) * 0.035 +
 MAX(0, AX46 - 1000000) * 0.03</f>
        <v>3759.177522</v>
      </c>
      <c r="AY49" s="127">
        <f t="shared" si="287"/>
        <v>0</v>
      </c>
      <c r="AZ49" s="128">
        <f t="shared" si="262"/>
        <v>-3759.177522</v>
      </c>
      <c r="BA49" s="129">
        <f t="shared" si="263"/>
        <v>-1</v>
      </c>
      <c r="BB49" s="132">
        <f t="shared" ref="BB49:BC49" si="288">MIN(BB46, 500000) * 0.04 +
 MAX(0, MIN(BB46, 1000000) - 500000) * 0.035 +
 MAX(0, BB46 - 1000000) * 0.03</f>
        <v>6108.663474</v>
      </c>
      <c r="BC49" s="127">
        <f t="shared" si="288"/>
        <v>0</v>
      </c>
      <c r="BD49" s="128">
        <f t="shared" si="264"/>
        <v>-6108.663474</v>
      </c>
      <c r="BE49" s="129">
        <f t="shared" si="265"/>
        <v>-1</v>
      </c>
      <c r="BF49" s="132">
        <f t="shared" ref="BF49:BG49" si="289">MIN(BF46, 500000) * 0.04 +
 MAX(0, MIN(BF46, 1000000) - 500000) * 0.035 +
 MAX(0, BF46 - 1000000) * 0.03</f>
        <v>6108.663474</v>
      </c>
      <c r="BG49" s="127">
        <f t="shared" si="289"/>
        <v>0</v>
      </c>
      <c r="BH49" s="128">
        <f t="shared" si="266"/>
        <v>-6108.663474</v>
      </c>
      <c r="BI49" s="129">
        <f t="shared" si="267"/>
        <v>-1</v>
      </c>
      <c r="BJ49" s="132">
        <f t="shared" ref="BJ49:BK49" si="290">MIN(BJ46, 500000) * 0.04 +
 MAX(0, MIN(BJ46, 1000000) - 500000) * 0.035 +
 MAX(0, BJ46 - 1000000) * 0.03</f>
        <v>10807.63538</v>
      </c>
      <c r="BK49" s="127">
        <f t="shared" si="290"/>
        <v>0</v>
      </c>
      <c r="BL49" s="128">
        <f t="shared" si="268"/>
        <v>-10807.63538</v>
      </c>
      <c r="BM49" s="129">
        <f t="shared" si="269"/>
        <v>-1</v>
      </c>
      <c r="BN49" s="132">
        <f t="shared" ref="BN49:BO49" si="291">MIN(BN46, 500000) * 0.04 +
 MAX(0, MIN(BN46, 1000000) - 500000) * 0.035 +
 MAX(0, BN46 - 1000000) * 0.03</f>
        <v>6108.663474</v>
      </c>
      <c r="BO49" s="127">
        <f t="shared" si="291"/>
        <v>0</v>
      </c>
      <c r="BP49" s="128">
        <f t="shared" si="270"/>
        <v>-6108.663474</v>
      </c>
      <c r="BQ49" s="129">
        <f t="shared" si="271"/>
        <v>-1</v>
      </c>
      <c r="BR49" s="181">
        <f>SUM(L49,P49,T49,X49,AB49,AF49,AO49,AX49,BB49,BF49,BJ49,BN49)</f>
        <v>51159.19903</v>
      </c>
      <c r="BS49" s="213">
        <f>SUM(M49,Q49,U49,Y49,AC49,AG49,AU49,AY49,BC49,BG49,BK49,BO49)</f>
        <v>11977.0836</v>
      </c>
      <c r="BT49" s="139">
        <f t="shared" si="273"/>
        <v>-0.7658860219</v>
      </c>
      <c r="BU49" s="140">
        <f>BU46*0.04</f>
        <v>14754.1656</v>
      </c>
      <c r="BV49" s="141">
        <f>BR49/BU49</f>
        <v>3.467441021</v>
      </c>
      <c r="BW49" s="3"/>
      <c r="BX49" s="3"/>
      <c r="BY49" s="3"/>
      <c r="BZ49" s="3"/>
      <c r="CA49" s="3"/>
      <c r="CB49" s="3"/>
    </row>
    <row r="50" ht="15.75" customHeight="1">
      <c r="A50" s="1"/>
      <c r="B50" s="142"/>
      <c r="C50" s="143"/>
      <c r="D50" s="144"/>
      <c r="E50" s="192"/>
      <c r="F50" s="146"/>
      <c r="G50" s="147"/>
      <c r="H50" s="148"/>
      <c r="I50" s="149"/>
      <c r="J50" s="13"/>
      <c r="K50" s="150"/>
      <c r="L50" s="185"/>
      <c r="M50" s="185"/>
      <c r="N50" s="185"/>
      <c r="O50" s="196">
        <f>X54/7000</f>
        <v>5.714285714</v>
      </c>
      <c r="P50" s="196">
        <f>AB54/7000</f>
        <v>5.714285714</v>
      </c>
      <c r="Q50" s="214"/>
      <c r="R50" s="196">
        <f>AO54/7000</f>
        <v>51.42857143</v>
      </c>
      <c r="S50" s="196">
        <f>AX54/7000</f>
        <v>74.28571429</v>
      </c>
      <c r="T50" s="196">
        <f>BB54/7000</f>
        <v>91.42857143</v>
      </c>
      <c r="U50" s="196">
        <f>BF54/7000</f>
        <v>91.42857143</v>
      </c>
      <c r="V50" s="196">
        <f>BJ54/7000</f>
        <v>131.4285714</v>
      </c>
      <c r="W50" s="196">
        <f>BN54/7000</f>
        <v>85.71428571</v>
      </c>
      <c r="X50" s="186"/>
      <c r="Y50" s="14"/>
      <c r="Z50" s="219"/>
      <c r="AA50" s="3"/>
      <c r="AB50" s="3"/>
      <c r="AC50" s="3"/>
      <c r="AD50" s="3"/>
      <c r="AE50" s="3"/>
      <c r="AF50" s="3"/>
      <c r="AG50" s="363"/>
      <c r="AH50" s="363"/>
      <c r="AI50" s="363"/>
      <c r="AJ50" s="363"/>
      <c r="AK50" s="363"/>
      <c r="AL50" s="363"/>
      <c r="AP50" s="363"/>
      <c r="AQ50" s="363"/>
      <c r="AR50" s="363"/>
      <c r="AS50" s="363"/>
      <c r="AT50" s="363"/>
      <c r="BA50" s="187"/>
      <c r="BB50" s="25"/>
      <c r="BC50" s="188"/>
      <c r="BD50" s="25"/>
    </row>
    <row r="51" ht="15.75" customHeight="1">
      <c r="A51" s="1"/>
      <c r="B51" s="142"/>
      <c r="C51" s="143"/>
      <c r="D51" s="144"/>
      <c r="E51" s="192"/>
      <c r="F51" s="146"/>
      <c r="G51" s="147"/>
      <c r="H51" s="148"/>
      <c r="I51" s="149"/>
      <c r="J51" s="34" t="s">
        <v>84</v>
      </c>
      <c r="K51" s="35"/>
      <c r="L51" s="36" t="s">
        <v>10</v>
      </c>
      <c r="M51" s="37" t="s">
        <v>11</v>
      </c>
      <c r="N51" s="38" t="s">
        <v>12</v>
      </c>
      <c r="O51" s="39" t="s">
        <v>13</v>
      </c>
      <c r="P51" s="157" t="s">
        <v>14</v>
      </c>
      <c r="Q51" s="199" t="s">
        <v>15</v>
      </c>
      <c r="R51" s="38" t="s">
        <v>16</v>
      </c>
      <c r="S51" s="42" t="s">
        <v>17</v>
      </c>
      <c r="T51" s="36" t="s">
        <v>18</v>
      </c>
      <c r="U51" s="199" t="s">
        <v>19</v>
      </c>
      <c r="V51" s="38" t="s">
        <v>20</v>
      </c>
      <c r="W51" s="45" t="s">
        <v>21</v>
      </c>
      <c r="X51" s="44" t="s">
        <v>22</v>
      </c>
      <c r="Y51" s="199" t="s">
        <v>23</v>
      </c>
      <c r="Z51" s="38" t="s">
        <v>24</v>
      </c>
      <c r="AA51" s="45" t="s">
        <v>25</v>
      </c>
      <c r="AB51" s="43" t="s">
        <v>26</v>
      </c>
      <c r="AC51" s="199" t="s">
        <v>27</v>
      </c>
      <c r="AD51" s="38" t="s">
        <v>28</v>
      </c>
      <c r="AE51" s="45" t="s">
        <v>29</v>
      </c>
      <c r="AF51" s="44" t="s">
        <v>30</v>
      </c>
      <c r="AG51" s="343" t="s">
        <v>120</v>
      </c>
      <c r="AH51" s="344" t="s">
        <v>121</v>
      </c>
      <c r="AI51" s="344" t="s">
        <v>122</v>
      </c>
      <c r="AJ51" s="344" t="s">
        <v>123</v>
      </c>
      <c r="AK51" s="344" t="s">
        <v>124</v>
      </c>
      <c r="AL51" s="344" t="s">
        <v>31</v>
      </c>
      <c r="AM51" s="38" t="s">
        <v>32</v>
      </c>
      <c r="AN51" s="45" t="s">
        <v>33</v>
      </c>
      <c r="AO51" s="43" t="s">
        <v>34</v>
      </c>
      <c r="AP51" s="343" t="s">
        <v>125</v>
      </c>
      <c r="AQ51" s="344" t="s">
        <v>126</v>
      </c>
      <c r="AR51" s="344" t="s">
        <v>127</v>
      </c>
      <c r="AS51" s="344" t="s">
        <v>128</v>
      </c>
      <c r="AT51" s="344" t="s">
        <v>129</v>
      </c>
      <c r="AU51" s="41" t="s">
        <v>35</v>
      </c>
      <c r="AV51" s="38" t="s">
        <v>36</v>
      </c>
      <c r="AW51" s="45" t="s">
        <v>37</v>
      </c>
      <c r="AX51" s="201" t="s">
        <v>38</v>
      </c>
      <c r="AY51" s="199" t="s">
        <v>39</v>
      </c>
      <c r="AZ51" s="38" t="s">
        <v>40</v>
      </c>
      <c r="BA51" s="45" t="s">
        <v>41</v>
      </c>
      <c r="BB51" s="43" t="s">
        <v>42</v>
      </c>
      <c r="BC51" s="199" t="s">
        <v>43</v>
      </c>
      <c r="BD51" s="38" t="s">
        <v>44</v>
      </c>
      <c r="BE51" s="45" t="s">
        <v>45</v>
      </c>
      <c r="BF51" s="44" t="s">
        <v>46</v>
      </c>
      <c r="BG51" s="199" t="s">
        <v>47</v>
      </c>
      <c r="BH51" s="38" t="s">
        <v>48</v>
      </c>
      <c r="BI51" s="45" t="s">
        <v>49</v>
      </c>
      <c r="BJ51" s="43" t="s">
        <v>50</v>
      </c>
      <c r="BK51" s="199" t="s">
        <v>51</v>
      </c>
      <c r="BL51" s="38" t="s">
        <v>52</v>
      </c>
      <c r="BM51" s="45" t="s">
        <v>53</v>
      </c>
      <c r="BN51" s="201" t="s">
        <v>54</v>
      </c>
      <c r="BO51" s="199" t="s">
        <v>55</v>
      </c>
      <c r="BP51" s="38" t="s">
        <v>56</v>
      </c>
      <c r="BQ51" s="42" t="s">
        <v>57</v>
      </c>
      <c r="BR51" s="345">
        <v>2026.0</v>
      </c>
      <c r="BS51" s="37" t="s">
        <v>61</v>
      </c>
      <c r="BT51" s="51" t="s">
        <v>62</v>
      </c>
      <c r="BU51" s="52">
        <v>2025.0</v>
      </c>
      <c r="BV51" s="53"/>
      <c r="BW51" s="3"/>
      <c r="BX51" s="3"/>
      <c r="BY51" s="208"/>
      <c r="BZ51" s="3"/>
      <c r="CA51" s="3"/>
      <c r="CB51" s="3"/>
    </row>
    <row r="52" ht="15.75" customHeight="1">
      <c r="A52" s="1"/>
      <c r="B52" s="142"/>
      <c r="C52" s="143"/>
      <c r="D52" s="144"/>
      <c r="E52" s="192"/>
      <c r="F52" s="146"/>
      <c r="G52" s="147"/>
      <c r="H52" s="148"/>
      <c r="I52" s="220"/>
      <c r="J52" s="346" t="s">
        <v>130</v>
      </c>
      <c r="K52" s="55"/>
      <c r="L52" s="56"/>
      <c r="M52" s="57"/>
      <c r="N52" s="58"/>
      <c r="O52" s="59"/>
      <c r="P52" s="56"/>
      <c r="Q52" s="202"/>
      <c r="R52" s="58"/>
      <c r="S52" s="61"/>
      <c r="T52" s="56"/>
      <c r="U52" s="202"/>
      <c r="V52" s="58"/>
      <c r="W52" s="59"/>
      <c r="X52" s="62"/>
      <c r="Y52" s="63"/>
      <c r="Z52" s="58"/>
      <c r="AA52" s="59"/>
      <c r="AB52" s="62"/>
      <c r="AC52" s="63"/>
      <c r="AD52" s="58"/>
      <c r="AE52" s="59"/>
      <c r="AF52" s="62"/>
      <c r="AG52" s="347">
        <f t="shared" ref="AG52:AK52" si="292">$AF$53/5</f>
        <v>0.012</v>
      </c>
      <c r="AH52" s="347">
        <f t="shared" si="292"/>
        <v>0.012</v>
      </c>
      <c r="AI52" s="347">
        <f t="shared" si="292"/>
        <v>0.012</v>
      </c>
      <c r="AJ52" s="347">
        <f t="shared" si="292"/>
        <v>0.012</v>
      </c>
      <c r="AK52" s="347">
        <f t="shared" si="292"/>
        <v>0.012</v>
      </c>
      <c r="AL52" s="347"/>
      <c r="AM52" s="58"/>
      <c r="AN52" s="59"/>
      <c r="AO52" s="62"/>
      <c r="AP52" s="347">
        <f t="shared" ref="AP52:AT52" si="293">$AO$53/5</f>
        <v>0.018</v>
      </c>
      <c r="AQ52" s="347">
        <f t="shared" si="293"/>
        <v>0.018</v>
      </c>
      <c r="AR52" s="347">
        <f t="shared" si="293"/>
        <v>0.018</v>
      </c>
      <c r="AS52" s="347">
        <f t="shared" si="293"/>
        <v>0.018</v>
      </c>
      <c r="AT52" s="347">
        <f t="shared" si="293"/>
        <v>0.018</v>
      </c>
      <c r="AU52" s="63"/>
      <c r="AV52" s="58"/>
      <c r="AW52" s="59"/>
      <c r="AX52" s="203"/>
      <c r="AY52" s="63"/>
      <c r="AZ52" s="58"/>
      <c r="BA52" s="59"/>
      <c r="BB52" s="62"/>
      <c r="BC52" s="63"/>
      <c r="BD52" s="58"/>
      <c r="BE52" s="59"/>
      <c r="BF52" s="62"/>
      <c r="BG52" s="63"/>
      <c r="BH52" s="58"/>
      <c r="BI52" s="59"/>
      <c r="BJ52" s="62"/>
      <c r="BK52" s="63"/>
      <c r="BL52" s="58"/>
      <c r="BM52" s="59"/>
      <c r="BN52" s="203"/>
      <c r="BO52" s="63"/>
      <c r="BP52" s="58"/>
      <c r="BQ52" s="61"/>
      <c r="BR52" s="66"/>
      <c r="BS52" s="349"/>
      <c r="BT52" s="69"/>
      <c r="BU52" s="70"/>
      <c r="BV52" s="71"/>
      <c r="BW52" s="3"/>
      <c r="BX52" s="4"/>
      <c r="BY52" s="3"/>
      <c r="BZ52" s="3"/>
      <c r="CA52" s="3"/>
      <c r="CB52" s="3"/>
    </row>
    <row r="53" ht="15.75" customHeight="1">
      <c r="A53" s="1"/>
      <c r="B53" s="142">
        <v>8.0</v>
      </c>
      <c r="C53" s="143" t="s">
        <v>85</v>
      </c>
      <c r="D53" s="144">
        <v>3000000.0</v>
      </c>
      <c r="E53" s="192">
        <v>80.0</v>
      </c>
      <c r="F53" s="146">
        <f>E53*D53</f>
        <v>240000000</v>
      </c>
      <c r="G53" s="147">
        <v>294165.12000000407</v>
      </c>
      <c r="H53" s="148">
        <v>3683.0</v>
      </c>
      <c r="I53" s="189">
        <v>79.87106163453817</v>
      </c>
      <c r="J53" s="72" t="s">
        <v>64</v>
      </c>
      <c r="K53" s="73"/>
      <c r="L53" s="74" t="s">
        <v>63</v>
      </c>
      <c r="M53" s="75" t="s">
        <v>63</v>
      </c>
      <c r="N53" s="76" t="s">
        <v>63</v>
      </c>
      <c r="O53" s="77" t="s">
        <v>65</v>
      </c>
      <c r="P53" s="74" t="s">
        <v>63</v>
      </c>
      <c r="Q53" s="204" t="s">
        <v>63</v>
      </c>
      <c r="R53" s="76" t="s">
        <v>63</v>
      </c>
      <c r="S53" s="79" t="s">
        <v>65</v>
      </c>
      <c r="T53" s="74"/>
      <c r="U53" s="204"/>
      <c r="V53" s="76" t="s">
        <v>63</v>
      </c>
      <c r="W53" s="77" t="s">
        <v>65</v>
      </c>
      <c r="X53" s="80">
        <v>0.01</v>
      </c>
      <c r="Y53" s="81">
        <f>Y54/(BR54-(L54+P54+T54))</f>
        <v>0.0000927775</v>
      </c>
      <c r="Z53" s="76" t="s">
        <v>63</v>
      </c>
      <c r="AA53" s="77" t="s">
        <v>65</v>
      </c>
      <c r="AB53" s="80">
        <v>0.01</v>
      </c>
      <c r="AC53" s="81">
        <f>AC54/(BR54-(L54+P54+T54))</f>
        <v>0.0003291625</v>
      </c>
      <c r="AD53" s="76" t="s">
        <v>63</v>
      </c>
      <c r="AE53" s="77" t="s">
        <v>65</v>
      </c>
      <c r="AF53" s="80">
        <v>0.06</v>
      </c>
      <c r="AG53" s="350">
        <f t="shared" ref="AG53:AK53" si="294">AG54/($BR$54-($L$54+$P$54+$T$54))</f>
        <v>0.0000528375</v>
      </c>
      <c r="AH53" s="350">
        <f t="shared" si="294"/>
        <v>0.000030385</v>
      </c>
      <c r="AI53" s="350">
        <f t="shared" si="294"/>
        <v>0.0000288725</v>
      </c>
      <c r="AJ53" s="350">
        <f t="shared" si="294"/>
        <v>0.0001570925</v>
      </c>
      <c r="AK53" s="350">
        <f t="shared" si="294"/>
        <v>0</v>
      </c>
      <c r="AL53" s="351">
        <f t="shared" ref="AL53:AL55" si="296">SUM(AG53:AK53)</f>
        <v>0.0002691875</v>
      </c>
      <c r="AM53" s="352">
        <f>AL53-AF53</f>
        <v>-0.0597308125</v>
      </c>
      <c r="AN53" s="77" t="s">
        <v>65</v>
      </c>
      <c r="AO53" s="80">
        <v>0.09</v>
      </c>
      <c r="AP53" s="350">
        <f t="shared" ref="AP53:AT53" si="295">AP54/($BR$54-($L$54+$P$54+$T$54))</f>
        <v>0.0000310775</v>
      </c>
      <c r="AQ53" s="350">
        <f t="shared" si="295"/>
        <v>0.0000763175</v>
      </c>
      <c r="AR53" s="350">
        <f t="shared" si="295"/>
        <v>0</v>
      </c>
      <c r="AS53" s="350">
        <f t="shared" si="295"/>
        <v>0</v>
      </c>
      <c r="AT53" s="350">
        <f t="shared" si="295"/>
        <v>0</v>
      </c>
      <c r="AU53" s="351">
        <f t="shared" ref="AU53:AU55" si="297">SUM(AP53:AT53)</f>
        <v>0.000107395</v>
      </c>
      <c r="AV53" s="76" t="s">
        <v>63</v>
      </c>
      <c r="AW53" s="77" t="s">
        <v>65</v>
      </c>
      <c r="AX53" s="205">
        <v>0.13</v>
      </c>
      <c r="AY53" s="81">
        <f>AY54/(BR54-(L54+P54+T54))</f>
        <v>0</v>
      </c>
      <c r="AZ53" s="76" t="s">
        <v>63</v>
      </c>
      <c r="BA53" s="77" t="s">
        <v>65</v>
      </c>
      <c r="BB53" s="80">
        <v>0.16</v>
      </c>
      <c r="BC53" s="81">
        <f>BC54/(BR54-(L54+P54+T54))</f>
        <v>0</v>
      </c>
      <c r="BD53" s="76" t="s">
        <v>63</v>
      </c>
      <c r="BE53" s="77" t="s">
        <v>65</v>
      </c>
      <c r="BF53" s="80">
        <v>0.16</v>
      </c>
      <c r="BG53" s="81">
        <f>BG54/(BR54-(L54+P54+T54))</f>
        <v>0</v>
      </c>
      <c r="BH53" s="76" t="s">
        <v>63</v>
      </c>
      <c r="BI53" s="77" t="s">
        <v>65</v>
      </c>
      <c r="BJ53" s="80">
        <v>0.23</v>
      </c>
      <c r="BK53" s="81">
        <f>BK54/(BR54-(L54+P54+T54))</f>
        <v>0</v>
      </c>
      <c r="BL53" s="76" t="s">
        <v>63</v>
      </c>
      <c r="BM53" s="77" t="s">
        <v>65</v>
      </c>
      <c r="BN53" s="205">
        <v>0.15</v>
      </c>
      <c r="BO53" s="81">
        <f>BO54/(BR54-(L54+P54+T54))</f>
        <v>0</v>
      </c>
      <c r="BP53" s="76" t="s">
        <v>63</v>
      </c>
      <c r="BQ53" s="79" t="s">
        <v>65</v>
      </c>
      <c r="BR53" s="84">
        <f>SUM(X53,AB53,AF53,AO53,AX53,BB53,BF53,BJ53,BN53)</f>
        <v>1</v>
      </c>
      <c r="BS53" s="350">
        <f>SUM(Y53,AC53,AG53,AU53,AY53,BC53,BG53,BK53,BO53)</f>
        <v>0.0005821725</v>
      </c>
      <c r="BT53" s="88"/>
      <c r="BU53" s="89" t="s">
        <v>63</v>
      </c>
      <c r="BV53" s="71"/>
      <c r="BW53" s="3"/>
      <c r="BX53" s="4"/>
      <c r="BY53" s="3"/>
      <c r="BZ53" s="3"/>
      <c r="CA53" s="3"/>
      <c r="CB53" s="3"/>
    </row>
    <row r="54" ht="15.75" customHeight="1">
      <c r="A54" s="1"/>
      <c r="B54" s="142"/>
      <c r="C54" s="143"/>
      <c r="D54" s="144"/>
      <c r="E54" s="192"/>
      <c r="F54" s="146"/>
      <c r="G54" s="147"/>
      <c r="H54" s="148"/>
      <c r="I54" s="189"/>
      <c r="J54" s="72" t="s">
        <v>66</v>
      </c>
      <c r="K54" s="73"/>
      <c r="L54" s="167">
        <v>0.0</v>
      </c>
      <c r="M54" s="91">
        <v>0.0</v>
      </c>
      <c r="N54" s="92">
        <f t="shared" ref="N54:N57" si="298">IFERROR(M54-L54,"-")</f>
        <v>0</v>
      </c>
      <c r="O54" s="93" t="str">
        <f t="shared" ref="O54:O57" si="299">IFERROR(M54/L54-1,"-")</f>
        <v>-</v>
      </c>
      <c r="P54" s="167">
        <v>0.0</v>
      </c>
      <c r="Q54" s="91">
        <v>0.0</v>
      </c>
      <c r="R54" s="92">
        <f t="shared" ref="R54:R57" si="300">IFERROR(Q54-P54,"-")</f>
        <v>0</v>
      </c>
      <c r="S54" s="95" t="str">
        <f t="shared" ref="S54:S57" si="301">IFERROR(Q54/P54-1,"-")</f>
        <v>-</v>
      </c>
      <c r="T54" s="90">
        <f>($BR$54-($L$54+$P$54))*T53</f>
        <v>0</v>
      </c>
      <c r="U54" s="91">
        <v>53.8</v>
      </c>
      <c r="V54" s="92">
        <f t="shared" ref="V54:V57" si="302">IFERROR(U54-T54,"-")</f>
        <v>53.8</v>
      </c>
      <c r="W54" s="93" t="str">
        <f t="shared" ref="W54:W57" si="303">IFERROR(U54/T54-1,"-")</f>
        <v>-</v>
      </c>
      <c r="X54" s="96">
        <f>($BR$54-($L$54+$P$54+$T$54))*X53</f>
        <v>40000</v>
      </c>
      <c r="Y54" s="91">
        <v>371.11</v>
      </c>
      <c r="Z54" s="92">
        <f t="shared" ref="Z54:Z57" si="304">IFERROR(Y54-X54,"-")</f>
        <v>-39628.89</v>
      </c>
      <c r="AA54" s="93">
        <f t="shared" ref="AA54:AA57" si="305">IFERROR(Y54/X54-1,"-")</f>
        <v>-0.99072225</v>
      </c>
      <c r="AB54" s="96">
        <f>($BR$54-($L$54+$P$54+$T$54))*AB53</f>
        <v>40000</v>
      </c>
      <c r="AC54" s="91">
        <v>1316.65</v>
      </c>
      <c r="AD54" s="92">
        <f t="shared" ref="AD54:AD57" si="306">IFERROR(AC54-AB54,"-")</f>
        <v>-38683.35</v>
      </c>
      <c r="AE54" s="93">
        <f t="shared" ref="AE54:AE57" si="307">IFERROR(AC54/AB54-1,"-")</f>
        <v>-0.96708375</v>
      </c>
      <c r="AF54" s="96">
        <f>($BR$54-($L$54+$P$54+$T$54))*AF53</f>
        <v>240000</v>
      </c>
      <c r="AG54" s="100">
        <v>211.35</v>
      </c>
      <c r="AH54" s="100">
        <v>121.54</v>
      </c>
      <c r="AI54" s="100">
        <v>115.49</v>
      </c>
      <c r="AJ54" s="100">
        <v>628.37</v>
      </c>
      <c r="AK54" s="100">
        <v>0.0</v>
      </c>
      <c r="AL54" s="355">
        <f t="shared" si="296"/>
        <v>1076.75</v>
      </c>
      <c r="AM54" s="92">
        <f t="shared" ref="AM54:AM57" si="308">IFERROR(AL54-AF54,"-")</f>
        <v>-238923.25</v>
      </c>
      <c r="AN54" s="93">
        <f t="shared" ref="AN54:AN57" si="309">IFERROR(AL54/AF54-1,"-")</f>
        <v>-0.9955135417</v>
      </c>
      <c r="AO54" s="96">
        <f>($BR$54-($L$54+$P$54+$T$54))*AO53</f>
        <v>360000</v>
      </c>
      <c r="AP54" s="100">
        <v>124.31</v>
      </c>
      <c r="AQ54" s="353">
        <v>305.27</v>
      </c>
      <c r="AR54" s="354"/>
      <c r="AS54" s="354"/>
      <c r="AT54" s="354"/>
      <c r="AU54" s="91">
        <f t="shared" si="297"/>
        <v>429.58</v>
      </c>
      <c r="AV54" s="92">
        <f t="shared" ref="AV54:AV57" si="310">IFERROR(AU54-AO54,"-")</f>
        <v>-359570.42</v>
      </c>
      <c r="AW54" s="93">
        <f t="shared" ref="AW54:AW57" si="311">IFERROR(AU54/AO54-1,"-")</f>
        <v>-0.9988067222</v>
      </c>
      <c r="AX54" s="91">
        <f>($BR$54-($L$54+$P$54+$T$54))*AX53</f>
        <v>520000</v>
      </c>
      <c r="AY54" s="91">
        <v>0.0</v>
      </c>
      <c r="AZ54" s="92">
        <f t="shared" ref="AZ54:AZ57" si="312">IFERROR(AY54-AX54,"-")</f>
        <v>-520000</v>
      </c>
      <c r="BA54" s="93">
        <f t="shared" ref="BA54:BA57" si="313">IFERROR(AY54/AX54-1,"-")</f>
        <v>-1</v>
      </c>
      <c r="BB54" s="96">
        <f>($BR$54-($L$54+$P$54+$T$54))*BB53</f>
        <v>640000</v>
      </c>
      <c r="BC54" s="91">
        <v>0.0</v>
      </c>
      <c r="BD54" s="92">
        <f t="shared" ref="BD54:BD57" si="314">IFERROR(BC54-BB54,"-")</f>
        <v>-640000</v>
      </c>
      <c r="BE54" s="93">
        <f t="shared" ref="BE54:BE57" si="315">IFERROR(BC54/BB54-1,"-")</f>
        <v>-1</v>
      </c>
      <c r="BF54" s="96">
        <f>($BR$54-($L$54+$P$54+$T$54))*BF53</f>
        <v>640000</v>
      </c>
      <c r="BG54" s="91">
        <v>0.0</v>
      </c>
      <c r="BH54" s="92">
        <f t="shared" ref="BH54:BH57" si="316">IFERROR(BG54-BF54,"-")</f>
        <v>-640000</v>
      </c>
      <c r="BI54" s="93">
        <f t="shared" ref="BI54:BI57" si="317">IFERROR(BG54/BF54-1,"-")</f>
        <v>-1</v>
      </c>
      <c r="BJ54" s="96">
        <f>($BR$54-($L$54+$P$54+$T$54))*BJ53</f>
        <v>920000</v>
      </c>
      <c r="BK54" s="91">
        <v>0.0</v>
      </c>
      <c r="BL54" s="92">
        <f t="shared" ref="BL54:BL57" si="318">IFERROR(BK54-BJ54,"-")</f>
        <v>-920000</v>
      </c>
      <c r="BM54" s="93">
        <f t="shared" ref="BM54:BM57" si="319">IFERROR(BK54/BJ54-1,"-")</f>
        <v>-1</v>
      </c>
      <c r="BN54" s="91">
        <f>($BR$54-($L$54+$P$54+$T$54))*BN53</f>
        <v>600000</v>
      </c>
      <c r="BO54" s="91">
        <v>0.0</v>
      </c>
      <c r="BP54" s="92">
        <f t="shared" ref="BP54:BP57" si="320">IFERROR(BO54-BN54,"-")</f>
        <v>-600000</v>
      </c>
      <c r="BQ54" s="95">
        <f t="shared" ref="BQ54:BQ57" si="321">IFERROR(BO54/BN54-1,"-")</f>
        <v>-1</v>
      </c>
      <c r="BR54" s="101">
        <v>4000000.0</v>
      </c>
      <c r="BS54" s="102">
        <f t="shared" ref="BS54:BS55" si="322">SUM(M54,Q54,U54,Y54,AC54,AG54,AU54,AY54,BC54,BG54,BK54,BO54)</f>
        <v>2382.49</v>
      </c>
      <c r="BT54" s="104">
        <f t="shared" ref="BT54:BT57" si="323">IFERROR(BS54/BR54-1,"-")</f>
        <v>-0.9994043775</v>
      </c>
      <c r="BU54" s="105" t="s">
        <v>63</v>
      </c>
      <c r="BV54" s="106" t="str">
        <f t="shared" ref="BV54:BV55" si="324">IFERROR((BR54/BU54),"-")</f>
        <v>-</v>
      </c>
      <c r="BW54" s="3"/>
      <c r="BX54" s="3"/>
      <c r="BY54" s="3"/>
      <c r="BZ54" s="3"/>
      <c r="CA54" s="3"/>
      <c r="CB54" s="3"/>
    </row>
    <row r="55" ht="15.75" customHeight="1">
      <c r="A55" s="1"/>
      <c r="B55" s="142"/>
      <c r="C55" s="143"/>
      <c r="D55" s="144"/>
      <c r="E55" s="192"/>
      <c r="F55" s="146"/>
      <c r="G55" s="147"/>
      <c r="H55" s="148"/>
      <c r="I55" s="189"/>
      <c r="J55" s="72" t="s">
        <v>67</v>
      </c>
      <c r="K55" s="107"/>
      <c r="L55" s="171">
        <f>L54/$K$56</f>
        <v>0</v>
      </c>
      <c r="M55" s="109">
        <v>0.0</v>
      </c>
      <c r="N55" s="110">
        <f t="shared" si="298"/>
        <v>0</v>
      </c>
      <c r="O55" s="93" t="str">
        <f t="shared" si="299"/>
        <v>-</v>
      </c>
      <c r="P55" s="171">
        <f>P54/$K$56</f>
        <v>0</v>
      </c>
      <c r="Q55" s="109">
        <v>0.0</v>
      </c>
      <c r="R55" s="110">
        <f t="shared" si="300"/>
        <v>0</v>
      </c>
      <c r="S55" s="95" t="str">
        <f t="shared" si="301"/>
        <v>-</v>
      </c>
      <c r="T55" s="171">
        <f>T54/$K$56</f>
        <v>0</v>
      </c>
      <c r="U55" s="109">
        <v>1.0</v>
      </c>
      <c r="V55" s="110">
        <f t="shared" si="302"/>
        <v>1</v>
      </c>
      <c r="W55" s="93" t="str">
        <f t="shared" si="303"/>
        <v>-</v>
      </c>
      <c r="X55" s="112">
        <f>X54/$K$56</f>
        <v>380.952381</v>
      </c>
      <c r="Y55" s="109">
        <v>5.0</v>
      </c>
      <c r="Z55" s="110">
        <f t="shared" si="304"/>
        <v>-375.952381</v>
      </c>
      <c r="AA55" s="93">
        <f t="shared" si="305"/>
        <v>-0.986875</v>
      </c>
      <c r="AB55" s="112">
        <f>AB54/$K$56</f>
        <v>380.952381</v>
      </c>
      <c r="AC55" s="109">
        <v>28.0</v>
      </c>
      <c r="AD55" s="110">
        <f t="shared" si="306"/>
        <v>-352.952381</v>
      </c>
      <c r="AE55" s="93">
        <f t="shared" si="307"/>
        <v>-0.9265</v>
      </c>
      <c r="AF55" s="112">
        <f>AF54/$K$56</f>
        <v>2285.714286</v>
      </c>
      <c r="AG55" s="114">
        <v>5.0</v>
      </c>
      <c r="AH55" s="114">
        <v>3.0</v>
      </c>
      <c r="AI55" s="114">
        <v>2.0</v>
      </c>
      <c r="AJ55" s="114">
        <v>9.0</v>
      </c>
      <c r="AK55" s="114">
        <v>0.0</v>
      </c>
      <c r="AL55" s="358">
        <f t="shared" si="296"/>
        <v>19</v>
      </c>
      <c r="AM55" s="110">
        <f t="shared" si="308"/>
        <v>-2266.714286</v>
      </c>
      <c r="AN55" s="93">
        <f t="shared" si="309"/>
        <v>-0.9916875</v>
      </c>
      <c r="AO55" s="112">
        <f>AO54/$K$56</f>
        <v>3428.571429</v>
      </c>
      <c r="AP55" s="114">
        <v>2.0</v>
      </c>
      <c r="AQ55" s="356">
        <v>4.0</v>
      </c>
      <c r="AR55" s="357"/>
      <c r="AS55" s="357"/>
      <c r="AT55" s="357"/>
      <c r="AU55" s="109">
        <f t="shared" si="297"/>
        <v>6</v>
      </c>
      <c r="AV55" s="110">
        <f t="shared" si="310"/>
        <v>-3422.571429</v>
      </c>
      <c r="AW55" s="93">
        <f t="shared" si="311"/>
        <v>-0.99825</v>
      </c>
      <c r="AX55" s="109">
        <f>AX54/$K$56</f>
        <v>4952.380952</v>
      </c>
      <c r="AY55" s="109">
        <v>0.0</v>
      </c>
      <c r="AZ55" s="110">
        <f t="shared" si="312"/>
        <v>-4952.380952</v>
      </c>
      <c r="BA55" s="93">
        <f t="shared" si="313"/>
        <v>-1</v>
      </c>
      <c r="BB55" s="112">
        <f>BB54/$K$56</f>
        <v>6095.238095</v>
      </c>
      <c r="BC55" s="109">
        <v>0.0</v>
      </c>
      <c r="BD55" s="110">
        <f t="shared" si="314"/>
        <v>-6095.238095</v>
      </c>
      <c r="BE55" s="93">
        <f t="shared" si="315"/>
        <v>-1</v>
      </c>
      <c r="BF55" s="112">
        <f>BF54/$K$56</f>
        <v>6095.238095</v>
      </c>
      <c r="BG55" s="109">
        <v>0.0</v>
      </c>
      <c r="BH55" s="110">
        <f t="shared" si="316"/>
        <v>-6095.238095</v>
      </c>
      <c r="BI55" s="93">
        <f t="shared" si="317"/>
        <v>-1</v>
      </c>
      <c r="BJ55" s="112">
        <f>BJ54/$K$56</f>
        <v>8761.904762</v>
      </c>
      <c r="BK55" s="109">
        <v>0.0</v>
      </c>
      <c r="BL55" s="110">
        <f t="shared" si="318"/>
        <v>-8761.904762</v>
      </c>
      <c r="BM55" s="93">
        <f t="shared" si="319"/>
        <v>-1</v>
      </c>
      <c r="BN55" s="109">
        <f>BN54/$K$56</f>
        <v>5714.285714</v>
      </c>
      <c r="BO55" s="109">
        <v>0.0</v>
      </c>
      <c r="BP55" s="110">
        <f t="shared" si="320"/>
        <v>-5714.285714</v>
      </c>
      <c r="BQ55" s="95">
        <f t="shared" si="321"/>
        <v>-1</v>
      </c>
      <c r="BR55" s="206">
        <f>SUM(L55,P55,T55,X55,AB55,AF55,AO55,AX55,BB55,BF55,BJ55,BN55)</f>
        <v>38095.2381</v>
      </c>
      <c r="BS55" s="207">
        <f t="shared" si="322"/>
        <v>45</v>
      </c>
      <c r="BT55" s="104">
        <f t="shared" si="323"/>
        <v>-0.99881875</v>
      </c>
      <c r="BU55" s="119" t="s">
        <v>63</v>
      </c>
      <c r="BV55" s="106" t="str">
        <f t="shared" si="324"/>
        <v>-</v>
      </c>
      <c r="BW55" s="3"/>
      <c r="BX55" s="3"/>
      <c r="BY55" s="3"/>
      <c r="BZ55" s="3"/>
      <c r="CA55" s="3"/>
      <c r="CB55" s="3"/>
    </row>
    <row r="56" ht="15.75" customHeight="1">
      <c r="A56" s="1"/>
      <c r="B56" s="142"/>
      <c r="C56" s="143"/>
      <c r="D56" s="144"/>
      <c r="E56" s="192"/>
      <c r="F56" s="146"/>
      <c r="G56" s="147"/>
      <c r="H56" s="148"/>
      <c r="I56" s="189"/>
      <c r="J56" s="72" t="s">
        <v>68</v>
      </c>
      <c r="K56" s="107">
        <v>105.0</v>
      </c>
      <c r="L56" s="90" t="str">
        <f t="shared" ref="L56:M56" si="325">IFERROR(L54/L55,"-")</f>
        <v>-</v>
      </c>
      <c r="M56" s="91" t="str">
        <f t="shared" si="325"/>
        <v>-</v>
      </c>
      <c r="N56" s="92" t="str">
        <f t="shared" si="298"/>
        <v>-</v>
      </c>
      <c r="O56" s="93" t="str">
        <f t="shared" si="299"/>
        <v>-</v>
      </c>
      <c r="P56" s="90" t="str">
        <f t="shared" ref="P56:Q56" si="326">IFERROR(P54/P55,"-")</f>
        <v>-</v>
      </c>
      <c r="Q56" s="91" t="str">
        <f t="shared" si="326"/>
        <v>-</v>
      </c>
      <c r="R56" s="92" t="str">
        <f t="shared" si="300"/>
        <v>-</v>
      </c>
      <c r="S56" s="95" t="str">
        <f t="shared" si="301"/>
        <v>-</v>
      </c>
      <c r="T56" s="90" t="str">
        <f t="shared" ref="T56:U56" si="327">IFERROR(T54/T55,"-")</f>
        <v>-</v>
      </c>
      <c r="U56" s="91">
        <f t="shared" si="327"/>
        <v>53.8</v>
      </c>
      <c r="V56" s="92" t="str">
        <f t="shared" si="302"/>
        <v>-</v>
      </c>
      <c r="W56" s="93" t="str">
        <f t="shared" si="303"/>
        <v>-</v>
      </c>
      <c r="X56" s="96">
        <f t="shared" ref="X56:Y56" si="328">IFERROR(X54/X55,"-")</f>
        <v>105</v>
      </c>
      <c r="Y56" s="91">
        <f t="shared" si="328"/>
        <v>74.222</v>
      </c>
      <c r="Z56" s="92">
        <f t="shared" si="304"/>
        <v>-30.778</v>
      </c>
      <c r="AA56" s="93">
        <f t="shared" si="305"/>
        <v>-0.2931238095</v>
      </c>
      <c r="AB56" s="112">
        <f>AB54/AB55</f>
        <v>105</v>
      </c>
      <c r="AC56" s="91">
        <f>IFERROR(AC54/AC55,"-")</f>
        <v>47.02321429</v>
      </c>
      <c r="AD56" s="92">
        <f t="shared" si="306"/>
        <v>-57.97678571</v>
      </c>
      <c r="AE56" s="93">
        <f t="shared" si="307"/>
        <v>-0.5521598639</v>
      </c>
      <c r="AF56" s="385">
        <f>AF54/AF55</f>
        <v>105</v>
      </c>
      <c r="AG56" s="370">
        <f t="shared" ref="AG56:AL56" si="329">IFERROR(AG54/AG55,"-")</f>
        <v>42.27</v>
      </c>
      <c r="AH56" s="370">
        <f t="shared" si="329"/>
        <v>40.51333333</v>
      </c>
      <c r="AI56" s="370">
        <f t="shared" si="329"/>
        <v>57.745</v>
      </c>
      <c r="AJ56" s="370">
        <f t="shared" si="329"/>
        <v>69.81888889</v>
      </c>
      <c r="AK56" s="370" t="str">
        <f t="shared" si="329"/>
        <v>-</v>
      </c>
      <c r="AL56" s="372">
        <f t="shared" si="329"/>
        <v>56.67105263</v>
      </c>
      <c r="AM56" s="92">
        <f t="shared" si="308"/>
        <v>-48.32894737</v>
      </c>
      <c r="AN56" s="93">
        <f t="shared" si="309"/>
        <v>-0.4602756892</v>
      </c>
      <c r="AO56" s="112">
        <f>AO54/AO55</f>
        <v>105</v>
      </c>
      <c r="AP56" s="91">
        <f t="shared" ref="AP56:AU56" si="330">IFERROR(AP54/AP55,"-")</f>
        <v>62.155</v>
      </c>
      <c r="AQ56" s="91">
        <f t="shared" si="330"/>
        <v>76.3175</v>
      </c>
      <c r="AR56" s="359" t="str">
        <f t="shared" si="330"/>
        <v>-</v>
      </c>
      <c r="AS56" s="359" t="str">
        <f t="shared" si="330"/>
        <v>-</v>
      </c>
      <c r="AT56" s="359" t="str">
        <f t="shared" si="330"/>
        <v>-</v>
      </c>
      <c r="AU56" s="91">
        <f t="shared" si="330"/>
        <v>71.59666667</v>
      </c>
      <c r="AV56" s="92">
        <f t="shared" si="310"/>
        <v>-33.40333333</v>
      </c>
      <c r="AW56" s="93">
        <f t="shared" si="311"/>
        <v>-0.3181269841</v>
      </c>
      <c r="AX56" s="109">
        <f>AX54/AX55</f>
        <v>105</v>
      </c>
      <c r="AY56" s="91" t="str">
        <f>IFERROR(AY54/AY55,"-")</f>
        <v>-</v>
      </c>
      <c r="AZ56" s="92" t="str">
        <f t="shared" si="312"/>
        <v>-</v>
      </c>
      <c r="BA56" s="93" t="str">
        <f t="shared" si="313"/>
        <v>-</v>
      </c>
      <c r="BB56" s="112">
        <f>BB54/BB55</f>
        <v>105</v>
      </c>
      <c r="BC56" s="91" t="str">
        <f>IFERROR(BC54/BC55,"-")</f>
        <v>-</v>
      </c>
      <c r="BD56" s="92" t="str">
        <f t="shared" si="314"/>
        <v>-</v>
      </c>
      <c r="BE56" s="93" t="str">
        <f t="shared" si="315"/>
        <v>-</v>
      </c>
      <c r="BF56" s="112">
        <f>BF54/BF55</f>
        <v>105</v>
      </c>
      <c r="BG56" s="91" t="str">
        <f>IFERROR(BG54/BG55,"-")</f>
        <v>-</v>
      </c>
      <c r="BH56" s="92" t="str">
        <f t="shared" si="316"/>
        <v>-</v>
      </c>
      <c r="BI56" s="93" t="str">
        <f t="shared" si="317"/>
        <v>-</v>
      </c>
      <c r="BJ56" s="112">
        <f>BJ54/BJ55</f>
        <v>105</v>
      </c>
      <c r="BK56" s="91" t="str">
        <f>IFERROR(BK54/BK55,"-")</f>
        <v>-</v>
      </c>
      <c r="BL56" s="92" t="str">
        <f t="shared" si="318"/>
        <v>-</v>
      </c>
      <c r="BM56" s="93" t="str">
        <f t="shared" si="319"/>
        <v>-</v>
      </c>
      <c r="BN56" s="109">
        <f>BN54/BN55</f>
        <v>105</v>
      </c>
      <c r="BO56" s="91" t="str">
        <f>IFERROR(BO54/BO55,"-")</f>
        <v>-</v>
      </c>
      <c r="BP56" s="92" t="str">
        <f t="shared" si="320"/>
        <v>-</v>
      </c>
      <c r="BQ56" s="95" t="str">
        <f t="shared" si="321"/>
        <v>-</v>
      </c>
      <c r="BR56" s="120">
        <f t="shared" ref="BR56:BS56" si="331">BR54/BR55</f>
        <v>105</v>
      </c>
      <c r="BS56" s="209">
        <f t="shared" si="331"/>
        <v>52.94422222</v>
      </c>
      <c r="BT56" s="104">
        <f t="shared" si="323"/>
        <v>-0.4957693122</v>
      </c>
      <c r="BU56" s="119"/>
      <c r="BV56" s="106"/>
      <c r="BW56" s="3"/>
      <c r="BX56" s="3"/>
      <c r="BY56" s="3"/>
      <c r="BZ56" s="3"/>
      <c r="CA56" s="3"/>
      <c r="CB56" s="3"/>
    </row>
    <row r="57" ht="15.75" customHeight="1">
      <c r="A57" s="1"/>
      <c r="B57" s="142"/>
      <c r="C57" s="143"/>
      <c r="D57" s="144"/>
      <c r="E57" s="192"/>
      <c r="F57" s="146"/>
      <c r="G57" s="147"/>
      <c r="H57" s="148"/>
      <c r="I57" s="189"/>
      <c r="J57" s="124" t="s">
        <v>69</v>
      </c>
      <c r="K57" s="125">
        <v>0.03</v>
      </c>
      <c r="L57" s="132">
        <f t="shared" ref="L57:M57" si="332">MIN(L54, 500000) * 0.03 + MAX(0, MIN(L54, 1000000) - 500000) * 0.025 + MAX(0, MIN(L54, 2000000) - 1000000) * 0.0225 + MAX(0, MIN(L54, 3000000) - 2000000) * 0.02 + MAX(0, MIN(L54, 5000000) - 3000000) * 0.0175 + MAX(0, L54 - 5000000) * 0.015</f>
        <v>0</v>
      </c>
      <c r="M57" s="127">
        <f t="shared" si="332"/>
        <v>0</v>
      </c>
      <c r="N57" s="128">
        <f t="shared" si="298"/>
        <v>0</v>
      </c>
      <c r="O57" s="129" t="str">
        <f t="shared" si="299"/>
        <v>-</v>
      </c>
      <c r="P57" s="132">
        <f t="shared" ref="P57:Q57" si="333">MIN(P54, 500000) * 0.03 + MAX(0, MIN(P54, 1000000) - 500000) * 0.025 + MAX(0, MIN(P54, 2000000) - 1000000) * 0.0225 + MAX(0, MIN(P54, 3000000) - 2000000) * 0.02 + MAX(0, MIN(P54, 5000000) - 3000000) * 0.0175 + MAX(0, P54 - 5000000) * 0.015</f>
        <v>0</v>
      </c>
      <c r="Q57" s="127">
        <f t="shared" si="333"/>
        <v>0</v>
      </c>
      <c r="R57" s="128">
        <f t="shared" si="300"/>
        <v>0</v>
      </c>
      <c r="S57" s="131" t="str">
        <f t="shared" si="301"/>
        <v>-</v>
      </c>
      <c r="T57" s="132">
        <f t="shared" ref="T57:U57" si="334">MIN(T54, 500000) * 0.03 + MAX(0, MIN(T54, 1000000) - 500000) * 0.025 + MAX(0, MIN(T54, 2000000) - 1000000) * 0.0225 + MAX(0, MIN(T54, 3000000) - 2000000) * 0.02 + MAX(0, MIN(T54, 5000000) - 3000000) * 0.0175 + MAX(0, T54 - 5000000) * 0.015</f>
        <v>0</v>
      </c>
      <c r="U57" s="127">
        <f t="shared" si="334"/>
        <v>1.614</v>
      </c>
      <c r="V57" s="128">
        <f t="shared" si="302"/>
        <v>1.614</v>
      </c>
      <c r="W57" s="129" t="str">
        <f t="shared" si="303"/>
        <v>-</v>
      </c>
      <c r="X57" s="132">
        <f t="shared" ref="X57:Y57" si="335">MIN(X54, 500000) * 0.03 + MAX(0, MIN(X54, 1000000) - 500000) * 0.025 + MAX(0, MIN(X54, 2000000) - 1000000) * 0.0225 + MAX(0, MIN(X54, 3000000) - 2000000) * 0.02 + MAX(0, MIN(X54, 5000000) - 3000000) * 0.0175 + MAX(0, X54 - 5000000) * 0.015</f>
        <v>1200</v>
      </c>
      <c r="Y57" s="127">
        <f t="shared" si="335"/>
        <v>11.1333</v>
      </c>
      <c r="Z57" s="128">
        <f t="shared" si="304"/>
        <v>-1188.8667</v>
      </c>
      <c r="AA57" s="129">
        <f t="shared" si="305"/>
        <v>-0.99072225</v>
      </c>
      <c r="AB57" s="132">
        <f t="shared" ref="AB57:AC57" si="336">MIN(AB54, 500000) * 0.03 + MAX(0, MIN(AB54, 1000000) - 500000) * 0.025 + MAX(0, MIN(AB54, 2000000) - 1000000) * 0.0225 + MAX(0, MIN(AB54, 3000000) - 2000000) * 0.02 + MAX(0, MIN(AB54, 5000000) - 3000000) * 0.0175 + MAX(0, AB54 - 5000000) * 0.015</f>
        <v>1200</v>
      </c>
      <c r="AC57" s="127">
        <f t="shared" si="336"/>
        <v>39.4995</v>
      </c>
      <c r="AD57" s="128">
        <f t="shared" si="306"/>
        <v>-1160.5005</v>
      </c>
      <c r="AE57" s="134">
        <f t="shared" si="307"/>
        <v>-0.96708375</v>
      </c>
      <c r="AF57" s="373">
        <f t="shared" ref="AF57:AL57" si="337">MIN(AF54, 500000) * 0.03 + MAX(0, MIN(AF54, 1000000) - 500000) * 0.025 + MAX(0, MIN(AF54, 2000000) - 1000000) * 0.0225 + MAX(0, MIN(AF54, 3000000) - 2000000) * 0.02 + MAX(0, MIN(AF54, 5000000) - 3000000) * 0.0175 + MAX(0, AF54 - 5000000) * 0.015</f>
        <v>7200</v>
      </c>
      <c r="AG57" s="374">
        <f t="shared" si="337"/>
        <v>6.3405</v>
      </c>
      <c r="AH57" s="374">
        <f t="shared" si="337"/>
        <v>3.6462</v>
      </c>
      <c r="AI57" s="374">
        <f t="shared" si="337"/>
        <v>3.4647</v>
      </c>
      <c r="AJ57" s="374">
        <f t="shared" si="337"/>
        <v>18.8511</v>
      </c>
      <c r="AK57" s="374">
        <f t="shared" si="337"/>
        <v>0</v>
      </c>
      <c r="AL57" s="375">
        <f t="shared" si="337"/>
        <v>32.3025</v>
      </c>
      <c r="AM57" s="376">
        <f t="shared" si="308"/>
        <v>-7167.6975</v>
      </c>
      <c r="AN57" s="129">
        <f t="shared" si="309"/>
        <v>-0.9955135417</v>
      </c>
      <c r="AO57" s="132">
        <f>MIN(AO54, 500000) * 0.03 + MAX(0, MIN(AO54, 1000000) - 500000) * 0.025 + MAX(0, MIN(AO54, 2000000) - 1000000) * 0.0225 + MAX(0, MIN(AO54, 3000000) - 2000000) * 0.02 + MAX(0, MIN(AO54, 5000000) - 3000000) * 0.0175 + MAX(0, AO54 - 5000000) * 0.015</f>
        <v>10800</v>
      </c>
      <c r="AP57" s="130">
        <f t="shared" ref="AP57:AT57" si="338">AP54*$K$9</f>
        <v>6.09119</v>
      </c>
      <c r="AQ57" s="130">
        <f t="shared" si="338"/>
        <v>14.95823</v>
      </c>
      <c r="AR57" s="361">
        <f t="shared" si="338"/>
        <v>0</v>
      </c>
      <c r="AS57" s="361">
        <f t="shared" si="338"/>
        <v>0</v>
      </c>
      <c r="AT57" s="361">
        <f t="shared" si="338"/>
        <v>0</v>
      </c>
      <c r="AU57" s="127">
        <f>MIN(AU54, 500000) * 0.03 + MAX(0, MIN(AU54, 1000000) - 500000) * 0.025 + MAX(0, MIN(AU54, 2000000) - 1000000) * 0.0225 + MAX(0, MIN(AU54, 3000000) - 2000000) * 0.02 + MAX(0, MIN(AU54, 5000000) - 3000000) * 0.0175 + MAX(0, AU54 - 5000000) * 0.015</f>
        <v>12.8874</v>
      </c>
      <c r="AV57" s="128">
        <f t="shared" si="310"/>
        <v>-10787.1126</v>
      </c>
      <c r="AW57" s="129">
        <f t="shared" si="311"/>
        <v>-0.9988067222</v>
      </c>
      <c r="AX57" s="127">
        <f t="shared" ref="AX57:AY57" si="339">MIN(AX54, 500000) * 0.03 + MAX(0, MIN(AX54, 1000000) - 500000) * 0.025 + MAX(0, MIN(AX54, 2000000) - 1000000) * 0.0225 + MAX(0, MIN(AX54, 3000000) - 2000000) * 0.02 + MAX(0, MIN(AX54, 5000000) - 3000000) * 0.0175 + MAX(0, AX54 - 5000000) * 0.015</f>
        <v>15500</v>
      </c>
      <c r="AY57" s="127">
        <f t="shared" si="339"/>
        <v>0</v>
      </c>
      <c r="AZ57" s="128">
        <f t="shared" si="312"/>
        <v>-15500</v>
      </c>
      <c r="BA57" s="129">
        <f t="shared" si="313"/>
        <v>-1</v>
      </c>
      <c r="BB57" s="132">
        <f t="shared" ref="BB57:BC57" si="340">MIN(BB54, 500000) * 0.03 + MAX(0, MIN(BB54, 1000000) - 500000) * 0.025 + MAX(0, MIN(BB54, 2000000) - 1000000) * 0.0225 + MAX(0, MIN(BB54, 3000000) - 2000000) * 0.02 + MAX(0, MIN(BB54, 5000000) - 3000000) * 0.0175 + MAX(0, BB54 - 5000000) * 0.015</f>
        <v>18500</v>
      </c>
      <c r="BC57" s="127">
        <f t="shared" si="340"/>
        <v>0</v>
      </c>
      <c r="BD57" s="128">
        <f t="shared" si="314"/>
        <v>-18500</v>
      </c>
      <c r="BE57" s="129">
        <f t="shared" si="315"/>
        <v>-1</v>
      </c>
      <c r="BF57" s="132">
        <f t="shared" ref="BF57:BG57" si="341">MIN(BF54, 500000) * 0.03 + MAX(0, MIN(BF54, 1000000) - 500000) * 0.025 + MAX(0, MIN(BF54, 2000000) - 1000000) * 0.0225 + MAX(0, MIN(BF54, 3000000) - 2000000) * 0.02 + MAX(0, MIN(BF54, 5000000) - 3000000) * 0.0175 + MAX(0, BF54 - 5000000) * 0.015</f>
        <v>18500</v>
      </c>
      <c r="BG57" s="127">
        <f t="shared" si="341"/>
        <v>0</v>
      </c>
      <c r="BH57" s="128">
        <f t="shared" si="316"/>
        <v>-18500</v>
      </c>
      <c r="BI57" s="129">
        <f t="shared" si="317"/>
        <v>-1</v>
      </c>
      <c r="BJ57" s="132">
        <f t="shared" ref="BJ57:BK57" si="342">MIN(BJ54, 500000) * 0.03 + MAX(0, MIN(BJ54, 1000000) - 500000) * 0.025 + MAX(0, MIN(BJ54, 2000000) - 1000000) * 0.0225 + MAX(0, MIN(BJ54, 3000000) - 2000000) * 0.02 + MAX(0, MIN(BJ54, 5000000) - 3000000) * 0.0175 + MAX(0, BJ54 - 5000000) * 0.015</f>
        <v>25500</v>
      </c>
      <c r="BK57" s="127">
        <f t="shared" si="342"/>
        <v>0</v>
      </c>
      <c r="BL57" s="128">
        <f t="shared" si="318"/>
        <v>-25500</v>
      </c>
      <c r="BM57" s="129">
        <f t="shared" si="319"/>
        <v>-1</v>
      </c>
      <c r="BN57" s="127">
        <f t="shared" ref="BN57:BO57" si="343">MIN(BN54, 500000) * 0.03 + MAX(0, MIN(BN54, 1000000) - 500000) * 0.025 + MAX(0, MIN(BN54, 2000000) - 1000000) * 0.0225 + MAX(0, MIN(BN54, 3000000) - 2000000) * 0.02 + MAX(0, MIN(BN54, 5000000) - 3000000) * 0.0175 + MAX(0, BN54 - 5000000) * 0.015</f>
        <v>17500</v>
      </c>
      <c r="BO57" s="127">
        <f t="shared" si="343"/>
        <v>0</v>
      </c>
      <c r="BP57" s="128">
        <f t="shared" si="320"/>
        <v>-17500</v>
      </c>
      <c r="BQ57" s="131">
        <f t="shared" si="321"/>
        <v>-1</v>
      </c>
      <c r="BR57" s="135">
        <f>SUM(L57,P57,T57,X57,AB57,AF57,AO57,AX57,BB57,BF57,BJ57,BN57)</f>
        <v>115900</v>
      </c>
      <c r="BS57" s="213">
        <f>SUM(M57,Q57,U57,Y57,AC57,AG57,AU57,AY57,BC57,BG57,BK57,BO57)</f>
        <v>71.4747</v>
      </c>
      <c r="BT57" s="139">
        <f t="shared" si="323"/>
        <v>-0.9993833072</v>
      </c>
      <c r="BU57" s="140" t="s">
        <v>63</v>
      </c>
      <c r="BV57" s="141" t="str">
        <f>IFERROR((BR57/BU57),"-")</f>
        <v>-</v>
      </c>
      <c r="BW57" s="3"/>
      <c r="BX57" s="3"/>
      <c r="BY57" s="3"/>
      <c r="BZ57" s="3"/>
      <c r="CA57" s="3"/>
      <c r="CB57" s="3"/>
    </row>
    <row r="58" ht="15.75" customHeight="1">
      <c r="A58" s="1"/>
      <c r="B58" s="142"/>
      <c r="C58" s="143"/>
      <c r="D58" s="144"/>
      <c r="E58" s="192"/>
      <c r="F58" s="146"/>
      <c r="G58" s="147"/>
      <c r="H58" s="148"/>
      <c r="I58" s="221">
        <v>0.0325</v>
      </c>
      <c r="J58" s="12"/>
      <c r="K58" s="195"/>
      <c r="L58" s="222">
        <f>L62/4600</f>
        <v>5.538130435</v>
      </c>
      <c r="M58" s="196">
        <f>P62/2890</f>
        <v>7.37716263</v>
      </c>
      <c r="N58" s="196">
        <f>T62/3000</f>
        <v>9.922007667</v>
      </c>
      <c r="O58" s="196">
        <f>X62/10000</f>
        <v>2.9766023</v>
      </c>
      <c r="P58" s="196">
        <f>AB62/15000</f>
        <v>7.937606133</v>
      </c>
      <c r="Q58" s="23"/>
      <c r="R58" s="196">
        <f>AO62/15000</f>
        <v>31.75042453</v>
      </c>
      <c r="S58" s="196">
        <f>AX62/15000</f>
        <v>39.68803067</v>
      </c>
      <c r="T58" s="196">
        <f>BB62/15000</f>
        <v>43.65683373</v>
      </c>
      <c r="U58" s="196">
        <f>BF62/15000</f>
        <v>71.4384552</v>
      </c>
      <c r="V58" s="196">
        <f>BJ62/25000</f>
        <v>71.4384552</v>
      </c>
      <c r="W58" s="196">
        <f>BN62/15000</f>
        <v>71.4384552</v>
      </c>
      <c r="X58" s="13"/>
      <c r="Y58" s="14"/>
      <c r="Z58" s="15"/>
      <c r="AA58" s="3"/>
      <c r="AB58" s="3"/>
      <c r="AC58" s="3"/>
      <c r="AD58" s="3"/>
      <c r="AE58" s="3"/>
      <c r="AF58" s="3"/>
      <c r="AG58" s="363"/>
      <c r="AH58" s="363"/>
      <c r="AI58" s="363"/>
      <c r="AJ58" s="363"/>
      <c r="AK58" s="363"/>
      <c r="AL58" s="363"/>
      <c r="AP58" s="363"/>
      <c r="AQ58" s="363"/>
      <c r="AR58" s="363"/>
      <c r="AS58" s="363"/>
      <c r="AT58" s="363"/>
      <c r="BA58" s="187"/>
      <c r="BB58" s="25"/>
      <c r="BC58" s="188"/>
      <c r="BD58" s="25"/>
    </row>
    <row r="59" ht="15.75" customHeight="1">
      <c r="A59" s="1"/>
      <c r="B59" s="142"/>
      <c r="C59" s="143"/>
      <c r="D59" s="144"/>
      <c r="E59" s="192"/>
      <c r="F59" s="146"/>
      <c r="G59" s="147"/>
      <c r="H59" s="148"/>
      <c r="I59" s="223"/>
      <c r="J59" s="34" t="s">
        <v>86</v>
      </c>
      <c r="K59" s="35"/>
      <c r="L59" s="36" t="s">
        <v>10</v>
      </c>
      <c r="M59" s="37" t="s">
        <v>11</v>
      </c>
      <c r="N59" s="38" t="s">
        <v>12</v>
      </c>
      <c r="O59" s="39" t="s">
        <v>13</v>
      </c>
      <c r="P59" s="157" t="s">
        <v>14</v>
      </c>
      <c r="Q59" s="199" t="s">
        <v>15</v>
      </c>
      <c r="R59" s="38" t="s">
        <v>16</v>
      </c>
      <c r="S59" s="42" t="s">
        <v>17</v>
      </c>
      <c r="T59" s="43" t="s">
        <v>18</v>
      </c>
      <c r="U59" s="199" t="s">
        <v>19</v>
      </c>
      <c r="V59" s="38" t="s">
        <v>20</v>
      </c>
      <c r="W59" s="45" t="s">
        <v>21</v>
      </c>
      <c r="X59" s="44" t="s">
        <v>22</v>
      </c>
      <c r="Y59" s="199" t="s">
        <v>23</v>
      </c>
      <c r="Z59" s="38" t="s">
        <v>24</v>
      </c>
      <c r="AA59" s="45" t="s">
        <v>25</v>
      </c>
      <c r="AB59" s="43" t="s">
        <v>26</v>
      </c>
      <c r="AC59" s="199" t="s">
        <v>27</v>
      </c>
      <c r="AD59" s="38" t="s">
        <v>28</v>
      </c>
      <c r="AE59" s="45" t="s">
        <v>29</v>
      </c>
      <c r="AF59" s="44" t="s">
        <v>30</v>
      </c>
      <c r="AG59" s="343" t="s">
        <v>120</v>
      </c>
      <c r="AH59" s="344" t="s">
        <v>121</v>
      </c>
      <c r="AI59" s="344" t="s">
        <v>122</v>
      </c>
      <c r="AJ59" s="344" t="s">
        <v>123</v>
      </c>
      <c r="AK59" s="344" t="s">
        <v>124</v>
      </c>
      <c r="AL59" s="344" t="s">
        <v>31</v>
      </c>
      <c r="AM59" s="38" t="s">
        <v>32</v>
      </c>
      <c r="AN59" s="45" t="s">
        <v>33</v>
      </c>
      <c r="AO59" s="43" t="s">
        <v>34</v>
      </c>
      <c r="AP59" s="343" t="s">
        <v>125</v>
      </c>
      <c r="AQ59" s="344" t="s">
        <v>126</v>
      </c>
      <c r="AR59" s="344" t="s">
        <v>127</v>
      </c>
      <c r="AS59" s="344" t="s">
        <v>128</v>
      </c>
      <c r="AT59" s="344" t="s">
        <v>129</v>
      </c>
      <c r="AU59" s="41" t="s">
        <v>35</v>
      </c>
      <c r="AV59" s="38" t="s">
        <v>36</v>
      </c>
      <c r="AW59" s="45" t="s">
        <v>37</v>
      </c>
      <c r="AX59" s="44" t="s">
        <v>38</v>
      </c>
      <c r="AY59" s="199" t="s">
        <v>39</v>
      </c>
      <c r="AZ59" s="38" t="s">
        <v>40</v>
      </c>
      <c r="BA59" s="45" t="s">
        <v>41</v>
      </c>
      <c r="BB59" s="43" t="s">
        <v>42</v>
      </c>
      <c r="BC59" s="199" t="s">
        <v>43</v>
      </c>
      <c r="BD59" s="38" t="s">
        <v>44</v>
      </c>
      <c r="BE59" s="45" t="s">
        <v>45</v>
      </c>
      <c r="BF59" s="44" t="s">
        <v>46</v>
      </c>
      <c r="BG59" s="199" t="s">
        <v>47</v>
      </c>
      <c r="BH59" s="38" t="s">
        <v>48</v>
      </c>
      <c r="BI59" s="45" t="s">
        <v>49</v>
      </c>
      <c r="BJ59" s="43" t="s">
        <v>50</v>
      </c>
      <c r="BK59" s="199" t="s">
        <v>51</v>
      </c>
      <c r="BL59" s="38" t="s">
        <v>52</v>
      </c>
      <c r="BM59" s="45" t="s">
        <v>53</v>
      </c>
      <c r="BN59" s="44" t="s">
        <v>54</v>
      </c>
      <c r="BO59" s="199" t="s">
        <v>55</v>
      </c>
      <c r="BP59" s="38" t="s">
        <v>56</v>
      </c>
      <c r="BQ59" s="45" t="s">
        <v>57</v>
      </c>
      <c r="BR59" s="364">
        <v>2026.0</v>
      </c>
      <c r="BS59" s="37" t="s">
        <v>61</v>
      </c>
      <c r="BT59" s="51" t="s">
        <v>62</v>
      </c>
      <c r="BU59" s="52">
        <v>2025.0</v>
      </c>
      <c r="BV59" s="53"/>
      <c r="BW59" s="3"/>
      <c r="BX59" s="3"/>
      <c r="BY59" s="3"/>
      <c r="BZ59" s="3"/>
      <c r="CA59" s="3"/>
      <c r="CB59" s="3"/>
    </row>
    <row r="60" ht="15.75" customHeight="1">
      <c r="A60" s="1"/>
      <c r="B60" s="142"/>
      <c r="C60" s="143"/>
      <c r="D60" s="144"/>
      <c r="E60" s="192"/>
      <c r="F60" s="146"/>
      <c r="G60" s="147"/>
      <c r="H60" s="148"/>
      <c r="I60" s="220"/>
      <c r="J60" s="346" t="s">
        <v>130</v>
      </c>
      <c r="K60" s="55"/>
      <c r="L60" s="56"/>
      <c r="M60" s="57"/>
      <c r="N60" s="58"/>
      <c r="O60" s="59"/>
      <c r="P60" s="56"/>
      <c r="Q60" s="202"/>
      <c r="R60" s="58"/>
      <c r="S60" s="61"/>
      <c r="T60" s="62"/>
      <c r="U60" s="63"/>
      <c r="V60" s="58"/>
      <c r="W60" s="59"/>
      <c r="X60" s="62"/>
      <c r="Y60" s="63"/>
      <c r="Z60" s="58"/>
      <c r="AA60" s="59"/>
      <c r="AB60" s="62"/>
      <c r="AC60" s="63"/>
      <c r="AD60" s="58"/>
      <c r="AE60" s="59"/>
      <c r="AF60" s="62"/>
      <c r="AG60" s="347">
        <f t="shared" ref="AG60:AK60" si="344">$AF$61/5</f>
        <v>0.004</v>
      </c>
      <c r="AH60" s="347">
        <f t="shared" si="344"/>
        <v>0.004</v>
      </c>
      <c r="AI60" s="347">
        <f t="shared" si="344"/>
        <v>0.004</v>
      </c>
      <c r="AJ60" s="347">
        <f t="shared" si="344"/>
        <v>0.004</v>
      </c>
      <c r="AK60" s="347">
        <f t="shared" si="344"/>
        <v>0.004</v>
      </c>
      <c r="AL60" s="347"/>
      <c r="AM60" s="58"/>
      <c r="AN60" s="59"/>
      <c r="AO60" s="62"/>
      <c r="AP60" s="347">
        <f t="shared" ref="AP60:AT60" si="345">$AO$61/5</f>
        <v>0.016</v>
      </c>
      <c r="AQ60" s="347">
        <f t="shared" si="345"/>
        <v>0.016</v>
      </c>
      <c r="AR60" s="347">
        <f t="shared" si="345"/>
        <v>0.016</v>
      </c>
      <c r="AS60" s="347">
        <f t="shared" si="345"/>
        <v>0.016</v>
      </c>
      <c r="AT60" s="347">
        <f t="shared" si="345"/>
        <v>0.016</v>
      </c>
      <c r="AU60" s="63"/>
      <c r="AV60" s="58"/>
      <c r="AW60" s="59"/>
      <c r="AX60" s="62"/>
      <c r="AY60" s="63"/>
      <c r="AZ60" s="58"/>
      <c r="BA60" s="59"/>
      <c r="BB60" s="62"/>
      <c r="BC60" s="63"/>
      <c r="BD60" s="58"/>
      <c r="BE60" s="59"/>
      <c r="BF60" s="62"/>
      <c r="BG60" s="63"/>
      <c r="BH60" s="58"/>
      <c r="BI60" s="59"/>
      <c r="BJ60" s="62"/>
      <c r="BK60" s="63"/>
      <c r="BL60" s="58"/>
      <c r="BM60" s="59"/>
      <c r="BN60" s="62"/>
      <c r="BO60" s="63"/>
      <c r="BP60" s="58"/>
      <c r="BQ60" s="59"/>
      <c r="BR60" s="387"/>
      <c r="BS60" s="349"/>
      <c r="BT60" s="69"/>
      <c r="BU60" s="70"/>
      <c r="BV60" s="71"/>
      <c r="BW60" s="3"/>
      <c r="BX60" s="3"/>
      <c r="BY60" s="3"/>
      <c r="BZ60" s="3"/>
      <c r="CA60" s="3"/>
      <c r="CB60" s="3"/>
    </row>
    <row r="61" ht="15.75" customHeight="1">
      <c r="A61" s="1"/>
      <c r="B61" s="142">
        <v>9.0</v>
      </c>
      <c r="C61" s="143" t="s">
        <v>87</v>
      </c>
      <c r="D61" s="144">
        <v>7200000.0</v>
      </c>
      <c r="E61" s="192">
        <v>30.0</v>
      </c>
      <c r="F61" s="146">
        <f>E61*D61</f>
        <v>216000000</v>
      </c>
      <c r="G61" s="147">
        <v>1580724.5999999477</v>
      </c>
      <c r="H61" s="148">
        <v>66014.0</v>
      </c>
      <c r="I61" s="189">
        <v>23.945293422606532</v>
      </c>
      <c r="J61" s="72" t="s">
        <v>64</v>
      </c>
      <c r="K61" s="73"/>
      <c r="L61" s="74" t="s">
        <v>63</v>
      </c>
      <c r="M61" s="75" t="s">
        <v>63</v>
      </c>
      <c r="N61" s="76" t="s">
        <v>63</v>
      </c>
      <c r="O61" s="77" t="s">
        <v>65</v>
      </c>
      <c r="P61" s="74" t="s">
        <v>63</v>
      </c>
      <c r="Q61" s="204" t="s">
        <v>63</v>
      </c>
      <c r="R61" s="76" t="s">
        <v>63</v>
      </c>
      <c r="S61" s="79" t="s">
        <v>65</v>
      </c>
      <c r="T61" s="80">
        <v>0.005</v>
      </c>
      <c r="U61" s="81">
        <f>U62/(BR62-(L62 + P62))</f>
        <v>0.003961936736</v>
      </c>
      <c r="V61" s="76" t="s">
        <v>63</v>
      </c>
      <c r="W61" s="77" t="s">
        <v>65</v>
      </c>
      <c r="X61" s="80">
        <v>0.005</v>
      </c>
      <c r="Y61" s="81">
        <f>Y62/(BR62-(L62+P62))</f>
        <v>0.002035463387</v>
      </c>
      <c r="Z61" s="76" t="s">
        <v>63</v>
      </c>
      <c r="AA61" s="77" t="s">
        <v>65</v>
      </c>
      <c r="AB61" s="80">
        <v>0.02</v>
      </c>
      <c r="AC61" s="81">
        <f>AC62/(BR62-(L62+P62))</f>
        <v>0.002218722669</v>
      </c>
      <c r="AD61" s="76" t="s">
        <v>63</v>
      </c>
      <c r="AE61" s="77" t="s">
        <v>65</v>
      </c>
      <c r="AF61" s="80">
        <v>0.02</v>
      </c>
      <c r="AG61" s="350">
        <f t="shared" ref="AG61:AK61" si="346">AG62/($BR$62-($L$62+$P$62))</f>
        <v>0.0003844534421</v>
      </c>
      <c r="AH61" s="350">
        <f t="shared" si="346"/>
        <v>0.0004667889291</v>
      </c>
      <c r="AI61" s="350">
        <f t="shared" si="346"/>
        <v>0.0003564416382</v>
      </c>
      <c r="AJ61" s="350">
        <f t="shared" si="346"/>
        <v>0.000311123189</v>
      </c>
      <c r="AK61" s="350">
        <f t="shared" si="346"/>
        <v>0.0001299888131</v>
      </c>
      <c r="AL61" s="351">
        <f t="shared" ref="AL61:AL63" si="348">SUM(AG61:AK61)</f>
        <v>0.001648796011</v>
      </c>
      <c r="AM61" s="352">
        <f>AL61-AF61</f>
        <v>-0.01835120399</v>
      </c>
      <c r="AN61" s="77" t="s">
        <v>65</v>
      </c>
      <c r="AO61" s="80">
        <v>0.08</v>
      </c>
      <c r="AP61" s="350">
        <f t="shared" ref="AP61:AT61" si="347">AP62/($BR$62-($L$62+$P$62))</f>
        <v>0.0002103270565</v>
      </c>
      <c r="AQ61" s="350">
        <f t="shared" si="347"/>
        <v>0.00028322057</v>
      </c>
      <c r="AR61" s="350">
        <f t="shared" si="347"/>
        <v>0</v>
      </c>
      <c r="AS61" s="350">
        <f t="shared" si="347"/>
        <v>0</v>
      </c>
      <c r="AT61" s="350">
        <f t="shared" si="347"/>
        <v>0</v>
      </c>
      <c r="AU61" s="351">
        <f t="shared" ref="AU61:AU63" si="349">SUM(AP61:AT61)</f>
        <v>0.0004935476264</v>
      </c>
      <c r="AV61" s="76" t="s">
        <v>63</v>
      </c>
      <c r="AW61" s="77" t="s">
        <v>65</v>
      </c>
      <c r="AX61" s="80">
        <v>0.1</v>
      </c>
      <c r="AY61" s="81">
        <f>AY62/(BR62-(L62+P62))</f>
        <v>0</v>
      </c>
      <c r="AZ61" s="76" t="s">
        <v>63</v>
      </c>
      <c r="BA61" s="77" t="s">
        <v>65</v>
      </c>
      <c r="BB61" s="80">
        <v>0.11</v>
      </c>
      <c r="BC61" s="81">
        <f>BC62/(BR62-(L62+P62))</f>
        <v>0</v>
      </c>
      <c r="BD61" s="76" t="s">
        <v>63</v>
      </c>
      <c r="BE61" s="77" t="s">
        <v>65</v>
      </c>
      <c r="BF61" s="80">
        <v>0.18</v>
      </c>
      <c r="BG61" s="81">
        <f>BG62/(BR62-(L62+P62))</f>
        <v>0</v>
      </c>
      <c r="BH61" s="76" t="s">
        <v>63</v>
      </c>
      <c r="BI61" s="77" t="s">
        <v>65</v>
      </c>
      <c r="BJ61" s="80">
        <v>0.3</v>
      </c>
      <c r="BK61" s="81">
        <f>BK62/(BR62-(L62+P62))</f>
        <v>0</v>
      </c>
      <c r="BL61" s="76" t="s">
        <v>63</v>
      </c>
      <c r="BM61" s="77" t="s">
        <v>65</v>
      </c>
      <c r="BN61" s="80">
        <v>0.18</v>
      </c>
      <c r="BO61" s="81">
        <f>BO62/(BR62-(L62+P62))</f>
        <v>0</v>
      </c>
      <c r="BP61" s="76" t="s">
        <v>63</v>
      </c>
      <c r="BQ61" s="77" t="s">
        <v>65</v>
      </c>
      <c r="BR61" s="166">
        <f>SUM(T61,X61,AB61,AF61,AO61,AX61,BB61,BF61,BJ61,BN61)</f>
        <v>1</v>
      </c>
      <c r="BS61" s="350">
        <f>SUM(U61,Y61,AC61,AG61,AU61,AY61,BC61,BG61,BK61,BO61)</f>
        <v>0.009094123861</v>
      </c>
      <c r="BT61" s="88"/>
      <c r="BU61" s="89" t="s">
        <v>63</v>
      </c>
      <c r="BV61" s="71"/>
      <c r="BW61" s="3"/>
      <c r="BX61" s="3"/>
      <c r="BY61" s="3"/>
      <c r="BZ61" s="3"/>
      <c r="CA61" s="3"/>
      <c r="CB61" s="3"/>
    </row>
    <row r="62" ht="15.75" customHeight="1">
      <c r="A62" s="1"/>
      <c r="B62" s="142"/>
      <c r="C62" s="143"/>
      <c r="D62" s="144"/>
      <c r="E62" s="192"/>
      <c r="F62" s="146"/>
      <c r="G62" s="147"/>
      <c r="H62" s="148"/>
      <c r="I62" s="189"/>
      <c r="J62" s="72" t="s">
        <v>66</v>
      </c>
      <c r="K62" s="73"/>
      <c r="L62" s="167">
        <v>25475.4</v>
      </c>
      <c r="M62" s="91">
        <v>24291.16</v>
      </c>
      <c r="N62" s="92">
        <f t="shared" ref="N62:N65" si="350">IFERROR(M62-L62,"-")</f>
        <v>-1184.24</v>
      </c>
      <c r="O62" s="93">
        <f t="shared" ref="O62:O65" si="351">IFERROR(M62/L62-1,"-")</f>
        <v>-0.04648562927</v>
      </c>
      <c r="P62" s="167">
        <v>21320.0</v>
      </c>
      <c r="Q62" s="91">
        <v>20219.57</v>
      </c>
      <c r="R62" s="92">
        <f t="shared" ref="R62:R65" si="352">IFERROR(Q62-P62,"-")</f>
        <v>-1100.43</v>
      </c>
      <c r="S62" s="95">
        <f t="shared" ref="S62:S65" si="353">IFERROR(Q62/P62-1,"-")</f>
        <v>-0.05161491557</v>
      </c>
      <c r="T62" s="96">
        <f>($BR$62-($L$62+$P$62))*T61</f>
        <v>29766.023</v>
      </c>
      <c r="U62" s="91">
        <v>23586.22</v>
      </c>
      <c r="V62" s="92">
        <f t="shared" ref="V62:V65" si="354">IFERROR(U62-T62,"-")</f>
        <v>-6179.803</v>
      </c>
      <c r="W62" s="93">
        <f t="shared" ref="W62:W65" si="355">IFERROR(U62/T62-1,"-")</f>
        <v>-0.2076126529</v>
      </c>
      <c r="X62" s="96">
        <f>($BR$62-($L$62+$P$62))*X61</f>
        <v>29766.023</v>
      </c>
      <c r="Y62" s="91">
        <v>12117.53</v>
      </c>
      <c r="Z62" s="92">
        <f t="shared" ref="Z62:Z65" si="356">IFERROR(Y62-X62,"-")</f>
        <v>-17648.493</v>
      </c>
      <c r="AA62" s="93">
        <f t="shared" ref="AA62:AA65" si="357">IFERROR(Y62/X62-1,"-")</f>
        <v>-0.5929073226</v>
      </c>
      <c r="AB62" s="96">
        <f>($BR$62-($L$62+$P$62))*AB61</f>
        <v>119064.092</v>
      </c>
      <c r="AC62" s="91">
        <v>13208.51</v>
      </c>
      <c r="AD62" s="92">
        <f t="shared" ref="AD62:AD65" si="358">IFERROR(AC62-AB62,"-")</f>
        <v>-105855.582</v>
      </c>
      <c r="AE62" s="93">
        <f t="shared" ref="AE62:AE65" si="359">IFERROR(AC62/AB62-1,"-")</f>
        <v>-0.8890638665</v>
      </c>
      <c r="AF62" s="96">
        <f>($BR$62-($L$62+$P$62))*AF61</f>
        <v>119064.092</v>
      </c>
      <c r="AG62" s="100">
        <v>2288.73</v>
      </c>
      <c r="AH62" s="100">
        <v>2778.89</v>
      </c>
      <c r="AI62" s="100">
        <v>2121.97</v>
      </c>
      <c r="AJ62" s="100">
        <v>1852.18</v>
      </c>
      <c r="AK62" s="100">
        <v>773.85</v>
      </c>
      <c r="AL62" s="355">
        <f t="shared" si="348"/>
        <v>9815.62</v>
      </c>
      <c r="AM62" s="92">
        <f t="shared" ref="AM62:AM65" si="360">IFERROR(AL62-AF62,"-")</f>
        <v>-109248.472</v>
      </c>
      <c r="AN62" s="93">
        <f t="shared" ref="AN62:AN65" si="361">IFERROR(AL62/AF62-1,"-")</f>
        <v>-0.9175601994</v>
      </c>
      <c r="AO62" s="96">
        <f>($BR$62-($L$62+$P$62))*AO61</f>
        <v>476256.368</v>
      </c>
      <c r="AP62" s="100">
        <v>1252.12</v>
      </c>
      <c r="AQ62" s="353">
        <v>1686.07</v>
      </c>
      <c r="AR62" s="354"/>
      <c r="AS62" s="354"/>
      <c r="AT62" s="354"/>
      <c r="AU62" s="91">
        <f t="shared" si="349"/>
        <v>2938.19</v>
      </c>
      <c r="AV62" s="92">
        <f t="shared" ref="AV62:AV65" si="362">IFERROR(AU62-AO62,"-")</f>
        <v>-473318.178</v>
      </c>
      <c r="AW62" s="93">
        <f t="shared" ref="AW62:AW65" si="363">IFERROR(AU62/AO62-1,"-")</f>
        <v>-0.9938306547</v>
      </c>
      <c r="AX62" s="96">
        <f>($BR$62-($L$62+$P$62))*AX61</f>
        <v>595320.46</v>
      </c>
      <c r="AY62" s="91">
        <v>0.0</v>
      </c>
      <c r="AZ62" s="92">
        <f t="shared" ref="AZ62:AZ65" si="364">IFERROR(AY62-AX62,"-")</f>
        <v>-595320.46</v>
      </c>
      <c r="BA62" s="93">
        <f t="shared" ref="BA62:BA65" si="365">IFERROR(AY62/AX62-1,"-")</f>
        <v>-1</v>
      </c>
      <c r="BB62" s="96">
        <f>($BR$62-($L$62+$P$62))*BB61</f>
        <v>654852.506</v>
      </c>
      <c r="BC62" s="91">
        <v>0.0</v>
      </c>
      <c r="BD62" s="92">
        <f t="shared" ref="BD62:BD65" si="366">IFERROR(BC62-BB62,"-")</f>
        <v>-654852.506</v>
      </c>
      <c r="BE62" s="93">
        <f t="shared" ref="BE62:BE65" si="367">IFERROR(BC62/BB62-1,"-")</f>
        <v>-1</v>
      </c>
      <c r="BF62" s="224">
        <f>($BR$62-($L$62+$P$62))*BF61</f>
        <v>1071576.828</v>
      </c>
      <c r="BG62" s="91">
        <v>0.0</v>
      </c>
      <c r="BH62" s="92">
        <f t="shared" ref="BH62:BH65" si="368">IFERROR(BG62-BF62,"-")</f>
        <v>-1071576.828</v>
      </c>
      <c r="BI62" s="93">
        <f t="shared" ref="BI62:BI65" si="369">IFERROR(BG62/BF62-1,"-")</f>
        <v>-1</v>
      </c>
      <c r="BJ62" s="96">
        <f>($BR$62-($L$62+$P$62))*BJ61</f>
        <v>1785961.38</v>
      </c>
      <c r="BK62" s="91">
        <v>0.0</v>
      </c>
      <c r="BL62" s="92">
        <f t="shared" ref="BL62:BL65" si="370">IFERROR(BK62-BJ62,"-")</f>
        <v>-1785961.38</v>
      </c>
      <c r="BM62" s="93">
        <f t="shared" ref="BM62:BM65" si="371">IFERROR(BK62/BJ62-1,"-")</f>
        <v>-1</v>
      </c>
      <c r="BN62" s="96">
        <f>($BR$62-($L$62+$P$62))*BN61</f>
        <v>1071576.828</v>
      </c>
      <c r="BO62" s="91">
        <v>0.0</v>
      </c>
      <c r="BP62" s="92">
        <f t="shared" ref="BP62:BP65" si="372">IFERROR(BO62-BN62,"-")</f>
        <v>-1071576.828</v>
      </c>
      <c r="BQ62" s="93">
        <f t="shared" ref="BQ62:BQ65" si="373">IFERROR(BO62/BN62-1,"-")</f>
        <v>-1</v>
      </c>
      <c r="BR62" s="168">
        <v>6000000.0</v>
      </c>
      <c r="BS62" s="102">
        <f t="shared" ref="BS62:BS63" si="374">SUM(M62,Q62,U62,Y62,AC62,AG62,AU62,AY62,BC62,BG62,BK62,BO62)</f>
        <v>98649.91</v>
      </c>
      <c r="BT62" s="104">
        <f t="shared" ref="BT62:BT65" si="375">IFERROR(BS62/BR62-1,"-")</f>
        <v>-0.9835583483</v>
      </c>
      <c r="BU62" s="105">
        <v>294165.0</v>
      </c>
      <c r="BV62" s="106">
        <f t="shared" ref="BV62:BV63" si="376">BR62/BU62</f>
        <v>20.39671613</v>
      </c>
      <c r="BW62" s="3"/>
      <c r="BX62" s="3"/>
      <c r="BY62" s="3"/>
      <c r="BZ62" s="3"/>
      <c r="CA62" s="3"/>
      <c r="CB62" s="3"/>
    </row>
    <row r="63" ht="15.75" customHeight="1">
      <c r="A63" s="1"/>
      <c r="B63" s="142"/>
      <c r="C63" s="143"/>
      <c r="D63" s="144"/>
      <c r="E63" s="192"/>
      <c r="F63" s="146"/>
      <c r="G63" s="147"/>
      <c r="H63" s="148"/>
      <c r="I63" s="189"/>
      <c r="J63" s="72" t="s">
        <v>67</v>
      </c>
      <c r="K63" s="107"/>
      <c r="L63" s="171">
        <f>L62/$K$64</f>
        <v>276.9065217</v>
      </c>
      <c r="M63" s="109">
        <v>239.0</v>
      </c>
      <c r="N63" s="110">
        <f t="shared" si="350"/>
        <v>-37.90652174</v>
      </c>
      <c r="O63" s="93">
        <f t="shared" si="351"/>
        <v>-0.1368928456</v>
      </c>
      <c r="P63" s="171">
        <f>P62/$K$64</f>
        <v>231.7391304</v>
      </c>
      <c r="Q63" s="109">
        <v>177.0</v>
      </c>
      <c r="R63" s="110">
        <f t="shared" si="352"/>
        <v>-54.73913043</v>
      </c>
      <c r="S63" s="95">
        <f t="shared" si="353"/>
        <v>-0.2362101313</v>
      </c>
      <c r="T63" s="112">
        <f>T62/$K$64</f>
        <v>323.5437283</v>
      </c>
      <c r="U63" s="109">
        <v>204.0</v>
      </c>
      <c r="V63" s="110">
        <f t="shared" si="354"/>
        <v>-119.5437283</v>
      </c>
      <c r="W63" s="93">
        <f t="shared" si="355"/>
        <v>-0.3694824465</v>
      </c>
      <c r="X63" s="112">
        <f>X62/$K$64</f>
        <v>323.5437283</v>
      </c>
      <c r="Y63" s="109">
        <v>99.0</v>
      </c>
      <c r="Z63" s="110">
        <f t="shared" si="356"/>
        <v>-224.5437283</v>
      </c>
      <c r="AA63" s="93">
        <f t="shared" si="357"/>
        <v>-0.6940135402</v>
      </c>
      <c r="AB63" s="112">
        <f>AB62/$K$64</f>
        <v>1294.174913</v>
      </c>
      <c r="AC63" s="109">
        <v>103.0</v>
      </c>
      <c r="AD63" s="110">
        <f t="shared" si="358"/>
        <v>-1191.174913</v>
      </c>
      <c r="AE63" s="93">
        <f t="shared" si="359"/>
        <v>-0.9204126127</v>
      </c>
      <c r="AF63" s="112">
        <f>AF62/$K$64</f>
        <v>1294.174913</v>
      </c>
      <c r="AG63" s="114">
        <v>21.0</v>
      </c>
      <c r="AH63" s="114">
        <v>25.0</v>
      </c>
      <c r="AI63" s="114">
        <v>18.0</v>
      </c>
      <c r="AJ63" s="114">
        <v>18.0</v>
      </c>
      <c r="AK63" s="114">
        <v>7.0</v>
      </c>
      <c r="AL63" s="358">
        <f t="shared" si="348"/>
        <v>89</v>
      </c>
      <c r="AM63" s="110">
        <f t="shared" si="360"/>
        <v>-1205.174913</v>
      </c>
      <c r="AN63" s="93">
        <f t="shared" si="361"/>
        <v>-0.9312303159</v>
      </c>
      <c r="AO63" s="112">
        <f>AO62/$K$64</f>
        <v>5176.699652</v>
      </c>
      <c r="AP63" s="114">
        <v>12.0</v>
      </c>
      <c r="AQ63" s="356">
        <v>19.0</v>
      </c>
      <c r="AR63" s="357"/>
      <c r="AS63" s="357"/>
      <c r="AT63" s="357"/>
      <c r="AU63" s="109">
        <f t="shared" si="349"/>
        <v>31</v>
      </c>
      <c r="AV63" s="110">
        <f t="shared" si="362"/>
        <v>-5145.699652</v>
      </c>
      <c r="AW63" s="93">
        <f t="shared" si="363"/>
        <v>-0.9940116286</v>
      </c>
      <c r="AX63" s="112">
        <f>AX62/$K$64</f>
        <v>6470.874565</v>
      </c>
      <c r="AY63" s="109">
        <v>0.0</v>
      </c>
      <c r="AZ63" s="110">
        <f t="shared" si="364"/>
        <v>-6470.874565</v>
      </c>
      <c r="BA63" s="93">
        <f t="shared" si="365"/>
        <v>-1</v>
      </c>
      <c r="BB63" s="112">
        <f>BB62/$K$64</f>
        <v>7117.962022</v>
      </c>
      <c r="BC63" s="109">
        <v>0.0</v>
      </c>
      <c r="BD63" s="110">
        <f t="shared" si="366"/>
        <v>-7117.962022</v>
      </c>
      <c r="BE63" s="93">
        <f t="shared" si="367"/>
        <v>-1</v>
      </c>
      <c r="BF63" s="112">
        <f>BF62/$K$64</f>
        <v>11647.57422</v>
      </c>
      <c r="BG63" s="109">
        <v>0.0</v>
      </c>
      <c r="BH63" s="110">
        <f t="shared" si="368"/>
        <v>-11647.57422</v>
      </c>
      <c r="BI63" s="93">
        <f t="shared" si="369"/>
        <v>-1</v>
      </c>
      <c r="BJ63" s="112">
        <f>BJ62/$K$64</f>
        <v>19412.6237</v>
      </c>
      <c r="BK63" s="109">
        <v>0.0</v>
      </c>
      <c r="BL63" s="110">
        <f t="shared" si="370"/>
        <v>-19412.6237</v>
      </c>
      <c r="BM63" s="93">
        <f t="shared" si="371"/>
        <v>-1</v>
      </c>
      <c r="BN63" s="112">
        <f>BN62/$K$64</f>
        <v>11647.57422</v>
      </c>
      <c r="BO63" s="109">
        <v>0.0</v>
      </c>
      <c r="BP63" s="110">
        <f t="shared" si="372"/>
        <v>-11647.57422</v>
      </c>
      <c r="BQ63" s="93">
        <f t="shared" si="373"/>
        <v>-1</v>
      </c>
      <c r="BR63" s="218">
        <f>SUM(L63,P63,T63,X63,AB63,AF63,AO63,AX63,BB63,BF63,BJ63,BN63)</f>
        <v>65217.3913</v>
      </c>
      <c r="BS63" s="207">
        <f t="shared" si="374"/>
        <v>874</v>
      </c>
      <c r="BT63" s="104">
        <f t="shared" si="375"/>
        <v>-0.9865986667</v>
      </c>
      <c r="BU63" s="119">
        <v>3683.0</v>
      </c>
      <c r="BV63" s="106">
        <f t="shared" si="376"/>
        <v>17.70768159</v>
      </c>
      <c r="BW63" s="3"/>
      <c r="BX63" s="3"/>
      <c r="BY63" s="3"/>
      <c r="BZ63" s="3"/>
      <c r="CA63" s="3"/>
      <c r="CB63" s="3"/>
    </row>
    <row r="64" ht="15.75" customHeight="1">
      <c r="A64" s="1"/>
      <c r="B64" s="142"/>
      <c r="C64" s="143"/>
      <c r="D64" s="144"/>
      <c r="E64" s="192"/>
      <c r="F64" s="146"/>
      <c r="G64" s="147"/>
      <c r="H64" s="148"/>
      <c r="I64" s="189"/>
      <c r="J64" s="72" t="s">
        <v>68</v>
      </c>
      <c r="K64" s="107">
        <v>92.0</v>
      </c>
      <c r="L64" s="171">
        <f>L62/L63</f>
        <v>92</v>
      </c>
      <c r="M64" s="91">
        <f>IFERROR(M62/M63,"-")</f>
        <v>101.6366527</v>
      </c>
      <c r="N64" s="92">
        <f t="shared" si="350"/>
        <v>9.63665272</v>
      </c>
      <c r="O64" s="93">
        <f t="shared" si="351"/>
        <v>0.1047462252</v>
      </c>
      <c r="P64" s="90">
        <f t="shared" ref="P64:Q64" si="377">IFERROR(P62/P63,"-")</f>
        <v>92</v>
      </c>
      <c r="Q64" s="91">
        <f t="shared" si="377"/>
        <v>114.2348588</v>
      </c>
      <c r="R64" s="92">
        <f t="shared" si="352"/>
        <v>22.23485876</v>
      </c>
      <c r="S64" s="95">
        <f t="shared" si="353"/>
        <v>0.2416832474</v>
      </c>
      <c r="T64" s="112">
        <f>T62/T63</f>
        <v>92</v>
      </c>
      <c r="U64" s="91">
        <f>IFERROR(U62/U63,"-")</f>
        <v>115.6187255</v>
      </c>
      <c r="V64" s="92">
        <f t="shared" si="354"/>
        <v>23.61872549</v>
      </c>
      <c r="W64" s="93">
        <f t="shared" si="355"/>
        <v>0.2567252771</v>
      </c>
      <c r="X64" s="96">
        <f t="shared" ref="X64:Y64" si="378">IFERROR(X62/X63,"-")</f>
        <v>92</v>
      </c>
      <c r="Y64" s="91">
        <f t="shared" si="378"/>
        <v>122.3992929</v>
      </c>
      <c r="Z64" s="92">
        <f t="shared" si="356"/>
        <v>30.39929293</v>
      </c>
      <c r="AA64" s="93">
        <f t="shared" si="357"/>
        <v>0.3304270971</v>
      </c>
      <c r="AB64" s="112">
        <f>AB62/AB63</f>
        <v>92</v>
      </c>
      <c r="AC64" s="91">
        <f>IFERROR(AC62/AC63,"-")</f>
        <v>128.2379612</v>
      </c>
      <c r="AD64" s="92">
        <f t="shared" si="358"/>
        <v>36.23796117</v>
      </c>
      <c r="AE64" s="93">
        <f t="shared" si="359"/>
        <v>0.3938908822</v>
      </c>
      <c r="AF64" s="385">
        <f>AF62/AF63</f>
        <v>92</v>
      </c>
      <c r="AG64" s="370">
        <f t="shared" ref="AG64:AL64" si="379">IFERROR(AG62/AG63,"-")</f>
        <v>108.9871429</v>
      </c>
      <c r="AH64" s="370">
        <f t="shared" si="379"/>
        <v>111.1556</v>
      </c>
      <c r="AI64" s="370">
        <f t="shared" si="379"/>
        <v>117.8872222</v>
      </c>
      <c r="AJ64" s="370">
        <f t="shared" si="379"/>
        <v>102.8988889</v>
      </c>
      <c r="AK64" s="370">
        <f t="shared" si="379"/>
        <v>110.55</v>
      </c>
      <c r="AL64" s="372">
        <f t="shared" si="379"/>
        <v>110.2878652</v>
      </c>
      <c r="AM64" s="92">
        <f t="shared" si="360"/>
        <v>18.28786517</v>
      </c>
      <c r="AN64" s="93">
        <f t="shared" si="361"/>
        <v>0.1987811431</v>
      </c>
      <c r="AO64" s="112">
        <f>AO62/AO63</f>
        <v>92</v>
      </c>
      <c r="AP64" s="91">
        <f t="shared" ref="AP64:AU64" si="380">IFERROR(AP62/AP63,"-")</f>
        <v>104.3433333</v>
      </c>
      <c r="AQ64" s="91">
        <f t="shared" si="380"/>
        <v>88.74052632</v>
      </c>
      <c r="AR64" s="359" t="str">
        <f t="shared" si="380"/>
        <v>-</v>
      </c>
      <c r="AS64" s="359" t="str">
        <f t="shared" si="380"/>
        <v>-</v>
      </c>
      <c r="AT64" s="359" t="str">
        <f t="shared" si="380"/>
        <v>-</v>
      </c>
      <c r="AU64" s="91">
        <f t="shared" si="380"/>
        <v>94.78032258</v>
      </c>
      <c r="AV64" s="92">
        <f t="shared" si="362"/>
        <v>2.780322581</v>
      </c>
      <c r="AW64" s="93">
        <f t="shared" si="363"/>
        <v>0.03022089762</v>
      </c>
      <c r="AX64" s="112">
        <f>AX62/AX63</f>
        <v>92</v>
      </c>
      <c r="AY64" s="91" t="str">
        <f>IFERROR(AY62/AY63,"-")</f>
        <v>-</v>
      </c>
      <c r="AZ64" s="92" t="str">
        <f t="shared" si="364"/>
        <v>-</v>
      </c>
      <c r="BA64" s="93" t="str">
        <f t="shared" si="365"/>
        <v>-</v>
      </c>
      <c r="BB64" s="112">
        <f>BB62/BB63</f>
        <v>92</v>
      </c>
      <c r="BC64" s="91" t="str">
        <f>IFERROR(BC62/BC63,"-")</f>
        <v>-</v>
      </c>
      <c r="BD64" s="92" t="str">
        <f t="shared" si="366"/>
        <v>-</v>
      </c>
      <c r="BE64" s="93" t="str">
        <f t="shared" si="367"/>
        <v>-</v>
      </c>
      <c r="BF64" s="112">
        <f>BF62/BF63</f>
        <v>92</v>
      </c>
      <c r="BG64" s="91" t="str">
        <f>IFERROR(BG62/BG63,"-")</f>
        <v>-</v>
      </c>
      <c r="BH64" s="92" t="str">
        <f t="shared" si="368"/>
        <v>-</v>
      </c>
      <c r="BI64" s="93" t="str">
        <f t="shared" si="369"/>
        <v>-</v>
      </c>
      <c r="BJ64" s="112">
        <f>BJ62/BJ63</f>
        <v>92</v>
      </c>
      <c r="BK64" s="91" t="str">
        <f>IFERROR(BK62/BK63,"-")</f>
        <v>-</v>
      </c>
      <c r="BL64" s="92" t="str">
        <f t="shared" si="370"/>
        <v>-</v>
      </c>
      <c r="BM64" s="93" t="str">
        <f t="shared" si="371"/>
        <v>-</v>
      </c>
      <c r="BN64" s="112">
        <f>BN62/BN63</f>
        <v>92</v>
      </c>
      <c r="BO64" s="91" t="str">
        <f>IFERROR(BO62/BO63,"-")</f>
        <v>-</v>
      </c>
      <c r="BP64" s="92" t="str">
        <f t="shared" si="372"/>
        <v>-</v>
      </c>
      <c r="BQ64" s="93" t="str">
        <f t="shared" si="373"/>
        <v>-</v>
      </c>
      <c r="BR64" s="175">
        <f t="shared" ref="BR64:BS64" si="381">BR62/BR63</f>
        <v>92</v>
      </c>
      <c r="BS64" s="209">
        <f t="shared" si="381"/>
        <v>112.8717506</v>
      </c>
      <c r="BT64" s="104">
        <f t="shared" si="375"/>
        <v>0.226866854</v>
      </c>
      <c r="BU64" s="119">
        <f>BU62/BU63</f>
        <v>79.87102905</v>
      </c>
      <c r="BV64" s="106">
        <f>BR64/BU64-1</f>
        <v>0.151856951</v>
      </c>
      <c r="BW64" s="3"/>
      <c r="BX64" s="3"/>
      <c r="BY64" s="3"/>
      <c r="BZ64" s="3"/>
      <c r="CA64" s="3"/>
      <c r="CB64" s="3"/>
    </row>
    <row r="65" ht="15.75" customHeight="1">
      <c r="A65" s="1"/>
      <c r="B65" s="142"/>
      <c r="C65" s="143"/>
      <c r="D65" s="144"/>
      <c r="E65" s="192"/>
      <c r="F65" s="146"/>
      <c r="G65" s="147"/>
      <c r="H65" s="148"/>
      <c r="I65" s="189"/>
      <c r="J65" s="124" t="s">
        <v>69</v>
      </c>
      <c r="K65" s="125">
        <v>0.0325</v>
      </c>
      <c r="L65" s="132">
        <f>IF(L63=0, 0, (MIN(L63, 10000) * 0.0325 + MAX(0, MIN(L63, 25000) - 10000) * 0.03 + MAX(0, MIN(L63, 50000) - 25000) * 0.0275 + MAX(0, L63 - 50000) * 0.025) * (L62 / L63))</f>
        <v>827.9505</v>
      </c>
      <c r="M65" s="127">
        <f>MIN(M62, 500000) * 0.03 + MAX(0, MIN(M62, 1000000) - 500000) * 0.025 + MAX(0, MIN(M62, 2000000) - 1000000) * 0.0225 + MAX(0, MIN(M62, 3000000) - 2000000) * 0.02 + MAX(0, MIN(M62, 5000000) - 3000000) * 0.0175 + MAX(0, M62 - 5000000) * 0.015</f>
        <v>728.7348</v>
      </c>
      <c r="N65" s="128">
        <f t="shared" si="350"/>
        <v>-99.2157</v>
      </c>
      <c r="O65" s="129">
        <f t="shared" si="351"/>
        <v>-0.1198328886</v>
      </c>
      <c r="P65" s="132">
        <f t="shared" ref="P65:Q65" si="382">IF(P63=0, 0, (MIN(P63, 10000) * 0.0325 + MAX(0, MIN(P63, 25000) - 10000) * 0.03 + MAX(0, MIN(P63, 50000) - 25000) * 0.0275 + MAX(0, P63 - 50000) * 0.025) * (P62 / P63))</f>
        <v>692.9</v>
      </c>
      <c r="Q65" s="127">
        <f t="shared" si="382"/>
        <v>657.136025</v>
      </c>
      <c r="R65" s="128">
        <f t="shared" si="352"/>
        <v>-35.763975</v>
      </c>
      <c r="S65" s="131">
        <f t="shared" si="353"/>
        <v>-0.05161491557</v>
      </c>
      <c r="T65" s="132">
        <f t="shared" ref="T65:U65" si="383">IF(T63=0, 0, (MIN(T63, 10000) * 0.0325 + MAX(0, MIN(T63, 25000) - 10000) * 0.03 + MAX(0, MIN(T63, 50000) - 25000) * 0.0275 + MAX(0, T63 - 50000) * 0.025) * (T62 / T63))</f>
        <v>967.3957475</v>
      </c>
      <c r="U65" s="127">
        <f t="shared" si="383"/>
        <v>766.55215</v>
      </c>
      <c r="V65" s="128">
        <f t="shared" si="354"/>
        <v>-200.8435975</v>
      </c>
      <c r="W65" s="129">
        <f t="shared" si="355"/>
        <v>-0.2076126529</v>
      </c>
      <c r="X65" s="132">
        <f t="shared" ref="X65:Y65" si="384">IF(X63=0, 0, (MIN(X63, 10000) * 0.0325 + MAX(0, MIN(X63, 25000) - 10000) * 0.03 + MAX(0, MIN(X63, 50000) - 25000) * 0.0275 + MAX(0, X63 - 50000) * 0.025) * (X62 / X63))</f>
        <v>967.3957475</v>
      </c>
      <c r="Y65" s="127">
        <f t="shared" si="384"/>
        <v>393.819725</v>
      </c>
      <c r="Z65" s="128">
        <f t="shared" si="356"/>
        <v>-573.5760225</v>
      </c>
      <c r="AA65" s="129">
        <f t="shared" si="357"/>
        <v>-0.5929073226</v>
      </c>
      <c r="AB65" s="132">
        <f t="shared" ref="AB65:AC65" si="385">IF(AB63=0, 0, (MIN(AB63, 10000) * 0.0325 + MAX(0, MIN(AB63, 25000) - 10000) * 0.03 + MAX(0, MIN(AB63, 50000) - 25000) * 0.0275 + MAX(0, AB63 - 50000) * 0.025) * (AB62 / AB63))</f>
        <v>3869.58299</v>
      </c>
      <c r="AC65" s="127">
        <f t="shared" si="385"/>
        <v>429.276575</v>
      </c>
      <c r="AD65" s="128">
        <f t="shared" si="358"/>
        <v>-3440.306415</v>
      </c>
      <c r="AE65" s="134">
        <f t="shared" si="359"/>
        <v>-0.8890638665</v>
      </c>
      <c r="AF65" s="373">
        <f t="shared" ref="AF65:AL65" si="386">IF(AF63=0, 0, (MIN(AF63, 10000) * 0.0325 + MAX(0, MIN(AF63, 25000) - 10000) * 0.03 + MAX(0, MIN(AF63, 50000) - 25000) * 0.0275 + MAX(0, AF63 - 50000) * 0.025) * (AF62 / AF63))</f>
        <v>3869.58299</v>
      </c>
      <c r="AG65" s="374">
        <f t="shared" si="386"/>
        <v>74.383725</v>
      </c>
      <c r="AH65" s="374">
        <f t="shared" si="386"/>
        <v>90.313925</v>
      </c>
      <c r="AI65" s="374">
        <f t="shared" si="386"/>
        <v>68.964025</v>
      </c>
      <c r="AJ65" s="374">
        <f t="shared" si="386"/>
        <v>60.19585</v>
      </c>
      <c r="AK65" s="374">
        <f t="shared" si="386"/>
        <v>25.150125</v>
      </c>
      <c r="AL65" s="375">
        <f t="shared" si="386"/>
        <v>319.00765</v>
      </c>
      <c r="AM65" s="376">
        <f t="shared" si="360"/>
        <v>-3550.57534</v>
      </c>
      <c r="AN65" s="129">
        <f t="shared" si="361"/>
        <v>-0.9175601994</v>
      </c>
      <c r="AO65" s="132">
        <f>IF(AO63=0, 0, (MIN(AO63, 10000) * 0.0325 + MAX(0, MIN(AO63, 25000) - 10000) * 0.03 + MAX(0, MIN(AO63, 50000) - 25000) * 0.0275 + MAX(0, AO63 - 50000) * 0.025) * (AO62 / AO63))</f>
        <v>15478.33196</v>
      </c>
      <c r="AP65" s="130">
        <f t="shared" ref="AP65:AT65" si="387">AP62*$K$9</f>
        <v>61.35388</v>
      </c>
      <c r="AQ65" s="130">
        <f t="shared" si="387"/>
        <v>82.61743</v>
      </c>
      <c r="AR65" s="361">
        <f t="shared" si="387"/>
        <v>0</v>
      </c>
      <c r="AS65" s="361">
        <f t="shared" si="387"/>
        <v>0</v>
      </c>
      <c r="AT65" s="361">
        <f t="shared" si="387"/>
        <v>0</v>
      </c>
      <c r="AU65" s="127">
        <f>IF(AU63=0, 0, (MIN(AU63, 10000) * 0.0325 + MAX(0, MIN(AU63, 25000) - 10000) * 0.03 + MAX(0, MIN(AU63, 50000) - 25000) * 0.0275 + MAX(0, AU63 - 50000) * 0.025) * (AU62 / AU63))</f>
        <v>95.491175</v>
      </c>
      <c r="AV65" s="128">
        <f t="shared" si="362"/>
        <v>-15382.84079</v>
      </c>
      <c r="AW65" s="129">
        <f t="shared" si="363"/>
        <v>-0.9938306547</v>
      </c>
      <c r="AX65" s="132">
        <f t="shared" ref="AX65:AY65" si="388">IF(AX63=0, 0, (MIN(AX63, 10000) * 0.0325 + MAX(0, MIN(AX63, 25000) - 10000) * 0.03 + MAX(0, MIN(AX63, 50000) - 25000) * 0.0275 + MAX(0, AX63 - 50000) * 0.025) * (AX62 / AX63))</f>
        <v>19347.91495</v>
      </c>
      <c r="AY65" s="127">
        <f t="shared" si="388"/>
        <v>0</v>
      </c>
      <c r="AZ65" s="128">
        <f t="shared" si="364"/>
        <v>-19347.91495</v>
      </c>
      <c r="BA65" s="129">
        <f t="shared" si="365"/>
        <v>-1</v>
      </c>
      <c r="BB65" s="132">
        <f t="shared" ref="BB65:BC65" si="389">IF(BB63=0, 0, (MIN(BB63, 10000) * 0.0325 + MAX(0, MIN(BB63, 25000) - 10000) * 0.03 + MAX(0, MIN(BB63, 50000) - 25000) * 0.0275 + MAX(0, BB63 - 50000) * 0.025) * (BB62 / BB63))</f>
        <v>21282.70645</v>
      </c>
      <c r="BC65" s="127">
        <f t="shared" si="389"/>
        <v>0</v>
      </c>
      <c r="BD65" s="128">
        <f t="shared" si="366"/>
        <v>-21282.70645</v>
      </c>
      <c r="BE65" s="129">
        <f t="shared" si="367"/>
        <v>-1</v>
      </c>
      <c r="BF65" s="132">
        <f t="shared" ref="BF65:BG65" si="390">IF(BF63=0, 0, (MIN(BF63, 10000) * 0.0325 + MAX(0, MIN(BF63, 25000) - 10000) * 0.03 + MAX(0, MIN(BF63, 50000) - 25000) * 0.0275 + MAX(0, BF63 - 50000) * 0.025) * (BF62 / BF63))</f>
        <v>34447.30484</v>
      </c>
      <c r="BG65" s="127">
        <f t="shared" si="390"/>
        <v>0</v>
      </c>
      <c r="BH65" s="128">
        <f t="shared" si="368"/>
        <v>-34447.30484</v>
      </c>
      <c r="BI65" s="129">
        <f t="shared" si="369"/>
        <v>-1</v>
      </c>
      <c r="BJ65" s="132">
        <f t="shared" ref="BJ65:BK65" si="391">IF(BJ63=0, 0, (MIN(BJ63, 10000) * 0.0325 + MAX(0, MIN(BJ63, 25000) - 10000) * 0.03 + MAX(0, MIN(BJ63, 50000) - 25000) * 0.0275 + MAX(0, BJ63 - 50000) * 0.025) * (BJ62 / BJ63))</f>
        <v>55878.8414</v>
      </c>
      <c r="BK65" s="127">
        <f t="shared" si="391"/>
        <v>0</v>
      </c>
      <c r="BL65" s="128">
        <f t="shared" si="370"/>
        <v>-55878.8414</v>
      </c>
      <c r="BM65" s="129">
        <f t="shared" si="371"/>
        <v>-1</v>
      </c>
      <c r="BN65" s="132">
        <f t="shared" ref="BN65:BO65" si="392">IF(BN63=0, 0, (MIN(BN63, 10000) * 0.0325 + MAX(0, MIN(BN63, 25000) - 10000) * 0.03 + MAX(0, MIN(BN63, 50000) - 25000) * 0.0275 + MAX(0, BN63 - 50000) * 0.025) * (BN62 / BN63))</f>
        <v>34447.30484</v>
      </c>
      <c r="BO65" s="127">
        <f t="shared" si="392"/>
        <v>0</v>
      </c>
      <c r="BP65" s="128">
        <f t="shared" si="372"/>
        <v>-34447.30484</v>
      </c>
      <c r="BQ65" s="129">
        <f t="shared" si="373"/>
        <v>-1</v>
      </c>
      <c r="BR65" s="181">
        <f>SUM(L65,P65,T65,X65,AB65,AF65,AO65,AX65,BB65,BF65,BJ65,BN65)</f>
        <v>192077.2124</v>
      </c>
      <c r="BS65" s="213">
        <f>SUM(M65,Q65,U65,Y65,AC65,AG65,AU65,AY65,BC65,BG65,BK65,BO65)</f>
        <v>3145.394175</v>
      </c>
      <c r="BT65" s="139">
        <f t="shared" si="375"/>
        <v>-0.9836243241</v>
      </c>
      <c r="BU65" s="140">
        <f>BU62*0.0325</f>
        <v>9560.3625</v>
      </c>
      <c r="BV65" s="141">
        <f>BR65/BU65</f>
        <v>20.0909968</v>
      </c>
      <c r="BW65" s="3"/>
      <c r="BX65" s="3"/>
      <c r="BY65" s="3"/>
      <c r="BZ65" s="3"/>
      <c r="CA65" s="3"/>
      <c r="CB65" s="3"/>
    </row>
    <row r="66" ht="15.75" customHeight="1">
      <c r="A66" s="1"/>
      <c r="B66" s="142"/>
      <c r="C66" s="143"/>
      <c r="D66" s="144"/>
      <c r="E66" s="192"/>
      <c r="F66" s="146"/>
      <c r="G66" s="147"/>
      <c r="H66" s="148"/>
      <c r="I66" s="149"/>
      <c r="J66" s="13"/>
      <c r="K66" s="225"/>
      <c r="L66" s="185"/>
      <c r="M66" s="185"/>
      <c r="N66" s="185"/>
      <c r="O66" s="185"/>
      <c r="P66" s="185"/>
      <c r="Q66" s="214"/>
      <c r="R66" s="185"/>
      <c r="S66" s="185"/>
      <c r="T66" s="185"/>
      <c r="U66" s="185"/>
      <c r="V66" s="185"/>
      <c r="W66" s="185"/>
      <c r="X66" s="186"/>
      <c r="Y66" s="14"/>
      <c r="Z66" s="15"/>
      <c r="AA66" s="3"/>
      <c r="AB66" s="3"/>
      <c r="AC66" s="3"/>
      <c r="AD66" s="3"/>
      <c r="AE66" s="3"/>
      <c r="AF66" s="3"/>
      <c r="AP66" s="363"/>
      <c r="AQ66" s="363"/>
      <c r="AR66" s="363"/>
      <c r="AS66" s="363"/>
      <c r="AT66" s="363"/>
      <c r="BA66" s="187"/>
      <c r="BB66" s="25"/>
      <c r="BC66" s="188"/>
      <c r="BD66" s="25"/>
    </row>
    <row r="67" ht="15.75" customHeight="1">
      <c r="A67" s="1"/>
      <c r="B67" s="142"/>
      <c r="C67" s="143"/>
      <c r="D67" s="144"/>
      <c r="E67" s="192"/>
      <c r="F67" s="146"/>
      <c r="G67" s="147"/>
      <c r="H67" s="148"/>
      <c r="I67" s="149"/>
      <c r="J67" s="34" t="s">
        <v>88</v>
      </c>
      <c r="K67" s="35"/>
      <c r="L67" s="36" t="s">
        <v>10</v>
      </c>
      <c r="M67" s="37" t="s">
        <v>11</v>
      </c>
      <c r="N67" s="38" t="s">
        <v>12</v>
      </c>
      <c r="O67" s="39" t="s">
        <v>13</v>
      </c>
      <c r="P67" s="157" t="s">
        <v>14</v>
      </c>
      <c r="Q67" s="199" t="s">
        <v>15</v>
      </c>
      <c r="R67" s="38" t="s">
        <v>16</v>
      </c>
      <c r="S67" s="42" t="s">
        <v>17</v>
      </c>
      <c r="T67" s="43" t="s">
        <v>18</v>
      </c>
      <c r="U67" s="199" t="s">
        <v>19</v>
      </c>
      <c r="V67" s="38" t="s">
        <v>20</v>
      </c>
      <c r="W67" s="45" t="s">
        <v>21</v>
      </c>
      <c r="X67" s="44" t="s">
        <v>22</v>
      </c>
      <c r="Y67" s="199" t="s">
        <v>23</v>
      </c>
      <c r="Z67" s="38" t="s">
        <v>24</v>
      </c>
      <c r="AA67" s="45" t="s">
        <v>25</v>
      </c>
      <c r="AB67" s="43" t="s">
        <v>26</v>
      </c>
      <c r="AC67" s="199" t="s">
        <v>27</v>
      </c>
      <c r="AD67" s="38" t="s">
        <v>28</v>
      </c>
      <c r="AE67" s="45" t="s">
        <v>29</v>
      </c>
      <c r="AF67" s="44" t="s">
        <v>30</v>
      </c>
      <c r="AG67" s="343" t="s">
        <v>120</v>
      </c>
      <c r="AH67" s="344" t="s">
        <v>121</v>
      </c>
      <c r="AI67" s="344" t="s">
        <v>122</v>
      </c>
      <c r="AJ67" s="344" t="s">
        <v>123</v>
      </c>
      <c r="AK67" s="344" t="s">
        <v>124</v>
      </c>
      <c r="AL67" s="344" t="s">
        <v>31</v>
      </c>
      <c r="AM67" s="38" t="s">
        <v>32</v>
      </c>
      <c r="AN67" s="45" t="s">
        <v>33</v>
      </c>
      <c r="AO67" s="43" t="s">
        <v>34</v>
      </c>
      <c r="AP67" s="343" t="s">
        <v>125</v>
      </c>
      <c r="AQ67" s="344" t="s">
        <v>126</v>
      </c>
      <c r="AR67" s="344" t="s">
        <v>127</v>
      </c>
      <c r="AS67" s="344" t="s">
        <v>128</v>
      </c>
      <c r="AT67" s="344" t="s">
        <v>129</v>
      </c>
      <c r="AU67" s="41" t="s">
        <v>35</v>
      </c>
      <c r="AV67" s="38" t="s">
        <v>36</v>
      </c>
      <c r="AW67" s="45" t="s">
        <v>37</v>
      </c>
      <c r="AX67" s="44" t="s">
        <v>38</v>
      </c>
      <c r="AY67" s="199" t="s">
        <v>39</v>
      </c>
      <c r="AZ67" s="38" t="s">
        <v>40</v>
      </c>
      <c r="BA67" s="45" t="s">
        <v>41</v>
      </c>
      <c r="BB67" s="43" t="s">
        <v>42</v>
      </c>
      <c r="BC67" s="199" t="s">
        <v>43</v>
      </c>
      <c r="BD67" s="38" t="s">
        <v>44</v>
      </c>
      <c r="BE67" s="45" t="s">
        <v>45</v>
      </c>
      <c r="BF67" s="44" t="s">
        <v>46</v>
      </c>
      <c r="BG67" s="199" t="s">
        <v>47</v>
      </c>
      <c r="BH67" s="38" t="s">
        <v>48</v>
      </c>
      <c r="BI67" s="45" t="s">
        <v>49</v>
      </c>
      <c r="BJ67" s="43" t="s">
        <v>50</v>
      </c>
      <c r="BK67" s="199" t="s">
        <v>51</v>
      </c>
      <c r="BL67" s="38" t="s">
        <v>52</v>
      </c>
      <c r="BM67" s="45" t="s">
        <v>53</v>
      </c>
      <c r="BN67" s="44" t="s">
        <v>54</v>
      </c>
      <c r="BO67" s="199" t="s">
        <v>55</v>
      </c>
      <c r="BP67" s="38" t="s">
        <v>56</v>
      </c>
      <c r="BQ67" s="45" t="s">
        <v>57</v>
      </c>
      <c r="BR67" s="364">
        <v>2026.0</v>
      </c>
      <c r="BS67" s="37" t="s">
        <v>61</v>
      </c>
      <c r="BT67" s="51" t="s">
        <v>62</v>
      </c>
      <c r="BU67" s="52">
        <v>2025.0</v>
      </c>
      <c r="BV67" s="53"/>
      <c r="BW67" s="3"/>
      <c r="BX67" s="3"/>
      <c r="BY67" s="3"/>
      <c r="BZ67" s="3"/>
      <c r="CA67" s="3"/>
      <c r="CB67" s="3"/>
    </row>
    <row r="68" ht="15.75" customHeight="1">
      <c r="A68" s="1"/>
      <c r="B68" s="142"/>
      <c r="C68" s="143"/>
      <c r="D68" s="144"/>
      <c r="E68" s="192"/>
      <c r="F68" s="146"/>
      <c r="G68" s="147"/>
      <c r="H68" s="148"/>
      <c r="I68" s="149"/>
      <c r="J68" s="346" t="s">
        <v>130</v>
      </c>
      <c r="K68" s="55"/>
      <c r="L68" s="56"/>
      <c r="M68" s="57"/>
      <c r="N68" s="58"/>
      <c r="O68" s="59"/>
      <c r="P68" s="56"/>
      <c r="Q68" s="202"/>
      <c r="R68" s="58"/>
      <c r="S68" s="61"/>
      <c r="T68" s="62"/>
      <c r="U68" s="63"/>
      <c r="V68" s="58"/>
      <c r="W68" s="59"/>
      <c r="X68" s="62"/>
      <c r="Y68" s="63"/>
      <c r="Z68" s="58"/>
      <c r="AA68" s="59"/>
      <c r="AB68" s="62"/>
      <c r="AC68" s="63"/>
      <c r="AD68" s="58"/>
      <c r="AE68" s="59"/>
      <c r="AF68" s="62"/>
      <c r="AG68" s="347">
        <f t="shared" ref="AG68:AK68" si="393">$AF$69/5</f>
        <v>0.008</v>
      </c>
      <c r="AH68" s="347">
        <f t="shared" si="393"/>
        <v>0.008</v>
      </c>
      <c r="AI68" s="347">
        <f t="shared" si="393"/>
        <v>0.008</v>
      </c>
      <c r="AJ68" s="347">
        <f t="shared" si="393"/>
        <v>0.008</v>
      </c>
      <c r="AK68" s="347">
        <f t="shared" si="393"/>
        <v>0.008</v>
      </c>
      <c r="AL68" s="347"/>
      <c r="AM68" s="58"/>
      <c r="AN68" s="59"/>
      <c r="AO68" s="62"/>
      <c r="AP68" s="347">
        <f t="shared" ref="AP68:AT68" si="394">$AO69/5</f>
        <v>0.012</v>
      </c>
      <c r="AQ68" s="347">
        <f t="shared" si="394"/>
        <v>0.012</v>
      </c>
      <c r="AR68" s="347">
        <f t="shared" si="394"/>
        <v>0.012</v>
      </c>
      <c r="AS68" s="347">
        <f t="shared" si="394"/>
        <v>0.012</v>
      </c>
      <c r="AT68" s="347">
        <f t="shared" si="394"/>
        <v>0.012</v>
      </c>
      <c r="AU68" s="63"/>
      <c r="AV68" s="58"/>
      <c r="AW68" s="59"/>
      <c r="AX68" s="62"/>
      <c r="AY68" s="63"/>
      <c r="AZ68" s="58"/>
      <c r="BA68" s="59"/>
      <c r="BB68" s="62"/>
      <c r="BC68" s="63"/>
      <c r="BD68" s="58"/>
      <c r="BE68" s="59"/>
      <c r="BF68" s="62"/>
      <c r="BG68" s="63"/>
      <c r="BH68" s="58"/>
      <c r="BI68" s="59"/>
      <c r="BJ68" s="62"/>
      <c r="BK68" s="63"/>
      <c r="BL68" s="58"/>
      <c r="BM68" s="59"/>
      <c r="BN68" s="62"/>
      <c r="BO68" s="63"/>
      <c r="BP68" s="58"/>
      <c r="BQ68" s="59"/>
      <c r="BR68" s="387"/>
      <c r="BS68" s="349"/>
      <c r="BT68" s="69"/>
      <c r="BU68" s="70"/>
      <c r="BV68" s="71"/>
      <c r="BW68" s="3"/>
      <c r="BX68" s="3"/>
      <c r="BY68" s="3"/>
      <c r="BZ68" s="3"/>
      <c r="CA68" s="3"/>
      <c r="CB68" s="3"/>
    </row>
    <row r="69" ht="15.75" customHeight="1">
      <c r="A69" s="1"/>
      <c r="B69" s="142">
        <v>10.0</v>
      </c>
      <c r="C69" s="143" t="s">
        <v>89</v>
      </c>
      <c r="D69" s="144">
        <f>3000*12*8</f>
        <v>288000</v>
      </c>
      <c r="E69" s="192">
        <v>100.0</v>
      </c>
      <c r="F69" s="146">
        <f>E69*D69</f>
        <v>28800000</v>
      </c>
      <c r="G69" s="147">
        <v>195455.89999999918</v>
      </c>
      <c r="H69" s="148">
        <v>1727.0</v>
      </c>
      <c r="I69" s="149">
        <v>113.17654892877775</v>
      </c>
      <c r="J69" s="72" t="s">
        <v>64</v>
      </c>
      <c r="K69" s="73"/>
      <c r="L69" s="74" t="s">
        <v>63</v>
      </c>
      <c r="M69" s="75" t="s">
        <v>63</v>
      </c>
      <c r="N69" s="76" t="s">
        <v>63</v>
      </c>
      <c r="O69" s="77" t="s">
        <v>65</v>
      </c>
      <c r="P69" s="74" t="s">
        <v>63</v>
      </c>
      <c r="Q69" s="204" t="s">
        <v>63</v>
      </c>
      <c r="R69" s="76" t="s">
        <v>63</v>
      </c>
      <c r="S69" s="79" t="s">
        <v>65</v>
      </c>
      <c r="T69" s="80">
        <v>0.015</v>
      </c>
      <c r="U69" s="81">
        <f>U70/(BR70-(L70 + P70))</f>
        <v>0.01945941389</v>
      </c>
      <c r="V69" s="76" t="s">
        <v>63</v>
      </c>
      <c r="W69" s="77" t="s">
        <v>65</v>
      </c>
      <c r="X69" s="80">
        <v>0.015</v>
      </c>
      <c r="Y69" s="81">
        <f>Y70/(BR70-(P70 + T70))</f>
        <v>0.0175620812</v>
      </c>
      <c r="Z69" s="76" t="s">
        <v>63</v>
      </c>
      <c r="AA69" s="77" t="s">
        <v>65</v>
      </c>
      <c r="AB69" s="80">
        <v>0.02</v>
      </c>
      <c r="AC69" s="81">
        <f>AC70/(BR70-(L70+P70))</f>
        <v>0.01496113121</v>
      </c>
      <c r="AD69" s="76" t="s">
        <v>63</v>
      </c>
      <c r="AE69" s="77" t="s">
        <v>65</v>
      </c>
      <c r="AF69" s="80">
        <v>0.04</v>
      </c>
      <c r="AG69" s="350">
        <f t="shared" ref="AG69:AK69" si="395">AG70/($BR$70-($L$70+$P$70))</f>
        <v>0.002990010504</v>
      </c>
      <c r="AH69" s="350">
        <f t="shared" si="395"/>
        <v>0.002577303394</v>
      </c>
      <c r="AI69" s="350">
        <f t="shared" si="395"/>
        <v>0.002760286285</v>
      </c>
      <c r="AJ69" s="350">
        <f t="shared" si="395"/>
        <v>0.002173461862</v>
      </c>
      <c r="AK69" s="350">
        <f t="shared" si="395"/>
        <v>0.0004436408607</v>
      </c>
      <c r="AL69" s="351">
        <f t="shared" ref="AL69:AL71" si="397">SUM(AG69:AK69)</f>
        <v>0.01094470291</v>
      </c>
      <c r="AM69" s="352">
        <f>AL69-AF69</f>
        <v>-0.02905529709</v>
      </c>
      <c r="AN69" s="77" t="s">
        <v>65</v>
      </c>
      <c r="AO69" s="80">
        <v>0.06</v>
      </c>
      <c r="AP69" s="350">
        <f t="shared" ref="AP69:AT69" si="396">AP70/($BR$70-($L$70+$P$70))</f>
        <v>0.002056652776</v>
      </c>
      <c r="AQ69" s="350">
        <f t="shared" si="396"/>
        <v>0.004845320466</v>
      </c>
      <c r="AR69" s="350">
        <f t="shared" si="396"/>
        <v>0</v>
      </c>
      <c r="AS69" s="350">
        <f t="shared" si="396"/>
        <v>0</v>
      </c>
      <c r="AT69" s="350">
        <f t="shared" si="396"/>
        <v>0</v>
      </c>
      <c r="AU69" s="351">
        <f t="shared" ref="AU69:AU71" si="398">SUM(AP69:AT69)</f>
        <v>0.006901973242</v>
      </c>
      <c r="AV69" s="76" t="s">
        <v>63</v>
      </c>
      <c r="AW69" s="77" t="s">
        <v>65</v>
      </c>
      <c r="AX69" s="80">
        <v>0.12</v>
      </c>
      <c r="AY69" s="81">
        <f>AY70/(BR70-(L70+P70))</f>
        <v>0</v>
      </c>
      <c r="AZ69" s="76" t="s">
        <v>63</v>
      </c>
      <c r="BA69" s="77" t="s">
        <v>65</v>
      </c>
      <c r="BB69" s="80">
        <v>0.15</v>
      </c>
      <c r="BC69" s="81">
        <f>BC70/(BR70-(L70+P70))</f>
        <v>0</v>
      </c>
      <c r="BD69" s="76" t="s">
        <v>63</v>
      </c>
      <c r="BE69" s="77" t="s">
        <v>65</v>
      </c>
      <c r="BF69" s="80">
        <v>0.18</v>
      </c>
      <c r="BG69" s="81">
        <f>BG70/(BR70-(L70+P70))</f>
        <v>0</v>
      </c>
      <c r="BH69" s="76" t="s">
        <v>63</v>
      </c>
      <c r="BI69" s="77" t="s">
        <v>65</v>
      </c>
      <c r="BJ69" s="80">
        <v>0.22</v>
      </c>
      <c r="BK69" s="81">
        <f>BK70/(BR70-(L70+P70))</f>
        <v>0</v>
      </c>
      <c r="BL69" s="76" t="s">
        <v>63</v>
      </c>
      <c r="BM69" s="77" t="s">
        <v>65</v>
      </c>
      <c r="BN69" s="80">
        <v>0.18</v>
      </c>
      <c r="BO69" s="81">
        <f>BO70/(BR70-(L70+P70))</f>
        <v>0</v>
      </c>
      <c r="BP69" s="76" t="s">
        <v>63</v>
      </c>
      <c r="BQ69" s="77" t="s">
        <v>65</v>
      </c>
      <c r="BR69" s="166">
        <f>SUM(T69,X69,AB69,AF69,AO69,AX69,BB69,BF69,BJ69,BN69)</f>
        <v>1</v>
      </c>
      <c r="BS69" s="350">
        <f>SUM(U69,Y69,AC69,AG69,AU69,AY69,BC69,BG69,BK69,BO69)</f>
        <v>0.06187461005</v>
      </c>
      <c r="BT69" s="88"/>
      <c r="BU69" s="89" t="s">
        <v>63</v>
      </c>
      <c r="BV69" s="71"/>
      <c r="BW69" s="3"/>
      <c r="BX69" s="3"/>
      <c r="BY69" s="3"/>
      <c r="BZ69" s="3"/>
      <c r="CA69" s="3"/>
      <c r="CB69" s="3"/>
    </row>
    <row r="70" ht="15.75" customHeight="1">
      <c r="A70" s="1"/>
      <c r="B70" s="142"/>
      <c r="C70" s="143"/>
      <c r="D70" s="144"/>
      <c r="E70" s="192"/>
      <c r="F70" s="146"/>
      <c r="G70" s="147"/>
      <c r="H70" s="148"/>
      <c r="I70" s="149"/>
      <c r="J70" s="72" t="s">
        <v>66</v>
      </c>
      <c r="K70" s="73"/>
      <c r="L70" s="167">
        <v>159323.5</v>
      </c>
      <c r="M70" s="91">
        <v>166359.97</v>
      </c>
      <c r="N70" s="92">
        <f t="shared" ref="N70:N73" si="399">IFERROR(M70-L70,"-")</f>
        <v>7036.47</v>
      </c>
      <c r="O70" s="93">
        <f t="shared" ref="O70:O73" si="400">IFERROR(M70/L70-1,"-")</f>
        <v>0.04416467125</v>
      </c>
      <c r="P70" s="167">
        <v>163059.0</v>
      </c>
      <c r="Q70" s="91">
        <v>168706.64</v>
      </c>
      <c r="R70" s="92">
        <f t="shared" ref="R70:R73" si="401">IFERROR(Q70-P70,"-")</f>
        <v>5647.64</v>
      </c>
      <c r="S70" s="95">
        <f t="shared" ref="S70:S73" si="402">IFERROR(Q70/P70-1,"-")</f>
        <v>0.03463556136</v>
      </c>
      <c r="T70" s="96">
        <f>($BR$70-($L$70+$P$70))*T69</f>
        <v>205164.2625</v>
      </c>
      <c r="U70" s="91">
        <v>266158.42</v>
      </c>
      <c r="V70" s="92">
        <f t="shared" ref="V70:V73" si="403">IFERROR(U70-T70,"-")</f>
        <v>60994.1575</v>
      </c>
      <c r="W70" s="93">
        <f t="shared" ref="W70:W73" si="404">IFERROR(U70/T70-1,"-")</f>
        <v>0.2972942595</v>
      </c>
      <c r="X70" s="96">
        <f>($BR$70-($L$70+$P$70))*X69</f>
        <v>205164.2625</v>
      </c>
      <c r="Y70" s="91">
        <v>239402.37</v>
      </c>
      <c r="Z70" s="92">
        <f t="shared" ref="Z70:Z73" si="405">IFERROR(Y70-X70,"-")</f>
        <v>34238.1075</v>
      </c>
      <c r="AA70" s="93">
        <f t="shared" ref="AA70:AA73" si="406">IFERROR(Y70/X70-1,"-")</f>
        <v>0.1668814397</v>
      </c>
      <c r="AB70" s="96">
        <f>($BR$70-($L$70+$P$70))*AB69</f>
        <v>273552.35</v>
      </c>
      <c r="AC70" s="91">
        <v>204632.63</v>
      </c>
      <c r="AD70" s="92">
        <f t="shared" ref="AD70:AD73" si="407">IFERROR(AC70-AB70,"-")</f>
        <v>-68919.72</v>
      </c>
      <c r="AE70" s="93">
        <f t="shared" ref="AE70:AE73" si="408">IFERROR(AC70/AB70-1,"-")</f>
        <v>-0.2519434397</v>
      </c>
      <c r="AF70" s="96">
        <f>($BR$70-($L$70+$P$70))*AF69</f>
        <v>547104.7</v>
      </c>
      <c r="AG70" s="100">
        <v>40896.22</v>
      </c>
      <c r="AH70" s="100">
        <v>35251.37</v>
      </c>
      <c r="AI70" s="100">
        <v>37754.14</v>
      </c>
      <c r="AJ70" s="100">
        <v>29727.78</v>
      </c>
      <c r="AK70" s="100">
        <v>6067.95</v>
      </c>
      <c r="AL70" s="355">
        <f t="shared" si="397"/>
        <v>149697.46</v>
      </c>
      <c r="AM70" s="92">
        <f t="shared" ref="AM70:AM73" si="409">IFERROR(AL70-AF70,"-")</f>
        <v>-397407.24</v>
      </c>
      <c r="AN70" s="93">
        <f t="shared" ref="AN70:AN73" si="410">IFERROR(AL70/AF70-1,"-")</f>
        <v>-0.7263824273</v>
      </c>
      <c r="AO70" s="96">
        <f>($BR$70-($L$70+$P$70))*AO69</f>
        <v>820657.05</v>
      </c>
      <c r="AP70" s="100">
        <v>28130.11</v>
      </c>
      <c r="AQ70" s="353">
        <v>66272.44</v>
      </c>
      <c r="AR70" s="354"/>
      <c r="AS70" s="354"/>
      <c r="AT70" s="354"/>
      <c r="AU70" s="91">
        <f t="shared" si="398"/>
        <v>94402.55</v>
      </c>
      <c r="AV70" s="92">
        <f t="shared" ref="AV70:AV73" si="411">IFERROR(AU70-AO70,"-")</f>
        <v>-726254.5</v>
      </c>
      <c r="AW70" s="93">
        <f t="shared" ref="AW70:AW73" si="412">IFERROR(AU70/AO70-1,"-")</f>
        <v>-0.8849671126</v>
      </c>
      <c r="AX70" s="96">
        <f>($BR$70-($L$70+$P$70))*AX69</f>
        <v>1641314.1</v>
      </c>
      <c r="AY70" s="91">
        <v>0.0</v>
      </c>
      <c r="AZ70" s="92">
        <f t="shared" ref="AZ70:AZ73" si="413">IFERROR(AY70-AX70,"-")</f>
        <v>-1641314.1</v>
      </c>
      <c r="BA70" s="93">
        <f t="shared" ref="BA70:BA73" si="414">IFERROR(AY70/AX70-1,"-")</f>
        <v>-1</v>
      </c>
      <c r="BB70" s="96">
        <f>($BR$70-($L$70+$P$70))*BB69</f>
        <v>2051642.625</v>
      </c>
      <c r="BC70" s="91">
        <v>0.0</v>
      </c>
      <c r="BD70" s="92">
        <f t="shared" ref="BD70:BD73" si="415">IFERROR(BC70-BB70,"-")</f>
        <v>-2051642.625</v>
      </c>
      <c r="BE70" s="93">
        <f t="shared" ref="BE70:BE73" si="416">IFERROR(BC70/BB70-1,"-")</f>
        <v>-1</v>
      </c>
      <c r="BF70" s="96">
        <f>($BR$70-($L$70+$P$70))*BF69</f>
        <v>2461971.15</v>
      </c>
      <c r="BG70" s="91">
        <v>0.0</v>
      </c>
      <c r="BH70" s="92">
        <f t="shared" ref="BH70:BH73" si="417">IFERROR(BG70-BF70,"-")</f>
        <v>-2461971.15</v>
      </c>
      <c r="BI70" s="93">
        <f t="shared" ref="BI70:BI73" si="418">IFERROR(BG70/BF70-1,"-")</f>
        <v>-1</v>
      </c>
      <c r="BJ70" s="96">
        <f>($BR$70-($L$70+$P$70))*BJ69</f>
        <v>3009075.85</v>
      </c>
      <c r="BK70" s="91">
        <v>0.0</v>
      </c>
      <c r="BL70" s="92">
        <f t="shared" ref="BL70:BL73" si="419">IFERROR(BK70-BJ70,"-")</f>
        <v>-3009075.85</v>
      </c>
      <c r="BM70" s="93">
        <f t="shared" ref="BM70:BM73" si="420">IFERROR(BK70/BJ70-1,"-")</f>
        <v>-1</v>
      </c>
      <c r="BN70" s="96">
        <f>($BR$70-($L$70+$P$70))*BN69</f>
        <v>2461971.15</v>
      </c>
      <c r="BO70" s="91">
        <v>0.0</v>
      </c>
      <c r="BP70" s="92">
        <f t="shared" ref="BP70:BP73" si="421">IFERROR(BO70-BN70,"-")</f>
        <v>-2461971.15</v>
      </c>
      <c r="BQ70" s="93">
        <f t="shared" ref="BQ70:BQ73" si="422">IFERROR(BO70/BN70-1,"-")</f>
        <v>-1</v>
      </c>
      <c r="BR70" s="168">
        <v>1.4E7</v>
      </c>
      <c r="BS70" s="102">
        <f t="shared" ref="BS70:BS71" si="423">SUM(M70,Q70,U70,Y70,AC70,AG70,AU70,AY70,BC70,BG70,BK70,BO70)</f>
        <v>1180558.8</v>
      </c>
      <c r="BT70" s="104">
        <f t="shared" ref="BT70:BT73" si="424">IFERROR(BS70/BR70-1,"-")</f>
        <v>-0.9156743714</v>
      </c>
      <c r="BU70" s="105">
        <v>1580676.0</v>
      </c>
      <c r="BV70" s="106">
        <f t="shared" ref="BV70:BV71" si="425">BR70/BU70</f>
        <v>8.856970056</v>
      </c>
      <c r="BW70" s="3"/>
      <c r="BX70" s="3"/>
      <c r="BY70" s="3"/>
      <c r="BZ70" s="3"/>
      <c r="CA70" s="3"/>
      <c r="CB70" s="3"/>
    </row>
    <row r="71" ht="15.75" customHeight="1">
      <c r="A71" s="1"/>
      <c r="B71" s="142"/>
      <c r="C71" s="143"/>
      <c r="D71" s="144"/>
      <c r="E71" s="192"/>
      <c r="F71" s="146"/>
      <c r="G71" s="147"/>
      <c r="H71" s="148"/>
      <c r="I71" s="149"/>
      <c r="J71" s="72" t="s">
        <v>67</v>
      </c>
      <c r="K71" s="107"/>
      <c r="L71" s="171">
        <f>L70/$K$72</f>
        <v>5310.783333</v>
      </c>
      <c r="M71" s="109">
        <v>5222.0</v>
      </c>
      <c r="N71" s="110">
        <f t="shared" si="399"/>
        <v>-88.78333333</v>
      </c>
      <c r="O71" s="93">
        <f t="shared" si="400"/>
        <v>-0.01671755893</v>
      </c>
      <c r="P71" s="171">
        <f>P70/$K$72</f>
        <v>5435.3</v>
      </c>
      <c r="Q71" s="109">
        <v>5242.0</v>
      </c>
      <c r="R71" s="110">
        <f t="shared" si="401"/>
        <v>-193.3</v>
      </c>
      <c r="S71" s="95">
        <f t="shared" si="402"/>
        <v>-0.03556381432</v>
      </c>
      <c r="T71" s="112">
        <f>T70/$K$72</f>
        <v>6838.80875</v>
      </c>
      <c r="U71" s="109">
        <v>9743.0</v>
      </c>
      <c r="V71" s="110">
        <f t="shared" si="403"/>
        <v>2904.19125</v>
      </c>
      <c r="W71" s="93">
        <f t="shared" si="404"/>
        <v>0.4246633231</v>
      </c>
      <c r="X71" s="112">
        <f>X70/$K$72</f>
        <v>6838.80875</v>
      </c>
      <c r="Y71" s="109">
        <v>9807.0</v>
      </c>
      <c r="Z71" s="110">
        <f t="shared" si="405"/>
        <v>2968.19125</v>
      </c>
      <c r="AA71" s="93">
        <f t="shared" si="406"/>
        <v>0.4340216781</v>
      </c>
      <c r="AB71" s="112">
        <f>AB70/$K$72</f>
        <v>9118.411667</v>
      </c>
      <c r="AC71" s="109">
        <v>7784.0</v>
      </c>
      <c r="AD71" s="110">
        <f t="shared" si="407"/>
        <v>-1334.411667</v>
      </c>
      <c r="AE71" s="93">
        <f t="shared" si="408"/>
        <v>-0.1463425556</v>
      </c>
      <c r="AF71" s="112">
        <f>AF70/$K$72</f>
        <v>18236.82333</v>
      </c>
      <c r="AG71" s="114">
        <v>1247.0</v>
      </c>
      <c r="AH71" s="114">
        <v>1115.0</v>
      </c>
      <c r="AI71" s="114">
        <v>1149.0</v>
      </c>
      <c r="AJ71" s="114">
        <v>984.0</v>
      </c>
      <c r="AK71" s="114">
        <v>179.0</v>
      </c>
      <c r="AL71" s="358">
        <f t="shared" si="397"/>
        <v>4674</v>
      </c>
      <c r="AM71" s="110">
        <f t="shared" si="409"/>
        <v>-13562.82333</v>
      </c>
      <c r="AN71" s="93">
        <f t="shared" si="410"/>
        <v>-0.7437053639</v>
      </c>
      <c r="AO71" s="112">
        <f>AO70/$K$72</f>
        <v>27355.235</v>
      </c>
      <c r="AP71" s="114">
        <v>850.0</v>
      </c>
      <c r="AQ71" s="356">
        <v>1759.0</v>
      </c>
      <c r="AR71" s="357"/>
      <c r="AS71" s="357"/>
      <c r="AT71" s="357"/>
      <c r="AU71" s="109">
        <f t="shared" si="398"/>
        <v>2609</v>
      </c>
      <c r="AV71" s="110">
        <f t="shared" si="411"/>
        <v>-24746.235</v>
      </c>
      <c r="AW71" s="93">
        <f t="shared" si="412"/>
        <v>-0.9046252025</v>
      </c>
      <c r="AX71" s="112">
        <f>AX70/$K$72</f>
        <v>54710.47</v>
      </c>
      <c r="AY71" s="109">
        <v>0.0</v>
      </c>
      <c r="AZ71" s="110">
        <f t="shared" si="413"/>
        <v>-54710.47</v>
      </c>
      <c r="BA71" s="93">
        <f t="shared" si="414"/>
        <v>-1</v>
      </c>
      <c r="BB71" s="112">
        <f>BB70/$K$72</f>
        <v>68388.0875</v>
      </c>
      <c r="BC71" s="109">
        <v>0.0</v>
      </c>
      <c r="BD71" s="110">
        <f t="shared" si="415"/>
        <v>-68388.0875</v>
      </c>
      <c r="BE71" s="93">
        <f t="shared" si="416"/>
        <v>-1</v>
      </c>
      <c r="BF71" s="112">
        <f>BF70/$K$72</f>
        <v>82065.705</v>
      </c>
      <c r="BG71" s="109">
        <v>0.0</v>
      </c>
      <c r="BH71" s="110">
        <f t="shared" si="417"/>
        <v>-82065.705</v>
      </c>
      <c r="BI71" s="93">
        <f t="shared" si="418"/>
        <v>-1</v>
      </c>
      <c r="BJ71" s="112">
        <f>BJ70/$K$72</f>
        <v>100302.5283</v>
      </c>
      <c r="BK71" s="109">
        <v>0.0</v>
      </c>
      <c r="BL71" s="110">
        <f t="shared" si="419"/>
        <v>-100302.5283</v>
      </c>
      <c r="BM71" s="93">
        <f t="shared" si="420"/>
        <v>-1</v>
      </c>
      <c r="BN71" s="112">
        <f>BN70/$K$72</f>
        <v>82065.705</v>
      </c>
      <c r="BO71" s="109">
        <v>0.0</v>
      </c>
      <c r="BP71" s="110">
        <f t="shared" si="421"/>
        <v>-82065.705</v>
      </c>
      <c r="BQ71" s="93">
        <f t="shared" si="422"/>
        <v>-1</v>
      </c>
      <c r="BR71" s="218">
        <f>SUM(L71,P71,T71,X71,AB71,AF71,AO71,AX71,BB71,BF71,BJ71,BN71)</f>
        <v>466666.6667</v>
      </c>
      <c r="BS71" s="207">
        <f t="shared" si="423"/>
        <v>41654</v>
      </c>
      <c r="BT71" s="104">
        <f t="shared" si="424"/>
        <v>-0.9107414286</v>
      </c>
      <c r="BU71" s="119">
        <v>66013.0</v>
      </c>
      <c r="BV71" s="106">
        <f t="shared" si="425"/>
        <v>7.06931463</v>
      </c>
      <c r="BW71" s="3"/>
      <c r="BX71" s="3"/>
      <c r="BY71" s="3"/>
      <c r="BZ71" s="3"/>
      <c r="CA71" s="3"/>
      <c r="CB71" s="3"/>
    </row>
    <row r="72" ht="15.75" customHeight="1">
      <c r="A72" s="1"/>
      <c r="B72" s="142"/>
      <c r="C72" s="143"/>
      <c r="D72" s="144"/>
      <c r="E72" s="192"/>
      <c r="F72" s="146"/>
      <c r="G72" s="147"/>
      <c r="H72" s="148"/>
      <c r="I72" s="149"/>
      <c r="J72" s="72" t="s">
        <v>68</v>
      </c>
      <c r="K72" s="107">
        <v>30.0</v>
      </c>
      <c r="L72" s="171">
        <f>L70/L71</f>
        <v>30</v>
      </c>
      <c r="M72" s="91">
        <f>IFERROR(M70/M71,"-")</f>
        <v>31.85752011</v>
      </c>
      <c r="N72" s="92">
        <f t="shared" si="399"/>
        <v>1.857520107</v>
      </c>
      <c r="O72" s="93">
        <f t="shared" si="400"/>
        <v>0.06191733691</v>
      </c>
      <c r="P72" s="90">
        <f t="shared" ref="P72:Q72" si="426">IFERROR(P70/P71,"-")</f>
        <v>30</v>
      </c>
      <c r="Q72" s="91">
        <f t="shared" si="426"/>
        <v>32.18363983</v>
      </c>
      <c r="R72" s="92">
        <f t="shared" si="401"/>
        <v>2.183639832</v>
      </c>
      <c r="S72" s="95">
        <f t="shared" si="402"/>
        <v>0.0727879944</v>
      </c>
      <c r="T72" s="112">
        <f>T70/T71</f>
        <v>30</v>
      </c>
      <c r="U72" s="91">
        <f>IFERROR(U70/U71,"-")</f>
        <v>27.31791235</v>
      </c>
      <c r="V72" s="92">
        <f t="shared" si="403"/>
        <v>-2.682087653</v>
      </c>
      <c r="W72" s="93">
        <f t="shared" si="404"/>
        <v>-0.08940292176</v>
      </c>
      <c r="X72" s="96">
        <f t="shared" ref="X72:Y72" si="427">IFERROR(X70/X71,"-")</f>
        <v>30</v>
      </c>
      <c r="Y72" s="91">
        <f t="shared" si="427"/>
        <v>24.41137657</v>
      </c>
      <c r="Z72" s="92">
        <f t="shared" si="405"/>
        <v>-5.588623432</v>
      </c>
      <c r="AA72" s="93">
        <f t="shared" si="406"/>
        <v>-0.1862874477</v>
      </c>
      <c r="AB72" s="112">
        <f>AB70/AB71</f>
        <v>30</v>
      </c>
      <c r="AC72" s="91">
        <f>IFERROR(AC70/AC71,"-")</f>
        <v>26.28887847</v>
      </c>
      <c r="AD72" s="92">
        <f t="shared" si="407"/>
        <v>-3.711121531</v>
      </c>
      <c r="AE72" s="93">
        <f t="shared" si="408"/>
        <v>-0.123704051</v>
      </c>
      <c r="AF72" s="385">
        <f>AF70/AF71</f>
        <v>30</v>
      </c>
      <c r="AG72" s="370">
        <f t="shared" ref="AG72:AL72" si="428">IFERROR(AG70/AG71,"-")</f>
        <v>32.79568565</v>
      </c>
      <c r="AH72" s="370">
        <f t="shared" si="428"/>
        <v>31.61557848</v>
      </c>
      <c r="AI72" s="370">
        <f t="shared" si="428"/>
        <v>32.85825936</v>
      </c>
      <c r="AJ72" s="370">
        <f t="shared" si="428"/>
        <v>30.21115854</v>
      </c>
      <c r="AK72" s="370">
        <f t="shared" si="428"/>
        <v>33.89916201</v>
      </c>
      <c r="AL72" s="372">
        <f t="shared" si="428"/>
        <v>32.0276979</v>
      </c>
      <c r="AM72" s="92">
        <f t="shared" si="409"/>
        <v>2.027697903</v>
      </c>
      <c r="AN72" s="93">
        <f t="shared" si="410"/>
        <v>0.06758993011</v>
      </c>
      <c r="AO72" s="112">
        <f>AO70/AO71</f>
        <v>30</v>
      </c>
      <c r="AP72" s="91">
        <f t="shared" ref="AP72:AU72" si="429">IFERROR(AP70/AP71,"-")</f>
        <v>33.09424706</v>
      </c>
      <c r="AQ72" s="91">
        <f t="shared" si="429"/>
        <v>37.67620239</v>
      </c>
      <c r="AR72" s="359" t="str">
        <f t="shared" si="429"/>
        <v>-</v>
      </c>
      <c r="AS72" s="359" t="str">
        <f t="shared" si="429"/>
        <v>-</v>
      </c>
      <c r="AT72" s="359" t="str">
        <f t="shared" si="429"/>
        <v>-</v>
      </c>
      <c r="AU72" s="91">
        <f t="shared" si="429"/>
        <v>36.18342277</v>
      </c>
      <c r="AV72" s="92">
        <f t="shared" si="411"/>
        <v>6.183422767</v>
      </c>
      <c r="AW72" s="93">
        <f t="shared" si="412"/>
        <v>0.2061140922</v>
      </c>
      <c r="AX72" s="112">
        <f>AX70/AX71</f>
        <v>30</v>
      </c>
      <c r="AY72" s="91" t="str">
        <f>IFERROR(AY70/AY71,"-")</f>
        <v>-</v>
      </c>
      <c r="AZ72" s="92" t="str">
        <f t="shared" si="413"/>
        <v>-</v>
      </c>
      <c r="BA72" s="93" t="str">
        <f t="shared" si="414"/>
        <v>-</v>
      </c>
      <c r="BB72" s="112">
        <f>BB70/BB71</f>
        <v>30</v>
      </c>
      <c r="BC72" s="91" t="str">
        <f>IFERROR(BC70/BC71,"-")</f>
        <v>-</v>
      </c>
      <c r="BD72" s="92" t="str">
        <f t="shared" si="415"/>
        <v>-</v>
      </c>
      <c r="BE72" s="93" t="str">
        <f t="shared" si="416"/>
        <v>-</v>
      </c>
      <c r="BF72" s="112">
        <f>BF70/BF71</f>
        <v>30</v>
      </c>
      <c r="BG72" s="91" t="str">
        <f>IFERROR(BG70/BG71,"-")</f>
        <v>-</v>
      </c>
      <c r="BH72" s="92" t="str">
        <f t="shared" si="417"/>
        <v>-</v>
      </c>
      <c r="BI72" s="93" t="str">
        <f t="shared" si="418"/>
        <v>-</v>
      </c>
      <c r="BJ72" s="112">
        <f>BJ70/BJ71</f>
        <v>30</v>
      </c>
      <c r="BK72" s="91" t="str">
        <f>IFERROR(BK70/BK71,"-")</f>
        <v>-</v>
      </c>
      <c r="BL72" s="92" t="str">
        <f t="shared" si="419"/>
        <v>-</v>
      </c>
      <c r="BM72" s="93" t="str">
        <f t="shared" si="420"/>
        <v>-</v>
      </c>
      <c r="BN72" s="112">
        <f>BN70/BN71</f>
        <v>30</v>
      </c>
      <c r="BO72" s="91" t="str">
        <f>IFERROR(BO70/BO71,"-")</f>
        <v>-</v>
      </c>
      <c r="BP72" s="92" t="str">
        <f t="shared" si="421"/>
        <v>-</v>
      </c>
      <c r="BQ72" s="93" t="str">
        <f t="shared" si="422"/>
        <v>-</v>
      </c>
      <c r="BR72" s="175">
        <f t="shared" ref="BR72:BS72" si="430">BR70/BR71</f>
        <v>30</v>
      </c>
      <c r="BS72" s="209">
        <f t="shared" si="430"/>
        <v>28.34202718</v>
      </c>
      <c r="BT72" s="104">
        <f t="shared" si="424"/>
        <v>-0.05526576079</v>
      </c>
      <c r="BU72" s="119">
        <f>BU70/BU71</f>
        <v>23.94491994</v>
      </c>
      <c r="BV72" s="106">
        <f>BR72/BU72-1</f>
        <v>0.2528753521</v>
      </c>
      <c r="BW72" s="3"/>
      <c r="BX72" s="3"/>
      <c r="BY72" s="3"/>
      <c r="BZ72" s="3"/>
      <c r="CA72" s="3"/>
      <c r="CB72" s="3"/>
    </row>
    <row r="73" ht="15.75" customHeight="1">
      <c r="A73" s="1"/>
      <c r="B73" s="142"/>
      <c r="C73" s="143"/>
      <c r="D73" s="144"/>
      <c r="E73" s="192"/>
      <c r="F73" s="146"/>
      <c r="G73" s="147"/>
      <c r="H73" s="148"/>
      <c r="I73" s="149"/>
      <c r="J73" s="124" t="s">
        <v>69</v>
      </c>
      <c r="K73" s="125">
        <v>0.04</v>
      </c>
      <c r="L73" s="132">
        <f t="shared" ref="L73:M73" si="431">IF(L70&gt;=1000000,$K$73*L70,0)</f>
        <v>0</v>
      </c>
      <c r="M73" s="127">
        <f t="shared" si="431"/>
        <v>0</v>
      </c>
      <c r="N73" s="128">
        <f t="shared" si="399"/>
        <v>0</v>
      </c>
      <c r="O73" s="129" t="str">
        <f t="shared" si="400"/>
        <v>-</v>
      </c>
      <c r="P73" s="132">
        <f t="shared" ref="P73:Q73" si="432">IF(P70&gt;=1000000,$K$73*P70,0)</f>
        <v>0</v>
      </c>
      <c r="Q73" s="127">
        <f t="shared" si="432"/>
        <v>0</v>
      </c>
      <c r="R73" s="128">
        <f t="shared" si="401"/>
        <v>0</v>
      </c>
      <c r="S73" s="131" t="str">
        <f t="shared" si="402"/>
        <v>-</v>
      </c>
      <c r="T73" s="132">
        <f t="shared" ref="T73:U73" si="433">IF(T70&gt;=1000000,$K$73*T70,0)</f>
        <v>0</v>
      </c>
      <c r="U73" s="127">
        <f t="shared" si="433"/>
        <v>0</v>
      </c>
      <c r="V73" s="128">
        <f t="shared" si="403"/>
        <v>0</v>
      </c>
      <c r="W73" s="129" t="str">
        <f t="shared" si="404"/>
        <v>-</v>
      </c>
      <c r="X73" s="132">
        <f t="shared" ref="X73:Y73" si="434">IF(X70&gt;=1000000,$K$73*X70,0)</f>
        <v>0</v>
      </c>
      <c r="Y73" s="127">
        <f t="shared" si="434"/>
        <v>0</v>
      </c>
      <c r="Z73" s="128">
        <f t="shared" si="405"/>
        <v>0</v>
      </c>
      <c r="AA73" s="129" t="str">
        <f t="shared" si="406"/>
        <v>-</v>
      </c>
      <c r="AB73" s="132">
        <f t="shared" ref="AB73:AC73" si="435">IF(AB70&gt;=1000000,$K$73*AB70,0)</f>
        <v>0</v>
      </c>
      <c r="AC73" s="127">
        <f t="shared" si="435"/>
        <v>0</v>
      </c>
      <c r="AD73" s="128">
        <f t="shared" si="407"/>
        <v>0</v>
      </c>
      <c r="AE73" s="134" t="str">
        <f t="shared" si="408"/>
        <v>-</v>
      </c>
      <c r="AF73" s="373">
        <f t="shared" ref="AF73:AL73" si="436">IF(AF70&gt;=1000000,$K$73*AF70,0)</f>
        <v>0</v>
      </c>
      <c r="AG73" s="374">
        <f t="shared" si="436"/>
        <v>0</v>
      </c>
      <c r="AH73" s="374">
        <f t="shared" si="436"/>
        <v>0</v>
      </c>
      <c r="AI73" s="374">
        <f t="shared" si="436"/>
        <v>0</v>
      </c>
      <c r="AJ73" s="374">
        <f t="shared" si="436"/>
        <v>0</v>
      </c>
      <c r="AK73" s="374">
        <f t="shared" si="436"/>
        <v>0</v>
      </c>
      <c r="AL73" s="375">
        <f t="shared" si="436"/>
        <v>0</v>
      </c>
      <c r="AM73" s="376">
        <f t="shared" si="409"/>
        <v>0</v>
      </c>
      <c r="AN73" s="129" t="str">
        <f t="shared" si="410"/>
        <v>-</v>
      </c>
      <c r="AO73" s="132">
        <f>IF(AO70&gt;=1000000,$K$73*AO70,0)</f>
        <v>0</v>
      </c>
      <c r="AP73" s="130">
        <f t="shared" ref="AP73:AT73" si="437">AP70*$K$9</f>
        <v>1378.37539</v>
      </c>
      <c r="AQ73" s="130">
        <f t="shared" si="437"/>
        <v>3247.34956</v>
      </c>
      <c r="AR73" s="361">
        <f t="shared" si="437"/>
        <v>0</v>
      </c>
      <c r="AS73" s="361">
        <f t="shared" si="437"/>
        <v>0</v>
      </c>
      <c r="AT73" s="361">
        <f t="shared" si="437"/>
        <v>0</v>
      </c>
      <c r="AU73" s="127">
        <f>IF(AU70&gt;=1000000,$K$73*AU70,0)</f>
        <v>0</v>
      </c>
      <c r="AV73" s="128">
        <f t="shared" si="411"/>
        <v>0</v>
      </c>
      <c r="AW73" s="129" t="str">
        <f t="shared" si="412"/>
        <v>-</v>
      </c>
      <c r="AX73" s="132">
        <f t="shared" ref="AX73:AY73" si="438">IF(AX70&gt;=1000000,$K$73*AX70,0)</f>
        <v>65652.564</v>
      </c>
      <c r="AY73" s="127">
        <f t="shared" si="438"/>
        <v>0</v>
      </c>
      <c r="AZ73" s="128">
        <f t="shared" si="413"/>
        <v>-65652.564</v>
      </c>
      <c r="BA73" s="129">
        <f t="shared" si="414"/>
        <v>-1</v>
      </c>
      <c r="BB73" s="132">
        <f t="shared" ref="BB73:BC73" si="439">IF(BB70&gt;=1000000,$K$73*BB70,0)</f>
        <v>82065.705</v>
      </c>
      <c r="BC73" s="127">
        <f t="shared" si="439"/>
        <v>0</v>
      </c>
      <c r="BD73" s="128">
        <f t="shared" si="415"/>
        <v>-82065.705</v>
      </c>
      <c r="BE73" s="129">
        <f t="shared" si="416"/>
        <v>-1</v>
      </c>
      <c r="BF73" s="132">
        <f t="shared" ref="BF73:BG73" si="440">IF(BF70&gt;=1000000,$K$73*BF70,0)</f>
        <v>98478.846</v>
      </c>
      <c r="BG73" s="127">
        <f t="shared" si="440"/>
        <v>0</v>
      </c>
      <c r="BH73" s="128">
        <f t="shared" si="417"/>
        <v>-98478.846</v>
      </c>
      <c r="BI73" s="129">
        <f t="shared" si="418"/>
        <v>-1</v>
      </c>
      <c r="BJ73" s="132">
        <f t="shared" ref="BJ73:BK73" si="441">IF(BJ70&gt;=1000000,$K$73*BJ70,0)</f>
        <v>120363.034</v>
      </c>
      <c r="BK73" s="127">
        <f t="shared" si="441"/>
        <v>0</v>
      </c>
      <c r="BL73" s="128">
        <f t="shared" si="419"/>
        <v>-120363.034</v>
      </c>
      <c r="BM73" s="129">
        <f t="shared" si="420"/>
        <v>-1</v>
      </c>
      <c r="BN73" s="132">
        <f t="shared" ref="BN73:BO73" si="442">IF(BN70&gt;=1000000,$K$73*BN70,0)</f>
        <v>98478.846</v>
      </c>
      <c r="BO73" s="127">
        <f t="shared" si="442"/>
        <v>0</v>
      </c>
      <c r="BP73" s="128">
        <f t="shared" si="421"/>
        <v>-98478.846</v>
      </c>
      <c r="BQ73" s="129">
        <f t="shared" si="422"/>
        <v>-1</v>
      </c>
      <c r="BR73" s="181">
        <f>SUM(L73,P73,T73,X73,AB73,AF73,AO73,AX73,BB73,BF73,BJ73,BN73)</f>
        <v>465038.995</v>
      </c>
      <c r="BS73" s="213">
        <f>SUM(M73,Q73,U73,Y73,AC73,AG73,AU73,AY73,BC73,BG73,BK73,BO73)</f>
        <v>0</v>
      </c>
      <c r="BT73" s="139">
        <f t="shared" si="424"/>
        <v>-1</v>
      </c>
      <c r="BU73" s="140">
        <f>BU70*0.04</f>
        <v>63227.04</v>
      </c>
      <c r="BV73" s="141">
        <f>BR73/BU73</f>
        <v>7.355065096</v>
      </c>
      <c r="BW73" s="3"/>
      <c r="BX73" s="3"/>
      <c r="BY73" s="3"/>
      <c r="BZ73" s="3"/>
      <c r="CA73" s="3"/>
      <c r="CB73" s="3"/>
    </row>
    <row r="74" ht="15.75" customHeight="1">
      <c r="A74" s="1"/>
      <c r="B74" s="142"/>
      <c r="C74" s="143"/>
      <c r="D74" s="144"/>
      <c r="E74" s="192"/>
      <c r="F74" s="146"/>
      <c r="G74" s="147"/>
      <c r="H74" s="148"/>
      <c r="I74" s="149"/>
      <c r="J74" s="13"/>
      <c r="K74" s="150"/>
      <c r="L74" s="196"/>
      <c r="M74" s="196"/>
      <c r="N74" s="196"/>
      <c r="O74" s="196"/>
      <c r="P74" s="196"/>
      <c r="Q74" s="214"/>
      <c r="R74" s="196"/>
      <c r="S74" s="196"/>
      <c r="T74" s="196"/>
      <c r="U74" s="196"/>
      <c r="V74" s="196"/>
      <c r="W74" s="196"/>
      <c r="X74" s="226"/>
      <c r="Y74" s="14"/>
      <c r="Z74" s="15"/>
      <c r="AA74" s="3"/>
      <c r="AB74" s="3"/>
      <c r="AC74" s="3"/>
      <c r="AD74" s="3"/>
      <c r="AE74" s="3"/>
      <c r="AF74" s="3"/>
      <c r="AP74" s="363"/>
      <c r="AQ74" s="363"/>
      <c r="AR74" s="363"/>
      <c r="AS74" s="363"/>
      <c r="AT74" s="363"/>
      <c r="BA74" s="187"/>
      <c r="BB74" s="25"/>
      <c r="BC74" s="188"/>
      <c r="BD74" s="25"/>
    </row>
    <row r="75" ht="15.75" customHeight="1">
      <c r="A75" s="1"/>
      <c r="B75" s="142"/>
      <c r="C75" s="143"/>
      <c r="D75" s="144"/>
      <c r="E75" s="192"/>
      <c r="F75" s="146"/>
      <c r="G75" s="147"/>
      <c r="H75" s="148"/>
      <c r="I75" s="149"/>
      <c r="J75" s="34" t="s">
        <v>90</v>
      </c>
      <c r="K75" s="35"/>
      <c r="L75" s="36" t="s">
        <v>10</v>
      </c>
      <c r="M75" s="37" t="s">
        <v>11</v>
      </c>
      <c r="N75" s="38" t="s">
        <v>12</v>
      </c>
      <c r="O75" s="39" t="s">
        <v>13</v>
      </c>
      <c r="P75" s="157" t="s">
        <v>14</v>
      </c>
      <c r="Q75" s="199" t="s">
        <v>15</v>
      </c>
      <c r="R75" s="38" t="s">
        <v>16</v>
      </c>
      <c r="S75" s="42" t="s">
        <v>17</v>
      </c>
      <c r="T75" s="43" t="s">
        <v>18</v>
      </c>
      <c r="U75" s="199" t="s">
        <v>19</v>
      </c>
      <c r="V75" s="38" t="s">
        <v>20</v>
      </c>
      <c r="W75" s="45" t="s">
        <v>21</v>
      </c>
      <c r="X75" s="44" t="s">
        <v>22</v>
      </c>
      <c r="Y75" s="199" t="s">
        <v>23</v>
      </c>
      <c r="Z75" s="38" t="s">
        <v>24</v>
      </c>
      <c r="AA75" s="45" t="s">
        <v>25</v>
      </c>
      <c r="AB75" s="43" t="s">
        <v>26</v>
      </c>
      <c r="AC75" s="199" t="s">
        <v>27</v>
      </c>
      <c r="AD75" s="38" t="s">
        <v>28</v>
      </c>
      <c r="AE75" s="45" t="s">
        <v>29</v>
      </c>
      <c r="AF75" s="44" t="s">
        <v>30</v>
      </c>
      <c r="AG75" s="343" t="s">
        <v>120</v>
      </c>
      <c r="AH75" s="344" t="s">
        <v>121</v>
      </c>
      <c r="AI75" s="344" t="s">
        <v>122</v>
      </c>
      <c r="AJ75" s="344" t="s">
        <v>123</v>
      </c>
      <c r="AK75" s="344" t="s">
        <v>124</v>
      </c>
      <c r="AL75" s="344" t="s">
        <v>31</v>
      </c>
      <c r="AM75" s="38" t="s">
        <v>32</v>
      </c>
      <c r="AN75" s="45" t="s">
        <v>33</v>
      </c>
      <c r="AO75" s="43" t="s">
        <v>34</v>
      </c>
      <c r="AP75" s="343" t="s">
        <v>125</v>
      </c>
      <c r="AQ75" s="344" t="s">
        <v>126</v>
      </c>
      <c r="AR75" s="344" t="s">
        <v>127</v>
      </c>
      <c r="AS75" s="344" t="s">
        <v>128</v>
      </c>
      <c r="AT75" s="344" t="s">
        <v>129</v>
      </c>
      <c r="AU75" s="41" t="s">
        <v>35</v>
      </c>
      <c r="AV75" s="38" t="s">
        <v>36</v>
      </c>
      <c r="AW75" s="45" t="s">
        <v>37</v>
      </c>
      <c r="AX75" s="44" t="s">
        <v>38</v>
      </c>
      <c r="AY75" s="199" t="s">
        <v>39</v>
      </c>
      <c r="AZ75" s="38" t="s">
        <v>40</v>
      </c>
      <c r="BA75" s="45" t="s">
        <v>41</v>
      </c>
      <c r="BB75" s="43" t="s">
        <v>42</v>
      </c>
      <c r="BC75" s="199" t="s">
        <v>43</v>
      </c>
      <c r="BD75" s="38" t="s">
        <v>44</v>
      </c>
      <c r="BE75" s="45" t="s">
        <v>45</v>
      </c>
      <c r="BF75" s="44" t="s">
        <v>46</v>
      </c>
      <c r="BG75" s="199" t="s">
        <v>47</v>
      </c>
      <c r="BH75" s="38" t="s">
        <v>48</v>
      </c>
      <c r="BI75" s="45" t="s">
        <v>49</v>
      </c>
      <c r="BJ75" s="43" t="s">
        <v>50</v>
      </c>
      <c r="BK75" s="199" t="s">
        <v>51</v>
      </c>
      <c r="BL75" s="38" t="s">
        <v>52</v>
      </c>
      <c r="BM75" s="45" t="s">
        <v>53</v>
      </c>
      <c r="BN75" s="201" t="s">
        <v>54</v>
      </c>
      <c r="BO75" s="199" t="s">
        <v>55</v>
      </c>
      <c r="BP75" s="38" t="s">
        <v>56</v>
      </c>
      <c r="BQ75" s="42" t="s">
        <v>57</v>
      </c>
      <c r="BR75" s="345">
        <v>2026.0</v>
      </c>
      <c r="BS75" s="37" t="s">
        <v>61</v>
      </c>
      <c r="BT75" s="51" t="s">
        <v>62</v>
      </c>
      <c r="BU75" s="52">
        <v>2025.0</v>
      </c>
      <c r="BV75" s="53"/>
      <c r="BW75" s="3"/>
      <c r="BX75" s="3"/>
      <c r="BY75" s="3"/>
      <c r="BZ75" s="3"/>
      <c r="CA75" s="3"/>
      <c r="CB75" s="3"/>
    </row>
    <row r="76" ht="15.75" customHeight="1">
      <c r="A76" s="1"/>
      <c r="B76" s="142"/>
      <c r="C76" s="143"/>
      <c r="D76" s="144"/>
      <c r="E76" s="192"/>
      <c r="F76" s="146"/>
      <c r="G76" s="147"/>
      <c r="H76" s="148"/>
      <c r="I76" s="149"/>
      <c r="J76" s="346" t="s">
        <v>130</v>
      </c>
      <c r="K76" s="55"/>
      <c r="L76" s="56"/>
      <c r="M76" s="57"/>
      <c r="N76" s="58"/>
      <c r="O76" s="59"/>
      <c r="P76" s="56"/>
      <c r="Q76" s="202"/>
      <c r="R76" s="58"/>
      <c r="S76" s="61"/>
      <c r="T76" s="62"/>
      <c r="U76" s="63"/>
      <c r="V76" s="58"/>
      <c r="W76" s="59"/>
      <c r="X76" s="62"/>
      <c r="Y76" s="63"/>
      <c r="Z76" s="58"/>
      <c r="AA76" s="59"/>
      <c r="AB76" s="62"/>
      <c r="AC76" s="63"/>
      <c r="AD76" s="58"/>
      <c r="AE76" s="59"/>
      <c r="AF76" s="62"/>
      <c r="AG76" s="347">
        <f t="shared" ref="AG76:AK76" si="443">$AF$77/5</f>
        <v>0.016</v>
      </c>
      <c r="AH76" s="347">
        <f t="shared" si="443"/>
        <v>0.016</v>
      </c>
      <c r="AI76" s="347">
        <f t="shared" si="443"/>
        <v>0.016</v>
      </c>
      <c r="AJ76" s="347">
        <f t="shared" si="443"/>
        <v>0.016</v>
      </c>
      <c r="AK76" s="347">
        <f t="shared" si="443"/>
        <v>0.016</v>
      </c>
      <c r="AL76" s="347"/>
      <c r="AM76" s="58"/>
      <c r="AN76" s="59"/>
      <c r="AO76" s="62"/>
      <c r="AP76" s="347">
        <f t="shared" ref="AP76:AT76" si="444">$AO$77/5</f>
        <v>0.02</v>
      </c>
      <c r="AQ76" s="347">
        <f t="shared" si="444"/>
        <v>0.02</v>
      </c>
      <c r="AR76" s="347">
        <f t="shared" si="444"/>
        <v>0.02</v>
      </c>
      <c r="AS76" s="347">
        <f t="shared" si="444"/>
        <v>0.02</v>
      </c>
      <c r="AT76" s="347">
        <f t="shared" si="444"/>
        <v>0.02</v>
      </c>
      <c r="AU76" s="63"/>
      <c r="AV76" s="58"/>
      <c r="AW76" s="59"/>
      <c r="AX76" s="62"/>
      <c r="AY76" s="63"/>
      <c r="AZ76" s="58"/>
      <c r="BA76" s="59"/>
      <c r="BB76" s="62"/>
      <c r="BC76" s="63"/>
      <c r="BD76" s="58"/>
      <c r="BE76" s="59"/>
      <c r="BF76" s="62"/>
      <c r="BG76" s="63"/>
      <c r="BH76" s="58"/>
      <c r="BI76" s="59"/>
      <c r="BJ76" s="62"/>
      <c r="BK76" s="63"/>
      <c r="BL76" s="58"/>
      <c r="BM76" s="59"/>
      <c r="BN76" s="203"/>
      <c r="BO76" s="63"/>
      <c r="BP76" s="58"/>
      <c r="BQ76" s="61"/>
      <c r="BR76" s="66"/>
      <c r="BS76" s="349"/>
      <c r="BT76" s="69"/>
      <c r="BU76" s="70"/>
      <c r="BV76" s="71"/>
      <c r="BW76" s="3"/>
      <c r="BX76" s="3"/>
      <c r="BY76" s="3"/>
      <c r="BZ76" s="3"/>
      <c r="CA76" s="3"/>
      <c r="CB76" s="3"/>
    </row>
    <row r="77" ht="15.75" customHeight="1">
      <c r="A77" s="1"/>
      <c r="B77" s="142">
        <v>11.0</v>
      </c>
      <c r="C77" s="143" t="s">
        <v>91</v>
      </c>
      <c r="D77" s="144">
        <f>80000*12</f>
        <v>960000</v>
      </c>
      <c r="E77" s="192">
        <v>60.0</v>
      </c>
      <c r="F77" s="146">
        <f>E77*D77</f>
        <v>57600000</v>
      </c>
      <c r="G77" s="147">
        <v>409141.4900000167</v>
      </c>
      <c r="H77" s="148">
        <v>13480.0</v>
      </c>
      <c r="I77" s="149">
        <v>30.351742581603613</v>
      </c>
      <c r="J77" s="72" t="s">
        <v>64</v>
      </c>
      <c r="K77" s="73"/>
      <c r="L77" s="74" t="s">
        <v>63</v>
      </c>
      <c r="M77" s="75" t="s">
        <v>63</v>
      </c>
      <c r="N77" s="76" t="s">
        <v>63</v>
      </c>
      <c r="O77" s="77" t="s">
        <v>65</v>
      </c>
      <c r="P77" s="74" t="s">
        <v>63</v>
      </c>
      <c r="Q77" s="204" t="s">
        <v>63</v>
      </c>
      <c r="R77" s="76" t="s">
        <v>63</v>
      </c>
      <c r="S77" s="79" t="s">
        <v>65</v>
      </c>
      <c r="T77" s="80">
        <v>0.03</v>
      </c>
      <c r="U77" s="81">
        <f>U78/(BR78-(L78 + P78))</f>
        <v>0.0133757937</v>
      </c>
      <c r="V77" s="76" t="s">
        <v>63</v>
      </c>
      <c r="W77" s="77" t="s">
        <v>65</v>
      </c>
      <c r="X77" s="80">
        <v>0.03</v>
      </c>
      <c r="Y77" s="81">
        <f>Y78/(BR78-(L78+P78))</f>
        <v>0.01387795601</v>
      </c>
      <c r="Z77" s="76" t="s">
        <v>63</v>
      </c>
      <c r="AA77" s="77" t="s">
        <v>65</v>
      </c>
      <c r="AB77" s="80">
        <v>0.05</v>
      </c>
      <c r="AC77" s="81">
        <f>AC78/(BR78-(L78+P78))</f>
        <v>0.01283346893</v>
      </c>
      <c r="AD77" s="76" t="s">
        <v>63</v>
      </c>
      <c r="AE77" s="77" t="s">
        <v>65</v>
      </c>
      <c r="AF77" s="80">
        <v>0.08</v>
      </c>
      <c r="AG77" s="350">
        <f t="shared" ref="AG77:AK77" si="445">AG78/($BR$78-($L$78+$P$78))</f>
        <v>0.002519089272</v>
      </c>
      <c r="AH77" s="350">
        <f t="shared" si="445"/>
        <v>0.0008114111485</v>
      </c>
      <c r="AI77" s="350">
        <f t="shared" si="445"/>
        <v>0.00133073407</v>
      </c>
      <c r="AJ77" s="350">
        <f t="shared" si="445"/>
        <v>0.001633152343</v>
      </c>
      <c r="AK77" s="350">
        <f t="shared" si="445"/>
        <v>0.00113268978</v>
      </c>
      <c r="AL77" s="351">
        <f t="shared" ref="AL77:AL79" si="447">SUM(AG77:AK77)</f>
        <v>0.007427076613</v>
      </c>
      <c r="AM77" s="352">
        <f>AL77-AF77</f>
        <v>-0.07257292339</v>
      </c>
      <c r="AN77" s="77" t="s">
        <v>65</v>
      </c>
      <c r="AO77" s="80">
        <v>0.1</v>
      </c>
      <c r="AP77" s="350">
        <f t="shared" ref="AP77:AT77" si="446">AP78/($BR$78-($L$78+$P$78))</f>
        <v>0.00239941756</v>
      </c>
      <c r="AQ77" s="350">
        <f t="shared" si="446"/>
        <v>0.002036687186</v>
      </c>
      <c r="AR77" s="350">
        <f t="shared" si="446"/>
        <v>0</v>
      </c>
      <c r="AS77" s="350">
        <f t="shared" si="446"/>
        <v>0</v>
      </c>
      <c r="AT77" s="350">
        <f t="shared" si="446"/>
        <v>0</v>
      </c>
      <c r="AU77" s="351">
        <f t="shared" ref="AU77:AU79" si="448">SUM(AP77:AT77)</f>
        <v>0.004436104747</v>
      </c>
      <c r="AV77" s="76" t="s">
        <v>63</v>
      </c>
      <c r="AW77" s="77" t="s">
        <v>65</v>
      </c>
      <c r="AX77" s="80">
        <v>0.15</v>
      </c>
      <c r="AY77" s="81">
        <f>AY78/(BR78-(L78+P78))</f>
        <v>0</v>
      </c>
      <c r="AZ77" s="76" t="s">
        <v>63</v>
      </c>
      <c r="BA77" s="77" t="s">
        <v>65</v>
      </c>
      <c r="BB77" s="80">
        <v>0.15</v>
      </c>
      <c r="BC77" s="81">
        <f>BC78/(BR78-(L78+P78))</f>
        <v>0</v>
      </c>
      <c r="BD77" s="76" t="s">
        <v>63</v>
      </c>
      <c r="BE77" s="77" t="s">
        <v>65</v>
      </c>
      <c r="BF77" s="80">
        <v>0.12</v>
      </c>
      <c r="BG77" s="81">
        <f>BG78/(BR78-(L78+P78))</f>
        <v>0</v>
      </c>
      <c r="BH77" s="76" t="s">
        <v>63</v>
      </c>
      <c r="BI77" s="77" t="s">
        <v>65</v>
      </c>
      <c r="BJ77" s="80">
        <v>0.16</v>
      </c>
      <c r="BK77" s="81">
        <f>BK78/(BR78-(L78+P78))</f>
        <v>0</v>
      </c>
      <c r="BL77" s="76" t="s">
        <v>63</v>
      </c>
      <c r="BM77" s="77" t="s">
        <v>65</v>
      </c>
      <c r="BN77" s="205">
        <v>0.13</v>
      </c>
      <c r="BO77" s="81">
        <f>BO78/(BR78-(L78+P78))</f>
        <v>0</v>
      </c>
      <c r="BP77" s="76" t="s">
        <v>63</v>
      </c>
      <c r="BQ77" s="79" t="s">
        <v>65</v>
      </c>
      <c r="BR77" s="84">
        <f>SUM(T77,X77,AB77,AF77,AO77,AX77,BB77,BF77,BJ77,BN77)</f>
        <v>1</v>
      </c>
      <c r="BS77" s="350">
        <f>SUM(U77,Y77,AC77,AG77,AU77,AY77,BC77,BG77,BK77,BO77)</f>
        <v>0.04704241265</v>
      </c>
      <c r="BT77" s="88"/>
      <c r="BU77" s="89" t="s">
        <v>63</v>
      </c>
      <c r="BV77" s="71"/>
      <c r="BW77" s="3"/>
      <c r="BX77" s="3"/>
      <c r="BY77" s="3"/>
      <c r="BZ77" s="3"/>
      <c r="CA77" s="3"/>
      <c r="CB77" s="3"/>
    </row>
    <row r="78" ht="15.75" customHeight="1">
      <c r="A78" s="1"/>
      <c r="B78" s="142"/>
      <c r="C78" s="143"/>
      <c r="D78" s="144"/>
      <c r="E78" s="192"/>
      <c r="F78" s="146"/>
      <c r="G78" s="147"/>
      <c r="H78" s="148"/>
      <c r="I78" s="149"/>
      <c r="J78" s="72" t="s">
        <v>66</v>
      </c>
      <c r="K78" s="73"/>
      <c r="L78" s="167">
        <v>50234.0</v>
      </c>
      <c r="M78" s="91">
        <v>50234.24</v>
      </c>
      <c r="N78" s="92">
        <f t="shared" ref="N78:N81" si="449">IFERROR(M78-L78,"-")</f>
        <v>0.24</v>
      </c>
      <c r="O78" s="93">
        <f t="shared" ref="O78:O81" si="450">IFERROR(M78/L78-1,"-")</f>
        <v>0.000004777640642</v>
      </c>
      <c r="P78" s="167">
        <v>49484.0</v>
      </c>
      <c r="Q78" s="91">
        <v>48919.78</v>
      </c>
      <c r="R78" s="92">
        <f t="shared" ref="R78:R81" si="451">IFERROR(Q78-P78,"-")</f>
        <v>-564.22</v>
      </c>
      <c r="S78" s="95">
        <f t="shared" ref="S78:S81" si="452">IFERROR(Q78/P78-1,"-")</f>
        <v>-0.01140206936</v>
      </c>
      <c r="T78" s="96">
        <f>($BR$78-($L$78+$P$78))*T77</f>
        <v>57008.46</v>
      </c>
      <c r="U78" s="91">
        <v>25417.78</v>
      </c>
      <c r="V78" s="92">
        <f t="shared" ref="V78:V81" si="453">IFERROR(U78-T78,"-")</f>
        <v>-31590.68</v>
      </c>
      <c r="W78" s="93">
        <f t="shared" ref="W78:W81" si="454">IFERROR(U78/T78-1,"-")</f>
        <v>-0.5541402101</v>
      </c>
      <c r="X78" s="96">
        <f>($BR$78-($L$78+$P$78))*X77</f>
        <v>57008.46</v>
      </c>
      <c r="Y78" s="91">
        <v>26372.03</v>
      </c>
      <c r="Z78" s="92">
        <f t="shared" ref="Z78:Z81" si="455">IFERROR(Y78-X78,"-")</f>
        <v>-30636.43</v>
      </c>
      <c r="AA78" s="93">
        <f t="shared" ref="AA78:AA81" si="456">IFERROR(Y78/X78-1,"-")</f>
        <v>-0.5374014664</v>
      </c>
      <c r="AB78" s="96">
        <f>($BR$78-($L$78+$P$78))*AB77</f>
        <v>95014.1</v>
      </c>
      <c r="AC78" s="91">
        <v>24387.21</v>
      </c>
      <c r="AD78" s="92">
        <f t="shared" ref="AD78:AD81" si="457">IFERROR(AC78-AB78,"-")</f>
        <v>-70626.89</v>
      </c>
      <c r="AE78" s="93">
        <f t="shared" ref="AE78:AE81" si="458">IFERROR(AC78/AB78-1,"-")</f>
        <v>-0.7433306215</v>
      </c>
      <c r="AF78" s="96">
        <f>($BR$78-($L$78+$P$78))*AF77</f>
        <v>152022.56</v>
      </c>
      <c r="AG78" s="100">
        <v>4786.98</v>
      </c>
      <c r="AH78" s="100">
        <v>1541.91</v>
      </c>
      <c r="AI78" s="100">
        <v>2528.77</v>
      </c>
      <c r="AJ78" s="100">
        <v>3103.45</v>
      </c>
      <c r="AK78" s="100">
        <v>2152.43</v>
      </c>
      <c r="AL78" s="355">
        <f t="shared" si="447"/>
        <v>14113.54</v>
      </c>
      <c r="AM78" s="92">
        <f t="shared" ref="AM78:AM81" si="459">IFERROR(AL78-AF78,"-")</f>
        <v>-137909.02</v>
      </c>
      <c r="AN78" s="93">
        <f t="shared" ref="AN78:AN81" si="460">IFERROR(AL78/AF78-1,"-")</f>
        <v>-0.9071615423</v>
      </c>
      <c r="AO78" s="96">
        <f>($BR$78-($L$78+$P$78))*AO77</f>
        <v>190028.2</v>
      </c>
      <c r="AP78" s="100">
        <v>4559.57</v>
      </c>
      <c r="AQ78" s="353">
        <v>3870.28</v>
      </c>
      <c r="AR78" s="354"/>
      <c r="AS78" s="354"/>
      <c r="AT78" s="354"/>
      <c r="AU78" s="91">
        <f t="shared" si="448"/>
        <v>8429.85</v>
      </c>
      <c r="AV78" s="92">
        <f t="shared" ref="AV78:AV81" si="461">IFERROR(AU78-AO78,"-")</f>
        <v>-181598.35</v>
      </c>
      <c r="AW78" s="93">
        <f t="shared" ref="AW78:AW81" si="462">IFERROR(AU78/AO78-1,"-")</f>
        <v>-0.9556389525</v>
      </c>
      <c r="AX78" s="96">
        <f>($BR$78-($L$78+$P$78))*AX77</f>
        <v>285042.3</v>
      </c>
      <c r="AY78" s="91">
        <v>0.0</v>
      </c>
      <c r="AZ78" s="92">
        <f t="shared" ref="AZ78:AZ81" si="463">IFERROR(AY78-AX78,"-")</f>
        <v>-285042.3</v>
      </c>
      <c r="BA78" s="93">
        <f t="shared" ref="BA78:BA81" si="464">IFERROR(AY78/AX78-1,"-")</f>
        <v>-1</v>
      </c>
      <c r="BB78" s="96">
        <f>($BR$78-($L$78+$P$78))*BB77</f>
        <v>285042.3</v>
      </c>
      <c r="BC78" s="227">
        <v>0.0</v>
      </c>
      <c r="BD78" s="92">
        <f t="shared" ref="BD78:BD81" si="465">IFERROR(BC78-BB78,"-")</f>
        <v>-285042.3</v>
      </c>
      <c r="BE78" s="93">
        <f t="shared" ref="BE78:BE81" si="466">IFERROR(BC78/BB78-1,"-")</f>
        <v>-1</v>
      </c>
      <c r="BF78" s="96">
        <f>($BR$78-($L$78+$P$78))*BF77</f>
        <v>228033.84</v>
      </c>
      <c r="BG78" s="91">
        <v>0.0</v>
      </c>
      <c r="BH78" s="92">
        <f t="shared" ref="BH78:BH81" si="467">IFERROR(BG78-BF78,"-")</f>
        <v>-228033.84</v>
      </c>
      <c r="BI78" s="93">
        <f t="shared" ref="BI78:BI81" si="468">IFERROR(BG78/BF78-1,"-")</f>
        <v>-1</v>
      </c>
      <c r="BJ78" s="96">
        <f>($BR$78-($L$78+$P$78))*BJ77</f>
        <v>304045.12</v>
      </c>
      <c r="BK78" s="91">
        <v>0.0</v>
      </c>
      <c r="BL78" s="92">
        <f t="shared" ref="BL78:BL81" si="469">IFERROR(BK78-BJ78,"-")</f>
        <v>-304045.12</v>
      </c>
      <c r="BM78" s="93">
        <f t="shared" ref="BM78:BM81" si="470">IFERROR(BK78/BJ78-1,"-")</f>
        <v>-1</v>
      </c>
      <c r="BN78" s="91">
        <f>($BR$78-($L$78+$P$78))*BN77</f>
        <v>247036.66</v>
      </c>
      <c r="BO78" s="91">
        <v>0.0</v>
      </c>
      <c r="BP78" s="92">
        <f t="shared" ref="BP78:BP81" si="471">IFERROR(BO78-BN78,"-")</f>
        <v>-247036.66</v>
      </c>
      <c r="BQ78" s="95">
        <f t="shared" ref="BQ78:BQ81" si="472">IFERROR(BO78/BN78-1,"-")</f>
        <v>-1</v>
      </c>
      <c r="BR78" s="101">
        <v>2000000.0</v>
      </c>
      <c r="BS78" s="102">
        <f t="shared" ref="BS78:BS79" si="473">SUM(M78,Q78,U78,Y78,AC78,AG78,AU78,AY78,BC78,BG78,BK78,BO78)</f>
        <v>188547.87</v>
      </c>
      <c r="BT78" s="104">
        <f t="shared" ref="BT78:BT81" si="474">IFERROR(BS78/BR78-1,"-")</f>
        <v>-0.905726065</v>
      </c>
      <c r="BU78" s="105">
        <v>195455.9</v>
      </c>
      <c r="BV78" s="106">
        <f t="shared" ref="BV78:BV79" si="475">BR78/BU78</f>
        <v>10.23248723</v>
      </c>
      <c r="BW78" s="3"/>
      <c r="BX78" s="3"/>
      <c r="BY78" s="3"/>
      <c r="BZ78" s="3"/>
      <c r="CA78" s="3"/>
      <c r="CB78" s="3"/>
    </row>
    <row r="79" ht="15.75" customHeight="1">
      <c r="A79" s="1"/>
      <c r="B79" s="142"/>
      <c r="C79" s="143"/>
      <c r="D79" s="144"/>
      <c r="E79" s="192"/>
      <c r="F79" s="146"/>
      <c r="G79" s="147"/>
      <c r="H79" s="148"/>
      <c r="I79" s="149"/>
      <c r="J79" s="72" t="s">
        <v>67</v>
      </c>
      <c r="K79" s="107"/>
      <c r="L79" s="108">
        <f>L78/$K$80</f>
        <v>440.6491228</v>
      </c>
      <c r="M79" s="109">
        <v>430.0</v>
      </c>
      <c r="N79" s="110">
        <f t="shared" si="449"/>
        <v>-10.64912281</v>
      </c>
      <c r="O79" s="93">
        <f t="shared" si="450"/>
        <v>-0.02416689891</v>
      </c>
      <c r="P79" s="108">
        <f>P78/$K$80</f>
        <v>434.0701754</v>
      </c>
      <c r="Q79" s="109">
        <v>424.0</v>
      </c>
      <c r="R79" s="110">
        <f t="shared" si="451"/>
        <v>-10.07017544</v>
      </c>
      <c r="S79" s="95">
        <f t="shared" si="452"/>
        <v>-0.02319941799</v>
      </c>
      <c r="T79" s="112">
        <f>T78/$K$80</f>
        <v>500.0742105</v>
      </c>
      <c r="U79" s="109">
        <v>217.0</v>
      </c>
      <c r="V79" s="110">
        <f t="shared" si="453"/>
        <v>-283.0742105</v>
      </c>
      <c r="W79" s="93">
        <f t="shared" si="454"/>
        <v>-0.5660644052</v>
      </c>
      <c r="X79" s="112">
        <f>X78/$K$80</f>
        <v>500.0742105</v>
      </c>
      <c r="Y79" s="109">
        <v>249.0</v>
      </c>
      <c r="Z79" s="110">
        <f t="shared" si="455"/>
        <v>-251.0742105</v>
      </c>
      <c r="AA79" s="93">
        <f t="shared" si="456"/>
        <v>-0.5020739027</v>
      </c>
      <c r="AB79" s="112">
        <f>AB78/$K$80</f>
        <v>833.4570175</v>
      </c>
      <c r="AC79" s="109">
        <v>222.0</v>
      </c>
      <c r="AD79" s="110">
        <f t="shared" si="457"/>
        <v>-611.4570175</v>
      </c>
      <c r="AE79" s="93">
        <f t="shared" si="458"/>
        <v>-0.7336395335</v>
      </c>
      <c r="AF79" s="112">
        <f>AF78/$K$80</f>
        <v>1333.531228</v>
      </c>
      <c r="AG79" s="114">
        <v>43.0</v>
      </c>
      <c r="AH79" s="114">
        <v>18.0</v>
      </c>
      <c r="AI79" s="114">
        <v>25.0</v>
      </c>
      <c r="AJ79" s="114">
        <v>25.0</v>
      </c>
      <c r="AK79" s="114">
        <v>15.0</v>
      </c>
      <c r="AL79" s="358">
        <f t="shared" si="447"/>
        <v>126</v>
      </c>
      <c r="AM79" s="110">
        <f t="shared" si="459"/>
        <v>-1207.531228</v>
      </c>
      <c r="AN79" s="93">
        <f t="shared" si="460"/>
        <v>-0.9055140237</v>
      </c>
      <c r="AO79" s="112">
        <f>AO78/$K$80</f>
        <v>1666.914035</v>
      </c>
      <c r="AP79" s="114">
        <v>36.0</v>
      </c>
      <c r="AQ79" s="356">
        <v>32.0</v>
      </c>
      <c r="AR79" s="357"/>
      <c r="AS79" s="357"/>
      <c r="AT79" s="357"/>
      <c r="AU79" s="109">
        <f t="shared" si="448"/>
        <v>68</v>
      </c>
      <c r="AV79" s="110">
        <f t="shared" si="461"/>
        <v>-1598.914035</v>
      </c>
      <c r="AW79" s="93">
        <f t="shared" si="462"/>
        <v>-0.9592060547</v>
      </c>
      <c r="AX79" s="112">
        <f>AX78/$K$80</f>
        <v>2500.371053</v>
      </c>
      <c r="AY79" s="109">
        <v>0.0</v>
      </c>
      <c r="AZ79" s="110">
        <f t="shared" si="463"/>
        <v>-2500.371053</v>
      </c>
      <c r="BA79" s="93">
        <f t="shared" si="464"/>
        <v>-1</v>
      </c>
      <c r="BB79" s="112">
        <f>BB78/$K$80</f>
        <v>2500.371053</v>
      </c>
      <c r="BC79" s="109">
        <v>0.0</v>
      </c>
      <c r="BD79" s="110">
        <f t="shared" si="465"/>
        <v>-2500.371053</v>
      </c>
      <c r="BE79" s="93">
        <f t="shared" si="466"/>
        <v>-1</v>
      </c>
      <c r="BF79" s="112">
        <f>BF78/$K$80</f>
        <v>2000.296842</v>
      </c>
      <c r="BG79" s="109">
        <v>0.0</v>
      </c>
      <c r="BH79" s="110">
        <f t="shared" si="467"/>
        <v>-2000.296842</v>
      </c>
      <c r="BI79" s="93">
        <f t="shared" si="468"/>
        <v>-1</v>
      </c>
      <c r="BJ79" s="112">
        <f>BJ78/$K$80</f>
        <v>2667.062456</v>
      </c>
      <c r="BK79" s="109">
        <v>0.0</v>
      </c>
      <c r="BL79" s="110">
        <f t="shared" si="469"/>
        <v>-2667.062456</v>
      </c>
      <c r="BM79" s="93">
        <f t="shared" si="470"/>
        <v>-1</v>
      </c>
      <c r="BN79" s="109">
        <f>BN78/$K$80</f>
        <v>2166.988246</v>
      </c>
      <c r="BO79" s="109">
        <v>0.0</v>
      </c>
      <c r="BP79" s="110">
        <f t="shared" si="471"/>
        <v>-2166.988246</v>
      </c>
      <c r="BQ79" s="95">
        <f t="shared" si="472"/>
        <v>-1</v>
      </c>
      <c r="BR79" s="206">
        <f>SUM(L79,P79,T79,X79,AB79,AF79,AO79,AX79,BB79,BF79,BJ79,BN79)</f>
        <v>17543.85965</v>
      </c>
      <c r="BS79" s="207">
        <f t="shared" si="473"/>
        <v>1653</v>
      </c>
      <c r="BT79" s="104">
        <f t="shared" si="474"/>
        <v>-0.905779</v>
      </c>
      <c r="BU79" s="119">
        <v>1727.0</v>
      </c>
      <c r="BV79" s="106">
        <f t="shared" si="475"/>
        <v>10.15857536</v>
      </c>
      <c r="BW79" s="3"/>
      <c r="BX79" s="3"/>
      <c r="BY79" s="3"/>
      <c r="BZ79" s="3"/>
      <c r="CA79" s="3"/>
      <c r="CB79" s="3"/>
    </row>
    <row r="80" ht="15.75" customHeight="1">
      <c r="A80" s="1"/>
      <c r="B80" s="142"/>
      <c r="C80" s="143"/>
      <c r="D80" s="144"/>
      <c r="E80" s="192"/>
      <c r="F80" s="146"/>
      <c r="G80" s="147"/>
      <c r="H80" s="148"/>
      <c r="I80" s="149"/>
      <c r="J80" s="72" t="s">
        <v>68</v>
      </c>
      <c r="K80" s="107">
        <v>114.0</v>
      </c>
      <c r="L80" s="171">
        <f>L78/L79</f>
        <v>114</v>
      </c>
      <c r="M80" s="91">
        <f>IFERROR(M78/M79,"-")</f>
        <v>116.823814</v>
      </c>
      <c r="N80" s="92">
        <f t="shared" si="449"/>
        <v>2.823813953</v>
      </c>
      <c r="O80" s="93">
        <f t="shared" si="450"/>
        <v>0.02477029784</v>
      </c>
      <c r="P80" s="90">
        <f t="shared" ref="P80:Q80" si="476">IFERROR(P78/P79,"-")</f>
        <v>114</v>
      </c>
      <c r="Q80" s="91">
        <f t="shared" si="476"/>
        <v>115.3768396</v>
      </c>
      <c r="R80" s="92">
        <f t="shared" si="451"/>
        <v>1.376839623</v>
      </c>
      <c r="S80" s="95">
        <f t="shared" si="452"/>
        <v>0.01207754055</v>
      </c>
      <c r="T80" s="112">
        <f>T78/T79</f>
        <v>114</v>
      </c>
      <c r="U80" s="91">
        <f>IFERROR(U78/U79,"-")</f>
        <v>117.1326267</v>
      </c>
      <c r="V80" s="92">
        <f t="shared" si="453"/>
        <v>3.132626728</v>
      </c>
      <c r="W80" s="93">
        <f t="shared" si="454"/>
        <v>0.02747918183</v>
      </c>
      <c r="X80" s="96">
        <f t="shared" ref="X80:Y80" si="477">IFERROR(X78/X79,"-")</f>
        <v>114</v>
      </c>
      <c r="Y80" s="91">
        <f t="shared" si="477"/>
        <v>105.9117671</v>
      </c>
      <c r="Z80" s="92">
        <f t="shared" si="455"/>
        <v>-8.088232932</v>
      </c>
      <c r="AA80" s="93">
        <f t="shared" si="456"/>
        <v>-0.07094941168</v>
      </c>
      <c r="AB80" s="112">
        <f>AB78/AB79</f>
        <v>114</v>
      </c>
      <c r="AC80" s="91">
        <f>IFERROR(AC78/AC79,"-")</f>
        <v>109.8522973</v>
      </c>
      <c r="AD80" s="92">
        <f t="shared" si="457"/>
        <v>-4.147702703</v>
      </c>
      <c r="AE80" s="93">
        <f t="shared" si="458"/>
        <v>-0.03638335704</v>
      </c>
      <c r="AF80" s="385">
        <f>AF78/AF79</f>
        <v>114</v>
      </c>
      <c r="AG80" s="370">
        <f t="shared" ref="AG80:AL80" si="478">IFERROR(AG78/AG79,"-")</f>
        <v>111.3251163</v>
      </c>
      <c r="AH80" s="370">
        <f t="shared" si="478"/>
        <v>85.66166667</v>
      </c>
      <c r="AI80" s="370">
        <f t="shared" si="478"/>
        <v>101.1508</v>
      </c>
      <c r="AJ80" s="370">
        <f t="shared" si="478"/>
        <v>124.138</v>
      </c>
      <c r="AK80" s="370">
        <f t="shared" si="478"/>
        <v>143.4953333</v>
      </c>
      <c r="AL80" s="372">
        <f t="shared" si="478"/>
        <v>112.0122222</v>
      </c>
      <c r="AM80" s="92">
        <f t="shared" si="459"/>
        <v>-1.987777778</v>
      </c>
      <c r="AN80" s="93">
        <f t="shared" si="460"/>
        <v>-0.01743664717</v>
      </c>
      <c r="AO80" s="112">
        <f>AO78/AO79</f>
        <v>114</v>
      </c>
      <c r="AP80" s="91">
        <f t="shared" ref="AP80:AU80" si="479">IFERROR(AP78/AP79,"-")</f>
        <v>126.6547222</v>
      </c>
      <c r="AQ80" s="91">
        <f t="shared" si="479"/>
        <v>120.94625</v>
      </c>
      <c r="AR80" s="359" t="str">
        <f t="shared" si="479"/>
        <v>-</v>
      </c>
      <c r="AS80" s="359" t="str">
        <f t="shared" si="479"/>
        <v>-</v>
      </c>
      <c r="AT80" s="359" t="str">
        <f t="shared" si="479"/>
        <v>-</v>
      </c>
      <c r="AU80" s="91">
        <f t="shared" si="479"/>
        <v>123.9683824</v>
      </c>
      <c r="AV80" s="92">
        <f t="shared" si="461"/>
        <v>9.968382353</v>
      </c>
      <c r="AW80" s="93">
        <f t="shared" si="462"/>
        <v>0.08744195046</v>
      </c>
      <c r="AX80" s="112">
        <f>AX78/AX79</f>
        <v>114</v>
      </c>
      <c r="AY80" s="91" t="str">
        <f>IFERROR(AY78/AY79,"-")</f>
        <v>-</v>
      </c>
      <c r="AZ80" s="92" t="str">
        <f t="shared" si="463"/>
        <v>-</v>
      </c>
      <c r="BA80" s="93" t="str">
        <f t="shared" si="464"/>
        <v>-</v>
      </c>
      <c r="BB80" s="112">
        <f>BB78/BB79</f>
        <v>114</v>
      </c>
      <c r="BC80" s="91" t="str">
        <f>IFERROR(BC78/BC79,"-")</f>
        <v>-</v>
      </c>
      <c r="BD80" s="92" t="str">
        <f t="shared" si="465"/>
        <v>-</v>
      </c>
      <c r="BE80" s="93" t="str">
        <f t="shared" si="466"/>
        <v>-</v>
      </c>
      <c r="BF80" s="112">
        <f>BF78/BF79</f>
        <v>114</v>
      </c>
      <c r="BG80" s="91" t="str">
        <f>IFERROR(BG78/BG79,"-")</f>
        <v>-</v>
      </c>
      <c r="BH80" s="92" t="str">
        <f t="shared" si="467"/>
        <v>-</v>
      </c>
      <c r="BI80" s="93" t="str">
        <f t="shared" si="468"/>
        <v>-</v>
      </c>
      <c r="BJ80" s="112">
        <f>BJ78/BJ79</f>
        <v>114</v>
      </c>
      <c r="BK80" s="91" t="str">
        <f>IFERROR(BK78/BK79,"-")</f>
        <v>-</v>
      </c>
      <c r="BL80" s="92" t="str">
        <f t="shared" si="469"/>
        <v>-</v>
      </c>
      <c r="BM80" s="93" t="str">
        <f t="shared" si="470"/>
        <v>-</v>
      </c>
      <c r="BN80" s="109">
        <f>BN78/BN79</f>
        <v>114</v>
      </c>
      <c r="BO80" s="91" t="str">
        <f>IFERROR(BO78/BO79,"-")</f>
        <v>-</v>
      </c>
      <c r="BP80" s="92" t="str">
        <f t="shared" si="471"/>
        <v>-</v>
      </c>
      <c r="BQ80" s="95" t="str">
        <f t="shared" si="472"/>
        <v>-</v>
      </c>
      <c r="BR80" s="120">
        <f t="shared" ref="BR80:BS80" si="480">BR78/BR79</f>
        <v>114</v>
      </c>
      <c r="BS80" s="209">
        <f t="shared" si="480"/>
        <v>114.0640472</v>
      </c>
      <c r="BT80" s="104">
        <f t="shared" si="474"/>
        <v>0.0005618174292</v>
      </c>
      <c r="BU80" s="119">
        <f>BU78/BU79</f>
        <v>113.1765489</v>
      </c>
      <c r="BV80" s="106">
        <f>BR80/BU80-1</f>
        <v>0.007275810042</v>
      </c>
      <c r="BW80" s="3"/>
      <c r="BX80" s="3"/>
      <c r="BY80" s="3"/>
      <c r="BZ80" s="3"/>
      <c r="CA80" s="3"/>
      <c r="CB80" s="3"/>
    </row>
    <row r="81" ht="15.75" customHeight="1">
      <c r="A81" s="1"/>
      <c r="B81" s="142"/>
      <c r="C81" s="143"/>
      <c r="D81" s="144"/>
      <c r="E81" s="192"/>
      <c r="F81" s="146"/>
      <c r="G81" s="147"/>
      <c r="H81" s="148"/>
      <c r="I81" s="149"/>
      <c r="J81" s="124" t="s">
        <v>69</v>
      </c>
      <c r="K81" s="125">
        <v>0.039</v>
      </c>
      <c r="L81" s="132">
        <f t="shared" ref="L81:M81" si="481">L78*$K$81</f>
        <v>1959.126</v>
      </c>
      <c r="M81" s="127">
        <f t="shared" si="481"/>
        <v>1959.13536</v>
      </c>
      <c r="N81" s="128">
        <f t="shared" si="449"/>
        <v>0.00936</v>
      </c>
      <c r="O81" s="129">
        <f t="shared" si="450"/>
        <v>0.000004777640642</v>
      </c>
      <c r="P81" s="132">
        <f t="shared" ref="P81:Q81" si="482">P78*$K$81</f>
        <v>1929.876</v>
      </c>
      <c r="Q81" s="127">
        <f t="shared" si="482"/>
        <v>1907.87142</v>
      </c>
      <c r="R81" s="128">
        <f t="shared" si="451"/>
        <v>-22.00458</v>
      </c>
      <c r="S81" s="131">
        <f t="shared" si="452"/>
        <v>-0.01140206936</v>
      </c>
      <c r="T81" s="132">
        <f t="shared" ref="T81:U81" si="483">T78*$K$81</f>
        <v>2223.32994</v>
      </c>
      <c r="U81" s="127">
        <f t="shared" si="483"/>
        <v>991.29342</v>
      </c>
      <c r="V81" s="128">
        <f t="shared" si="453"/>
        <v>-1232.03652</v>
      </c>
      <c r="W81" s="129">
        <f t="shared" si="454"/>
        <v>-0.5541402101</v>
      </c>
      <c r="X81" s="132">
        <f t="shared" ref="X81:Y81" si="484">X78*$K$81</f>
        <v>2223.32994</v>
      </c>
      <c r="Y81" s="127">
        <f t="shared" si="484"/>
        <v>1028.50917</v>
      </c>
      <c r="Z81" s="128">
        <f t="shared" si="455"/>
        <v>-1194.82077</v>
      </c>
      <c r="AA81" s="129">
        <f t="shared" si="456"/>
        <v>-0.5374014664</v>
      </c>
      <c r="AB81" s="132">
        <f t="shared" ref="AB81:AC81" si="485">AB78*$K$81</f>
        <v>3705.5499</v>
      </c>
      <c r="AC81" s="127">
        <f t="shared" si="485"/>
        <v>951.10119</v>
      </c>
      <c r="AD81" s="128">
        <f t="shared" si="457"/>
        <v>-2754.44871</v>
      </c>
      <c r="AE81" s="134">
        <f t="shared" si="458"/>
        <v>-0.7433306215</v>
      </c>
      <c r="AF81" s="373">
        <f t="shared" ref="AF81:AL81" si="486">AF78*$K$81</f>
        <v>5928.87984</v>
      </c>
      <c r="AG81" s="374">
        <f t="shared" si="486"/>
        <v>186.69222</v>
      </c>
      <c r="AH81" s="374">
        <f t="shared" si="486"/>
        <v>60.13449</v>
      </c>
      <c r="AI81" s="374">
        <f t="shared" si="486"/>
        <v>98.62203</v>
      </c>
      <c r="AJ81" s="374">
        <f t="shared" si="486"/>
        <v>121.03455</v>
      </c>
      <c r="AK81" s="374">
        <f t="shared" si="486"/>
        <v>83.94477</v>
      </c>
      <c r="AL81" s="375">
        <f t="shared" si="486"/>
        <v>550.42806</v>
      </c>
      <c r="AM81" s="376">
        <f t="shared" si="459"/>
        <v>-5378.45178</v>
      </c>
      <c r="AN81" s="129">
        <f t="shared" si="460"/>
        <v>-0.9071615423</v>
      </c>
      <c r="AO81" s="132">
        <f>AO78*$K$81</f>
        <v>7411.0998</v>
      </c>
      <c r="AP81" s="130">
        <f t="shared" ref="AP81:AT81" si="487">AP78*$K$9</f>
        <v>223.41893</v>
      </c>
      <c r="AQ81" s="130">
        <f t="shared" si="487"/>
        <v>189.64372</v>
      </c>
      <c r="AR81" s="361">
        <f t="shared" si="487"/>
        <v>0</v>
      </c>
      <c r="AS81" s="361">
        <f t="shared" si="487"/>
        <v>0</v>
      </c>
      <c r="AT81" s="361">
        <f t="shared" si="487"/>
        <v>0</v>
      </c>
      <c r="AU81" s="127">
        <f>AU78*$K$81</f>
        <v>328.76415</v>
      </c>
      <c r="AV81" s="128">
        <f t="shared" si="461"/>
        <v>-7082.33565</v>
      </c>
      <c r="AW81" s="129">
        <f t="shared" si="462"/>
        <v>-0.9556389525</v>
      </c>
      <c r="AX81" s="132">
        <f t="shared" ref="AX81:AY81" si="488">AX78*$K$81</f>
        <v>11116.6497</v>
      </c>
      <c r="AY81" s="127">
        <f t="shared" si="488"/>
        <v>0</v>
      </c>
      <c r="AZ81" s="128">
        <f t="shared" si="463"/>
        <v>-11116.6497</v>
      </c>
      <c r="BA81" s="129">
        <f t="shared" si="464"/>
        <v>-1</v>
      </c>
      <c r="BB81" s="132">
        <f t="shared" ref="BB81:BC81" si="489">BB78*$K$81</f>
        <v>11116.6497</v>
      </c>
      <c r="BC81" s="127">
        <f t="shared" si="489"/>
        <v>0</v>
      </c>
      <c r="BD81" s="128">
        <f t="shared" si="465"/>
        <v>-11116.6497</v>
      </c>
      <c r="BE81" s="129">
        <f t="shared" si="466"/>
        <v>-1</v>
      </c>
      <c r="BF81" s="132">
        <f t="shared" ref="BF81:BG81" si="490">BF78*$K$81</f>
        <v>8893.31976</v>
      </c>
      <c r="BG81" s="127">
        <f t="shared" si="490"/>
        <v>0</v>
      </c>
      <c r="BH81" s="128">
        <f t="shared" si="467"/>
        <v>-8893.31976</v>
      </c>
      <c r="BI81" s="129">
        <f t="shared" si="468"/>
        <v>-1</v>
      </c>
      <c r="BJ81" s="132">
        <f t="shared" ref="BJ81:BK81" si="491">BJ78*$K$81</f>
        <v>11857.75968</v>
      </c>
      <c r="BK81" s="127">
        <f t="shared" si="491"/>
        <v>0</v>
      </c>
      <c r="BL81" s="128">
        <f t="shared" si="469"/>
        <v>-11857.75968</v>
      </c>
      <c r="BM81" s="129">
        <f t="shared" si="470"/>
        <v>-1</v>
      </c>
      <c r="BN81" s="127">
        <f t="shared" ref="BN81:BO81" si="492">BN78*$K$81</f>
        <v>9634.42974</v>
      </c>
      <c r="BO81" s="127">
        <f t="shared" si="492"/>
        <v>0</v>
      </c>
      <c r="BP81" s="128">
        <f t="shared" si="471"/>
        <v>-9634.42974</v>
      </c>
      <c r="BQ81" s="131">
        <f t="shared" si="472"/>
        <v>-1</v>
      </c>
      <c r="BR81" s="135">
        <f>SUM(L81,P81,T81,X81,AB81,AF81,AO81,AX81,BB81,BF81,BJ81,BN81)</f>
        <v>78000</v>
      </c>
      <c r="BS81" s="213">
        <f>SUM(M81,Q81,U81,Y81,AC81,AG81,AU81,AY81,BC81,BG81,BK81,BO81)</f>
        <v>7353.36693</v>
      </c>
      <c r="BT81" s="139">
        <f t="shared" si="474"/>
        <v>-0.905726065</v>
      </c>
      <c r="BU81" s="140">
        <f>BU78*$K$81+8*199</f>
        <v>9214.7801</v>
      </c>
      <c r="BV81" s="141">
        <f>BR81/BU81</f>
        <v>8.464662114</v>
      </c>
      <c r="BW81" s="3"/>
      <c r="BX81" s="3"/>
      <c r="BY81" s="3"/>
      <c r="BZ81" s="3"/>
      <c r="CA81" s="3"/>
      <c r="CB81" s="3"/>
    </row>
    <row r="82" ht="15.75" customHeight="1">
      <c r="A82" s="1"/>
      <c r="B82" s="142"/>
      <c r="C82" s="143"/>
      <c r="D82" s="144"/>
      <c r="E82" s="192"/>
      <c r="F82" s="146"/>
      <c r="G82" s="147"/>
      <c r="H82" s="148"/>
      <c r="I82" s="149"/>
      <c r="J82" s="12"/>
      <c r="K82" s="195"/>
      <c r="L82" s="185"/>
      <c r="M82" s="185"/>
      <c r="N82" s="185"/>
      <c r="O82" s="185"/>
      <c r="P82" s="185"/>
      <c r="Q82" s="214"/>
      <c r="R82" s="185"/>
      <c r="S82" s="185"/>
      <c r="T82" s="185"/>
      <c r="U82" s="185"/>
      <c r="V82" s="185"/>
      <c r="W82" s="185"/>
      <c r="X82" s="186"/>
      <c r="Y82" s="14"/>
      <c r="Z82" s="15"/>
      <c r="AA82" s="3"/>
      <c r="AB82" s="3"/>
      <c r="AC82" s="3"/>
      <c r="AD82" s="3"/>
      <c r="AE82" s="3"/>
      <c r="AF82" s="3"/>
      <c r="AP82" s="363"/>
      <c r="AQ82" s="363"/>
      <c r="AR82" s="363"/>
      <c r="AS82" s="363"/>
      <c r="AT82" s="363"/>
      <c r="BA82" s="187"/>
      <c r="BB82" s="25"/>
      <c r="BC82" s="188"/>
      <c r="BD82" s="25"/>
    </row>
    <row r="83" ht="15.75" customHeight="1">
      <c r="A83" s="1"/>
      <c r="B83" s="142"/>
      <c r="C83" s="143"/>
      <c r="D83" s="144"/>
      <c r="E83" s="192"/>
      <c r="F83" s="146"/>
      <c r="G83" s="147"/>
      <c r="H83" s="148"/>
      <c r="I83" s="149"/>
      <c r="J83" s="34" t="s">
        <v>92</v>
      </c>
      <c r="K83" s="35"/>
      <c r="L83" s="36" t="s">
        <v>10</v>
      </c>
      <c r="M83" s="37" t="s">
        <v>11</v>
      </c>
      <c r="N83" s="38" t="s">
        <v>12</v>
      </c>
      <c r="O83" s="39" t="s">
        <v>13</v>
      </c>
      <c r="P83" s="157" t="s">
        <v>14</v>
      </c>
      <c r="Q83" s="199" t="s">
        <v>15</v>
      </c>
      <c r="R83" s="38" t="s">
        <v>16</v>
      </c>
      <c r="S83" s="42" t="s">
        <v>17</v>
      </c>
      <c r="T83" s="43" t="s">
        <v>18</v>
      </c>
      <c r="U83" s="199" t="s">
        <v>19</v>
      </c>
      <c r="V83" s="38" t="s">
        <v>20</v>
      </c>
      <c r="W83" s="45" t="s">
        <v>21</v>
      </c>
      <c r="X83" s="44" t="s">
        <v>22</v>
      </c>
      <c r="Y83" s="199" t="s">
        <v>23</v>
      </c>
      <c r="Z83" s="38" t="s">
        <v>24</v>
      </c>
      <c r="AA83" s="45" t="s">
        <v>25</v>
      </c>
      <c r="AB83" s="43" t="s">
        <v>26</v>
      </c>
      <c r="AC83" s="199" t="s">
        <v>27</v>
      </c>
      <c r="AD83" s="38" t="s">
        <v>28</v>
      </c>
      <c r="AE83" s="45" t="s">
        <v>29</v>
      </c>
      <c r="AF83" s="44" t="s">
        <v>30</v>
      </c>
      <c r="AG83" s="343" t="s">
        <v>120</v>
      </c>
      <c r="AH83" s="344" t="s">
        <v>121</v>
      </c>
      <c r="AI83" s="344" t="s">
        <v>122</v>
      </c>
      <c r="AJ83" s="344" t="s">
        <v>123</v>
      </c>
      <c r="AK83" s="344" t="s">
        <v>124</v>
      </c>
      <c r="AL83" s="344" t="s">
        <v>31</v>
      </c>
      <c r="AM83" s="38" t="s">
        <v>32</v>
      </c>
      <c r="AN83" s="45" t="s">
        <v>33</v>
      </c>
      <c r="AO83" s="43" t="s">
        <v>34</v>
      </c>
      <c r="AP83" s="343" t="s">
        <v>125</v>
      </c>
      <c r="AQ83" s="344" t="s">
        <v>126</v>
      </c>
      <c r="AR83" s="344" t="s">
        <v>127</v>
      </c>
      <c r="AS83" s="344" t="s">
        <v>128</v>
      </c>
      <c r="AT83" s="344" t="s">
        <v>129</v>
      </c>
      <c r="AU83" s="41" t="s">
        <v>35</v>
      </c>
      <c r="AV83" s="38" t="s">
        <v>36</v>
      </c>
      <c r="AW83" s="45" t="s">
        <v>37</v>
      </c>
      <c r="AX83" s="44" t="s">
        <v>38</v>
      </c>
      <c r="AY83" s="199" t="s">
        <v>39</v>
      </c>
      <c r="AZ83" s="38" t="s">
        <v>40</v>
      </c>
      <c r="BA83" s="45" t="s">
        <v>41</v>
      </c>
      <c r="BB83" s="43" t="s">
        <v>42</v>
      </c>
      <c r="BC83" s="199" t="s">
        <v>43</v>
      </c>
      <c r="BD83" s="38" t="s">
        <v>44</v>
      </c>
      <c r="BE83" s="45" t="s">
        <v>45</v>
      </c>
      <c r="BF83" s="44" t="s">
        <v>46</v>
      </c>
      <c r="BG83" s="199" t="s">
        <v>47</v>
      </c>
      <c r="BH83" s="38" t="s">
        <v>48</v>
      </c>
      <c r="BI83" s="45" t="s">
        <v>49</v>
      </c>
      <c r="BJ83" s="43" t="s">
        <v>50</v>
      </c>
      <c r="BK83" s="199" t="s">
        <v>51</v>
      </c>
      <c r="BL83" s="38" t="s">
        <v>52</v>
      </c>
      <c r="BM83" s="45" t="s">
        <v>53</v>
      </c>
      <c r="BN83" s="201" t="s">
        <v>54</v>
      </c>
      <c r="BO83" s="199" t="s">
        <v>55</v>
      </c>
      <c r="BP83" s="38" t="s">
        <v>56</v>
      </c>
      <c r="BQ83" s="42" t="s">
        <v>57</v>
      </c>
      <c r="BR83" s="345">
        <v>2026.0</v>
      </c>
      <c r="BS83" s="37" t="s">
        <v>61</v>
      </c>
      <c r="BT83" s="51" t="s">
        <v>62</v>
      </c>
      <c r="BU83" s="52">
        <v>2025.0</v>
      </c>
      <c r="BV83" s="53"/>
      <c r="BW83" s="3"/>
      <c r="BX83" s="3"/>
      <c r="BY83" s="3"/>
      <c r="BZ83" s="3"/>
      <c r="CA83" s="3"/>
      <c r="CB83" s="3"/>
    </row>
    <row r="84" ht="15.75" customHeight="1">
      <c r="A84" s="1"/>
      <c r="B84" s="142"/>
      <c r="C84" s="143"/>
      <c r="D84" s="144"/>
      <c r="E84" s="192"/>
      <c r="F84" s="146"/>
      <c r="G84" s="228"/>
      <c r="H84" s="229"/>
      <c r="I84" s="230"/>
      <c r="J84" s="346" t="s">
        <v>130</v>
      </c>
      <c r="K84" s="55"/>
      <c r="L84" s="56"/>
      <c r="M84" s="57"/>
      <c r="N84" s="58"/>
      <c r="O84" s="59"/>
      <c r="P84" s="56"/>
      <c r="Q84" s="202"/>
      <c r="R84" s="58"/>
      <c r="S84" s="61"/>
      <c r="T84" s="62"/>
      <c r="U84" s="63"/>
      <c r="V84" s="58"/>
      <c r="W84" s="59"/>
      <c r="X84" s="62"/>
      <c r="Y84" s="63"/>
      <c r="Z84" s="58"/>
      <c r="AA84" s="59"/>
      <c r="AB84" s="62"/>
      <c r="AC84" s="63"/>
      <c r="AD84" s="58"/>
      <c r="AE84" s="59"/>
      <c r="AF84" s="62"/>
      <c r="AG84" s="347">
        <f t="shared" ref="AG84:AK84" si="493">$AF$85/5</f>
        <v>0.012</v>
      </c>
      <c r="AH84" s="347">
        <f t="shared" si="493"/>
        <v>0.012</v>
      </c>
      <c r="AI84" s="347">
        <f t="shared" si="493"/>
        <v>0.012</v>
      </c>
      <c r="AJ84" s="347">
        <f t="shared" si="493"/>
        <v>0.012</v>
      </c>
      <c r="AK84" s="347">
        <f t="shared" si="493"/>
        <v>0.012</v>
      </c>
      <c r="AL84" s="347"/>
      <c r="AM84" s="58"/>
      <c r="AN84" s="59"/>
      <c r="AO84" s="62"/>
      <c r="AP84" s="347">
        <f t="shared" ref="AP84:AT84" si="494">$AO$85/5</f>
        <v>0.016</v>
      </c>
      <c r="AQ84" s="347">
        <f t="shared" si="494"/>
        <v>0.016</v>
      </c>
      <c r="AR84" s="347">
        <f t="shared" si="494"/>
        <v>0.016</v>
      </c>
      <c r="AS84" s="347">
        <f t="shared" si="494"/>
        <v>0.016</v>
      </c>
      <c r="AT84" s="347">
        <f t="shared" si="494"/>
        <v>0.016</v>
      </c>
      <c r="AU84" s="63"/>
      <c r="AV84" s="58"/>
      <c r="AW84" s="59"/>
      <c r="AX84" s="62"/>
      <c r="AY84" s="63"/>
      <c r="AZ84" s="58"/>
      <c r="BA84" s="59"/>
      <c r="BB84" s="62"/>
      <c r="BC84" s="63"/>
      <c r="BD84" s="58"/>
      <c r="BE84" s="59"/>
      <c r="BF84" s="62"/>
      <c r="BG84" s="63"/>
      <c r="BH84" s="58"/>
      <c r="BI84" s="59"/>
      <c r="BJ84" s="62"/>
      <c r="BK84" s="63"/>
      <c r="BL84" s="58"/>
      <c r="BM84" s="59"/>
      <c r="BN84" s="203"/>
      <c r="BO84" s="63"/>
      <c r="BP84" s="58"/>
      <c r="BQ84" s="61"/>
      <c r="BR84" s="66"/>
      <c r="BS84" s="349"/>
      <c r="BT84" s="69"/>
      <c r="BU84" s="70"/>
      <c r="BV84" s="71"/>
      <c r="BW84" s="3"/>
      <c r="BX84" s="3"/>
      <c r="BY84" s="3"/>
      <c r="BZ84" s="3"/>
      <c r="CA84" s="3"/>
      <c r="CB84" s="3"/>
    </row>
    <row r="85" ht="15.75" customHeight="1">
      <c r="A85" s="1"/>
      <c r="B85" s="142">
        <v>12.0</v>
      </c>
      <c r="C85" s="143" t="s">
        <v>93</v>
      </c>
      <c r="D85" s="144"/>
      <c r="E85" s="192"/>
      <c r="F85" s="146"/>
      <c r="G85" s="228">
        <v>1.776575282001109E7</v>
      </c>
      <c r="H85" s="229">
        <v>181714.0</v>
      </c>
      <c r="I85" s="230">
        <v>97.76766138003175</v>
      </c>
      <c r="J85" s="72" t="s">
        <v>64</v>
      </c>
      <c r="K85" s="73"/>
      <c r="L85" s="74" t="s">
        <v>63</v>
      </c>
      <c r="M85" s="75" t="s">
        <v>63</v>
      </c>
      <c r="N85" s="76" t="s">
        <v>63</v>
      </c>
      <c r="O85" s="77" t="s">
        <v>65</v>
      </c>
      <c r="P85" s="74" t="s">
        <v>63</v>
      </c>
      <c r="Q85" s="204" t="s">
        <v>63</v>
      </c>
      <c r="R85" s="76" t="s">
        <v>63</v>
      </c>
      <c r="S85" s="79" t="s">
        <v>65</v>
      </c>
      <c r="T85" s="80">
        <v>0.025</v>
      </c>
      <c r="U85" s="81">
        <f>U86/(BR86-(L86 + P86))</f>
        <v>0.03731173259</v>
      </c>
      <c r="V85" s="76" t="s">
        <v>63</v>
      </c>
      <c r="W85" s="77" t="s">
        <v>65</v>
      </c>
      <c r="X85" s="80">
        <v>0.025</v>
      </c>
      <c r="Y85" s="81">
        <f>Y86/(BR86-(L86+P86))</f>
        <v>0.02815956264</v>
      </c>
      <c r="Z85" s="76" t="s">
        <v>63</v>
      </c>
      <c r="AA85" s="77" t="s">
        <v>65</v>
      </c>
      <c r="AB85" s="80">
        <v>0.04</v>
      </c>
      <c r="AC85" s="81">
        <f>AC86/(BR86-(L86+P86))</f>
        <v>0.01618314963</v>
      </c>
      <c r="AD85" s="76" t="s">
        <v>63</v>
      </c>
      <c r="AE85" s="77" t="s">
        <v>65</v>
      </c>
      <c r="AF85" s="80">
        <v>0.06</v>
      </c>
      <c r="AG85" s="350">
        <f t="shared" ref="AG85:AK85" si="495">AG86/($BR$86-($L$86+$P$86))</f>
        <v>0.004129045873</v>
      </c>
      <c r="AH85" s="350">
        <f t="shared" si="495"/>
        <v>0.006058864615</v>
      </c>
      <c r="AI85" s="350">
        <f t="shared" si="495"/>
        <v>0.006338555179</v>
      </c>
      <c r="AJ85" s="350">
        <f t="shared" si="495"/>
        <v>0.004887537801</v>
      </c>
      <c r="AK85" s="350">
        <f t="shared" si="495"/>
        <v>0.001592655671</v>
      </c>
      <c r="AL85" s="351">
        <f t="shared" ref="AL85:AL87" si="497">SUM(AG85:AK85)</f>
        <v>0.02300665914</v>
      </c>
      <c r="AM85" s="352">
        <f>AL85-AF85</f>
        <v>-0.03699334086</v>
      </c>
      <c r="AN85" s="77" t="s">
        <v>65</v>
      </c>
      <c r="AO85" s="80">
        <v>0.08</v>
      </c>
      <c r="AP85" s="350">
        <f t="shared" ref="AP85:AT85" si="496">AP86/($BR$86-($L$86+$P$86))</f>
        <v>0.00534010736</v>
      </c>
      <c r="AQ85" s="350">
        <f t="shared" si="496"/>
        <v>0.007481698544</v>
      </c>
      <c r="AR85" s="350">
        <f t="shared" si="496"/>
        <v>0</v>
      </c>
      <c r="AS85" s="350">
        <f t="shared" si="496"/>
        <v>0</v>
      </c>
      <c r="AT85" s="350">
        <f t="shared" si="496"/>
        <v>0</v>
      </c>
      <c r="AU85" s="351">
        <f t="shared" ref="AU85:AU87" si="498">SUM(AP85:AT85)</f>
        <v>0.0128218059</v>
      </c>
      <c r="AV85" s="76" t="s">
        <v>63</v>
      </c>
      <c r="AW85" s="77" t="s">
        <v>65</v>
      </c>
      <c r="AX85" s="80">
        <v>0.13</v>
      </c>
      <c r="AY85" s="81">
        <f>AY86/(BR86-(L86+P86))</f>
        <v>0</v>
      </c>
      <c r="AZ85" s="76" t="s">
        <v>63</v>
      </c>
      <c r="BA85" s="77" t="s">
        <v>65</v>
      </c>
      <c r="BB85" s="80">
        <v>0.13</v>
      </c>
      <c r="BC85" s="81">
        <f>BC86/(BR86-(L86+P86))</f>
        <v>0</v>
      </c>
      <c r="BD85" s="76" t="s">
        <v>63</v>
      </c>
      <c r="BE85" s="77" t="s">
        <v>65</v>
      </c>
      <c r="BF85" s="80">
        <v>0.15</v>
      </c>
      <c r="BG85" s="81">
        <f>BG86/(BR86-(L86+P86))</f>
        <v>0</v>
      </c>
      <c r="BH85" s="76" t="s">
        <v>63</v>
      </c>
      <c r="BI85" s="77" t="s">
        <v>65</v>
      </c>
      <c r="BJ85" s="80">
        <v>0.19</v>
      </c>
      <c r="BK85" s="81">
        <f>BK86/(BR86-(L86+P86))</f>
        <v>0</v>
      </c>
      <c r="BL85" s="76" t="s">
        <v>63</v>
      </c>
      <c r="BM85" s="77" t="s">
        <v>65</v>
      </c>
      <c r="BN85" s="205">
        <v>0.17</v>
      </c>
      <c r="BO85" s="81">
        <f>BO86/(BR86-(L86+P86))</f>
        <v>0</v>
      </c>
      <c r="BP85" s="76" t="s">
        <v>63</v>
      </c>
      <c r="BQ85" s="79" t="s">
        <v>65</v>
      </c>
      <c r="BR85" s="84">
        <f>SUM(T85,X85,AB85,AF85,AO85,AX85,BB85,BF85,BJ85,BN85)</f>
        <v>1</v>
      </c>
      <c r="BS85" s="350">
        <f>SUM(U85,Y85,AC85,AG85,AU85,AY85,BC85,BG85,BK85,BO85)</f>
        <v>0.09860529664</v>
      </c>
      <c r="BT85" s="88"/>
      <c r="BU85" s="89" t="s">
        <v>63</v>
      </c>
      <c r="BV85" s="71"/>
      <c r="BW85" s="3"/>
      <c r="BX85" s="3"/>
      <c r="BY85" s="3"/>
      <c r="BZ85" s="3"/>
      <c r="CA85" s="3"/>
      <c r="CB85" s="3"/>
    </row>
    <row r="86" ht="15.75" customHeight="1">
      <c r="A86" s="1"/>
      <c r="B86" s="142"/>
      <c r="C86" s="143"/>
      <c r="D86" s="144"/>
      <c r="E86" s="192"/>
      <c r="F86" s="146"/>
      <c r="G86" s="147"/>
      <c r="H86" s="148"/>
      <c r="I86" s="149"/>
      <c r="J86" s="72" t="s">
        <v>66</v>
      </c>
      <c r="K86" s="73"/>
      <c r="L86" s="167">
        <v>59138.0</v>
      </c>
      <c r="M86" s="91">
        <v>59722.48</v>
      </c>
      <c r="N86" s="92">
        <f t="shared" ref="N86:N89" si="499">IFERROR(M86-L86,"-")</f>
        <v>584.48</v>
      </c>
      <c r="O86" s="93">
        <f t="shared" ref="O86:O89" si="500">IFERROR(M86/L86-1,"-")</f>
        <v>0.009883323751</v>
      </c>
      <c r="P86" s="167">
        <v>60563.0</v>
      </c>
      <c r="Q86" s="91">
        <v>58634.48</v>
      </c>
      <c r="R86" s="92">
        <f t="shared" ref="R86:R89" si="501">IFERROR(Q86-P86,"-")</f>
        <v>-1928.52</v>
      </c>
      <c r="S86" s="95">
        <f t="shared" ref="S86:S89" si="502">IFERROR(Q86/P86-1,"-")</f>
        <v>-0.0318432046</v>
      </c>
      <c r="T86" s="96">
        <f>($BR$86-($L$86+$P$86))*T85</f>
        <v>52007.475</v>
      </c>
      <c r="U86" s="91">
        <v>77619.56</v>
      </c>
      <c r="V86" s="92">
        <f t="shared" ref="V86:V89" si="503">IFERROR(U86-T86,"-")</f>
        <v>25612.085</v>
      </c>
      <c r="W86" s="93">
        <f t="shared" ref="W86:W89" si="504">IFERROR(U86/T86-1,"-")</f>
        <v>0.4924693037</v>
      </c>
      <c r="X86" s="96">
        <f>($BR$86-($L$86+$P$86))*X85</f>
        <v>52007.475</v>
      </c>
      <c r="Y86" s="91">
        <v>58580.31</v>
      </c>
      <c r="Z86" s="92">
        <f t="shared" ref="Z86:Z89" si="506">IFERROR(Y86-X86,"-")</f>
        <v>6572.835</v>
      </c>
      <c r="AA86" s="93">
        <f t="shared" ref="AA86:AA89" si="507">IFERROR(Y86/X86-1,"-")</f>
        <v>0.1263825056</v>
      </c>
      <c r="AB86" s="96">
        <f>($BR$86-($L$86+$P$86))*AB85</f>
        <v>83211.96</v>
      </c>
      <c r="AC86" s="91">
        <v>33665.79</v>
      </c>
      <c r="AD86" s="92">
        <f t="shared" ref="AD86:AD89" si="508">IFERROR(AC86-AB86,"-")</f>
        <v>-49546.17</v>
      </c>
      <c r="AE86" s="93">
        <f t="shared" ref="AE86:AE89" si="509">IFERROR(AC86/AB86-1,"-")</f>
        <v>-0.5954212592</v>
      </c>
      <c r="AF86" s="96">
        <f>($BR$86-($L$86+$P$86))*AF85</f>
        <v>124817.94</v>
      </c>
      <c r="AG86" s="100">
        <v>8589.65</v>
      </c>
      <c r="AH86" s="100">
        <v>12604.25</v>
      </c>
      <c r="AI86" s="100">
        <v>13186.09</v>
      </c>
      <c r="AJ86" s="100">
        <v>10167.54</v>
      </c>
      <c r="AK86" s="100">
        <v>3313.2</v>
      </c>
      <c r="AL86" s="355">
        <f t="shared" si="497"/>
        <v>47860.73</v>
      </c>
      <c r="AM86" s="92">
        <f t="shared" ref="AM86:AM89" si="510">IFERROR(AL86-AF86,"-")</f>
        <v>-76957.21</v>
      </c>
      <c r="AN86" s="93">
        <f t="shared" ref="AN86:AN89" si="511">IFERROR(AL86/AF86-1,"-")</f>
        <v>-0.616555681</v>
      </c>
      <c r="AO86" s="96">
        <f>($BR$86-($L$86+$P$86))*AO85</f>
        <v>166423.92</v>
      </c>
      <c r="AP86" s="100">
        <v>11109.02</v>
      </c>
      <c r="AQ86" s="353">
        <v>15564.17</v>
      </c>
      <c r="AR86" s="354"/>
      <c r="AS86" s="354"/>
      <c r="AT86" s="354"/>
      <c r="AU86" s="91">
        <f t="shared" si="498"/>
        <v>26673.19</v>
      </c>
      <c r="AV86" s="92">
        <f t="shared" ref="AV86:AV89" si="512">IFERROR(AU86-AO86,"-")</f>
        <v>-139750.73</v>
      </c>
      <c r="AW86" s="93">
        <f t="shared" ref="AW86:AW89" si="513">IFERROR(AU86/AO86-1,"-")</f>
        <v>-0.8397274262</v>
      </c>
      <c r="AX86" s="96">
        <f>($BR$86-($L$86+$P$86))*AX85</f>
        <v>270438.87</v>
      </c>
      <c r="AY86" s="91">
        <v>0.0</v>
      </c>
      <c r="AZ86" s="92">
        <f t="shared" ref="AZ86:AZ89" si="514">IFERROR(AY86-AX86,"-")</f>
        <v>-270438.87</v>
      </c>
      <c r="BA86" s="93">
        <f t="shared" ref="BA86:BA89" si="515">IFERROR(AY86/AX86-1,"-")</f>
        <v>-1</v>
      </c>
      <c r="BB86" s="96">
        <f>($BR$86-($L$86+$P$86))*BB85</f>
        <v>270438.87</v>
      </c>
      <c r="BC86" s="91">
        <v>0.0</v>
      </c>
      <c r="BD86" s="92">
        <f t="shared" ref="BD86:BD89" si="516">IFERROR(BC86-BB86,"-")</f>
        <v>-270438.87</v>
      </c>
      <c r="BE86" s="93">
        <f t="shared" ref="BE86:BE89" si="517">IFERROR(BC86/BB86-1,"-")</f>
        <v>-1</v>
      </c>
      <c r="BF86" s="96">
        <f>($BR$86-($L$86+$P$86))*BF85</f>
        <v>312044.85</v>
      </c>
      <c r="BG86" s="91">
        <v>0.0</v>
      </c>
      <c r="BH86" s="92">
        <f t="shared" ref="BH86:BH89" si="518">IFERROR(BG86-BF86,"-")</f>
        <v>-312044.85</v>
      </c>
      <c r="BI86" s="93">
        <f t="shared" ref="BI86:BI89" si="519">IFERROR(BG86/BF86-1,"-")</f>
        <v>-1</v>
      </c>
      <c r="BJ86" s="96">
        <f>($BR$86-($L$86+$P$86))*BJ85</f>
        <v>395256.81</v>
      </c>
      <c r="BK86" s="91">
        <v>0.0</v>
      </c>
      <c r="BL86" s="92">
        <f t="shared" ref="BL86:BL89" si="520">IFERROR(BK86-BJ86,"-")</f>
        <v>-395256.81</v>
      </c>
      <c r="BM86" s="93">
        <f t="shared" ref="BM86:BM89" si="521">IFERROR(BK86/BJ86-1,"-")</f>
        <v>-1</v>
      </c>
      <c r="BN86" s="91">
        <f>($BR$86-($L$86+$P$86))*BN85</f>
        <v>353650.83</v>
      </c>
      <c r="BO86" s="91">
        <v>0.0</v>
      </c>
      <c r="BP86" s="92">
        <f t="shared" ref="BP86:BP89" si="522">IFERROR(BO86-BN86,"-")</f>
        <v>-353650.83</v>
      </c>
      <c r="BQ86" s="95">
        <f t="shared" ref="BQ86:BQ89" si="523">IFERROR(BO86/BN86-1,"-")</f>
        <v>-1</v>
      </c>
      <c r="BR86" s="101">
        <v>2200000.0</v>
      </c>
      <c r="BS86" s="102">
        <f t="shared" ref="BS86:BS87" si="524">SUM(M86,Q86,U86,Y86,AC86,AG86,AU86,AY86,BC86,BG86,BK86,BO86)</f>
        <v>323485.46</v>
      </c>
      <c r="BT86" s="104">
        <f t="shared" ref="BT86:BT89" si="525">IFERROR(BS86/BR86-1,"-")</f>
        <v>-0.8529611545</v>
      </c>
      <c r="BU86" s="105">
        <v>294165.0</v>
      </c>
      <c r="BV86" s="106">
        <f t="shared" ref="BV86:BV87" si="526">BR86/BU86</f>
        <v>7.478795914</v>
      </c>
      <c r="BW86" s="3"/>
      <c r="BX86" s="3"/>
      <c r="BY86" s="3"/>
      <c r="BZ86" s="3"/>
      <c r="CA86" s="3"/>
      <c r="CB86" s="3"/>
    </row>
    <row r="87" ht="15.75" customHeight="1">
      <c r="A87" s="1"/>
      <c r="B87" s="142"/>
      <c r="C87" s="143"/>
      <c r="D87" s="144"/>
      <c r="E87" s="192"/>
      <c r="F87" s="146"/>
      <c r="G87" s="147"/>
      <c r="H87" s="148"/>
      <c r="I87" s="149"/>
      <c r="J87" s="72" t="s">
        <v>67</v>
      </c>
      <c r="K87" s="107"/>
      <c r="L87" s="171">
        <f>L86/$K$88</f>
        <v>2112.071429</v>
      </c>
      <c r="M87" s="109">
        <v>2023.0</v>
      </c>
      <c r="N87" s="110">
        <f t="shared" si="499"/>
        <v>-89.07142857</v>
      </c>
      <c r="O87" s="93">
        <f t="shared" si="500"/>
        <v>-0.04217254557</v>
      </c>
      <c r="P87" s="171">
        <f>P86/$K$88</f>
        <v>2162.964286</v>
      </c>
      <c r="Q87" s="109">
        <v>2126.0</v>
      </c>
      <c r="R87" s="110">
        <f t="shared" si="501"/>
        <v>-36.96428571</v>
      </c>
      <c r="S87" s="95">
        <f t="shared" si="502"/>
        <v>-0.01708964219</v>
      </c>
      <c r="T87" s="112">
        <f>T86/$K$88</f>
        <v>1857.409821</v>
      </c>
      <c r="U87" s="109">
        <v>2656.0</v>
      </c>
      <c r="V87" s="110">
        <f t="shared" si="503"/>
        <v>798.5901786</v>
      </c>
      <c r="W87" s="93">
        <f t="shared" si="504"/>
        <v>0.4299482911</v>
      </c>
      <c r="X87" s="112">
        <f t="shared" ref="X87:Y87" si="505">X86/$K$88</f>
        <v>1857.409821</v>
      </c>
      <c r="Y87" s="109">
        <f t="shared" si="505"/>
        <v>2092.153929</v>
      </c>
      <c r="Z87" s="110">
        <f t="shared" si="506"/>
        <v>234.7441071</v>
      </c>
      <c r="AA87" s="93">
        <f t="shared" si="507"/>
        <v>0.1263825056</v>
      </c>
      <c r="AB87" s="112">
        <f>AB86/$K$88</f>
        <v>2971.855714</v>
      </c>
      <c r="AC87" s="109">
        <v>2253.0</v>
      </c>
      <c r="AD87" s="110">
        <f t="shared" si="508"/>
        <v>-718.8557143</v>
      </c>
      <c r="AE87" s="93">
        <f t="shared" si="509"/>
        <v>-0.2418878248</v>
      </c>
      <c r="AF87" s="112">
        <f>AF86/$K$88</f>
        <v>4457.783571</v>
      </c>
      <c r="AG87" s="114">
        <v>567.0</v>
      </c>
      <c r="AH87" s="114">
        <v>599.0</v>
      </c>
      <c r="AI87" s="114">
        <v>554.0</v>
      </c>
      <c r="AJ87" s="114">
        <v>495.0</v>
      </c>
      <c r="AK87" s="114">
        <v>173.0</v>
      </c>
      <c r="AL87" s="358">
        <f t="shared" si="497"/>
        <v>2388</v>
      </c>
      <c r="AM87" s="110">
        <f t="shared" si="510"/>
        <v>-2069.783571</v>
      </c>
      <c r="AN87" s="93">
        <f t="shared" si="511"/>
        <v>-0.464307775</v>
      </c>
      <c r="AO87" s="112">
        <f>AO86/$K$88</f>
        <v>5943.711429</v>
      </c>
      <c r="AP87" s="114">
        <v>673.0</v>
      </c>
      <c r="AQ87" s="356">
        <v>815.0</v>
      </c>
      <c r="AR87" s="357"/>
      <c r="AS87" s="357"/>
      <c r="AT87" s="357"/>
      <c r="AU87" s="109">
        <f t="shared" si="498"/>
        <v>1488</v>
      </c>
      <c r="AV87" s="110">
        <f t="shared" si="512"/>
        <v>-4455.711429</v>
      </c>
      <c r="AW87" s="93">
        <f t="shared" si="513"/>
        <v>-0.7496513722</v>
      </c>
      <c r="AX87" s="112">
        <f>AX86/$K$88</f>
        <v>9658.531071</v>
      </c>
      <c r="AY87" s="109">
        <v>0.0</v>
      </c>
      <c r="AZ87" s="110">
        <f t="shared" si="514"/>
        <v>-9658.531071</v>
      </c>
      <c r="BA87" s="93">
        <f t="shared" si="515"/>
        <v>-1</v>
      </c>
      <c r="BB87" s="112">
        <f>BB86/$K$88</f>
        <v>9658.531071</v>
      </c>
      <c r="BC87" s="109">
        <v>0.0</v>
      </c>
      <c r="BD87" s="110">
        <f t="shared" si="516"/>
        <v>-9658.531071</v>
      </c>
      <c r="BE87" s="93">
        <f t="shared" si="517"/>
        <v>-1</v>
      </c>
      <c r="BF87" s="112">
        <f>BF86/$K$88</f>
        <v>11144.45893</v>
      </c>
      <c r="BG87" s="109">
        <v>0.0</v>
      </c>
      <c r="BH87" s="110">
        <f t="shared" si="518"/>
        <v>-11144.45893</v>
      </c>
      <c r="BI87" s="93">
        <f t="shared" si="519"/>
        <v>-1</v>
      </c>
      <c r="BJ87" s="112">
        <f>BJ86/$K$88</f>
        <v>14116.31464</v>
      </c>
      <c r="BK87" s="109">
        <v>0.0</v>
      </c>
      <c r="BL87" s="110">
        <f t="shared" si="520"/>
        <v>-14116.31464</v>
      </c>
      <c r="BM87" s="93">
        <f t="shared" si="521"/>
        <v>-1</v>
      </c>
      <c r="BN87" s="109">
        <f>BN86/$K$88</f>
        <v>12630.38679</v>
      </c>
      <c r="BO87" s="109">
        <v>0.0</v>
      </c>
      <c r="BP87" s="110">
        <f t="shared" si="522"/>
        <v>-12630.38679</v>
      </c>
      <c r="BQ87" s="95">
        <f t="shared" si="523"/>
        <v>-1</v>
      </c>
      <c r="BR87" s="206">
        <f>SUM(L87,P87,T87,X87,AB87,AF87,AO87,AX87,BB87,BF87,BJ87,BN87)</f>
        <v>78571.42857</v>
      </c>
      <c r="BS87" s="207">
        <f t="shared" si="524"/>
        <v>13205.15393</v>
      </c>
      <c r="BT87" s="104">
        <f t="shared" si="525"/>
        <v>-0.8319344045</v>
      </c>
      <c r="BU87" s="119">
        <v>3683.0</v>
      </c>
      <c r="BV87" s="106">
        <f t="shared" si="526"/>
        <v>21.3335402</v>
      </c>
      <c r="BW87" s="3"/>
      <c r="BX87" s="3"/>
      <c r="BY87" s="3"/>
      <c r="BZ87" s="3"/>
      <c r="CA87" s="3"/>
      <c r="CB87" s="3"/>
    </row>
    <row r="88" ht="15.75" customHeight="1">
      <c r="A88" s="1"/>
      <c r="B88" s="142"/>
      <c r="C88" s="143"/>
      <c r="D88" s="144"/>
      <c r="E88" s="192"/>
      <c r="F88" s="146"/>
      <c r="G88" s="147"/>
      <c r="H88" s="148"/>
      <c r="I88" s="149"/>
      <c r="J88" s="72" t="s">
        <v>68</v>
      </c>
      <c r="K88" s="107">
        <v>28.0</v>
      </c>
      <c r="L88" s="171">
        <f>L86/L87</f>
        <v>28</v>
      </c>
      <c r="M88" s="91">
        <f>IFERROR(M86/M87,"-")</f>
        <v>29.52173999</v>
      </c>
      <c r="N88" s="92">
        <f t="shared" si="499"/>
        <v>1.52173999</v>
      </c>
      <c r="O88" s="93">
        <f t="shared" si="500"/>
        <v>0.05434785679</v>
      </c>
      <c r="P88" s="90">
        <f t="shared" ref="P88:Q88" si="527">IFERROR(P86/P87,"-")</f>
        <v>28</v>
      </c>
      <c r="Q88" s="91">
        <f t="shared" si="527"/>
        <v>27.57971778</v>
      </c>
      <c r="R88" s="92">
        <f t="shared" si="501"/>
        <v>-0.4202822201</v>
      </c>
      <c r="S88" s="95">
        <f t="shared" si="502"/>
        <v>-0.01501007929</v>
      </c>
      <c r="T88" s="112">
        <f>T86/T87</f>
        <v>28</v>
      </c>
      <c r="U88" s="91">
        <f>IFERROR(U86/U87,"-")</f>
        <v>29.22423193</v>
      </c>
      <c r="V88" s="92">
        <f t="shared" si="503"/>
        <v>1.224231928</v>
      </c>
      <c r="W88" s="93">
        <f t="shared" si="504"/>
        <v>0.04372256885</v>
      </c>
      <c r="X88" s="96">
        <f t="shared" ref="X88:Y88" si="528">IFERROR(X86/X87,"-")</f>
        <v>28</v>
      </c>
      <c r="Y88" s="91">
        <f t="shared" si="528"/>
        <v>28</v>
      </c>
      <c r="Z88" s="92">
        <f t="shared" si="506"/>
        <v>0</v>
      </c>
      <c r="AA88" s="93">
        <f t="shared" si="507"/>
        <v>0</v>
      </c>
      <c r="AB88" s="112">
        <f>AB86/AB87</f>
        <v>28</v>
      </c>
      <c r="AC88" s="91">
        <f>IFERROR(AC86/AC87,"-")</f>
        <v>14.9426498</v>
      </c>
      <c r="AD88" s="92">
        <f t="shared" si="508"/>
        <v>-13.0573502</v>
      </c>
      <c r="AE88" s="93">
        <f t="shared" si="509"/>
        <v>-0.4663339357</v>
      </c>
      <c r="AF88" s="385">
        <f>AF86/AF87</f>
        <v>28</v>
      </c>
      <c r="AG88" s="370">
        <f t="shared" ref="AG88:AL88" si="529">IFERROR(AG86/AG87,"-")</f>
        <v>15.14929453</v>
      </c>
      <c r="AH88" s="370">
        <f t="shared" si="529"/>
        <v>21.04215359</v>
      </c>
      <c r="AI88" s="370">
        <f t="shared" si="529"/>
        <v>23.8016065</v>
      </c>
      <c r="AJ88" s="370">
        <f t="shared" si="529"/>
        <v>20.54048485</v>
      </c>
      <c r="AK88" s="370">
        <f t="shared" si="529"/>
        <v>19.15144509</v>
      </c>
      <c r="AL88" s="372">
        <f t="shared" si="529"/>
        <v>20.04218174</v>
      </c>
      <c r="AM88" s="92">
        <f t="shared" si="510"/>
        <v>-7.957818258</v>
      </c>
      <c r="AN88" s="93">
        <f t="shared" si="511"/>
        <v>-0.2842077949</v>
      </c>
      <c r="AO88" s="112">
        <f>AO86/AO87</f>
        <v>28</v>
      </c>
      <c r="AP88" s="91">
        <f t="shared" ref="AP88:AU88" si="530">IFERROR(AP86/AP87,"-")</f>
        <v>16.5067162</v>
      </c>
      <c r="AQ88" s="91">
        <f t="shared" si="530"/>
        <v>19.0971411</v>
      </c>
      <c r="AR88" s="359" t="str">
        <f t="shared" si="530"/>
        <v>-</v>
      </c>
      <c r="AS88" s="359" t="str">
        <f t="shared" si="530"/>
        <v>-</v>
      </c>
      <c r="AT88" s="359" t="str">
        <f t="shared" si="530"/>
        <v>-</v>
      </c>
      <c r="AU88" s="91">
        <f t="shared" si="530"/>
        <v>17.92553091</v>
      </c>
      <c r="AV88" s="92">
        <f t="shared" si="512"/>
        <v>-10.07446909</v>
      </c>
      <c r="AW88" s="93">
        <f t="shared" si="513"/>
        <v>-0.3598024674</v>
      </c>
      <c r="AX88" s="112">
        <f>AX86/AX87</f>
        <v>28</v>
      </c>
      <c r="AY88" s="91" t="str">
        <f>IFERROR(AY86/AY87,"-")</f>
        <v>-</v>
      </c>
      <c r="AZ88" s="92" t="str">
        <f t="shared" si="514"/>
        <v>-</v>
      </c>
      <c r="BA88" s="93" t="str">
        <f t="shared" si="515"/>
        <v>-</v>
      </c>
      <c r="BB88" s="112">
        <f>BB86/BB87</f>
        <v>28</v>
      </c>
      <c r="BC88" s="91" t="str">
        <f>IFERROR(BC86/BC87,"-")</f>
        <v>-</v>
      </c>
      <c r="BD88" s="92" t="str">
        <f t="shared" si="516"/>
        <v>-</v>
      </c>
      <c r="BE88" s="93" t="str">
        <f t="shared" si="517"/>
        <v>-</v>
      </c>
      <c r="BF88" s="112">
        <f>BF86/BF87</f>
        <v>28</v>
      </c>
      <c r="BG88" s="91" t="str">
        <f>IFERROR(BG86/BG87,"-")</f>
        <v>-</v>
      </c>
      <c r="BH88" s="92" t="str">
        <f t="shared" si="518"/>
        <v>-</v>
      </c>
      <c r="BI88" s="93" t="str">
        <f t="shared" si="519"/>
        <v>-</v>
      </c>
      <c r="BJ88" s="112">
        <f>BJ86/BJ87</f>
        <v>28</v>
      </c>
      <c r="BK88" s="91" t="str">
        <f>IFERROR(BK86/BK87,"-")</f>
        <v>-</v>
      </c>
      <c r="BL88" s="92" t="str">
        <f t="shared" si="520"/>
        <v>-</v>
      </c>
      <c r="BM88" s="93" t="str">
        <f t="shared" si="521"/>
        <v>-</v>
      </c>
      <c r="BN88" s="109">
        <f>BN86/BN87</f>
        <v>28</v>
      </c>
      <c r="BO88" s="91" t="str">
        <f>IFERROR(BO86/BO87,"-")</f>
        <v>-</v>
      </c>
      <c r="BP88" s="92" t="str">
        <f t="shared" si="522"/>
        <v>-</v>
      </c>
      <c r="BQ88" s="95" t="str">
        <f t="shared" si="523"/>
        <v>-</v>
      </c>
      <c r="BR88" s="120">
        <f t="shared" ref="BR88:BS88" si="531">BR86/BR87</f>
        <v>28</v>
      </c>
      <c r="BS88" s="209">
        <f t="shared" si="531"/>
        <v>24.49690945</v>
      </c>
      <c r="BT88" s="104">
        <f t="shared" si="525"/>
        <v>-0.125110377</v>
      </c>
      <c r="BU88" s="119">
        <f>BU86/BU87</f>
        <v>79.87102905</v>
      </c>
      <c r="BV88" s="106">
        <f>BR88/BU88-1</f>
        <v>-0.649434841</v>
      </c>
      <c r="BW88" s="3"/>
      <c r="BX88" s="3"/>
      <c r="BY88" s="3"/>
      <c r="BZ88" s="3"/>
      <c r="CA88" s="3"/>
      <c r="CB88" s="3"/>
    </row>
    <row r="89" ht="15.75" customHeight="1">
      <c r="A89" s="1"/>
      <c r="B89" s="142"/>
      <c r="C89" s="143"/>
      <c r="D89" s="144"/>
      <c r="E89" s="192"/>
      <c r="F89" s="146"/>
      <c r="G89" s="147"/>
      <c r="H89" s="148"/>
      <c r="I89" s="149"/>
      <c r="J89" s="124" t="s">
        <v>69</v>
      </c>
      <c r="K89" s="125">
        <v>0.03</v>
      </c>
      <c r="L89" s="132">
        <f t="shared" ref="L89:M89" si="532">MIN(L86, 650000) * 0.03 +
 MAX(0, MIN(L86, 2500000) - 650000) * 0.025 +
 MAX(0, MIN(L86, 4500000) - 2500000) * 0.0225 +
 MAX(0, MIN(L86, 7500000) - 4500000) * 0.02 +
 MAX(0, MIN(L86, 11500000) - 7500000) * 0.015 +
 MAX(0, L86 - 11500000) * 0.01</f>
        <v>1774.14</v>
      </c>
      <c r="M89" s="127">
        <f t="shared" si="532"/>
        <v>1791.6744</v>
      </c>
      <c r="N89" s="128">
        <f t="shared" si="499"/>
        <v>17.5344</v>
      </c>
      <c r="O89" s="129">
        <f t="shared" si="500"/>
        <v>0.009883323751</v>
      </c>
      <c r="P89" s="132">
        <f t="shared" ref="P89:Q89" si="533">MIN(P86, 650000) * 0.03 +
 MAX(0, MIN(P86, 2500000) - 650000) * 0.025 +
 MAX(0, MIN(P86, 4500000) - 2500000) * 0.0225 +
 MAX(0, MIN(P86, 7500000) - 4500000) * 0.02 +
 MAX(0, MIN(P86, 11500000) - 7500000) * 0.015 +
 MAX(0, P86 - 11500000) * 0.01</f>
        <v>1816.89</v>
      </c>
      <c r="Q89" s="127">
        <f t="shared" si="533"/>
        <v>1759.0344</v>
      </c>
      <c r="R89" s="128">
        <f t="shared" si="501"/>
        <v>-57.8556</v>
      </c>
      <c r="S89" s="131">
        <f t="shared" si="502"/>
        <v>-0.0318432046</v>
      </c>
      <c r="T89" s="132">
        <f t="shared" ref="T89:U89" si="534">MIN(T86, 650000) * 0.03 +
 MAX(0, MIN(T86, 2500000) - 650000) * 0.025 +
 MAX(0, MIN(T86, 4500000) - 2500000) * 0.0225 +
 MAX(0, MIN(T86, 7500000) - 4500000) * 0.02 +
 MAX(0, MIN(T86, 11500000) - 7500000) * 0.015 +
 MAX(0, T86 - 11500000) * 0.01</f>
        <v>1560.22425</v>
      </c>
      <c r="U89" s="127">
        <f t="shared" si="534"/>
        <v>2328.5868</v>
      </c>
      <c r="V89" s="128">
        <f t="shared" si="503"/>
        <v>768.36255</v>
      </c>
      <c r="W89" s="129">
        <f t="shared" si="504"/>
        <v>0.4924693037</v>
      </c>
      <c r="X89" s="132">
        <f t="shared" ref="X89:Y89" si="535">MIN(X86, 650000) * 0.03 +
 MAX(0, MIN(X86, 2500000) - 650000) * 0.025 +
 MAX(0, MIN(X86, 4500000) - 2500000) * 0.0225 +
 MAX(0, MIN(X86, 7500000) - 4500000) * 0.02 +
 MAX(0, MIN(X86, 11500000) - 7500000) * 0.015 +
 MAX(0, X86 - 11500000) * 0.01</f>
        <v>1560.22425</v>
      </c>
      <c r="Y89" s="127">
        <f t="shared" si="535"/>
        <v>1757.4093</v>
      </c>
      <c r="Z89" s="128">
        <f t="shared" si="506"/>
        <v>197.18505</v>
      </c>
      <c r="AA89" s="129">
        <f t="shared" si="507"/>
        <v>0.1263825056</v>
      </c>
      <c r="AB89" s="132">
        <f t="shared" ref="AB89:AC89" si="536">MIN(AB86, 650000) * 0.03 +
 MAX(0, MIN(AB86, 2500000) - 650000) * 0.025 +
 MAX(0, MIN(AB86, 4500000) - 2500000) * 0.0225 +
 MAX(0, MIN(AB86, 7500000) - 4500000) * 0.02 +
 MAX(0, MIN(AB86, 11500000) - 7500000) * 0.015 +
 MAX(0, AB86 - 11500000) * 0.01</f>
        <v>2496.3588</v>
      </c>
      <c r="AC89" s="127">
        <f t="shared" si="536"/>
        <v>1009.9737</v>
      </c>
      <c r="AD89" s="128">
        <f t="shared" si="508"/>
        <v>-1486.3851</v>
      </c>
      <c r="AE89" s="134">
        <f t="shared" si="509"/>
        <v>-0.5954212592</v>
      </c>
      <c r="AF89" s="373">
        <f t="shared" ref="AF89:AL89" si="537">MIN(AF86, 650000) * 0.03 +
 MAX(0, MIN(AF86, 2500000) - 650000) * 0.025 +
 MAX(0, MIN(AF86, 4500000) - 2500000) * 0.0225 +
 MAX(0, MIN(AF86, 7500000) - 4500000) * 0.02 +
 MAX(0, MIN(AF86, 11500000) - 7500000) * 0.015 +
 MAX(0, AF86 - 11500000) * 0.01</f>
        <v>3744.5382</v>
      </c>
      <c r="AG89" s="374">
        <f t="shared" si="537"/>
        <v>257.6895</v>
      </c>
      <c r="AH89" s="374">
        <f t="shared" si="537"/>
        <v>378.1275</v>
      </c>
      <c r="AI89" s="374">
        <f t="shared" si="537"/>
        <v>395.5827</v>
      </c>
      <c r="AJ89" s="374">
        <f t="shared" si="537"/>
        <v>305.0262</v>
      </c>
      <c r="AK89" s="374">
        <f t="shared" si="537"/>
        <v>99.396</v>
      </c>
      <c r="AL89" s="375">
        <f t="shared" si="537"/>
        <v>1435.8219</v>
      </c>
      <c r="AM89" s="376">
        <f t="shared" si="510"/>
        <v>-2308.7163</v>
      </c>
      <c r="AN89" s="129">
        <f t="shared" si="511"/>
        <v>-0.616555681</v>
      </c>
      <c r="AO89" s="132">
        <f>MIN(AO86, 650000) * 0.03 +
 MAX(0, MIN(AO86, 2500000) - 650000) * 0.025 +
 MAX(0, MIN(AO86, 4500000) - 2500000) * 0.0225 +
 MAX(0, MIN(AO86, 7500000) - 4500000) * 0.02 +
 MAX(0, MIN(AO86, 11500000) - 7500000) * 0.015 +
 MAX(0, AO86 - 11500000) * 0.01</f>
        <v>4992.7176</v>
      </c>
      <c r="AP89" s="130">
        <f t="shared" ref="AP89:AT89" si="538">AP86*$K$9</f>
        <v>544.34198</v>
      </c>
      <c r="AQ89" s="130">
        <f t="shared" si="538"/>
        <v>762.64433</v>
      </c>
      <c r="AR89" s="361">
        <f t="shared" si="538"/>
        <v>0</v>
      </c>
      <c r="AS89" s="361">
        <f t="shared" si="538"/>
        <v>0</v>
      </c>
      <c r="AT89" s="361">
        <f t="shared" si="538"/>
        <v>0</v>
      </c>
      <c r="AU89" s="127">
        <f>MIN(AU86, 650000) * 0.03 +
 MAX(0, MIN(AU86, 2500000) - 650000) * 0.025 +
 MAX(0, MIN(AU86, 4500000) - 2500000) * 0.0225 +
 MAX(0, MIN(AU86, 7500000) - 4500000) * 0.02 +
 MAX(0, MIN(AU86, 11500000) - 7500000) * 0.015 +
 MAX(0, AU86 - 11500000) * 0.01</f>
        <v>800.1957</v>
      </c>
      <c r="AV89" s="128">
        <f t="shared" si="512"/>
        <v>-4192.5219</v>
      </c>
      <c r="AW89" s="129">
        <f t="shared" si="513"/>
        <v>-0.8397274262</v>
      </c>
      <c r="AX89" s="132">
        <f t="shared" ref="AX89:AY89" si="539">MIN(AX86, 650000) * 0.03 +
 MAX(0, MIN(AX86, 2500000) - 650000) * 0.025 +
 MAX(0, MIN(AX86, 4500000) - 2500000) * 0.0225 +
 MAX(0, MIN(AX86, 7500000) - 4500000) * 0.02 +
 MAX(0, MIN(AX86, 11500000) - 7500000) * 0.015 +
 MAX(0, AX86 - 11500000) * 0.01</f>
        <v>8113.1661</v>
      </c>
      <c r="AY89" s="127">
        <f t="shared" si="539"/>
        <v>0</v>
      </c>
      <c r="AZ89" s="128">
        <f t="shared" si="514"/>
        <v>-8113.1661</v>
      </c>
      <c r="BA89" s="129">
        <f t="shared" si="515"/>
        <v>-1</v>
      </c>
      <c r="BB89" s="132">
        <f t="shared" ref="BB89:BC89" si="540">MIN(BB86, 650000) * 0.03 +
 MAX(0, MIN(BB86, 2500000) - 650000) * 0.025 +
 MAX(0, MIN(BB86, 4500000) - 2500000) * 0.0225 +
 MAX(0, MIN(BB86, 7500000) - 4500000) * 0.02 +
 MAX(0, MIN(BB86, 11500000) - 7500000) * 0.015 +
 MAX(0, BB86 - 11500000) * 0.01</f>
        <v>8113.1661</v>
      </c>
      <c r="BC89" s="127">
        <f t="shared" si="540"/>
        <v>0</v>
      </c>
      <c r="BD89" s="128">
        <f t="shared" si="516"/>
        <v>-8113.1661</v>
      </c>
      <c r="BE89" s="129">
        <f t="shared" si="517"/>
        <v>-1</v>
      </c>
      <c r="BF89" s="132">
        <f t="shared" ref="BF89:BG89" si="541">MIN(BF86, 650000) * 0.03 +
 MAX(0, MIN(BF86, 2500000) - 650000) * 0.025 +
 MAX(0, MIN(BF86, 4500000) - 2500000) * 0.0225 +
 MAX(0, MIN(BF86, 7500000) - 4500000) * 0.02 +
 MAX(0, MIN(BF86, 11500000) - 7500000) * 0.015 +
 MAX(0, BF86 - 11500000) * 0.01</f>
        <v>9361.3455</v>
      </c>
      <c r="BG89" s="127">
        <f t="shared" si="541"/>
        <v>0</v>
      </c>
      <c r="BH89" s="128">
        <f t="shared" si="518"/>
        <v>-9361.3455</v>
      </c>
      <c r="BI89" s="129">
        <f t="shared" si="519"/>
        <v>-1</v>
      </c>
      <c r="BJ89" s="132">
        <f t="shared" ref="BJ89:BK89" si="542">MIN(BJ86, 650000) * 0.03 +
 MAX(0, MIN(BJ86, 2500000) - 650000) * 0.025 +
 MAX(0, MIN(BJ86, 4500000) - 2500000) * 0.0225 +
 MAX(0, MIN(BJ86, 7500000) - 4500000) * 0.02 +
 MAX(0, MIN(BJ86, 11500000) - 7500000) * 0.015 +
 MAX(0, BJ86 - 11500000) * 0.01</f>
        <v>11857.7043</v>
      </c>
      <c r="BK89" s="127">
        <f t="shared" si="542"/>
        <v>0</v>
      </c>
      <c r="BL89" s="128">
        <f t="shared" si="520"/>
        <v>-11857.7043</v>
      </c>
      <c r="BM89" s="129">
        <f t="shared" si="521"/>
        <v>-1</v>
      </c>
      <c r="BN89" s="127">
        <f t="shared" ref="BN89:BO89" si="543">MIN(BN86, 650000) * 0.03 +
 MAX(0, MIN(BN86, 2500000) - 650000) * 0.025 +
 MAX(0, MIN(BN86, 4500000) - 2500000) * 0.0225 +
 MAX(0, MIN(BN86, 7500000) - 4500000) * 0.02 +
 MAX(0, MIN(BN86, 11500000) - 7500000) * 0.015 +
 MAX(0, BN86 - 11500000) * 0.01</f>
        <v>10609.5249</v>
      </c>
      <c r="BO89" s="127">
        <f t="shared" si="543"/>
        <v>0</v>
      </c>
      <c r="BP89" s="128">
        <f t="shared" si="522"/>
        <v>-10609.5249</v>
      </c>
      <c r="BQ89" s="131">
        <f t="shared" si="523"/>
        <v>-1</v>
      </c>
      <c r="BR89" s="135">
        <f>SUM(L89,P89,T89,X89,AB89,AF89,AO89,AX89,BB89,BF89,BJ89,BN89)</f>
        <v>66000</v>
      </c>
      <c r="BS89" s="213">
        <f>SUM(M89,Q89,U89,Y89,AC89,AG89,AU89,AY89,BC89,BG89,BK89,BO89)</f>
        <v>9704.5638</v>
      </c>
      <c r="BT89" s="139">
        <f t="shared" si="525"/>
        <v>-0.8529611545</v>
      </c>
      <c r="BU89" s="140">
        <f>BU86*0.03+10*299</f>
        <v>11814.95</v>
      </c>
      <c r="BV89" s="141">
        <f>BR89/BU89</f>
        <v>5.58614298</v>
      </c>
      <c r="BW89" s="3"/>
      <c r="BX89" s="3"/>
      <c r="BY89" s="3"/>
      <c r="BZ89" s="3"/>
      <c r="CA89" s="3"/>
      <c r="CB89" s="3"/>
    </row>
    <row r="90" ht="15.75" customHeight="1">
      <c r="A90" s="1"/>
      <c r="B90" s="142"/>
      <c r="C90" s="143"/>
      <c r="D90" s="144"/>
      <c r="E90" s="192"/>
      <c r="F90" s="146"/>
      <c r="G90" s="147"/>
      <c r="H90" s="148"/>
      <c r="I90" s="149"/>
      <c r="J90" s="195"/>
      <c r="K90" s="195"/>
      <c r="L90" s="185"/>
      <c r="M90" s="185"/>
      <c r="N90" s="185"/>
      <c r="P90" s="185"/>
      <c r="Q90" s="214"/>
      <c r="R90" s="185"/>
      <c r="S90" s="185"/>
      <c r="T90" s="185"/>
      <c r="U90" s="185"/>
      <c r="V90" s="185"/>
      <c r="W90" s="185"/>
      <c r="X90" s="186"/>
      <c r="Y90" s="14"/>
      <c r="Z90" s="15"/>
      <c r="AA90" s="3"/>
      <c r="AB90" s="3"/>
      <c r="AC90" s="3"/>
      <c r="AD90" s="3"/>
      <c r="AE90" s="3"/>
      <c r="AF90" s="3"/>
      <c r="AP90" s="363"/>
      <c r="AQ90" s="363"/>
      <c r="AR90" s="363"/>
      <c r="AS90" s="363"/>
      <c r="AT90" s="363"/>
      <c r="BA90" s="187"/>
      <c r="BB90" s="25"/>
      <c r="BC90" s="188"/>
      <c r="BD90" s="25"/>
    </row>
    <row r="91" ht="15.75" customHeight="1">
      <c r="A91" s="1"/>
      <c r="B91" s="142"/>
      <c r="C91" s="143"/>
      <c r="D91" s="144"/>
      <c r="E91" s="192"/>
      <c r="F91" s="146"/>
      <c r="G91" s="147"/>
      <c r="H91" s="148"/>
      <c r="I91" s="149"/>
      <c r="J91" s="34" t="s">
        <v>94</v>
      </c>
      <c r="K91" s="35"/>
      <c r="L91" s="36" t="s">
        <v>10</v>
      </c>
      <c r="M91" s="37" t="s">
        <v>11</v>
      </c>
      <c r="N91" s="38" t="s">
        <v>12</v>
      </c>
      <c r="O91" s="39" t="s">
        <v>13</v>
      </c>
      <c r="P91" s="157" t="s">
        <v>14</v>
      </c>
      <c r="Q91" s="199" t="s">
        <v>15</v>
      </c>
      <c r="R91" s="38" t="s">
        <v>16</v>
      </c>
      <c r="S91" s="42" t="s">
        <v>17</v>
      </c>
      <c r="T91" s="43" t="s">
        <v>18</v>
      </c>
      <c r="U91" s="199" t="s">
        <v>95</v>
      </c>
      <c r="V91" s="38" t="s">
        <v>20</v>
      </c>
      <c r="W91" s="45" t="s">
        <v>96</v>
      </c>
      <c r="X91" s="44" t="s">
        <v>22</v>
      </c>
      <c r="Y91" s="199" t="s">
        <v>97</v>
      </c>
      <c r="Z91" s="38" t="s">
        <v>24</v>
      </c>
      <c r="AA91" s="45" t="s">
        <v>96</v>
      </c>
      <c r="AB91" s="43" t="s">
        <v>26</v>
      </c>
      <c r="AC91" s="199" t="s">
        <v>27</v>
      </c>
      <c r="AD91" s="38" t="s">
        <v>28</v>
      </c>
      <c r="AE91" s="45" t="s">
        <v>29</v>
      </c>
      <c r="AF91" s="44" t="s">
        <v>30</v>
      </c>
      <c r="AG91" s="343" t="s">
        <v>120</v>
      </c>
      <c r="AH91" s="344" t="s">
        <v>121</v>
      </c>
      <c r="AI91" s="344" t="s">
        <v>122</v>
      </c>
      <c r="AJ91" s="344" t="s">
        <v>123</v>
      </c>
      <c r="AK91" s="344" t="s">
        <v>124</v>
      </c>
      <c r="AL91" s="344" t="s">
        <v>31</v>
      </c>
      <c r="AM91" s="38" t="s">
        <v>32</v>
      </c>
      <c r="AN91" s="45" t="s">
        <v>33</v>
      </c>
      <c r="AO91" s="43" t="s">
        <v>34</v>
      </c>
      <c r="AP91" s="343" t="s">
        <v>125</v>
      </c>
      <c r="AQ91" s="344" t="s">
        <v>126</v>
      </c>
      <c r="AR91" s="344" t="s">
        <v>127</v>
      </c>
      <c r="AS91" s="344" t="s">
        <v>128</v>
      </c>
      <c r="AT91" s="344" t="s">
        <v>129</v>
      </c>
      <c r="AU91" s="41" t="s">
        <v>35</v>
      </c>
      <c r="AV91" s="38" t="s">
        <v>36</v>
      </c>
      <c r="AW91" s="45" t="s">
        <v>37</v>
      </c>
      <c r="AX91" s="44" t="s">
        <v>38</v>
      </c>
      <c r="AY91" s="199" t="s">
        <v>39</v>
      </c>
      <c r="AZ91" s="38" t="s">
        <v>40</v>
      </c>
      <c r="BA91" s="45" t="s">
        <v>41</v>
      </c>
      <c r="BB91" s="43" t="s">
        <v>42</v>
      </c>
      <c r="BC91" s="199" t="s">
        <v>43</v>
      </c>
      <c r="BD91" s="38" t="s">
        <v>44</v>
      </c>
      <c r="BE91" s="45" t="s">
        <v>45</v>
      </c>
      <c r="BF91" s="44" t="s">
        <v>46</v>
      </c>
      <c r="BG91" s="199" t="s">
        <v>47</v>
      </c>
      <c r="BH91" s="38" t="s">
        <v>48</v>
      </c>
      <c r="BI91" s="45" t="s">
        <v>49</v>
      </c>
      <c r="BJ91" s="43" t="s">
        <v>50</v>
      </c>
      <c r="BK91" s="199" t="s">
        <v>51</v>
      </c>
      <c r="BL91" s="38" t="s">
        <v>52</v>
      </c>
      <c r="BM91" s="45" t="s">
        <v>53</v>
      </c>
      <c r="BN91" s="201" t="s">
        <v>54</v>
      </c>
      <c r="BO91" s="199" t="s">
        <v>55</v>
      </c>
      <c r="BP91" s="38" t="s">
        <v>56</v>
      </c>
      <c r="BQ91" s="42" t="s">
        <v>57</v>
      </c>
      <c r="BR91" s="345">
        <v>2026.0</v>
      </c>
      <c r="BS91" s="37" t="s">
        <v>61</v>
      </c>
      <c r="BT91" s="51" t="s">
        <v>62</v>
      </c>
      <c r="BU91" s="52">
        <v>2025.0</v>
      </c>
      <c r="BV91" s="53"/>
      <c r="BW91" s="3"/>
      <c r="BX91" s="3"/>
      <c r="BY91" s="3"/>
      <c r="BZ91" s="3"/>
      <c r="CA91" s="3"/>
      <c r="CB91" s="3"/>
    </row>
    <row r="92" ht="15.75" customHeight="1">
      <c r="A92" s="1"/>
      <c r="B92" s="142"/>
      <c r="C92" s="231"/>
      <c r="D92" s="232"/>
      <c r="E92" s="233"/>
      <c r="F92" s="234"/>
      <c r="G92" s="235"/>
      <c r="H92" s="235"/>
      <c r="I92" s="236"/>
      <c r="J92" s="346" t="s">
        <v>130</v>
      </c>
      <c r="K92" s="55"/>
      <c r="L92" s="56"/>
      <c r="M92" s="57"/>
      <c r="N92" s="58"/>
      <c r="O92" s="59"/>
      <c r="P92" s="56"/>
      <c r="Q92" s="202"/>
      <c r="R92" s="58"/>
      <c r="S92" s="61"/>
      <c r="T92" s="62"/>
      <c r="U92" s="63"/>
      <c r="V92" s="58"/>
      <c r="W92" s="59"/>
      <c r="X92" s="62"/>
      <c r="Y92" s="63"/>
      <c r="Z92" s="58"/>
      <c r="AA92" s="59"/>
      <c r="AB92" s="62"/>
      <c r="AC92" s="63"/>
      <c r="AD92" s="58"/>
      <c r="AE92" s="59"/>
      <c r="AF92" s="62"/>
      <c r="AG92" s="347">
        <f t="shared" ref="AG92:AK92" si="544">$AF$93/5</f>
        <v>0.016</v>
      </c>
      <c r="AH92" s="347">
        <f t="shared" si="544"/>
        <v>0.016</v>
      </c>
      <c r="AI92" s="347">
        <f t="shared" si="544"/>
        <v>0.016</v>
      </c>
      <c r="AJ92" s="347">
        <f t="shared" si="544"/>
        <v>0.016</v>
      </c>
      <c r="AK92" s="347">
        <f t="shared" si="544"/>
        <v>0.016</v>
      </c>
      <c r="AL92" s="347"/>
      <c r="AM92" s="58"/>
      <c r="AN92" s="59"/>
      <c r="AO92" s="62"/>
      <c r="AP92" s="347">
        <f t="shared" ref="AP92:AT92" si="545">$AO$93/5</f>
        <v>0.016</v>
      </c>
      <c r="AQ92" s="347">
        <f t="shared" si="545"/>
        <v>0.016</v>
      </c>
      <c r="AR92" s="347">
        <f t="shared" si="545"/>
        <v>0.016</v>
      </c>
      <c r="AS92" s="347">
        <f t="shared" si="545"/>
        <v>0.016</v>
      </c>
      <c r="AT92" s="347">
        <f t="shared" si="545"/>
        <v>0.016</v>
      </c>
      <c r="AU92" s="63"/>
      <c r="AV92" s="58"/>
      <c r="AW92" s="59"/>
      <c r="AX92" s="62"/>
      <c r="AY92" s="63"/>
      <c r="AZ92" s="58"/>
      <c r="BA92" s="59"/>
      <c r="BB92" s="62"/>
      <c r="BC92" s="63"/>
      <c r="BD92" s="58"/>
      <c r="BE92" s="59"/>
      <c r="BF92" s="62"/>
      <c r="BG92" s="63"/>
      <c r="BH92" s="58"/>
      <c r="BI92" s="59"/>
      <c r="BJ92" s="62"/>
      <c r="BK92" s="63"/>
      <c r="BL92" s="58"/>
      <c r="BM92" s="59"/>
      <c r="BN92" s="203"/>
      <c r="BO92" s="63"/>
      <c r="BP92" s="58"/>
      <c r="BQ92" s="61"/>
      <c r="BR92" s="66"/>
      <c r="BS92" s="349"/>
      <c r="BT92" s="69"/>
      <c r="BU92" s="70"/>
      <c r="BV92" s="71"/>
      <c r="BW92" s="3"/>
      <c r="BX92" s="3"/>
      <c r="BY92" s="3"/>
      <c r="BZ92" s="3"/>
      <c r="CA92" s="3"/>
      <c r="CB92" s="3"/>
    </row>
    <row r="93" ht="15.75" customHeight="1">
      <c r="A93" s="1"/>
      <c r="B93" s="142">
        <v>13.0</v>
      </c>
      <c r="C93" s="231" t="s">
        <v>98</v>
      </c>
      <c r="D93" s="232"/>
      <c r="E93" s="233"/>
      <c r="F93" s="234"/>
      <c r="G93" s="235">
        <v>12323.000000000002</v>
      </c>
      <c r="H93" s="235">
        <v>52.0</v>
      </c>
      <c r="I93" s="236">
        <v>236.98076923076925</v>
      </c>
      <c r="J93" s="72" t="s">
        <v>64</v>
      </c>
      <c r="K93" s="73"/>
      <c r="L93" s="74" t="s">
        <v>63</v>
      </c>
      <c r="M93" s="75" t="s">
        <v>63</v>
      </c>
      <c r="N93" s="76" t="s">
        <v>63</v>
      </c>
      <c r="O93" s="77" t="s">
        <v>65</v>
      </c>
      <c r="P93" s="74" t="s">
        <v>63</v>
      </c>
      <c r="Q93" s="204" t="s">
        <v>63</v>
      </c>
      <c r="R93" s="76" t="s">
        <v>63</v>
      </c>
      <c r="S93" s="79" t="s">
        <v>65</v>
      </c>
      <c r="T93" s="80">
        <v>0.05</v>
      </c>
      <c r="U93" s="81">
        <f>U94/(BR94-(L94 + P94))</f>
        <v>0.08126317218</v>
      </c>
      <c r="V93" s="76" t="s">
        <v>63</v>
      </c>
      <c r="W93" s="77" t="s">
        <v>65</v>
      </c>
      <c r="X93" s="80">
        <v>0.06</v>
      </c>
      <c r="Y93" s="81">
        <f>Y94/(BR94-(L94+P94))</f>
        <v>0.08205400726</v>
      </c>
      <c r="Z93" s="76" t="s">
        <v>63</v>
      </c>
      <c r="AA93" s="77" t="s">
        <v>65</v>
      </c>
      <c r="AB93" s="80">
        <v>0.08</v>
      </c>
      <c r="AC93" s="81">
        <f>AC94/(BR94-(L94+P94))</f>
        <v>0.07602764852</v>
      </c>
      <c r="AD93" s="76" t="s">
        <v>63</v>
      </c>
      <c r="AE93" s="77" t="s">
        <v>65</v>
      </c>
      <c r="AF93" s="80">
        <v>0.08</v>
      </c>
      <c r="AG93" s="350">
        <f t="shared" ref="AG93:AK93" si="546">AG94/($BR$94-($L$94+$P$94))</f>
        <v>0.0172277151</v>
      </c>
      <c r="AH93" s="350">
        <f t="shared" si="546"/>
        <v>0.01568948687</v>
      </c>
      <c r="AI93" s="350">
        <f t="shared" si="546"/>
        <v>0.01485288421</v>
      </c>
      <c r="AJ93" s="350">
        <f t="shared" si="546"/>
        <v>0.01815277365</v>
      </c>
      <c r="AK93" s="350">
        <f t="shared" si="546"/>
        <v>0.004112439111</v>
      </c>
      <c r="AL93" s="351">
        <f t="shared" ref="AL93:AL95" si="548">SUM(AG93:AK93)</f>
        <v>0.07003529895</v>
      </c>
      <c r="AM93" s="352">
        <f>AL93-AF93</f>
        <v>-0.009964701049</v>
      </c>
      <c r="AN93" s="77" t="s">
        <v>65</v>
      </c>
      <c r="AO93" s="80">
        <v>0.08</v>
      </c>
      <c r="AP93" s="350">
        <f t="shared" ref="AP93:AT93" si="547">AP94/($BR$94-($L$94+$P$94))</f>
        <v>0.01212308519</v>
      </c>
      <c r="AQ93" s="350">
        <f t="shared" si="547"/>
        <v>0.02216844848</v>
      </c>
      <c r="AR93" s="350">
        <f t="shared" si="547"/>
        <v>0</v>
      </c>
      <c r="AS93" s="350">
        <f t="shared" si="547"/>
        <v>0</v>
      </c>
      <c r="AT93" s="350">
        <f t="shared" si="547"/>
        <v>0</v>
      </c>
      <c r="AU93" s="351">
        <f t="shared" ref="AU93:AU95" si="549">SUM(AP93:AT93)</f>
        <v>0.03429153367</v>
      </c>
      <c r="AV93" s="76" t="s">
        <v>63</v>
      </c>
      <c r="AW93" s="77" t="s">
        <v>65</v>
      </c>
      <c r="AX93" s="80">
        <v>0.11</v>
      </c>
      <c r="AY93" s="81">
        <f>AY94/(BR94-(L94+P94))</f>
        <v>0</v>
      </c>
      <c r="AZ93" s="76" t="s">
        <v>63</v>
      </c>
      <c r="BA93" s="77" t="s">
        <v>65</v>
      </c>
      <c r="BB93" s="80">
        <v>0.14</v>
      </c>
      <c r="BC93" s="81">
        <f>BC94/(BR94-(L94+P94))</f>
        <v>0</v>
      </c>
      <c r="BD93" s="76" t="s">
        <v>63</v>
      </c>
      <c r="BE93" s="77" t="s">
        <v>65</v>
      </c>
      <c r="BF93" s="80">
        <v>0.14</v>
      </c>
      <c r="BG93" s="81">
        <f>BG94/(BR94-(L94+P94))</f>
        <v>0</v>
      </c>
      <c r="BH93" s="76" t="s">
        <v>63</v>
      </c>
      <c r="BI93" s="77" t="s">
        <v>65</v>
      </c>
      <c r="BJ93" s="80">
        <v>0.14</v>
      </c>
      <c r="BK93" s="81">
        <f>BK94/(BR94-(L94+P94))</f>
        <v>0</v>
      </c>
      <c r="BL93" s="76" t="s">
        <v>63</v>
      </c>
      <c r="BM93" s="77" t="s">
        <v>65</v>
      </c>
      <c r="BN93" s="205">
        <v>0.12</v>
      </c>
      <c r="BO93" s="81">
        <f>BO94/(BR94-(L94+P94))</f>
        <v>0</v>
      </c>
      <c r="BP93" s="76" t="s">
        <v>63</v>
      </c>
      <c r="BQ93" s="79" t="s">
        <v>65</v>
      </c>
      <c r="BR93" s="84">
        <f>SUM(T93,X93,AB93,AF93,AO93,AX93,BB93,BF93,BJ93,BN93)</f>
        <v>1</v>
      </c>
      <c r="BS93" s="350">
        <f>SUM(U93,Y93,AC93,AG93,AU93,AY93,BC93,BG93,BK93,BO93)</f>
        <v>0.2908640767</v>
      </c>
      <c r="BT93" s="88"/>
      <c r="BU93" s="89" t="s">
        <v>63</v>
      </c>
      <c r="BV93" s="71"/>
      <c r="BW93" s="3"/>
      <c r="BX93" s="3"/>
      <c r="BY93" s="3"/>
      <c r="BZ93" s="3"/>
      <c r="CA93" s="3"/>
      <c r="CB93" s="3"/>
    </row>
    <row r="94" ht="15.75" customHeight="1">
      <c r="A94" s="1"/>
      <c r="B94" s="142"/>
      <c r="C94" s="143"/>
      <c r="D94" s="144"/>
      <c r="E94" s="192"/>
      <c r="F94" s="146"/>
      <c r="G94" s="147"/>
      <c r="H94" s="148"/>
      <c r="I94" s="149"/>
      <c r="J94" s="72" t="s">
        <v>66</v>
      </c>
      <c r="K94" s="73"/>
      <c r="L94" s="167">
        <v>1433664.0</v>
      </c>
      <c r="M94" s="91">
        <v>1461184.12</v>
      </c>
      <c r="N94" s="92">
        <f t="shared" ref="N94:N97" si="550">IFERROR(M94-L94,"-")</f>
        <v>27520.12</v>
      </c>
      <c r="O94" s="93">
        <f t="shared" ref="O94:O97" si="551">IFERROR(M94/L94-1,"-")</f>
        <v>0.01919565533</v>
      </c>
      <c r="P94" s="167">
        <v>1276587.0</v>
      </c>
      <c r="Q94" s="91">
        <v>1334379.05</v>
      </c>
      <c r="R94" s="92">
        <f t="shared" ref="R94:R97" si="552">IFERROR(Q94-P94,"-")</f>
        <v>57792.05</v>
      </c>
      <c r="S94" s="95">
        <f t="shared" ref="S94:S97" si="553">IFERROR(Q94/P94-1,"-")</f>
        <v>0.04527074927</v>
      </c>
      <c r="T94" s="96">
        <f>($BR$94-($L$94+$P$94))*T93</f>
        <v>864487.45</v>
      </c>
      <c r="U94" s="91">
        <v>1405019.85</v>
      </c>
      <c r="V94" s="92">
        <f t="shared" ref="V94:V97" si="554">IFERROR(U94-T94,"-")</f>
        <v>540532.4</v>
      </c>
      <c r="W94" s="93">
        <f t="shared" ref="W94:W97" si="555">IFERROR(U94/T94-1,"-")</f>
        <v>0.6252634437</v>
      </c>
      <c r="X94" s="96">
        <f>($BR$94-($L$94+$P$94))*X93</f>
        <v>1037384.94</v>
      </c>
      <c r="Y94" s="91">
        <v>1418693.19</v>
      </c>
      <c r="Z94" s="92">
        <f t="shared" ref="Z94:Z97" si="556">IFERROR(Y94-X94,"-")</f>
        <v>381308.25</v>
      </c>
      <c r="AA94" s="93">
        <f t="shared" ref="AA94:AA97" si="557">IFERROR(Y94/X94-1,"-")</f>
        <v>0.3675667877</v>
      </c>
      <c r="AB94" s="96">
        <f>($BR$94-($L$94+$P$94))*AB93</f>
        <v>1383179.92</v>
      </c>
      <c r="AC94" s="91">
        <v>1314498.96</v>
      </c>
      <c r="AD94" s="92">
        <f t="shared" ref="AD94:AD97" si="558">IFERROR(AC94-AB94,"-")</f>
        <v>-68680.96</v>
      </c>
      <c r="AE94" s="93">
        <f t="shared" ref="AE94:AE97" si="559">IFERROR(AC94/AB94-1,"-")</f>
        <v>-0.04965439348</v>
      </c>
      <c r="AF94" s="96">
        <f>($BR$94-($L$94+$P$94))*AF93</f>
        <v>1383179.92</v>
      </c>
      <c r="AG94" s="100">
        <v>297862.87</v>
      </c>
      <c r="AH94" s="100">
        <v>271267.29</v>
      </c>
      <c r="AI94" s="100">
        <v>256802.64</v>
      </c>
      <c r="AJ94" s="100">
        <v>313856.9</v>
      </c>
      <c r="AK94" s="100">
        <v>71103.04</v>
      </c>
      <c r="AL94" s="355">
        <f t="shared" si="548"/>
        <v>1210892.74</v>
      </c>
      <c r="AM94" s="92">
        <f t="shared" ref="AM94:AM97" si="560">IFERROR(AL94-AF94,"-")</f>
        <v>-172287.18</v>
      </c>
      <c r="AN94" s="93">
        <f t="shared" ref="AN94:AN97" si="561">IFERROR(AL94/AF94-1,"-")</f>
        <v>-0.1245587631</v>
      </c>
      <c r="AO94" s="96">
        <f>($BR$94-($L$94+$P$94))*AO93</f>
        <v>1383179.92</v>
      </c>
      <c r="AP94" s="100">
        <v>209605.1</v>
      </c>
      <c r="AQ94" s="353">
        <v>383286.91</v>
      </c>
      <c r="AR94" s="354"/>
      <c r="AS94" s="354"/>
      <c r="AT94" s="354"/>
      <c r="AU94" s="91">
        <f t="shared" si="549"/>
        <v>592892.01</v>
      </c>
      <c r="AV94" s="92">
        <f t="shared" ref="AV94:AV97" si="562">IFERROR(AU94-AO94,"-")</f>
        <v>-790287.91</v>
      </c>
      <c r="AW94" s="93">
        <f t="shared" ref="AW94:AW97" si="563">IFERROR(AU94/AO94-1,"-")</f>
        <v>-0.5713558291</v>
      </c>
      <c r="AX94" s="96">
        <f>($BR$94-($L$94+$P$94))*AX93</f>
        <v>1901872.39</v>
      </c>
      <c r="AY94" s="91">
        <v>0.0</v>
      </c>
      <c r="AZ94" s="92">
        <f t="shared" ref="AZ94:AZ97" si="564">IFERROR(AY94-AX94,"-")</f>
        <v>-1901872.39</v>
      </c>
      <c r="BA94" s="93">
        <f t="shared" ref="BA94:BA97" si="565">IFERROR(AY94/AX94-1,"-")</f>
        <v>-1</v>
      </c>
      <c r="BB94" s="96">
        <f>($BR$94-($L$94+$P$94))*BB93</f>
        <v>2420564.86</v>
      </c>
      <c r="BC94" s="91">
        <v>0.0</v>
      </c>
      <c r="BD94" s="92">
        <f t="shared" ref="BD94:BD97" si="566">IFERROR(BC94-BB94,"-")</f>
        <v>-2420564.86</v>
      </c>
      <c r="BE94" s="93">
        <f t="shared" ref="BE94:BE97" si="567">IFERROR(BC94/BB94-1,"-")</f>
        <v>-1</v>
      </c>
      <c r="BF94" s="96">
        <f>($BR$94-($L$94+$P$94))*BF93</f>
        <v>2420564.86</v>
      </c>
      <c r="BG94" s="91">
        <v>0.0</v>
      </c>
      <c r="BH94" s="92">
        <f t="shared" ref="BH94:BH97" si="568">IFERROR(BG94-BF94,"-")</f>
        <v>-2420564.86</v>
      </c>
      <c r="BI94" s="93">
        <f t="shared" ref="BI94:BI97" si="569">IFERROR(BG94/BF94-1,"-")</f>
        <v>-1</v>
      </c>
      <c r="BJ94" s="96">
        <f>($BR$94-($L$94+$P$94))*BJ93</f>
        <v>2420564.86</v>
      </c>
      <c r="BK94" s="91">
        <v>0.0</v>
      </c>
      <c r="BL94" s="92">
        <f t="shared" ref="BL94:BL97" si="570">IFERROR(BK94-BJ94,"-")</f>
        <v>-2420564.86</v>
      </c>
      <c r="BM94" s="93">
        <f t="shared" ref="BM94:BM97" si="571">IFERROR(BK94/BJ94-1,"-")</f>
        <v>-1</v>
      </c>
      <c r="BN94" s="91">
        <f>($BR$94-($L$94+$P$94))*BN93</f>
        <v>2074769.88</v>
      </c>
      <c r="BO94" s="91">
        <v>0.0</v>
      </c>
      <c r="BP94" s="92">
        <f t="shared" ref="BP94:BP97" si="572">IFERROR(BO94-BN94,"-")</f>
        <v>-2074769.88</v>
      </c>
      <c r="BQ94" s="95">
        <f t="shared" ref="BQ94:BQ97" si="573">IFERROR(BO94/BN94-1,"-")</f>
        <v>-1</v>
      </c>
      <c r="BR94" s="101">
        <v>2.0E7</v>
      </c>
      <c r="BS94" s="102">
        <f t="shared" ref="BS94:BS95" si="574">SUM(M94,Q94,U94,Y94,AC94,AG94,AU94,AY94,BC94,BG94,BK94,BO94)</f>
        <v>7824530.05</v>
      </c>
      <c r="BT94" s="104">
        <f t="shared" ref="BT94:BT97" si="575">IFERROR(BS94/BR94-1,"-")</f>
        <v>-0.6087734975</v>
      </c>
      <c r="BU94" s="237">
        <v>1.7765623E7</v>
      </c>
      <c r="BV94" s="106">
        <f t="shared" ref="BV94:BV95" si="576">BR94/BU94</f>
        <v>1.125769696</v>
      </c>
      <c r="BW94" s="3"/>
      <c r="BX94" s="3"/>
      <c r="BY94" s="3"/>
      <c r="BZ94" s="3"/>
      <c r="CA94" s="3"/>
      <c r="CB94" s="3"/>
    </row>
    <row r="95" ht="15.75" customHeight="1">
      <c r="A95" s="1"/>
      <c r="B95" s="142"/>
      <c r="C95" s="143"/>
      <c r="D95" s="144"/>
      <c r="E95" s="192"/>
      <c r="F95" s="146"/>
      <c r="G95" s="147"/>
      <c r="H95" s="148"/>
      <c r="I95" s="149"/>
      <c r="J95" s="72" t="s">
        <v>67</v>
      </c>
      <c r="K95" s="107"/>
      <c r="L95" s="171">
        <f>L94/$K$96</f>
        <v>14336.64</v>
      </c>
      <c r="M95" s="109">
        <v>13489.0</v>
      </c>
      <c r="N95" s="110">
        <f t="shared" si="550"/>
        <v>-847.64</v>
      </c>
      <c r="O95" s="93">
        <f t="shared" si="551"/>
        <v>-0.05912403464</v>
      </c>
      <c r="P95" s="171">
        <f>P94/$K$96</f>
        <v>12765.87</v>
      </c>
      <c r="Q95" s="109">
        <v>12517.0</v>
      </c>
      <c r="R95" s="110">
        <f t="shared" si="552"/>
        <v>-248.87</v>
      </c>
      <c r="S95" s="95">
        <f t="shared" si="553"/>
        <v>-0.01949495021</v>
      </c>
      <c r="T95" s="112">
        <f>T94/$K$96</f>
        <v>8644.8745</v>
      </c>
      <c r="U95" s="109">
        <v>13451.0</v>
      </c>
      <c r="V95" s="110">
        <f t="shared" si="554"/>
        <v>4806.1255</v>
      </c>
      <c r="W95" s="93">
        <f t="shared" si="555"/>
        <v>0.5559508701</v>
      </c>
      <c r="X95" s="112">
        <f>X94/$K$96</f>
        <v>10373.8494</v>
      </c>
      <c r="Y95" s="109">
        <v>13118.0</v>
      </c>
      <c r="Z95" s="110">
        <f t="shared" si="556"/>
        <v>2744.1506</v>
      </c>
      <c r="AA95" s="93">
        <f t="shared" si="557"/>
        <v>0.2645257796</v>
      </c>
      <c r="AB95" s="112">
        <f>AB94/$K$96</f>
        <v>13831.7992</v>
      </c>
      <c r="AC95" s="109">
        <v>11622.0</v>
      </c>
      <c r="AD95" s="110">
        <f t="shared" si="558"/>
        <v>-2209.7992</v>
      </c>
      <c r="AE95" s="93">
        <f t="shared" si="559"/>
        <v>-0.1597622383</v>
      </c>
      <c r="AF95" s="112">
        <f>AF94/$K$96</f>
        <v>13831.7992</v>
      </c>
      <c r="AG95" s="114">
        <v>2560.0</v>
      </c>
      <c r="AH95" s="114">
        <v>2319.0</v>
      </c>
      <c r="AI95" s="114">
        <v>2209.0</v>
      </c>
      <c r="AJ95" s="114">
        <v>2863.0</v>
      </c>
      <c r="AK95" s="114">
        <v>590.0</v>
      </c>
      <c r="AL95" s="358">
        <f t="shared" si="548"/>
        <v>10541</v>
      </c>
      <c r="AM95" s="110">
        <f t="shared" si="560"/>
        <v>-3290.7992</v>
      </c>
      <c r="AN95" s="93">
        <f t="shared" si="561"/>
        <v>-0.2379154839</v>
      </c>
      <c r="AO95" s="112">
        <f>AO94/$K$96</f>
        <v>13831.7992</v>
      </c>
      <c r="AP95" s="114">
        <v>1765.0</v>
      </c>
      <c r="AQ95" s="356">
        <v>3490.0</v>
      </c>
      <c r="AR95" s="357"/>
      <c r="AS95" s="357"/>
      <c r="AT95" s="357"/>
      <c r="AU95" s="109">
        <f t="shared" si="549"/>
        <v>5255</v>
      </c>
      <c r="AV95" s="110">
        <f t="shared" si="562"/>
        <v>-8576.7992</v>
      </c>
      <c r="AW95" s="93">
        <f t="shared" si="563"/>
        <v>-0.6200783482</v>
      </c>
      <c r="AX95" s="112">
        <f>AX94/$K$96</f>
        <v>19018.7239</v>
      </c>
      <c r="AY95" s="109">
        <v>0.0</v>
      </c>
      <c r="AZ95" s="110">
        <f t="shared" si="564"/>
        <v>-19018.7239</v>
      </c>
      <c r="BA95" s="93">
        <f t="shared" si="565"/>
        <v>-1</v>
      </c>
      <c r="BB95" s="112">
        <f>BB94/$K$96</f>
        <v>24205.6486</v>
      </c>
      <c r="BC95" s="109">
        <v>0.0</v>
      </c>
      <c r="BD95" s="110">
        <f t="shared" si="566"/>
        <v>-24205.6486</v>
      </c>
      <c r="BE95" s="93">
        <f t="shared" si="567"/>
        <v>-1</v>
      </c>
      <c r="BF95" s="112">
        <f>BF94/$K$96</f>
        <v>24205.6486</v>
      </c>
      <c r="BG95" s="109">
        <v>0.0</v>
      </c>
      <c r="BH95" s="110">
        <f t="shared" si="568"/>
        <v>-24205.6486</v>
      </c>
      <c r="BI95" s="93">
        <f t="shared" si="569"/>
        <v>-1</v>
      </c>
      <c r="BJ95" s="112">
        <f>BJ94/$K$96</f>
        <v>24205.6486</v>
      </c>
      <c r="BK95" s="109">
        <v>0.0</v>
      </c>
      <c r="BL95" s="110">
        <f t="shared" si="570"/>
        <v>-24205.6486</v>
      </c>
      <c r="BM95" s="93">
        <f t="shared" si="571"/>
        <v>-1</v>
      </c>
      <c r="BN95" s="109">
        <f>BN94/$K$96</f>
        <v>20747.6988</v>
      </c>
      <c r="BO95" s="109">
        <v>0.0</v>
      </c>
      <c r="BP95" s="110">
        <f t="shared" si="572"/>
        <v>-20747.6988</v>
      </c>
      <c r="BQ95" s="95">
        <f t="shared" si="573"/>
        <v>-1</v>
      </c>
      <c r="BR95" s="206">
        <f>SUM(L95,P95,T95,X95,AB95,AF95,AO95,AX95,BB95,BF95,BJ95,BN95)</f>
        <v>200000</v>
      </c>
      <c r="BS95" s="207">
        <f t="shared" si="574"/>
        <v>72012</v>
      </c>
      <c r="BT95" s="104">
        <f t="shared" si="575"/>
        <v>-0.63994</v>
      </c>
      <c r="BU95" s="119">
        <v>181712.0</v>
      </c>
      <c r="BV95" s="106">
        <f t="shared" si="576"/>
        <v>1.100642775</v>
      </c>
      <c r="BW95" s="3"/>
      <c r="BX95" s="3"/>
      <c r="BY95" s="3"/>
      <c r="BZ95" s="3"/>
      <c r="CA95" s="3"/>
      <c r="CB95" s="3"/>
    </row>
    <row r="96" ht="15.75" customHeight="1">
      <c r="A96" s="1"/>
      <c r="B96" s="142"/>
      <c r="C96" s="143"/>
      <c r="D96" s="144"/>
      <c r="E96" s="192"/>
      <c r="F96" s="146"/>
      <c r="G96" s="147"/>
      <c r="H96" s="148"/>
      <c r="I96" s="149"/>
      <c r="J96" s="72" t="s">
        <v>68</v>
      </c>
      <c r="K96" s="107">
        <v>100.0</v>
      </c>
      <c r="L96" s="171">
        <f>L94/L95</f>
        <v>100</v>
      </c>
      <c r="M96" s="91">
        <f>IFERROR(M94/M95,"-")</f>
        <v>108.3241248</v>
      </c>
      <c r="N96" s="92">
        <f t="shared" si="550"/>
        <v>8.324124842</v>
      </c>
      <c r="O96" s="93">
        <f t="shared" si="551"/>
        <v>0.08324124842</v>
      </c>
      <c r="P96" s="90">
        <f t="shared" ref="P96:Q96" si="577">IFERROR(P94/P95,"-")</f>
        <v>100</v>
      </c>
      <c r="Q96" s="91">
        <f t="shared" si="577"/>
        <v>106.6053407</v>
      </c>
      <c r="R96" s="92">
        <f t="shared" si="552"/>
        <v>6.605340737</v>
      </c>
      <c r="S96" s="95">
        <f t="shared" si="553"/>
        <v>0.06605340737</v>
      </c>
      <c r="T96" s="112">
        <f>T94/T95</f>
        <v>100</v>
      </c>
      <c r="U96" s="91">
        <f>IFERROR(U94/U95,"-")</f>
        <v>104.4546762</v>
      </c>
      <c r="V96" s="92">
        <f t="shared" si="554"/>
        <v>4.454676232</v>
      </c>
      <c r="W96" s="93">
        <f t="shared" si="555"/>
        <v>0.04454676232</v>
      </c>
      <c r="X96" s="96">
        <f t="shared" ref="X96:Y96" si="578">IFERROR(X94/X95,"-")</f>
        <v>100</v>
      </c>
      <c r="Y96" s="91">
        <f t="shared" si="578"/>
        <v>108.148589</v>
      </c>
      <c r="Z96" s="92">
        <f t="shared" si="556"/>
        <v>8.148588962</v>
      </c>
      <c r="AA96" s="93">
        <f t="shared" si="557"/>
        <v>0.08148588962</v>
      </c>
      <c r="AB96" s="112">
        <f>AB94/AB95</f>
        <v>100</v>
      </c>
      <c r="AC96" s="91">
        <f>IFERROR(AC94/AC95,"-")</f>
        <v>113.1043676</v>
      </c>
      <c r="AD96" s="92">
        <f t="shared" si="558"/>
        <v>13.10436758</v>
      </c>
      <c r="AE96" s="93">
        <f t="shared" si="559"/>
        <v>0.1310436758</v>
      </c>
      <c r="AF96" s="385">
        <f>AF94/AF95</f>
        <v>100</v>
      </c>
      <c r="AG96" s="370">
        <f t="shared" ref="AG96:AL96" si="579">IFERROR(AG94/AG95,"-")</f>
        <v>116.3526836</v>
      </c>
      <c r="AH96" s="370">
        <f t="shared" si="579"/>
        <v>116.9759767</v>
      </c>
      <c r="AI96" s="370">
        <f t="shared" si="579"/>
        <v>116.2528927</v>
      </c>
      <c r="AJ96" s="370">
        <f t="shared" si="579"/>
        <v>109.6251834</v>
      </c>
      <c r="AK96" s="370">
        <f t="shared" si="579"/>
        <v>120.5136271</v>
      </c>
      <c r="AL96" s="372">
        <f t="shared" si="579"/>
        <v>114.8745603</v>
      </c>
      <c r="AM96" s="92">
        <f t="shared" si="560"/>
        <v>14.87456029</v>
      </c>
      <c r="AN96" s="93">
        <f t="shared" si="561"/>
        <v>0.1487456029</v>
      </c>
      <c r="AO96" s="112">
        <f>AO94/AO95</f>
        <v>100</v>
      </c>
      <c r="AP96" s="91">
        <f t="shared" ref="AP96:AU96" si="580">IFERROR(AP94/AP95,"-")</f>
        <v>118.7564306</v>
      </c>
      <c r="AQ96" s="91">
        <f t="shared" si="580"/>
        <v>109.8243295</v>
      </c>
      <c r="AR96" s="359" t="str">
        <f t="shared" si="580"/>
        <v>-</v>
      </c>
      <c r="AS96" s="359" t="str">
        <f t="shared" si="580"/>
        <v>-</v>
      </c>
      <c r="AT96" s="359" t="str">
        <f t="shared" si="580"/>
        <v>-</v>
      </c>
      <c r="AU96" s="91">
        <f t="shared" si="580"/>
        <v>112.8243597</v>
      </c>
      <c r="AV96" s="92">
        <f t="shared" si="562"/>
        <v>12.82435966</v>
      </c>
      <c r="AW96" s="93">
        <f t="shared" si="563"/>
        <v>0.1282435966</v>
      </c>
      <c r="AX96" s="112">
        <f>AX94/AX95</f>
        <v>100</v>
      </c>
      <c r="AY96" s="91" t="str">
        <f>IFERROR(AY94/AY95,"-")</f>
        <v>-</v>
      </c>
      <c r="AZ96" s="92" t="str">
        <f t="shared" si="564"/>
        <v>-</v>
      </c>
      <c r="BA96" s="93" t="str">
        <f t="shared" si="565"/>
        <v>-</v>
      </c>
      <c r="BB96" s="112">
        <f>BB94/BB95</f>
        <v>100</v>
      </c>
      <c r="BC96" s="91" t="str">
        <f>IFERROR(BC94/BC95,"-")</f>
        <v>-</v>
      </c>
      <c r="BD96" s="92" t="str">
        <f t="shared" si="566"/>
        <v>-</v>
      </c>
      <c r="BE96" s="93" t="str">
        <f t="shared" si="567"/>
        <v>-</v>
      </c>
      <c r="BF96" s="112">
        <f>BF94/BF95</f>
        <v>100</v>
      </c>
      <c r="BG96" s="91" t="str">
        <f>IFERROR(BG94/BG95,"-")</f>
        <v>-</v>
      </c>
      <c r="BH96" s="92" t="str">
        <f t="shared" si="568"/>
        <v>-</v>
      </c>
      <c r="BI96" s="93" t="str">
        <f t="shared" si="569"/>
        <v>-</v>
      </c>
      <c r="BJ96" s="112">
        <f>BJ94/BJ95</f>
        <v>100</v>
      </c>
      <c r="BK96" s="91" t="str">
        <f>IFERROR(BK94/BK95,"-")</f>
        <v>-</v>
      </c>
      <c r="BL96" s="92" t="str">
        <f t="shared" si="570"/>
        <v>-</v>
      </c>
      <c r="BM96" s="93" t="str">
        <f t="shared" si="571"/>
        <v>-</v>
      </c>
      <c r="BN96" s="109">
        <f>BN94/BN95</f>
        <v>100</v>
      </c>
      <c r="BO96" s="91" t="str">
        <f>IFERROR(BO94/BO95,"-")</f>
        <v>-</v>
      </c>
      <c r="BP96" s="92" t="str">
        <f t="shared" si="572"/>
        <v>-</v>
      </c>
      <c r="BQ96" s="95" t="str">
        <f t="shared" si="573"/>
        <v>-</v>
      </c>
      <c r="BR96" s="120">
        <f t="shared" ref="BR96:BS96" si="581">BR94/BR95</f>
        <v>100</v>
      </c>
      <c r="BS96" s="209">
        <f t="shared" si="581"/>
        <v>108.6559192</v>
      </c>
      <c r="BT96" s="104">
        <f t="shared" si="575"/>
        <v>0.08655919152</v>
      </c>
      <c r="BU96" s="119">
        <f>BU94/BU95</f>
        <v>97.76802303</v>
      </c>
      <c r="BV96" s="106">
        <f>BR96/BU96-1</f>
        <v>0.0228293148</v>
      </c>
      <c r="BW96" s="3"/>
      <c r="BX96" s="3"/>
      <c r="BY96" s="3"/>
      <c r="BZ96" s="3"/>
      <c r="CA96" s="3"/>
      <c r="CB96" s="3"/>
    </row>
    <row r="97" ht="15.75" customHeight="1">
      <c r="A97" s="1"/>
      <c r="B97" s="142"/>
      <c r="C97" s="143"/>
      <c r="D97" s="144"/>
      <c r="E97" s="192"/>
      <c r="F97" s="146"/>
      <c r="G97" s="147"/>
      <c r="H97" s="148"/>
      <c r="I97" s="149"/>
      <c r="J97" s="124" t="s">
        <v>69</v>
      </c>
      <c r="K97" s="125">
        <v>0.06</v>
      </c>
      <c r="L97" s="132">
        <v>150000.0</v>
      </c>
      <c r="M97" s="127">
        <v>150000.0</v>
      </c>
      <c r="N97" s="128">
        <f t="shared" si="550"/>
        <v>0</v>
      </c>
      <c r="O97" s="129">
        <f t="shared" si="551"/>
        <v>0</v>
      </c>
      <c r="P97" s="132">
        <v>150000.0</v>
      </c>
      <c r="Q97" s="127">
        <v>150000.0</v>
      </c>
      <c r="R97" s="128">
        <f t="shared" si="552"/>
        <v>0</v>
      </c>
      <c r="S97" s="131">
        <f t="shared" si="553"/>
        <v>0</v>
      </c>
      <c r="T97" s="132">
        <v>150000.0</v>
      </c>
      <c r="U97" s="127">
        <v>150000.0</v>
      </c>
      <c r="V97" s="128">
        <f t="shared" si="554"/>
        <v>0</v>
      </c>
      <c r="W97" s="129">
        <f t="shared" si="555"/>
        <v>0</v>
      </c>
      <c r="X97" s="132">
        <v>91000.0</v>
      </c>
      <c r="Y97" s="127">
        <v>91000.0</v>
      </c>
      <c r="Z97" s="128">
        <f t="shared" si="556"/>
        <v>0</v>
      </c>
      <c r="AA97" s="129">
        <f t="shared" si="557"/>
        <v>0</v>
      </c>
      <c r="AB97" s="132">
        <v>91000.0</v>
      </c>
      <c r="AC97" s="127">
        <v>91000.0</v>
      </c>
      <c r="AD97" s="128">
        <f t="shared" si="558"/>
        <v>0</v>
      </c>
      <c r="AE97" s="134">
        <f t="shared" si="559"/>
        <v>0</v>
      </c>
      <c r="AF97" s="373">
        <v>91000.0</v>
      </c>
      <c r="AG97" s="374">
        <v>91000.0</v>
      </c>
      <c r="AH97" s="374">
        <v>91000.0</v>
      </c>
      <c r="AI97" s="374">
        <v>91000.0</v>
      </c>
      <c r="AJ97" s="374">
        <v>91000.0</v>
      </c>
      <c r="AK97" s="374">
        <v>91000.0</v>
      </c>
      <c r="AL97" s="375">
        <v>91000.0</v>
      </c>
      <c r="AM97" s="376">
        <f t="shared" si="560"/>
        <v>0</v>
      </c>
      <c r="AN97" s="129">
        <f t="shared" si="561"/>
        <v>0</v>
      </c>
      <c r="AO97" s="132">
        <v>91000.0</v>
      </c>
      <c r="AP97" s="130">
        <f t="shared" ref="AP97:AT97" si="582">AP94*$K$9</f>
        <v>10270.6499</v>
      </c>
      <c r="AQ97" s="130">
        <f t="shared" si="582"/>
        <v>18781.05859</v>
      </c>
      <c r="AR97" s="361">
        <f t="shared" si="582"/>
        <v>0</v>
      </c>
      <c r="AS97" s="361">
        <f t="shared" si="582"/>
        <v>0</v>
      </c>
      <c r="AT97" s="361">
        <f t="shared" si="582"/>
        <v>0</v>
      </c>
      <c r="AU97" s="127">
        <v>91000.0</v>
      </c>
      <c r="AV97" s="128">
        <f t="shared" si="562"/>
        <v>0</v>
      </c>
      <c r="AW97" s="129">
        <f t="shared" si="563"/>
        <v>0</v>
      </c>
      <c r="AX97" s="132">
        <v>91000.0</v>
      </c>
      <c r="AY97" s="127">
        <v>91000.0</v>
      </c>
      <c r="AZ97" s="128">
        <f t="shared" si="564"/>
        <v>0</v>
      </c>
      <c r="BA97" s="129">
        <f t="shared" si="565"/>
        <v>0</v>
      </c>
      <c r="BB97" s="132">
        <v>91000.0</v>
      </c>
      <c r="BC97" s="127">
        <v>91000.0</v>
      </c>
      <c r="BD97" s="128">
        <f t="shared" si="566"/>
        <v>0</v>
      </c>
      <c r="BE97" s="129">
        <f t="shared" si="567"/>
        <v>0</v>
      </c>
      <c r="BF97" s="132">
        <v>91000.0</v>
      </c>
      <c r="BG97" s="127">
        <v>91000.0</v>
      </c>
      <c r="BH97" s="128">
        <f t="shared" si="568"/>
        <v>0</v>
      </c>
      <c r="BI97" s="129">
        <f t="shared" si="569"/>
        <v>0</v>
      </c>
      <c r="BJ97" s="132">
        <v>91000.0</v>
      </c>
      <c r="BK97" s="127">
        <v>91000.0</v>
      </c>
      <c r="BL97" s="128">
        <f t="shared" si="570"/>
        <v>0</v>
      </c>
      <c r="BM97" s="129">
        <f t="shared" si="571"/>
        <v>0</v>
      </c>
      <c r="BN97" s="127">
        <v>91000.0</v>
      </c>
      <c r="BO97" s="127">
        <v>91000.0</v>
      </c>
      <c r="BP97" s="128">
        <f t="shared" si="572"/>
        <v>0</v>
      </c>
      <c r="BQ97" s="131">
        <f t="shared" si="573"/>
        <v>0</v>
      </c>
      <c r="BR97" s="135">
        <f>SUM(L97,P97,T97,X97,AB97,AF97,AO97,AX97,BB97,BF97,BJ97,BN97)</f>
        <v>1269000</v>
      </c>
      <c r="BS97" s="213">
        <f>SUM(M97,Q97,U97,Y97,AC97,AG97,AU97,AY97,BC97,BG97,BK97,BO97)</f>
        <v>1269000</v>
      </c>
      <c r="BT97" s="139">
        <f t="shared" si="575"/>
        <v>0</v>
      </c>
      <c r="BU97" s="140"/>
      <c r="BV97" s="141"/>
      <c r="BW97" s="3"/>
      <c r="BX97" s="3"/>
      <c r="BY97" s="3"/>
      <c r="BZ97" s="3"/>
      <c r="CA97" s="3"/>
      <c r="CB97" s="3"/>
    </row>
    <row r="98" ht="15.75" customHeight="1">
      <c r="A98" s="1"/>
      <c r="B98" s="142"/>
      <c r="C98" s="143"/>
      <c r="D98" s="144"/>
      <c r="E98" s="192"/>
      <c r="F98" s="146"/>
      <c r="G98" s="147"/>
      <c r="H98" s="148"/>
      <c r="I98" s="149"/>
      <c r="J98" s="3"/>
      <c r="K98" s="238"/>
      <c r="L98" s="3"/>
      <c r="M98" s="3"/>
      <c r="N98" s="3"/>
      <c r="P98" s="3"/>
      <c r="Q98" s="214"/>
      <c r="R98" s="3"/>
      <c r="S98" s="3"/>
      <c r="T98" s="3"/>
      <c r="U98" s="3"/>
      <c r="V98" s="3"/>
      <c r="W98" s="3"/>
      <c r="X98" s="3"/>
      <c r="Y98" s="3"/>
      <c r="Z98" s="3"/>
      <c r="AA98" s="3"/>
      <c r="AB98" s="3"/>
      <c r="AC98" s="3"/>
      <c r="AD98" s="3"/>
      <c r="AE98" s="3"/>
      <c r="AF98" s="3"/>
      <c r="AP98" s="363"/>
      <c r="AQ98" s="363"/>
      <c r="AR98" s="363"/>
      <c r="AS98" s="363"/>
      <c r="AT98" s="363"/>
      <c r="BA98" s="187"/>
      <c r="BB98" s="25"/>
      <c r="BC98" s="188"/>
      <c r="BD98" s="25"/>
    </row>
    <row r="99" ht="15.75" customHeight="1">
      <c r="A99" s="1"/>
      <c r="B99" s="142"/>
      <c r="C99" s="143"/>
      <c r="D99" s="144"/>
      <c r="E99" s="192"/>
      <c r="F99" s="146"/>
      <c r="G99" s="147"/>
      <c r="H99" s="148"/>
      <c r="I99" s="149"/>
      <c r="J99" s="34" t="s">
        <v>98</v>
      </c>
      <c r="K99" s="35"/>
      <c r="L99" s="36" t="s">
        <v>10</v>
      </c>
      <c r="M99" s="37" t="s">
        <v>11</v>
      </c>
      <c r="N99" s="38" t="s">
        <v>12</v>
      </c>
      <c r="O99" s="39" t="s">
        <v>13</v>
      </c>
      <c r="P99" s="157" t="s">
        <v>14</v>
      </c>
      <c r="Q99" s="199" t="s">
        <v>15</v>
      </c>
      <c r="R99" s="38" t="s">
        <v>16</v>
      </c>
      <c r="S99" s="42" t="s">
        <v>17</v>
      </c>
      <c r="T99" s="36" t="s">
        <v>18</v>
      </c>
      <c r="U99" s="199" t="s">
        <v>95</v>
      </c>
      <c r="V99" s="38" t="s">
        <v>20</v>
      </c>
      <c r="W99" s="45" t="s">
        <v>96</v>
      </c>
      <c r="X99" s="157" t="s">
        <v>22</v>
      </c>
      <c r="Y99" s="199" t="s">
        <v>97</v>
      </c>
      <c r="Z99" s="38" t="s">
        <v>24</v>
      </c>
      <c r="AA99" s="45" t="s">
        <v>96</v>
      </c>
      <c r="AB99" s="43" t="s">
        <v>26</v>
      </c>
      <c r="AC99" s="199" t="s">
        <v>27</v>
      </c>
      <c r="AD99" s="38" t="s">
        <v>28</v>
      </c>
      <c r="AE99" s="45" t="s">
        <v>29</v>
      </c>
      <c r="AF99" s="44" t="s">
        <v>30</v>
      </c>
      <c r="AG99" s="343" t="s">
        <v>120</v>
      </c>
      <c r="AH99" s="344" t="s">
        <v>121</v>
      </c>
      <c r="AI99" s="344" t="s">
        <v>122</v>
      </c>
      <c r="AJ99" s="344" t="s">
        <v>123</v>
      </c>
      <c r="AK99" s="344" t="s">
        <v>124</v>
      </c>
      <c r="AL99" s="344" t="s">
        <v>31</v>
      </c>
      <c r="AM99" s="38" t="s">
        <v>32</v>
      </c>
      <c r="AN99" s="45" t="s">
        <v>33</v>
      </c>
      <c r="AO99" s="43" t="s">
        <v>34</v>
      </c>
      <c r="AP99" s="343" t="s">
        <v>125</v>
      </c>
      <c r="AQ99" s="344" t="s">
        <v>126</v>
      </c>
      <c r="AR99" s="344" t="s">
        <v>127</v>
      </c>
      <c r="AS99" s="344" t="s">
        <v>128</v>
      </c>
      <c r="AT99" s="344" t="s">
        <v>129</v>
      </c>
      <c r="AU99" s="41" t="s">
        <v>35</v>
      </c>
      <c r="AV99" s="38" t="s">
        <v>36</v>
      </c>
      <c r="AW99" s="45" t="s">
        <v>37</v>
      </c>
      <c r="AX99" s="44" t="s">
        <v>38</v>
      </c>
      <c r="AY99" s="199" t="s">
        <v>39</v>
      </c>
      <c r="AZ99" s="38" t="s">
        <v>40</v>
      </c>
      <c r="BA99" s="45" t="s">
        <v>41</v>
      </c>
      <c r="BB99" s="43" t="s">
        <v>42</v>
      </c>
      <c r="BC99" s="199" t="s">
        <v>43</v>
      </c>
      <c r="BD99" s="38" t="s">
        <v>44</v>
      </c>
      <c r="BE99" s="45" t="s">
        <v>45</v>
      </c>
      <c r="BF99" s="44" t="s">
        <v>46</v>
      </c>
      <c r="BG99" s="199" t="s">
        <v>47</v>
      </c>
      <c r="BH99" s="38" t="s">
        <v>48</v>
      </c>
      <c r="BI99" s="45" t="s">
        <v>49</v>
      </c>
      <c r="BJ99" s="43" t="s">
        <v>50</v>
      </c>
      <c r="BK99" s="199" t="s">
        <v>51</v>
      </c>
      <c r="BL99" s="38" t="s">
        <v>52</v>
      </c>
      <c r="BM99" s="45" t="s">
        <v>53</v>
      </c>
      <c r="BN99" s="201" t="s">
        <v>54</v>
      </c>
      <c r="BO99" s="199" t="s">
        <v>55</v>
      </c>
      <c r="BP99" s="38" t="s">
        <v>56</v>
      </c>
      <c r="BQ99" s="42" t="s">
        <v>57</v>
      </c>
      <c r="BR99" s="345">
        <v>2026.0</v>
      </c>
      <c r="BS99" s="37" t="s">
        <v>61</v>
      </c>
      <c r="BT99" s="51" t="s">
        <v>62</v>
      </c>
      <c r="BU99" s="52">
        <v>2025.0</v>
      </c>
      <c r="BV99" s="53"/>
      <c r="BW99" s="185"/>
      <c r="BX99" s="185"/>
      <c r="BY99" s="185"/>
      <c r="BZ99" s="185"/>
      <c r="CA99" s="3"/>
      <c r="CB99" s="3"/>
    </row>
    <row r="100" ht="15.75" customHeight="1">
      <c r="A100" s="1"/>
      <c r="B100" s="142"/>
      <c r="C100" s="231"/>
      <c r="D100" s="232"/>
      <c r="E100" s="233"/>
      <c r="F100" s="234"/>
      <c r="G100" s="235"/>
      <c r="H100" s="235"/>
      <c r="I100" s="236"/>
      <c r="J100" s="346" t="s">
        <v>130</v>
      </c>
      <c r="K100" s="55"/>
      <c r="L100" s="56"/>
      <c r="M100" s="57"/>
      <c r="N100" s="58"/>
      <c r="O100" s="59"/>
      <c r="P100" s="56"/>
      <c r="Q100" s="202"/>
      <c r="R100" s="58"/>
      <c r="S100" s="61"/>
      <c r="T100" s="56"/>
      <c r="U100" s="63"/>
      <c r="V100" s="58"/>
      <c r="W100" s="59"/>
      <c r="X100" s="56"/>
      <c r="Y100" s="63"/>
      <c r="Z100" s="58"/>
      <c r="AA100" s="59"/>
      <c r="AB100" s="62"/>
      <c r="AC100" s="63"/>
      <c r="AD100" s="58"/>
      <c r="AE100" s="59"/>
      <c r="AF100" s="62"/>
      <c r="AG100" s="347">
        <f t="shared" ref="AG100:AK100" si="583">$AF$101/5</f>
        <v>0.016</v>
      </c>
      <c r="AH100" s="347">
        <f t="shared" si="583"/>
        <v>0.016</v>
      </c>
      <c r="AI100" s="347">
        <f t="shared" si="583"/>
        <v>0.016</v>
      </c>
      <c r="AJ100" s="347">
        <f t="shared" si="583"/>
        <v>0.016</v>
      </c>
      <c r="AK100" s="347">
        <f t="shared" si="583"/>
        <v>0.016</v>
      </c>
      <c r="AL100" s="347"/>
      <c r="AM100" s="58"/>
      <c r="AN100" s="59"/>
      <c r="AO100" s="62"/>
      <c r="AP100" s="347">
        <f t="shared" ref="AP100:AT100" si="584">$AO$101/5</f>
        <v>0.018</v>
      </c>
      <c r="AQ100" s="347">
        <f t="shared" si="584"/>
        <v>0.018</v>
      </c>
      <c r="AR100" s="347">
        <f t="shared" si="584"/>
        <v>0.018</v>
      </c>
      <c r="AS100" s="347">
        <f t="shared" si="584"/>
        <v>0.018</v>
      </c>
      <c r="AT100" s="347">
        <f t="shared" si="584"/>
        <v>0.018</v>
      </c>
      <c r="AU100" s="63"/>
      <c r="AV100" s="58"/>
      <c r="AW100" s="59"/>
      <c r="AX100" s="62"/>
      <c r="AY100" s="63"/>
      <c r="AZ100" s="58"/>
      <c r="BA100" s="59"/>
      <c r="BB100" s="62"/>
      <c r="BC100" s="63"/>
      <c r="BD100" s="58"/>
      <c r="BE100" s="59"/>
      <c r="BF100" s="62"/>
      <c r="BG100" s="63"/>
      <c r="BH100" s="58"/>
      <c r="BI100" s="59"/>
      <c r="BJ100" s="62"/>
      <c r="BK100" s="63"/>
      <c r="BL100" s="58"/>
      <c r="BM100" s="59"/>
      <c r="BN100" s="203"/>
      <c r="BO100" s="63"/>
      <c r="BP100" s="58"/>
      <c r="BQ100" s="61"/>
      <c r="BR100" s="66"/>
      <c r="BS100" s="349"/>
      <c r="BT100" s="69"/>
      <c r="BU100" s="70"/>
      <c r="BV100" s="71"/>
      <c r="BW100" s="3"/>
      <c r="BX100" s="3"/>
      <c r="BY100" s="3"/>
      <c r="BZ100" s="3"/>
      <c r="CA100" s="3"/>
      <c r="CB100" s="3"/>
    </row>
    <row r="101" ht="15.75" customHeight="1">
      <c r="A101" s="1"/>
      <c r="B101" s="142">
        <v>14.0</v>
      </c>
      <c r="C101" s="231" t="s">
        <v>99</v>
      </c>
      <c r="D101" s="232">
        <f>200000*12</f>
        <v>2400000</v>
      </c>
      <c r="E101" s="233">
        <v>50.0</v>
      </c>
      <c r="F101" s="234">
        <f>E101*D101</f>
        <v>120000000</v>
      </c>
      <c r="G101" s="235" t="s">
        <v>63</v>
      </c>
      <c r="H101" s="235" t="s">
        <v>63</v>
      </c>
      <c r="I101" s="236" t="s">
        <v>63</v>
      </c>
      <c r="J101" s="72" t="s">
        <v>64</v>
      </c>
      <c r="K101" s="73"/>
      <c r="L101" s="74" t="s">
        <v>63</v>
      </c>
      <c r="M101" s="75" t="s">
        <v>63</v>
      </c>
      <c r="N101" s="76" t="s">
        <v>63</v>
      </c>
      <c r="O101" s="77" t="s">
        <v>65</v>
      </c>
      <c r="P101" s="74" t="s">
        <v>63</v>
      </c>
      <c r="Q101" s="204" t="s">
        <v>63</v>
      </c>
      <c r="R101" s="76" t="s">
        <v>63</v>
      </c>
      <c r="S101" s="79" t="s">
        <v>65</v>
      </c>
      <c r="T101" s="74" t="s">
        <v>63</v>
      </c>
      <c r="U101" s="81" t="s">
        <v>63</v>
      </c>
      <c r="V101" s="76" t="s">
        <v>63</v>
      </c>
      <c r="W101" s="77" t="s">
        <v>65</v>
      </c>
      <c r="X101" s="74" t="s">
        <v>63</v>
      </c>
      <c r="Y101" s="81" t="s">
        <v>63</v>
      </c>
      <c r="Z101" s="76" t="s">
        <v>63</v>
      </c>
      <c r="AA101" s="77" t="s">
        <v>65</v>
      </c>
      <c r="AB101" s="80">
        <v>0.07</v>
      </c>
      <c r="AC101" s="81">
        <f>AC102/(BR102-(L102+P102+T102+X102))</f>
        <v>0</v>
      </c>
      <c r="AD101" s="76" t="s">
        <v>63</v>
      </c>
      <c r="AE101" s="77" t="s">
        <v>65</v>
      </c>
      <c r="AF101" s="80">
        <v>0.08</v>
      </c>
      <c r="AG101" s="350">
        <f t="shared" ref="AG101:AK101" si="585">AG102/($BR$102-($L$102+$P$102+$T$102+$X$102))</f>
        <v>0</v>
      </c>
      <c r="AH101" s="350">
        <f t="shared" si="585"/>
        <v>0</v>
      </c>
      <c r="AI101" s="350">
        <f t="shared" si="585"/>
        <v>0</v>
      </c>
      <c r="AJ101" s="350">
        <f t="shared" si="585"/>
        <v>0.004255142857</v>
      </c>
      <c r="AK101" s="350">
        <f t="shared" si="585"/>
        <v>0</v>
      </c>
      <c r="AL101" s="351">
        <f t="shared" ref="AL101:AL103" si="587">SUM(AG101:AK101)</f>
        <v>0.004255142857</v>
      </c>
      <c r="AM101" s="352">
        <f>AL101-AF101</f>
        <v>-0.07574485714</v>
      </c>
      <c r="AN101" s="77" t="s">
        <v>65</v>
      </c>
      <c r="AO101" s="80">
        <v>0.09</v>
      </c>
      <c r="AP101" s="350">
        <f t="shared" ref="AP101:AT101" si="586">AP102/($BR$102-($L$102+$P$102+$T$102+$X$102))</f>
        <v>0.003272285714</v>
      </c>
      <c r="AQ101" s="350">
        <f t="shared" si="586"/>
        <v>0</v>
      </c>
      <c r="AR101" s="350">
        <f t="shared" si="586"/>
        <v>0</v>
      </c>
      <c r="AS101" s="350">
        <f t="shared" si="586"/>
        <v>0</v>
      </c>
      <c r="AT101" s="350">
        <f t="shared" si="586"/>
        <v>0</v>
      </c>
      <c r="AU101" s="351">
        <f t="shared" ref="AU101:AU103" si="588">SUM(AP101:AT101)</f>
        <v>0.003272285714</v>
      </c>
      <c r="AV101" s="76" t="s">
        <v>63</v>
      </c>
      <c r="AW101" s="77" t="s">
        <v>65</v>
      </c>
      <c r="AX101" s="80">
        <v>0.1</v>
      </c>
      <c r="AY101" s="81">
        <f>AY102/(BR102-(L102+P102+T102+X102))</f>
        <v>0</v>
      </c>
      <c r="AZ101" s="76" t="s">
        <v>63</v>
      </c>
      <c r="BA101" s="77" t="s">
        <v>65</v>
      </c>
      <c r="BB101" s="80">
        <v>0.11</v>
      </c>
      <c r="BC101" s="81">
        <f>BC102/(BR102-(L102+P102+T102+X102))</f>
        <v>0</v>
      </c>
      <c r="BD101" s="76" t="s">
        <v>63</v>
      </c>
      <c r="BE101" s="77" t="s">
        <v>65</v>
      </c>
      <c r="BF101" s="80">
        <v>0.13</v>
      </c>
      <c r="BG101" s="81">
        <f>BG102/(BR102-(L102+P102+T102+X102))</f>
        <v>0</v>
      </c>
      <c r="BH101" s="76" t="s">
        <v>63</v>
      </c>
      <c r="BI101" s="77" t="s">
        <v>65</v>
      </c>
      <c r="BJ101" s="80">
        <v>0.15</v>
      </c>
      <c r="BK101" s="81">
        <f>BK102/(BR102-(L102+P102+T102+X102))</f>
        <v>0</v>
      </c>
      <c r="BL101" s="76" t="s">
        <v>63</v>
      </c>
      <c r="BM101" s="77" t="s">
        <v>65</v>
      </c>
      <c r="BN101" s="205">
        <v>0.27</v>
      </c>
      <c r="BO101" s="81">
        <f>BO102/(BR102-(L102+P102+T102+X102))</f>
        <v>0</v>
      </c>
      <c r="BP101" s="76" t="s">
        <v>63</v>
      </c>
      <c r="BQ101" s="79" t="s">
        <v>65</v>
      </c>
      <c r="BR101" s="84">
        <f>SUM(AB101,AF101,AO101,AX101,BB101,BF101,BJ101,BN101)</f>
        <v>1</v>
      </c>
      <c r="BS101" s="350">
        <f>SUM(AC101,AG101,AU101,AY101,BC101,BG101,BK101,BO101)</f>
        <v>0.003272285714</v>
      </c>
      <c r="BT101" s="88"/>
      <c r="BU101" s="89" t="s">
        <v>63</v>
      </c>
      <c r="BV101" s="71"/>
      <c r="BW101" s="3"/>
      <c r="BX101" s="3"/>
      <c r="BY101" s="3"/>
      <c r="BZ101" s="3"/>
      <c r="CA101" s="3"/>
      <c r="CB101" s="3"/>
    </row>
    <row r="102" ht="15.75" customHeight="1">
      <c r="A102" s="1"/>
      <c r="B102" s="142"/>
      <c r="C102" s="143"/>
      <c r="D102" s="144"/>
      <c r="E102" s="192"/>
      <c r="F102" s="146"/>
      <c r="G102" s="147"/>
      <c r="H102" s="148"/>
      <c r="I102" s="149"/>
      <c r="J102" s="72" t="s">
        <v>66</v>
      </c>
      <c r="K102" s="73"/>
      <c r="L102" s="167">
        <v>0.0</v>
      </c>
      <c r="M102" s="91">
        <v>0.0</v>
      </c>
      <c r="N102" s="92">
        <f t="shared" ref="N102:N105" si="589">IFERROR(M102-L102,"-")</f>
        <v>0</v>
      </c>
      <c r="O102" s="93" t="str">
        <f t="shared" ref="O102:O105" si="590">IFERROR(M102/L102-1,"-")</f>
        <v>-</v>
      </c>
      <c r="P102" s="167">
        <v>0.0</v>
      </c>
      <c r="Q102" s="91">
        <v>0.0</v>
      </c>
      <c r="R102" s="92">
        <f t="shared" ref="R102:R105" si="591">IFERROR(Q102-P102,"-")</f>
        <v>0</v>
      </c>
      <c r="S102" s="95" t="str">
        <f t="shared" ref="S102:S105" si="592">IFERROR(Q102/P102-1,"-")</f>
        <v>-</v>
      </c>
      <c r="T102" s="90">
        <v>0.0</v>
      </c>
      <c r="U102" s="91">
        <v>0.0</v>
      </c>
      <c r="V102" s="92">
        <f t="shared" ref="V102:V105" si="593">IFERROR(U102-T102,"-")</f>
        <v>0</v>
      </c>
      <c r="W102" s="93" t="str">
        <f t="shared" ref="W102:W105" si="594">IFERROR(U102/T102-1,"-")</f>
        <v>-</v>
      </c>
      <c r="X102" s="90">
        <v>0.0</v>
      </c>
      <c r="Y102" s="91">
        <v>0.0</v>
      </c>
      <c r="Z102" s="92">
        <f t="shared" ref="Z102:Z105" si="595">IFERROR(Y102-X102,"-")</f>
        <v>0</v>
      </c>
      <c r="AA102" s="93" t="str">
        <f t="shared" ref="AA102:AA105" si="596">IFERROR(Y102/X102-1,"-")</f>
        <v>-</v>
      </c>
      <c r="AB102" s="96">
        <f>($BR$102-($L$102+$P$102))*AB101</f>
        <v>2450</v>
      </c>
      <c r="AC102" s="91">
        <v>0.0</v>
      </c>
      <c r="AD102" s="92">
        <f t="shared" ref="AD102:AD105" si="597">IFERROR(AC102-AB102,"-")</f>
        <v>-2450</v>
      </c>
      <c r="AE102" s="93">
        <f t="shared" ref="AE102:AE105" si="598">IFERROR(AC102/AB102-1,"-")</f>
        <v>-1</v>
      </c>
      <c r="AF102" s="96">
        <f>($BR$102-($L$102+$P$102))*AF101</f>
        <v>2800</v>
      </c>
      <c r="AG102" s="91">
        <v>0.0</v>
      </c>
      <c r="AH102" s="91">
        <v>0.0</v>
      </c>
      <c r="AI102" s="91">
        <v>0.0</v>
      </c>
      <c r="AJ102" s="100">
        <v>148.93</v>
      </c>
      <c r="AK102" s="91">
        <v>0.0</v>
      </c>
      <c r="AL102" s="355">
        <f t="shared" si="587"/>
        <v>148.93</v>
      </c>
      <c r="AM102" s="92">
        <f t="shared" ref="AM102:AM105" si="599">IFERROR(AL102-AF102,"-")</f>
        <v>-2651.07</v>
      </c>
      <c r="AN102" s="93">
        <f t="shared" ref="AN102:AN105" si="600">IFERROR(AL102/AF102-1,"-")</f>
        <v>-0.9468107143</v>
      </c>
      <c r="AO102" s="96">
        <f>($BR$102-($L$102+$P$102))*AO101</f>
        <v>3150</v>
      </c>
      <c r="AP102" s="100">
        <v>114.53</v>
      </c>
      <c r="AQ102" s="353">
        <v>0.0</v>
      </c>
      <c r="AR102" s="354"/>
      <c r="AS102" s="354"/>
      <c r="AT102" s="354"/>
      <c r="AU102" s="91">
        <f t="shared" si="588"/>
        <v>114.53</v>
      </c>
      <c r="AV102" s="92">
        <f t="shared" ref="AV102:AV105" si="601">IFERROR(AU102-AO102,"-")</f>
        <v>-3035.47</v>
      </c>
      <c r="AW102" s="93">
        <f t="shared" ref="AW102:AW105" si="602">IFERROR(AU102/AO102-1,"-")</f>
        <v>-0.9636412698</v>
      </c>
      <c r="AX102" s="96">
        <f>($BR$102-($L$102+$P$102))*AX101</f>
        <v>3500</v>
      </c>
      <c r="AY102" s="91">
        <v>0.0</v>
      </c>
      <c r="AZ102" s="92">
        <f t="shared" ref="AZ102:AZ105" si="603">IFERROR(AY102-AX102,"-")</f>
        <v>-3500</v>
      </c>
      <c r="BA102" s="93">
        <f t="shared" ref="BA102:BA105" si="604">IFERROR(AY102/AX102-1,"-")</f>
        <v>-1</v>
      </c>
      <c r="BB102" s="96">
        <f>($BR$102-($L$102+$P$102))*BB101</f>
        <v>3850</v>
      </c>
      <c r="BC102" s="91">
        <v>0.0</v>
      </c>
      <c r="BD102" s="92">
        <f t="shared" ref="BD102:BD105" si="605">IFERROR(BC102-BB102,"-")</f>
        <v>-3850</v>
      </c>
      <c r="BE102" s="93">
        <f t="shared" ref="BE102:BE105" si="606">IFERROR(BC102/BB102-1,"-")</f>
        <v>-1</v>
      </c>
      <c r="BF102" s="96">
        <f>($BR$102-($L$102+$P$102))*BF101</f>
        <v>4550</v>
      </c>
      <c r="BG102" s="91">
        <v>0.0</v>
      </c>
      <c r="BH102" s="92">
        <f t="shared" ref="BH102:BH105" si="607">IFERROR(BG102-BF102,"-")</f>
        <v>-4550</v>
      </c>
      <c r="BI102" s="93">
        <f t="shared" ref="BI102:BI105" si="608">IFERROR(BG102/BF102-1,"-")</f>
        <v>-1</v>
      </c>
      <c r="BJ102" s="96">
        <f>($BR$102-($L$102+$P$102))*BJ101</f>
        <v>5250</v>
      </c>
      <c r="BK102" s="91">
        <v>0.0</v>
      </c>
      <c r="BL102" s="92">
        <f t="shared" ref="BL102:BL105" si="609">IFERROR(BK102-BJ102,"-")</f>
        <v>-5250</v>
      </c>
      <c r="BM102" s="93">
        <f t="shared" ref="BM102:BM105" si="610">IFERROR(BK102/BJ102-1,"-")</f>
        <v>-1</v>
      </c>
      <c r="BN102" s="91">
        <f>($BR$102-($L$102+$P$102))*BN101</f>
        <v>9450</v>
      </c>
      <c r="BO102" s="91">
        <v>0.0</v>
      </c>
      <c r="BP102" s="92">
        <f t="shared" ref="BP102:BP105" si="611">IFERROR(BO102-BN102,"-")</f>
        <v>-9450</v>
      </c>
      <c r="BQ102" s="95">
        <f t="shared" ref="BQ102:BQ105" si="612">IFERROR(BO102/BN102-1,"-")</f>
        <v>-1</v>
      </c>
      <c r="BR102" s="101">
        <v>35000.0</v>
      </c>
      <c r="BS102" s="102">
        <f t="shared" ref="BS102:BS103" si="613">SUM(M102,Q102,U102,Y102,AC102,AG102,AU102,AY102,BC102,BG102,BK102,BO102)</f>
        <v>114.53</v>
      </c>
      <c r="BT102" s="104">
        <f t="shared" ref="BT102:BT105" si="614">IFERROR(BS102/BR102-1,"-")</f>
        <v>-0.9967277143</v>
      </c>
      <c r="BU102" s="105" t="s">
        <v>63</v>
      </c>
      <c r="BV102" s="106" t="str">
        <f t="shared" ref="BV102:BV103" si="615">IFERROR((BR102/BU102),"-")</f>
        <v>-</v>
      </c>
      <c r="BW102" s="3"/>
      <c r="BX102" s="3"/>
      <c r="BY102" s="3"/>
      <c r="BZ102" s="3"/>
      <c r="CA102" s="3"/>
      <c r="CB102" s="3"/>
    </row>
    <row r="103" ht="15.75" customHeight="1">
      <c r="A103" s="1"/>
      <c r="B103" s="142"/>
      <c r="C103" s="143"/>
      <c r="D103" s="144"/>
      <c r="E103" s="192"/>
      <c r="F103" s="146"/>
      <c r="G103" s="147"/>
      <c r="H103" s="148"/>
      <c r="I103" s="149"/>
      <c r="J103" s="72" t="s">
        <v>67</v>
      </c>
      <c r="K103" s="107"/>
      <c r="L103" s="108">
        <f>L102/$K$104</f>
        <v>0</v>
      </c>
      <c r="M103" s="109">
        <v>0.0</v>
      </c>
      <c r="N103" s="110">
        <f t="shared" si="589"/>
        <v>0</v>
      </c>
      <c r="O103" s="93" t="str">
        <f t="shared" si="590"/>
        <v>-</v>
      </c>
      <c r="P103" s="108">
        <v>0.0</v>
      </c>
      <c r="Q103" s="109">
        <v>0.0</v>
      </c>
      <c r="R103" s="110">
        <f t="shared" si="591"/>
        <v>0</v>
      </c>
      <c r="S103" s="95" t="str">
        <f t="shared" si="592"/>
        <v>-</v>
      </c>
      <c r="T103" s="108">
        <f>T102/$K$104</f>
        <v>0</v>
      </c>
      <c r="U103" s="109">
        <v>0.0</v>
      </c>
      <c r="V103" s="110">
        <f t="shared" si="593"/>
        <v>0</v>
      </c>
      <c r="W103" s="93" t="str">
        <f t="shared" si="594"/>
        <v>-</v>
      </c>
      <c r="X103" s="108">
        <f>X102/$K$104</f>
        <v>0</v>
      </c>
      <c r="Y103" s="109">
        <v>0.0</v>
      </c>
      <c r="Z103" s="110">
        <f t="shared" si="595"/>
        <v>0</v>
      </c>
      <c r="AA103" s="93" t="str">
        <f t="shared" si="596"/>
        <v>-</v>
      </c>
      <c r="AB103" s="112">
        <f>AB102/$K$104</f>
        <v>21.30434783</v>
      </c>
      <c r="AC103" s="109">
        <v>0.0</v>
      </c>
      <c r="AD103" s="110">
        <f t="shared" si="597"/>
        <v>-21.30434783</v>
      </c>
      <c r="AE103" s="93">
        <f t="shared" si="598"/>
        <v>-1</v>
      </c>
      <c r="AF103" s="112">
        <f>AF102/$K$104</f>
        <v>24.34782609</v>
      </c>
      <c r="AG103" s="109">
        <v>0.0</v>
      </c>
      <c r="AH103" s="109">
        <v>0.0</v>
      </c>
      <c r="AI103" s="109">
        <v>0.0</v>
      </c>
      <c r="AJ103" s="114">
        <v>1.0</v>
      </c>
      <c r="AK103" s="109">
        <v>0.0</v>
      </c>
      <c r="AL103" s="358">
        <f t="shared" si="587"/>
        <v>1</v>
      </c>
      <c r="AM103" s="110">
        <f t="shared" si="599"/>
        <v>-23.34782609</v>
      </c>
      <c r="AN103" s="93">
        <f t="shared" si="600"/>
        <v>-0.9589285714</v>
      </c>
      <c r="AO103" s="112">
        <f>AO102/$K$104</f>
        <v>27.39130435</v>
      </c>
      <c r="AP103" s="114">
        <v>1.0</v>
      </c>
      <c r="AQ103" s="356">
        <v>0.0</v>
      </c>
      <c r="AR103" s="357"/>
      <c r="AS103" s="357"/>
      <c r="AT103" s="357"/>
      <c r="AU103" s="109">
        <f t="shared" si="588"/>
        <v>1</v>
      </c>
      <c r="AV103" s="110">
        <f t="shared" si="601"/>
        <v>-26.39130435</v>
      </c>
      <c r="AW103" s="93">
        <f t="shared" si="602"/>
        <v>-0.9634920635</v>
      </c>
      <c r="AX103" s="112">
        <f>AX102/$K$104</f>
        <v>30.43478261</v>
      </c>
      <c r="AY103" s="109">
        <v>0.0</v>
      </c>
      <c r="AZ103" s="110">
        <f t="shared" si="603"/>
        <v>-30.43478261</v>
      </c>
      <c r="BA103" s="93">
        <f t="shared" si="604"/>
        <v>-1</v>
      </c>
      <c r="BB103" s="112">
        <f>BB102/$K$104</f>
        <v>33.47826087</v>
      </c>
      <c r="BC103" s="109">
        <v>0.0</v>
      </c>
      <c r="BD103" s="110">
        <f t="shared" si="605"/>
        <v>-33.47826087</v>
      </c>
      <c r="BE103" s="93">
        <f t="shared" si="606"/>
        <v>-1</v>
      </c>
      <c r="BF103" s="112">
        <f>BF102/$K$104</f>
        <v>39.56521739</v>
      </c>
      <c r="BG103" s="109">
        <v>0.0</v>
      </c>
      <c r="BH103" s="110">
        <f t="shared" si="607"/>
        <v>-39.56521739</v>
      </c>
      <c r="BI103" s="93">
        <f t="shared" si="608"/>
        <v>-1</v>
      </c>
      <c r="BJ103" s="112">
        <f>BJ102/$K$104</f>
        <v>45.65217391</v>
      </c>
      <c r="BK103" s="109">
        <v>0.0</v>
      </c>
      <c r="BL103" s="110">
        <f t="shared" si="609"/>
        <v>-45.65217391</v>
      </c>
      <c r="BM103" s="93">
        <f t="shared" si="610"/>
        <v>-1</v>
      </c>
      <c r="BN103" s="109">
        <f>BN102/$K$104</f>
        <v>82.17391304</v>
      </c>
      <c r="BO103" s="109">
        <v>0.0</v>
      </c>
      <c r="BP103" s="110">
        <f t="shared" si="611"/>
        <v>-82.17391304</v>
      </c>
      <c r="BQ103" s="95">
        <f t="shared" si="612"/>
        <v>-1</v>
      </c>
      <c r="BR103" s="206">
        <f>SUM(L103,P103,T103,X103,AB103,AF103,AO103,AX103,BB103,BF103,BJ103,BN103)</f>
        <v>304.3478261</v>
      </c>
      <c r="BS103" s="207">
        <f t="shared" si="613"/>
        <v>1</v>
      </c>
      <c r="BT103" s="104">
        <f t="shared" si="614"/>
        <v>-0.9967142857</v>
      </c>
      <c r="BU103" s="119" t="s">
        <v>63</v>
      </c>
      <c r="BV103" s="106" t="str">
        <f t="shared" si="615"/>
        <v>-</v>
      </c>
      <c r="BW103" s="3"/>
      <c r="BX103" s="3"/>
      <c r="BY103" s="3"/>
      <c r="BZ103" s="3"/>
      <c r="CA103" s="3"/>
      <c r="CB103" s="3"/>
    </row>
    <row r="104" ht="15.75" customHeight="1">
      <c r="A104" s="1"/>
      <c r="B104" s="142"/>
      <c r="C104" s="143"/>
      <c r="D104" s="144"/>
      <c r="E104" s="192"/>
      <c r="F104" s="146"/>
      <c r="G104" s="147"/>
      <c r="H104" s="148"/>
      <c r="I104" s="149"/>
      <c r="J104" s="72" t="s">
        <v>68</v>
      </c>
      <c r="K104" s="107">
        <v>115.0</v>
      </c>
      <c r="L104" s="90" t="str">
        <f t="shared" ref="L104:M104" si="616">IFERROR(L102/L103,"-")</f>
        <v>-</v>
      </c>
      <c r="M104" s="91" t="str">
        <f t="shared" si="616"/>
        <v>-</v>
      </c>
      <c r="N104" s="92" t="str">
        <f t="shared" si="589"/>
        <v>-</v>
      </c>
      <c r="O104" s="93" t="str">
        <f t="shared" si="590"/>
        <v>-</v>
      </c>
      <c r="P104" s="90" t="str">
        <f t="shared" ref="P104:Q104" si="617">IFERROR(P102/P103,"-")</f>
        <v>-</v>
      </c>
      <c r="Q104" s="91" t="str">
        <f t="shared" si="617"/>
        <v>-</v>
      </c>
      <c r="R104" s="92" t="str">
        <f t="shared" si="591"/>
        <v>-</v>
      </c>
      <c r="S104" s="95" t="str">
        <f t="shared" si="592"/>
        <v>-</v>
      </c>
      <c r="T104" s="90" t="str">
        <f t="shared" ref="T104:U104" si="618">IFERROR(T102/T103,"-")</f>
        <v>-</v>
      </c>
      <c r="U104" s="91" t="str">
        <f t="shared" si="618"/>
        <v>-</v>
      </c>
      <c r="V104" s="92" t="str">
        <f t="shared" si="593"/>
        <v>-</v>
      </c>
      <c r="W104" s="93" t="str">
        <f t="shared" si="594"/>
        <v>-</v>
      </c>
      <c r="X104" s="90" t="str">
        <f t="shared" ref="X104:Y104" si="619">IFERROR(X102/X103,"-")</f>
        <v>-</v>
      </c>
      <c r="Y104" s="91" t="str">
        <f t="shared" si="619"/>
        <v>-</v>
      </c>
      <c r="Z104" s="92" t="str">
        <f t="shared" si="595"/>
        <v>-</v>
      </c>
      <c r="AA104" s="93" t="str">
        <f t="shared" si="596"/>
        <v>-</v>
      </c>
      <c r="AB104" s="112">
        <f>AB102/AB103</f>
        <v>115</v>
      </c>
      <c r="AC104" s="91" t="str">
        <f>IFERROR(AC102/AC103,"-")</f>
        <v>-</v>
      </c>
      <c r="AD104" s="92" t="str">
        <f t="shared" si="597"/>
        <v>-</v>
      </c>
      <c r="AE104" s="93" t="str">
        <f t="shared" si="598"/>
        <v>-</v>
      </c>
      <c r="AF104" s="385">
        <f>AF102/AF103</f>
        <v>115</v>
      </c>
      <c r="AG104" s="370" t="str">
        <f t="shared" ref="AG104:AL104" si="620">IFERROR(AG102/AG103,"-")</f>
        <v>-</v>
      </c>
      <c r="AH104" s="370" t="str">
        <f t="shared" si="620"/>
        <v>-</v>
      </c>
      <c r="AI104" s="370" t="str">
        <f t="shared" si="620"/>
        <v>-</v>
      </c>
      <c r="AJ104" s="370">
        <f t="shared" si="620"/>
        <v>148.93</v>
      </c>
      <c r="AK104" s="370" t="str">
        <f t="shared" si="620"/>
        <v>-</v>
      </c>
      <c r="AL104" s="372">
        <f t="shared" si="620"/>
        <v>148.93</v>
      </c>
      <c r="AM104" s="92">
        <f t="shared" si="599"/>
        <v>33.93</v>
      </c>
      <c r="AN104" s="93">
        <f t="shared" si="600"/>
        <v>0.2950434783</v>
      </c>
      <c r="AO104" s="112">
        <f>AO102/AO103</f>
        <v>115</v>
      </c>
      <c r="AP104" s="91">
        <f t="shared" ref="AP104:AU104" si="621">IFERROR(AP102/AP103,"-")</f>
        <v>114.53</v>
      </c>
      <c r="AQ104" s="91" t="str">
        <f t="shared" si="621"/>
        <v>-</v>
      </c>
      <c r="AR104" s="359" t="str">
        <f t="shared" si="621"/>
        <v>-</v>
      </c>
      <c r="AS104" s="359" t="str">
        <f t="shared" si="621"/>
        <v>-</v>
      </c>
      <c r="AT104" s="359" t="str">
        <f t="shared" si="621"/>
        <v>-</v>
      </c>
      <c r="AU104" s="91">
        <f t="shared" si="621"/>
        <v>114.53</v>
      </c>
      <c r="AV104" s="92">
        <f t="shared" si="601"/>
        <v>-0.47</v>
      </c>
      <c r="AW104" s="93">
        <f t="shared" si="602"/>
        <v>-0.004086956522</v>
      </c>
      <c r="AX104" s="112">
        <f>AX102/AX103</f>
        <v>115</v>
      </c>
      <c r="AY104" s="91" t="str">
        <f>IFERROR(AY102/AY103,"-")</f>
        <v>-</v>
      </c>
      <c r="AZ104" s="92" t="str">
        <f t="shared" si="603"/>
        <v>-</v>
      </c>
      <c r="BA104" s="93" t="str">
        <f t="shared" si="604"/>
        <v>-</v>
      </c>
      <c r="BB104" s="112">
        <f>BB102/BB103</f>
        <v>115</v>
      </c>
      <c r="BC104" s="91" t="str">
        <f>IFERROR(BC102/BC103,"-")</f>
        <v>-</v>
      </c>
      <c r="BD104" s="92" t="str">
        <f t="shared" si="605"/>
        <v>-</v>
      </c>
      <c r="BE104" s="93" t="str">
        <f t="shared" si="606"/>
        <v>-</v>
      </c>
      <c r="BF104" s="112">
        <f>BF102/BF103</f>
        <v>115</v>
      </c>
      <c r="BG104" s="91" t="str">
        <f>IFERROR(BG102/BG103,"-")</f>
        <v>-</v>
      </c>
      <c r="BH104" s="92" t="str">
        <f t="shared" si="607"/>
        <v>-</v>
      </c>
      <c r="BI104" s="93" t="str">
        <f t="shared" si="608"/>
        <v>-</v>
      </c>
      <c r="BJ104" s="112">
        <f>BJ102/BJ103</f>
        <v>115</v>
      </c>
      <c r="BK104" s="91" t="str">
        <f>IFERROR(BK102/BK103,"-")</f>
        <v>-</v>
      </c>
      <c r="BL104" s="92" t="str">
        <f t="shared" si="609"/>
        <v>-</v>
      </c>
      <c r="BM104" s="93" t="str">
        <f t="shared" si="610"/>
        <v>-</v>
      </c>
      <c r="BN104" s="109">
        <f>BN102/BN103</f>
        <v>115</v>
      </c>
      <c r="BO104" s="91" t="str">
        <f>IFERROR(BO102/BO103,"-")</f>
        <v>-</v>
      </c>
      <c r="BP104" s="92" t="str">
        <f t="shared" si="611"/>
        <v>-</v>
      </c>
      <c r="BQ104" s="95" t="str">
        <f t="shared" si="612"/>
        <v>-</v>
      </c>
      <c r="BR104" s="120">
        <f>BR102/BR103</f>
        <v>115</v>
      </c>
      <c r="BS104" s="91">
        <f>IFERROR(BS102/BS103,"-")</f>
        <v>114.53</v>
      </c>
      <c r="BT104" s="104">
        <f t="shared" si="614"/>
        <v>-0.004086956522</v>
      </c>
      <c r="BU104" s="119"/>
      <c r="BV104" s="106"/>
      <c r="BW104" s="3"/>
      <c r="BX104" s="3"/>
      <c r="BY104" s="3"/>
      <c r="BZ104" s="3"/>
      <c r="CA104" s="3"/>
      <c r="CB104" s="3"/>
    </row>
    <row r="105" ht="15.75" customHeight="1">
      <c r="A105" s="1"/>
      <c r="B105" s="142"/>
      <c r="C105" s="143"/>
      <c r="D105" s="144"/>
      <c r="E105" s="192"/>
      <c r="F105" s="146"/>
      <c r="G105" s="147"/>
      <c r="H105" s="148"/>
      <c r="I105" s="149"/>
      <c r="J105" s="124" t="s">
        <v>69</v>
      </c>
      <c r="K105" s="239">
        <v>199.0</v>
      </c>
      <c r="L105" s="132">
        <f>$K$105*1</f>
        <v>199</v>
      </c>
      <c r="M105" s="127">
        <f>L105*1</f>
        <v>199</v>
      </c>
      <c r="N105" s="128">
        <f t="shared" si="589"/>
        <v>0</v>
      </c>
      <c r="O105" s="129">
        <f t="shared" si="590"/>
        <v>0</v>
      </c>
      <c r="P105" s="132">
        <f t="shared" ref="P105:Q105" si="622">L105*1</f>
        <v>199</v>
      </c>
      <c r="Q105" s="127">
        <f t="shared" si="622"/>
        <v>199</v>
      </c>
      <c r="R105" s="128">
        <f t="shared" si="591"/>
        <v>0</v>
      </c>
      <c r="S105" s="131">
        <f t="shared" si="592"/>
        <v>0</v>
      </c>
      <c r="T105" s="132">
        <f t="shared" ref="T105:U105" si="623">P105*1</f>
        <v>199</v>
      </c>
      <c r="U105" s="127">
        <f t="shared" si="623"/>
        <v>199</v>
      </c>
      <c r="V105" s="128">
        <f t="shared" si="593"/>
        <v>0</v>
      </c>
      <c r="W105" s="129">
        <f t="shared" si="594"/>
        <v>0</v>
      </c>
      <c r="X105" s="132">
        <f t="shared" ref="X105:Y105" si="624">T105*1</f>
        <v>199</v>
      </c>
      <c r="Y105" s="127">
        <f t="shared" si="624"/>
        <v>199</v>
      </c>
      <c r="Z105" s="128">
        <f t="shared" si="595"/>
        <v>0</v>
      </c>
      <c r="AA105" s="129">
        <f t="shared" si="596"/>
        <v>0</v>
      </c>
      <c r="AB105" s="132">
        <f t="shared" ref="AB105:AC105" si="625">X105*1</f>
        <v>199</v>
      </c>
      <c r="AC105" s="127">
        <f t="shared" si="625"/>
        <v>199</v>
      </c>
      <c r="AD105" s="128">
        <f t="shared" si="597"/>
        <v>0</v>
      </c>
      <c r="AE105" s="134">
        <f t="shared" si="598"/>
        <v>0</v>
      </c>
      <c r="AF105" s="373">
        <f t="shared" ref="AF105:AK105" si="626">$K$105*1</f>
        <v>199</v>
      </c>
      <c r="AG105" s="374">
        <f t="shared" si="626"/>
        <v>199</v>
      </c>
      <c r="AH105" s="374">
        <f t="shared" si="626"/>
        <v>199</v>
      </c>
      <c r="AI105" s="374">
        <f t="shared" si="626"/>
        <v>199</v>
      </c>
      <c r="AJ105" s="374">
        <f t="shared" si="626"/>
        <v>199</v>
      </c>
      <c r="AK105" s="374">
        <f t="shared" si="626"/>
        <v>199</v>
      </c>
      <c r="AL105" s="375">
        <f>AH105*1</f>
        <v>199</v>
      </c>
      <c r="AM105" s="376">
        <f t="shared" si="599"/>
        <v>0</v>
      </c>
      <c r="AN105" s="129">
        <f t="shared" si="600"/>
        <v>0</v>
      </c>
      <c r="AO105" s="132">
        <f>AF105*1</f>
        <v>199</v>
      </c>
      <c r="AP105" s="130">
        <f t="shared" ref="AP105:AT105" si="627">AP102*$K$9</f>
        <v>5.61197</v>
      </c>
      <c r="AQ105" s="130">
        <f t="shared" si="627"/>
        <v>0</v>
      </c>
      <c r="AR105" s="361">
        <f t="shared" si="627"/>
        <v>0</v>
      </c>
      <c r="AS105" s="361">
        <f t="shared" si="627"/>
        <v>0</v>
      </c>
      <c r="AT105" s="361">
        <f t="shared" si="627"/>
        <v>0</v>
      </c>
      <c r="AU105" s="127">
        <f>AG105*1</f>
        <v>199</v>
      </c>
      <c r="AV105" s="128">
        <f t="shared" si="601"/>
        <v>0</v>
      </c>
      <c r="AW105" s="129">
        <f t="shared" si="602"/>
        <v>0</v>
      </c>
      <c r="AX105" s="132">
        <f>AO105*1</f>
        <v>199</v>
      </c>
      <c r="AY105" s="127">
        <f>AU105*1</f>
        <v>199</v>
      </c>
      <c r="AZ105" s="128">
        <f t="shared" si="603"/>
        <v>0</v>
      </c>
      <c r="BA105" s="129">
        <f t="shared" si="604"/>
        <v>0</v>
      </c>
      <c r="BB105" s="132">
        <f t="shared" ref="BB105:BC105" si="628">AX105*1</f>
        <v>199</v>
      </c>
      <c r="BC105" s="127">
        <f t="shared" si="628"/>
        <v>199</v>
      </c>
      <c r="BD105" s="128">
        <f t="shared" si="605"/>
        <v>0</v>
      </c>
      <c r="BE105" s="129">
        <f t="shared" si="606"/>
        <v>0</v>
      </c>
      <c r="BF105" s="132">
        <f t="shared" ref="BF105:BG105" si="629">BB105*1</f>
        <v>199</v>
      </c>
      <c r="BG105" s="127">
        <f t="shared" si="629"/>
        <v>199</v>
      </c>
      <c r="BH105" s="128">
        <f t="shared" si="607"/>
        <v>0</v>
      </c>
      <c r="BI105" s="129">
        <f t="shared" si="608"/>
        <v>0</v>
      </c>
      <c r="BJ105" s="132">
        <f>BF105*1</f>
        <v>199</v>
      </c>
      <c r="BK105" s="127">
        <f>BF105*1</f>
        <v>199</v>
      </c>
      <c r="BL105" s="128">
        <f t="shared" si="609"/>
        <v>0</v>
      </c>
      <c r="BM105" s="129">
        <f t="shared" si="610"/>
        <v>0</v>
      </c>
      <c r="BN105" s="127">
        <f t="shared" ref="BN105:BO105" si="630">BJ105*1</f>
        <v>199</v>
      </c>
      <c r="BO105" s="127">
        <f t="shared" si="630"/>
        <v>199</v>
      </c>
      <c r="BP105" s="128">
        <f t="shared" si="611"/>
        <v>0</v>
      </c>
      <c r="BQ105" s="131">
        <f t="shared" si="612"/>
        <v>0</v>
      </c>
      <c r="BR105" s="135">
        <f>SUM(L105,P105,T105,X105,AB105,AF105,AO105,AX105,BB105,BF105,BJ105,BN105)</f>
        <v>2388</v>
      </c>
      <c r="BS105" s="213">
        <f>SUM(M105,Q105,U105,Y105,AC105,AG105,AU105,AY105,BC105,BG105,BK105,BO105)</f>
        <v>2388</v>
      </c>
      <c r="BT105" s="139">
        <f t="shared" si="614"/>
        <v>0</v>
      </c>
      <c r="BU105" s="140" t="s">
        <v>63</v>
      </c>
      <c r="BV105" s="141" t="str">
        <f>IFERROR((BR105/BU105),"-")</f>
        <v>-</v>
      </c>
      <c r="BW105" s="3"/>
      <c r="BX105" s="3"/>
      <c r="BY105" s="3"/>
      <c r="BZ105" s="3"/>
      <c r="CA105" s="3"/>
      <c r="CB105" s="3"/>
    </row>
    <row r="106" ht="15.75" customHeight="1">
      <c r="A106" s="1"/>
      <c r="B106" s="142"/>
      <c r="C106" s="143"/>
      <c r="D106" s="144"/>
      <c r="E106" s="192"/>
      <c r="F106" s="146"/>
      <c r="G106" s="147"/>
      <c r="H106" s="148"/>
      <c r="I106" s="149"/>
      <c r="J106" s="8"/>
      <c r="K106" s="9"/>
      <c r="L106" s="222"/>
      <c r="M106" s="222"/>
      <c r="N106" s="222"/>
      <c r="O106" s="222"/>
      <c r="P106" s="222"/>
      <c r="Q106" s="23"/>
      <c r="R106" s="222">
        <v>15.0</v>
      </c>
      <c r="S106" s="222">
        <v>25.0</v>
      </c>
      <c r="T106" s="222"/>
      <c r="U106" s="222"/>
      <c r="V106" s="222"/>
      <c r="W106" s="222"/>
      <c r="X106" s="222"/>
      <c r="Y106" s="222"/>
      <c r="Z106" s="222"/>
      <c r="AA106" s="3"/>
      <c r="AB106" s="3"/>
      <c r="AC106" s="3"/>
      <c r="AD106" s="3"/>
      <c r="AE106" s="3"/>
      <c r="AF106" s="3"/>
      <c r="AP106" s="363"/>
      <c r="AQ106" s="363"/>
      <c r="AR106" s="363"/>
      <c r="AS106" s="363"/>
      <c r="AT106" s="363"/>
      <c r="BA106" s="187"/>
      <c r="BB106" s="25"/>
      <c r="BC106" s="188"/>
      <c r="BD106" s="25"/>
    </row>
    <row r="107" ht="15.75" customHeight="1">
      <c r="A107" s="1"/>
      <c r="B107" s="142"/>
      <c r="C107" s="143"/>
      <c r="D107" s="144"/>
      <c r="E107" s="192"/>
      <c r="F107" s="146"/>
      <c r="G107" s="147"/>
      <c r="H107" s="148"/>
      <c r="I107" s="149"/>
      <c r="J107" s="34" t="s">
        <v>100</v>
      </c>
      <c r="K107" s="35"/>
      <c r="L107" s="36" t="s">
        <v>10</v>
      </c>
      <c r="M107" s="37" t="s">
        <v>11</v>
      </c>
      <c r="N107" s="38" t="s">
        <v>12</v>
      </c>
      <c r="O107" s="39" t="s">
        <v>13</v>
      </c>
      <c r="P107" s="157" t="s">
        <v>14</v>
      </c>
      <c r="Q107" s="199" t="s">
        <v>15</v>
      </c>
      <c r="R107" s="38" t="s">
        <v>16</v>
      </c>
      <c r="S107" s="42" t="s">
        <v>17</v>
      </c>
      <c r="T107" s="36" t="s">
        <v>18</v>
      </c>
      <c r="U107" s="199" t="s">
        <v>95</v>
      </c>
      <c r="V107" s="38" t="s">
        <v>20</v>
      </c>
      <c r="W107" s="45" t="s">
        <v>96</v>
      </c>
      <c r="X107" s="157" t="s">
        <v>22</v>
      </c>
      <c r="Y107" s="199" t="s">
        <v>97</v>
      </c>
      <c r="Z107" s="38" t="s">
        <v>24</v>
      </c>
      <c r="AA107" s="45" t="s">
        <v>96</v>
      </c>
      <c r="AB107" s="36" t="s">
        <v>26</v>
      </c>
      <c r="AC107" s="199" t="s">
        <v>27</v>
      </c>
      <c r="AD107" s="38" t="s">
        <v>28</v>
      </c>
      <c r="AE107" s="45" t="s">
        <v>29</v>
      </c>
      <c r="AF107" s="44" t="s">
        <v>30</v>
      </c>
      <c r="AG107" s="343" t="s">
        <v>120</v>
      </c>
      <c r="AH107" s="344" t="s">
        <v>121</v>
      </c>
      <c r="AI107" s="344" t="s">
        <v>122</v>
      </c>
      <c r="AJ107" s="344" t="s">
        <v>123</v>
      </c>
      <c r="AK107" s="344" t="s">
        <v>124</v>
      </c>
      <c r="AL107" s="344" t="s">
        <v>31</v>
      </c>
      <c r="AM107" s="38" t="s">
        <v>32</v>
      </c>
      <c r="AN107" s="45" t="s">
        <v>33</v>
      </c>
      <c r="AO107" s="43" t="s">
        <v>34</v>
      </c>
      <c r="AP107" s="343" t="s">
        <v>125</v>
      </c>
      <c r="AQ107" s="344" t="s">
        <v>126</v>
      </c>
      <c r="AR107" s="344" t="s">
        <v>127</v>
      </c>
      <c r="AS107" s="344" t="s">
        <v>128</v>
      </c>
      <c r="AT107" s="344" t="s">
        <v>129</v>
      </c>
      <c r="AU107" s="41" t="s">
        <v>35</v>
      </c>
      <c r="AV107" s="38" t="s">
        <v>36</v>
      </c>
      <c r="AW107" s="45" t="s">
        <v>37</v>
      </c>
      <c r="AX107" s="44" t="s">
        <v>38</v>
      </c>
      <c r="AY107" s="199" t="s">
        <v>39</v>
      </c>
      <c r="AZ107" s="38" t="s">
        <v>40</v>
      </c>
      <c r="BA107" s="45" t="s">
        <v>41</v>
      </c>
      <c r="BB107" s="43" t="s">
        <v>42</v>
      </c>
      <c r="BC107" s="199" t="s">
        <v>43</v>
      </c>
      <c r="BD107" s="38" t="s">
        <v>44</v>
      </c>
      <c r="BE107" s="45" t="s">
        <v>45</v>
      </c>
      <c r="BF107" s="44" t="s">
        <v>46</v>
      </c>
      <c r="BG107" s="199" t="s">
        <v>47</v>
      </c>
      <c r="BH107" s="38" t="s">
        <v>48</v>
      </c>
      <c r="BI107" s="45" t="s">
        <v>49</v>
      </c>
      <c r="BJ107" s="43" t="s">
        <v>50</v>
      </c>
      <c r="BK107" s="199" t="s">
        <v>51</v>
      </c>
      <c r="BL107" s="38" t="s">
        <v>52</v>
      </c>
      <c r="BM107" s="45" t="s">
        <v>53</v>
      </c>
      <c r="BN107" s="201" t="s">
        <v>54</v>
      </c>
      <c r="BO107" s="199" t="s">
        <v>55</v>
      </c>
      <c r="BP107" s="38" t="s">
        <v>56</v>
      </c>
      <c r="BQ107" s="42" t="s">
        <v>57</v>
      </c>
      <c r="BR107" s="345">
        <v>2026.0</v>
      </c>
      <c r="BS107" s="37" t="s">
        <v>61</v>
      </c>
      <c r="BT107" s="51" t="s">
        <v>62</v>
      </c>
      <c r="BU107" s="52">
        <v>2025.0</v>
      </c>
      <c r="BV107" s="53"/>
      <c r="BW107" s="185"/>
      <c r="BX107" s="185"/>
      <c r="BY107" s="185"/>
      <c r="BZ107" s="185"/>
      <c r="CA107" s="185"/>
      <c r="CB107" s="185"/>
    </row>
    <row r="108" ht="15.75" customHeight="1">
      <c r="A108" s="1"/>
      <c r="B108" s="142"/>
      <c r="C108" s="143"/>
      <c r="D108" s="144"/>
      <c r="E108" s="192"/>
      <c r="F108" s="146"/>
      <c r="G108" s="147"/>
      <c r="H108" s="148"/>
      <c r="I108" s="149"/>
      <c r="J108" s="346" t="s">
        <v>130</v>
      </c>
      <c r="K108" s="55"/>
      <c r="L108" s="56"/>
      <c r="M108" s="57"/>
      <c r="N108" s="58"/>
      <c r="O108" s="59"/>
      <c r="P108" s="56"/>
      <c r="Q108" s="202"/>
      <c r="R108" s="58"/>
      <c r="S108" s="61"/>
      <c r="T108" s="56"/>
      <c r="U108" s="63"/>
      <c r="V108" s="58"/>
      <c r="W108" s="59"/>
      <c r="X108" s="56"/>
      <c r="Y108" s="63"/>
      <c r="Z108" s="58"/>
      <c r="AA108" s="59"/>
      <c r="AB108" s="56"/>
      <c r="AC108" s="63"/>
      <c r="AD108" s="58"/>
      <c r="AE108" s="59"/>
      <c r="AF108" s="62"/>
      <c r="AG108" s="347">
        <f t="shared" ref="AG108:AK108" si="631">$AF$109/5</f>
        <v>0.004</v>
      </c>
      <c r="AH108" s="347">
        <f t="shared" si="631"/>
        <v>0.004</v>
      </c>
      <c r="AI108" s="347">
        <f t="shared" si="631"/>
        <v>0.004</v>
      </c>
      <c r="AJ108" s="347">
        <f t="shared" si="631"/>
        <v>0.004</v>
      </c>
      <c r="AK108" s="347">
        <f t="shared" si="631"/>
        <v>0.004</v>
      </c>
      <c r="AL108" s="347"/>
      <c r="AM108" s="58"/>
      <c r="AN108" s="59"/>
      <c r="AO108" s="62"/>
      <c r="AP108" s="347">
        <f t="shared" ref="AP108:AT108" si="632">$AO109/5</f>
        <v>0.006</v>
      </c>
      <c r="AQ108" s="347">
        <f t="shared" si="632"/>
        <v>0.006</v>
      </c>
      <c r="AR108" s="347">
        <f t="shared" si="632"/>
        <v>0.006</v>
      </c>
      <c r="AS108" s="347">
        <f t="shared" si="632"/>
        <v>0.006</v>
      </c>
      <c r="AT108" s="347">
        <f t="shared" si="632"/>
        <v>0.006</v>
      </c>
      <c r="AU108" s="63"/>
      <c r="AV108" s="58"/>
      <c r="AW108" s="59"/>
      <c r="AX108" s="62"/>
      <c r="AY108" s="63"/>
      <c r="AZ108" s="58"/>
      <c r="BA108" s="59"/>
      <c r="BB108" s="62"/>
      <c r="BC108" s="63"/>
      <c r="BD108" s="58"/>
      <c r="BE108" s="59"/>
      <c r="BF108" s="62"/>
      <c r="BG108" s="63"/>
      <c r="BH108" s="58"/>
      <c r="BI108" s="59"/>
      <c r="BJ108" s="62"/>
      <c r="BK108" s="63"/>
      <c r="BL108" s="58"/>
      <c r="BM108" s="59"/>
      <c r="BN108" s="203"/>
      <c r="BO108" s="63"/>
      <c r="BP108" s="58"/>
      <c r="BQ108" s="61"/>
      <c r="BR108" s="66"/>
      <c r="BS108" s="349"/>
      <c r="BT108" s="69"/>
      <c r="BU108" s="70"/>
      <c r="BV108" s="71"/>
      <c r="BW108" s="3"/>
      <c r="BX108" s="3"/>
      <c r="BY108" s="3"/>
      <c r="BZ108" s="3"/>
      <c r="CA108" s="3"/>
      <c r="CB108" s="3"/>
    </row>
    <row r="109" ht="15.75" customHeight="1">
      <c r="A109" s="1"/>
      <c r="B109" s="142">
        <v>15.0</v>
      </c>
      <c r="C109" s="143" t="s">
        <v>101</v>
      </c>
      <c r="D109" s="144">
        <f>3500*4*12</f>
        <v>168000</v>
      </c>
      <c r="E109" s="192">
        <v>40.0</v>
      </c>
      <c r="F109" s="146">
        <f>E109*D109</f>
        <v>6720000</v>
      </c>
      <c r="G109" s="147">
        <v>9704.999999999982</v>
      </c>
      <c r="H109" s="148">
        <v>519.0</v>
      </c>
      <c r="I109" s="149">
        <v>18.699421965317885</v>
      </c>
      <c r="J109" s="72" t="s">
        <v>64</v>
      </c>
      <c r="K109" s="73"/>
      <c r="L109" s="74" t="s">
        <v>63</v>
      </c>
      <c r="M109" s="75" t="s">
        <v>63</v>
      </c>
      <c r="N109" s="76" t="s">
        <v>63</v>
      </c>
      <c r="O109" s="77" t="s">
        <v>65</v>
      </c>
      <c r="P109" s="74" t="s">
        <v>63</v>
      </c>
      <c r="Q109" s="204" t="s">
        <v>63</v>
      </c>
      <c r="R109" s="76" t="s">
        <v>63</v>
      </c>
      <c r="S109" s="79" t="s">
        <v>65</v>
      </c>
      <c r="T109" s="74" t="s">
        <v>63</v>
      </c>
      <c r="U109" s="81" t="s">
        <v>63</v>
      </c>
      <c r="V109" s="76" t="s">
        <v>63</v>
      </c>
      <c r="W109" s="77" t="s">
        <v>65</v>
      </c>
      <c r="X109" s="74" t="s">
        <v>63</v>
      </c>
      <c r="Y109" s="81" t="s">
        <v>63</v>
      </c>
      <c r="Z109" s="76" t="s">
        <v>63</v>
      </c>
      <c r="AA109" s="77" t="s">
        <v>65</v>
      </c>
      <c r="AB109" s="74" t="s">
        <v>63</v>
      </c>
      <c r="AC109" s="81" t="s">
        <v>63</v>
      </c>
      <c r="AD109" s="76" t="s">
        <v>63</v>
      </c>
      <c r="AE109" s="77" t="s">
        <v>65</v>
      </c>
      <c r="AF109" s="80">
        <v>0.02</v>
      </c>
      <c r="AG109" s="350">
        <f t="shared" ref="AG109:AK109" si="633">AG110/($BR$110-($L$110+$P$110+$T$110+$X$110+$AB$110))</f>
        <v>0</v>
      </c>
      <c r="AH109" s="350">
        <f t="shared" si="633"/>
        <v>0</v>
      </c>
      <c r="AI109" s="350">
        <f t="shared" si="633"/>
        <v>0</v>
      </c>
      <c r="AJ109" s="350">
        <f t="shared" si="633"/>
        <v>0</v>
      </c>
      <c r="AK109" s="350">
        <f t="shared" si="633"/>
        <v>0</v>
      </c>
      <c r="AL109" s="351">
        <f t="shared" ref="AL109:AL111" si="635">SUM(AG109:AK109)</f>
        <v>0</v>
      </c>
      <c r="AM109" s="352">
        <f>AL109-AF109</f>
        <v>-0.02</v>
      </c>
      <c r="AN109" s="77" t="s">
        <v>65</v>
      </c>
      <c r="AO109" s="80">
        <v>0.03</v>
      </c>
      <c r="AP109" s="350">
        <f t="shared" ref="AP109:AT109" si="634">AP110/($BR$110-($L$110+$P$110+$T$110+$X$110+$AB$110))</f>
        <v>0</v>
      </c>
      <c r="AQ109" s="350">
        <f t="shared" si="634"/>
        <v>0</v>
      </c>
      <c r="AR109" s="350">
        <f t="shared" si="634"/>
        <v>0</v>
      </c>
      <c r="AS109" s="350">
        <f t="shared" si="634"/>
        <v>0</v>
      </c>
      <c r="AT109" s="350">
        <f t="shared" si="634"/>
        <v>0</v>
      </c>
      <c r="AU109" s="351">
        <f t="shared" ref="AU109:AU111" si="636">SUM(AP109:AT109)</f>
        <v>0</v>
      </c>
      <c r="AV109" s="76" t="s">
        <v>63</v>
      </c>
      <c r="AW109" s="77" t="s">
        <v>65</v>
      </c>
      <c r="AX109" s="80">
        <v>0.05</v>
      </c>
      <c r="AY109" s="81">
        <f>AY110/(BR110-(L110+P110+T110+X110+AB110))</f>
        <v>0</v>
      </c>
      <c r="AZ109" s="76" t="s">
        <v>63</v>
      </c>
      <c r="BA109" s="77" t="s">
        <v>65</v>
      </c>
      <c r="BB109" s="80">
        <v>0.2</v>
      </c>
      <c r="BC109" s="81">
        <f>BC110/(BR110-(L110+P110+T110+X110+AB110))</f>
        <v>0</v>
      </c>
      <c r="BD109" s="76" t="s">
        <v>63</v>
      </c>
      <c r="BE109" s="77" t="s">
        <v>65</v>
      </c>
      <c r="BF109" s="80">
        <v>0.2</v>
      </c>
      <c r="BG109" s="81">
        <f>BG110/(BR110-(L110+P110+T110+X110+AB110))</f>
        <v>0</v>
      </c>
      <c r="BH109" s="76" t="s">
        <v>63</v>
      </c>
      <c r="BI109" s="77" t="s">
        <v>65</v>
      </c>
      <c r="BJ109" s="80">
        <v>0.25</v>
      </c>
      <c r="BK109" s="81">
        <f>BK110/(BR110-(L110+P110+T110+X110+AB110))</f>
        <v>0</v>
      </c>
      <c r="BL109" s="76" t="s">
        <v>63</v>
      </c>
      <c r="BM109" s="77" t="s">
        <v>65</v>
      </c>
      <c r="BN109" s="205">
        <v>0.25</v>
      </c>
      <c r="BO109" s="81">
        <f>BO110/(BR110-(L110+P110+T110+X110++AB110))</f>
        <v>0</v>
      </c>
      <c r="BP109" s="76" t="s">
        <v>63</v>
      </c>
      <c r="BQ109" s="79" t="s">
        <v>65</v>
      </c>
      <c r="BR109" s="84">
        <f>SUM(AF109,AO109,AX109,BB109,BF109,BJ109,BN109)</f>
        <v>1</v>
      </c>
      <c r="BS109" s="350">
        <f>SUM(AG109,AU109,AY109,BC109,BG109,BK109,BO109)</f>
        <v>0</v>
      </c>
      <c r="BT109" s="88"/>
      <c r="BU109" s="89" t="s">
        <v>63</v>
      </c>
      <c r="BV109" s="71"/>
      <c r="BW109" s="3"/>
      <c r="BX109" s="3"/>
      <c r="BY109" s="3"/>
      <c r="BZ109" s="3"/>
      <c r="CA109" s="3"/>
      <c r="CB109" s="3"/>
    </row>
    <row r="110" ht="15.75" customHeight="1">
      <c r="A110" s="1"/>
      <c r="B110" s="142"/>
      <c r="C110" s="143"/>
      <c r="D110" s="144"/>
      <c r="E110" s="192"/>
      <c r="F110" s="146"/>
      <c r="G110" s="147"/>
      <c r="H110" s="148"/>
      <c r="I110" s="149"/>
      <c r="J110" s="72" t="s">
        <v>66</v>
      </c>
      <c r="K110" s="73"/>
      <c r="L110" s="167">
        <v>0.0</v>
      </c>
      <c r="M110" s="91">
        <v>0.0</v>
      </c>
      <c r="N110" s="92">
        <f t="shared" ref="N110:N113" si="637">IFERROR(M110-L110,"-")</f>
        <v>0</v>
      </c>
      <c r="O110" s="93" t="str">
        <f t="shared" ref="O110:O113" si="638">IFERROR(M110/L110-1,"-")</f>
        <v>-</v>
      </c>
      <c r="P110" s="167">
        <v>0.0</v>
      </c>
      <c r="Q110" s="91">
        <v>0.0</v>
      </c>
      <c r="R110" s="92">
        <f t="shared" ref="R110:R113" si="639">IFERROR(Q110-P110,"-")</f>
        <v>0</v>
      </c>
      <c r="S110" s="95" t="str">
        <f t="shared" ref="S110:S113" si="640">IFERROR(Q110/P110-1,"-")</f>
        <v>-</v>
      </c>
      <c r="T110" s="90">
        <v>0.0</v>
      </c>
      <c r="U110" s="91">
        <v>3.99</v>
      </c>
      <c r="V110" s="92">
        <f t="shared" ref="V110:V113" si="641">IFERROR(U110-T110,"-")</f>
        <v>3.99</v>
      </c>
      <c r="W110" s="93" t="str">
        <f t="shared" ref="W110:W113" si="642">IFERROR(U110/T110-1,"-")</f>
        <v>-</v>
      </c>
      <c r="X110" s="90">
        <v>0.0</v>
      </c>
      <c r="Y110" s="91">
        <v>3332.19</v>
      </c>
      <c r="Z110" s="92">
        <f t="shared" ref="Z110:Z113" si="643">IFERROR(Y110-X110,"-")</f>
        <v>3332.19</v>
      </c>
      <c r="AA110" s="93" t="str">
        <f t="shared" ref="AA110:AA113" si="644">IFERROR(Y110/X110-1,"-")</f>
        <v>-</v>
      </c>
      <c r="AB110" s="90">
        <v>0.0</v>
      </c>
      <c r="AC110" s="91">
        <v>24.95</v>
      </c>
      <c r="AD110" s="92">
        <f t="shared" ref="AD110:AD113" si="645">IFERROR(AC110-AB110,"-")</f>
        <v>24.95</v>
      </c>
      <c r="AE110" s="93" t="str">
        <f t="shared" ref="AE110:AE113" si="646">IFERROR(AC110/AB110-1,"-")</f>
        <v>-</v>
      </c>
      <c r="AF110" s="96">
        <f>($BR$110-($L$110+$P$110))*AF109</f>
        <v>14000</v>
      </c>
      <c r="AG110" s="91">
        <v>0.0</v>
      </c>
      <c r="AH110" s="91">
        <v>0.0</v>
      </c>
      <c r="AI110" s="91">
        <v>0.0</v>
      </c>
      <c r="AJ110" s="91">
        <v>0.0</v>
      </c>
      <c r="AK110" s="91">
        <v>0.0</v>
      </c>
      <c r="AL110" s="355">
        <f t="shared" si="635"/>
        <v>0</v>
      </c>
      <c r="AM110" s="92">
        <f t="shared" ref="AM110:AM113" si="647">IFERROR(AL110-AF110,"-")</f>
        <v>-14000</v>
      </c>
      <c r="AN110" s="93">
        <f t="shared" ref="AN110:AN113" si="648">IFERROR(AL110/AF110-1,"-")</f>
        <v>-1</v>
      </c>
      <c r="AO110" s="96">
        <f>($BR$110-($L$110+$P$110))*AO109</f>
        <v>21000</v>
      </c>
      <c r="AP110" s="100">
        <v>0.0</v>
      </c>
      <c r="AQ110" s="353">
        <v>0.0</v>
      </c>
      <c r="AR110" s="354"/>
      <c r="AS110" s="354"/>
      <c r="AT110" s="354"/>
      <c r="AU110" s="91">
        <f t="shared" si="636"/>
        <v>0</v>
      </c>
      <c r="AV110" s="92">
        <f t="shared" ref="AV110:AV113" si="649">IFERROR(AU110-AO110,"-")</f>
        <v>-21000</v>
      </c>
      <c r="AW110" s="93">
        <f t="shared" ref="AW110:AW113" si="650">IFERROR(AU110/AO110-1,"-")</f>
        <v>-1</v>
      </c>
      <c r="AX110" s="96">
        <f>($BR$110-($L$110+$P$110))*AX109</f>
        <v>35000</v>
      </c>
      <c r="AY110" s="91">
        <v>0.0</v>
      </c>
      <c r="AZ110" s="92">
        <f t="shared" ref="AZ110:AZ113" si="651">IFERROR(AY110-AX110,"-")</f>
        <v>-35000</v>
      </c>
      <c r="BA110" s="93">
        <f t="shared" ref="BA110:BA113" si="652">IFERROR(AY110/AX110-1,"-")</f>
        <v>-1</v>
      </c>
      <c r="BB110" s="96">
        <f>($BR$110-($L$110+$P$110))*BB109</f>
        <v>140000</v>
      </c>
      <c r="BC110" s="91">
        <v>0.0</v>
      </c>
      <c r="BD110" s="92">
        <f t="shared" ref="BD110:BD113" si="653">IFERROR(BC110-BB110,"-")</f>
        <v>-140000</v>
      </c>
      <c r="BE110" s="93">
        <f t="shared" ref="BE110:BE113" si="654">IFERROR(BC110/BB110-1,"-")</f>
        <v>-1</v>
      </c>
      <c r="BF110" s="96">
        <f>($BR$110-($L$110+$P$110))*BF109</f>
        <v>140000</v>
      </c>
      <c r="BG110" s="91">
        <v>0.0</v>
      </c>
      <c r="BH110" s="92">
        <f t="shared" ref="BH110:BH113" si="655">IFERROR(BG110-BF110,"-")</f>
        <v>-140000</v>
      </c>
      <c r="BI110" s="93">
        <f t="shared" ref="BI110:BI113" si="656">IFERROR(BG110/BF110-1,"-")</f>
        <v>-1</v>
      </c>
      <c r="BJ110" s="96">
        <f>($BR$110-($L$110+$P$110))*BJ109</f>
        <v>175000</v>
      </c>
      <c r="BK110" s="91">
        <v>0.0</v>
      </c>
      <c r="BL110" s="92">
        <f t="shared" ref="BL110:BL113" si="657">IFERROR(BK110-BJ110,"-")</f>
        <v>-175000</v>
      </c>
      <c r="BM110" s="93">
        <f t="shared" ref="BM110:BM113" si="658">IFERROR(BK110/BJ110-1,"-")</f>
        <v>-1</v>
      </c>
      <c r="BN110" s="91">
        <f>($BR$110-($L$110+$P$110))*BN109</f>
        <v>175000</v>
      </c>
      <c r="BO110" s="91">
        <v>0.0</v>
      </c>
      <c r="BP110" s="92">
        <f t="shared" ref="BP110:BP113" si="659">IFERROR(BO110-BN110,"-")</f>
        <v>-175000</v>
      </c>
      <c r="BQ110" s="95">
        <f t="shared" ref="BQ110:BQ113" si="660">IFERROR(BO110/BN110-1,"-")</f>
        <v>-1</v>
      </c>
      <c r="BR110" s="101">
        <v>700000.0</v>
      </c>
      <c r="BS110" s="102">
        <f t="shared" ref="BS110:BS111" si="661">SUM(M110,Q110,U110,Y110,AC110,AG110,AU110,AY110,BC110,BG110,BK110,BO110)</f>
        <v>3361.13</v>
      </c>
      <c r="BT110" s="104">
        <f t="shared" ref="BT110:BT113" si="662">IFERROR(BS110/BR110-1,"-")</f>
        <v>-0.9951983857</v>
      </c>
      <c r="BU110" s="105">
        <v>0.0</v>
      </c>
      <c r="BV110" s="106" t="str">
        <f t="shared" ref="BV110:BV111" si="663">IFERROR((BR110/BU110),"-")</f>
        <v>-</v>
      </c>
      <c r="BW110" s="3"/>
      <c r="BX110" s="3"/>
      <c r="BY110" s="3"/>
      <c r="BZ110" s="3"/>
      <c r="CA110" s="3"/>
      <c r="CB110" s="3"/>
    </row>
    <row r="111" ht="15.75" customHeight="1">
      <c r="A111" s="1"/>
      <c r="B111" s="142"/>
      <c r="C111" s="143"/>
      <c r="D111" s="144"/>
      <c r="E111" s="192"/>
      <c r="F111" s="146"/>
      <c r="G111" s="147"/>
      <c r="H111" s="148"/>
      <c r="I111" s="149"/>
      <c r="J111" s="72" t="s">
        <v>67</v>
      </c>
      <c r="K111" s="107"/>
      <c r="L111" s="171">
        <f>L110/$K$112</f>
        <v>0</v>
      </c>
      <c r="M111" s="109">
        <v>0.0</v>
      </c>
      <c r="N111" s="110">
        <f t="shared" si="637"/>
        <v>0</v>
      </c>
      <c r="O111" s="93" t="str">
        <f t="shared" si="638"/>
        <v>-</v>
      </c>
      <c r="P111" s="171">
        <f>P110/$K$112</f>
        <v>0</v>
      </c>
      <c r="Q111" s="109">
        <v>0.0</v>
      </c>
      <c r="R111" s="110">
        <f t="shared" si="639"/>
        <v>0</v>
      </c>
      <c r="S111" s="95" t="str">
        <f t="shared" si="640"/>
        <v>-</v>
      </c>
      <c r="T111" s="171">
        <v>0.0</v>
      </c>
      <c r="U111" s="109">
        <v>1.0</v>
      </c>
      <c r="V111" s="110">
        <f t="shared" si="641"/>
        <v>1</v>
      </c>
      <c r="W111" s="93" t="str">
        <f t="shared" si="642"/>
        <v>-</v>
      </c>
      <c r="X111" s="171">
        <f>X110/$K$112</f>
        <v>0</v>
      </c>
      <c r="Y111" s="109">
        <v>462.0</v>
      </c>
      <c r="Z111" s="110">
        <f t="shared" si="643"/>
        <v>462</v>
      </c>
      <c r="AA111" s="93" t="str">
        <f t="shared" si="644"/>
        <v>-</v>
      </c>
      <c r="AB111" s="171">
        <f>AB110/$K$112</f>
        <v>0</v>
      </c>
      <c r="AC111" s="109">
        <v>5.0</v>
      </c>
      <c r="AD111" s="110">
        <f t="shared" si="645"/>
        <v>5</v>
      </c>
      <c r="AE111" s="93" t="str">
        <f t="shared" si="646"/>
        <v>-</v>
      </c>
      <c r="AF111" s="112">
        <f>AF110/$K$112</f>
        <v>280</v>
      </c>
      <c r="AG111" s="109">
        <v>0.0</v>
      </c>
      <c r="AH111" s="109">
        <v>0.0</v>
      </c>
      <c r="AI111" s="109">
        <v>0.0</v>
      </c>
      <c r="AJ111" s="109">
        <v>0.0</v>
      </c>
      <c r="AK111" s="109">
        <v>0.0</v>
      </c>
      <c r="AL111" s="358">
        <f t="shared" si="635"/>
        <v>0</v>
      </c>
      <c r="AM111" s="110">
        <f t="shared" si="647"/>
        <v>-280</v>
      </c>
      <c r="AN111" s="93">
        <f t="shared" si="648"/>
        <v>-1</v>
      </c>
      <c r="AO111" s="112">
        <f>AO110/$K$112</f>
        <v>420</v>
      </c>
      <c r="AP111" s="114">
        <v>0.0</v>
      </c>
      <c r="AQ111" s="356">
        <v>0.0</v>
      </c>
      <c r="AR111" s="357"/>
      <c r="AS111" s="357"/>
      <c r="AT111" s="357"/>
      <c r="AU111" s="109">
        <f t="shared" si="636"/>
        <v>0</v>
      </c>
      <c r="AV111" s="110">
        <f t="shared" si="649"/>
        <v>-420</v>
      </c>
      <c r="AW111" s="93">
        <f t="shared" si="650"/>
        <v>-1</v>
      </c>
      <c r="AX111" s="112">
        <f>AX110/$K$112</f>
        <v>700</v>
      </c>
      <c r="AY111" s="109">
        <v>0.0</v>
      </c>
      <c r="AZ111" s="110">
        <f t="shared" si="651"/>
        <v>-700</v>
      </c>
      <c r="BA111" s="93">
        <f t="shared" si="652"/>
        <v>-1</v>
      </c>
      <c r="BB111" s="112">
        <f>BB110/$K$112</f>
        <v>2800</v>
      </c>
      <c r="BC111" s="109">
        <v>0.0</v>
      </c>
      <c r="BD111" s="110">
        <f t="shared" si="653"/>
        <v>-2800</v>
      </c>
      <c r="BE111" s="93">
        <f t="shared" si="654"/>
        <v>-1</v>
      </c>
      <c r="BF111" s="112">
        <f>BF110/$K$112</f>
        <v>2800</v>
      </c>
      <c r="BG111" s="109">
        <v>0.0</v>
      </c>
      <c r="BH111" s="110">
        <f t="shared" si="655"/>
        <v>-2800</v>
      </c>
      <c r="BI111" s="93">
        <f t="shared" si="656"/>
        <v>-1</v>
      </c>
      <c r="BJ111" s="112">
        <f>BJ110/$K$112</f>
        <v>3500</v>
      </c>
      <c r="BK111" s="109">
        <v>0.0</v>
      </c>
      <c r="BL111" s="110">
        <f t="shared" si="657"/>
        <v>-3500</v>
      </c>
      <c r="BM111" s="93">
        <f t="shared" si="658"/>
        <v>-1</v>
      </c>
      <c r="BN111" s="109">
        <f>BN110/$K$112</f>
        <v>3500</v>
      </c>
      <c r="BO111" s="109">
        <v>0.0</v>
      </c>
      <c r="BP111" s="110">
        <f t="shared" si="659"/>
        <v>-3500</v>
      </c>
      <c r="BQ111" s="95">
        <f t="shared" si="660"/>
        <v>-1</v>
      </c>
      <c r="BR111" s="206">
        <f>SUM(L111,P111,T111,X111,AB111,AF111,AO111,AX111,BB111,BF111,BJ111,BN111)</f>
        <v>14000</v>
      </c>
      <c r="BS111" s="207">
        <f t="shared" si="661"/>
        <v>468</v>
      </c>
      <c r="BT111" s="104">
        <f t="shared" si="662"/>
        <v>-0.9665714286</v>
      </c>
      <c r="BU111" s="119">
        <v>0.0</v>
      </c>
      <c r="BV111" s="106" t="str">
        <f t="shared" si="663"/>
        <v>-</v>
      </c>
      <c r="BW111" s="3"/>
      <c r="BX111" s="3"/>
      <c r="BY111" s="3"/>
      <c r="BZ111" s="3"/>
      <c r="CA111" s="3"/>
      <c r="CB111" s="3"/>
    </row>
    <row r="112" ht="15.75" customHeight="1">
      <c r="A112" s="1"/>
      <c r="B112" s="142"/>
      <c r="C112" s="143"/>
      <c r="D112" s="144"/>
      <c r="E112" s="192"/>
      <c r="F112" s="146"/>
      <c r="G112" s="147"/>
      <c r="H112" s="148"/>
      <c r="I112" s="149"/>
      <c r="J112" s="72" t="s">
        <v>68</v>
      </c>
      <c r="K112" s="107">
        <v>50.0</v>
      </c>
      <c r="L112" s="90" t="str">
        <f t="shared" ref="L112:M112" si="664">IFERROR(L110/L111,"-")</f>
        <v>-</v>
      </c>
      <c r="M112" s="91" t="str">
        <f t="shared" si="664"/>
        <v>-</v>
      </c>
      <c r="N112" s="92" t="str">
        <f t="shared" si="637"/>
        <v>-</v>
      </c>
      <c r="O112" s="93" t="str">
        <f t="shared" si="638"/>
        <v>-</v>
      </c>
      <c r="P112" s="90" t="str">
        <f t="shared" ref="P112:Q112" si="665">IFERROR(P110/P111,"-")</f>
        <v>-</v>
      </c>
      <c r="Q112" s="91" t="str">
        <f t="shared" si="665"/>
        <v>-</v>
      </c>
      <c r="R112" s="92" t="str">
        <f t="shared" si="639"/>
        <v>-</v>
      </c>
      <c r="S112" s="95" t="str">
        <f t="shared" si="640"/>
        <v>-</v>
      </c>
      <c r="T112" s="90" t="str">
        <f t="shared" ref="T112:U112" si="666">IFERROR(T110/T111,"-")</f>
        <v>-</v>
      </c>
      <c r="U112" s="91">
        <f t="shared" si="666"/>
        <v>3.99</v>
      </c>
      <c r="V112" s="92" t="str">
        <f t="shared" si="641"/>
        <v>-</v>
      </c>
      <c r="W112" s="93" t="str">
        <f t="shared" si="642"/>
        <v>-</v>
      </c>
      <c r="X112" s="90" t="str">
        <f t="shared" ref="X112:Y112" si="667">IFERROR(X110/X111,"-")</f>
        <v>-</v>
      </c>
      <c r="Y112" s="91">
        <f t="shared" si="667"/>
        <v>7.212532468</v>
      </c>
      <c r="Z112" s="92" t="str">
        <f t="shared" si="643"/>
        <v>-</v>
      </c>
      <c r="AA112" s="93" t="str">
        <f t="shared" si="644"/>
        <v>-</v>
      </c>
      <c r="AB112" s="90" t="str">
        <f t="shared" ref="AB112:AC112" si="668">IFERROR(AB110/AB111,"-")</f>
        <v>-</v>
      </c>
      <c r="AC112" s="91">
        <f t="shared" si="668"/>
        <v>4.99</v>
      </c>
      <c r="AD112" s="92" t="str">
        <f t="shared" si="645"/>
        <v>-</v>
      </c>
      <c r="AE112" s="93" t="str">
        <f t="shared" si="646"/>
        <v>-</v>
      </c>
      <c r="AF112" s="385">
        <f>AF110/AF111</f>
        <v>50</v>
      </c>
      <c r="AG112" s="370" t="str">
        <f t="shared" ref="AG112:AL112" si="669">IFERROR(AG110/AG111,"-")</f>
        <v>-</v>
      </c>
      <c r="AH112" s="370" t="str">
        <f t="shared" si="669"/>
        <v>-</v>
      </c>
      <c r="AI112" s="370" t="str">
        <f t="shared" si="669"/>
        <v>-</v>
      </c>
      <c r="AJ112" s="370" t="str">
        <f t="shared" si="669"/>
        <v>-</v>
      </c>
      <c r="AK112" s="370" t="str">
        <f t="shared" si="669"/>
        <v>-</v>
      </c>
      <c r="AL112" s="372" t="str">
        <f t="shared" si="669"/>
        <v>-</v>
      </c>
      <c r="AM112" s="92" t="str">
        <f t="shared" si="647"/>
        <v>-</v>
      </c>
      <c r="AN112" s="93" t="str">
        <f t="shared" si="648"/>
        <v>-</v>
      </c>
      <c r="AO112" s="112">
        <f>AO110/AO111</f>
        <v>50</v>
      </c>
      <c r="AP112" s="91" t="str">
        <f t="shared" ref="AP112:AU112" si="670">IFERROR(AP110/AP111,"-")</f>
        <v>-</v>
      </c>
      <c r="AQ112" s="91" t="str">
        <f t="shared" si="670"/>
        <v>-</v>
      </c>
      <c r="AR112" s="359" t="str">
        <f t="shared" si="670"/>
        <v>-</v>
      </c>
      <c r="AS112" s="359" t="str">
        <f t="shared" si="670"/>
        <v>-</v>
      </c>
      <c r="AT112" s="359" t="str">
        <f t="shared" si="670"/>
        <v>-</v>
      </c>
      <c r="AU112" s="91" t="str">
        <f t="shared" si="670"/>
        <v>-</v>
      </c>
      <c r="AV112" s="92" t="str">
        <f t="shared" si="649"/>
        <v>-</v>
      </c>
      <c r="AW112" s="93" t="str">
        <f t="shared" si="650"/>
        <v>-</v>
      </c>
      <c r="AX112" s="112">
        <f>AX110/AX111</f>
        <v>50</v>
      </c>
      <c r="AY112" s="91" t="str">
        <f>IFERROR(AY110/AY111,"-")</f>
        <v>-</v>
      </c>
      <c r="AZ112" s="92" t="str">
        <f t="shared" si="651"/>
        <v>-</v>
      </c>
      <c r="BA112" s="93" t="str">
        <f t="shared" si="652"/>
        <v>-</v>
      </c>
      <c r="BB112" s="112">
        <f>BB110/BB111</f>
        <v>50</v>
      </c>
      <c r="BC112" s="91" t="str">
        <f>IFERROR(BC110/BC111,"-")</f>
        <v>-</v>
      </c>
      <c r="BD112" s="92" t="str">
        <f t="shared" si="653"/>
        <v>-</v>
      </c>
      <c r="BE112" s="93" t="str">
        <f t="shared" si="654"/>
        <v>-</v>
      </c>
      <c r="BF112" s="112">
        <f>BF110/BF111</f>
        <v>50</v>
      </c>
      <c r="BG112" s="91" t="str">
        <f>IFERROR(BG110/BG111,"-")</f>
        <v>-</v>
      </c>
      <c r="BH112" s="92" t="str">
        <f t="shared" si="655"/>
        <v>-</v>
      </c>
      <c r="BI112" s="93" t="str">
        <f t="shared" si="656"/>
        <v>-</v>
      </c>
      <c r="BJ112" s="112">
        <f>BJ110/BJ111</f>
        <v>50</v>
      </c>
      <c r="BK112" s="91" t="str">
        <f>IFERROR(BK110/BK111,"-")</f>
        <v>-</v>
      </c>
      <c r="BL112" s="92" t="str">
        <f t="shared" si="657"/>
        <v>-</v>
      </c>
      <c r="BM112" s="93" t="str">
        <f t="shared" si="658"/>
        <v>-</v>
      </c>
      <c r="BN112" s="109">
        <f>BN110/BN111</f>
        <v>50</v>
      </c>
      <c r="BO112" s="91" t="str">
        <f>IFERROR(BO110/BO111,"-")</f>
        <v>-</v>
      </c>
      <c r="BP112" s="92" t="str">
        <f t="shared" si="659"/>
        <v>-</v>
      </c>
      <c r="BQ112" s="95" t="str">
        <f t="shared" si="660"/>
        <v>-</v>
      </c>
      <c r="BR112" s="120">
        <f t="shared" ref="BR112:BS112" si="671">BR110/BR111</f>
        <v>50</v>
      </c>
      <c r="BS112" s="209">
        <f t="shared" si="671"/>
        <v>7.181901709</v>
      </c>
      <c r="BT112" s="104">
        <f t="shared" si="662"/>
        <v>-0.8563619658</v>
      </c>
      <c r="BU112" s="119"/>
      <c r="BV112" s="106"/>
      <c r="BW112" s="3"/>
      <c r="BX112" s="3"/>
      <c r="BY112" s="3"/>
      <c r="BZ112" s="3"/>
      <c r="CA112" s="3"/>
      <c r="CB112" s="3"/>
    </row>
    <row r="113" ht="15.75" customHeight="1">
      <c r="A113" s="1"/>
      <c r="B113" s="142"/>
      <c r="C113" s="143"/>
      <c r="D113" s="144"/>
      <c r="E113" s="192"/>
      <c r="F113" s="146"/>
      <c r="G113" s="147"/>
      <c r="H113" s="148"/>
      <c r="I113" s="149"/>
      <c r="J113" s="124" t="s">
        <v>69</v>
      </c>
      <c r="K113" s="125">
        <v>0.02</v>
      </c>
      <c r="L113" s="132">
        <f t="shared" ref="L113:M113" si="672">IF(L111=0, 0, (L110/L111) * (
  MIN(L111, 50000) * 0.02 +
  MAX(0, MIN(L111, 100000) - 50000) * 0.015 +
  MAX(0, L111 - 100000) * 0.01
))</f>
        <v>0</v>
      </c>
      <c r="M113" s="127">
        <f t="shared" si="672"/>
        <v>0</v>
      </c>
      <c r="N113" s="128">
        <f t="shared" si="637"/>
        <v>0</v>
      </c>
      <c r="O113" s="129" t="str">
        <f t="shared" si="638"/>
        <v>-</v>
      </c>
      <c r="P113" s="132">
        <f t="shared" ref="P113:Q113" si="673">IF(P111=0, 0, (P110/P111) * (
  MIN(P111, 50000) * 0.02 +
  MAX(0, MIN(P111, 100000) - 50000) * 0.015 +
  MAX(0, P111 - 100000) * 0.01
))</f>
        <v>0</v>
      </c>
      <c r="Q113" s="127">
        <f t="shared" si="673"/>
        <v>0</v>
      </c>
      <c r="R113" s="128">
        <f t="shared" si="639"/>
        <v>0</v>
      </c>
      <c r="S113" s="131" t="str">
        <f t="shared" si="640"/>
        <v>-</v>
      </c>
      <c r="T113" s="132">
        <f t="shared" ref="T113:U113" si="674">IF(T111=0, 0, (T110/T111) * (
  MIN(T111, 50000) * 0.02 +
  MAX(0, MIN(T111, 100000) - 50000) * 0.015 +
  MAX(0, T111 - 100000) * 0.01
))</f>
        <v>0</v>
      </c>
      <c r="U113" s="127">
        <f t="shared" si="674"/>
        <v>0.0798</v>
      </c>
      <c r="V113" s="128">
        <f t="shared" si="641"/>
        <v>0.0798</v>
      </c>
      <c r="W113" s="129" t="str">
        <f t="shared" si="642"/>
        <v>-</v>
      </c>
      <c r="X113" s="132">
        <f t="shared" ref="X113:Y113" si="675">IF(X111=0, 0, (X110/X111) * (
  MIN(X111, 50000) * 0.02 +
  MAX(0, MIN(X111, 100000) - 50000) * 0.015 +
  MAX(0, X111 - 100000) * 0.01
))</f>
        <v>0</v>
      </c>
      <c r="Y113" s="127">
        <f t="shared" si="675"/>
        <v>66.6438</v>
      </c>
      <c r="Z113" s="128">
        <f t="shared" si="643"/>
        <v>66.6438</v>
      </c>
      <c r="AA113" s="129" t="str">
        <f t="shared" si="644"/>
        <v>-</v>
      </c>
      <c r="AB113" s="132">
        <f t="shared" ref="AB113:AC113" si="676">IF(AB111=0, 0, (AB110/AB111) * (
  MIN(AB111, 50000) * 0.02 +
  MAX(0, MIN(AB111, 100000) - 50000) * 0.015 +
  MAX(0, AB111 - 100000) * 0.01
))</f>
        <v>0</v>
      </c>
      <c r="AC113" s="127">
        <f t="shared" si="676"/>
        <v>0.499</v>
      </c>
      <c r="AD113" s="128">
        <f t="shared" si="645"/>
        <v>0.499</v>
      </c>
      <c r="AE113" s="134" t="str">
        <f t="shared" si="646"/>
        <v>-</v>
      </c>
      <c r="AF113" s="373">
        <f t="shared" ref="AF113:AL113" si="677">IF(AF111=0, 0, (AF110/AF111) * (
  MIN(AF111, 50000) * 0.02 +
  MAX(0, MIN(AF111, 100000) - 50000) * 0.015 +
  MAX(0, AF111 - 100000) * 0.01
))</f>
        <v>280</v>
      </c>
      <c r="AG113" s="374">
        <f t="shared" si="677"/>
        <v>0</v>
      </c>
      <c r="AH113" s="374">
        <f t="shared" si="677"/>
        <v>0</v>
      </c>
      <c r="AI113" s="374">
        <f t="shared" si="677"/>
        <v>0</v>
      </c>
      <c r="AJ113" s="374">
        <f t="shared" si="677"/>
        <v>0</v>
      </c>
      <c r="AK113" s="374">
        <f t="shared" si="677"/>
        <v>0</v>
      </c>
      <c r="AL113" s="375">
        <f t="shared" si="677"/>
        <v>0</v>
      </c>
      <c r="AM113" s="376">
        <f t="shared" si="647"/>
        <v>-280</v>
      </c>
      <c r="AN113" s="129">
        <f t="shared" si="648"/>
        <v>-1</v>
      </c>
      <c r="AO113" s="132">
        <f>IF(AO111=0, 0, (AO110/AO111) * (
  MIN(AO111, 50000) * 0.02 +
  MAX(0, MIN(AO111, 100000) - 50000) * 0.015 +
  MAX(0, AO111 - 100000) * 0.01
))</f>
        <v>420</v>
      </c>
      <c r="AP113" s="130">
        <f t="shared" ref="AP113:AT113" si="678">AP110*$K$9</f>
        <v>0</v>
      </c>
      <c r="AQ113" s="130">
        <f t="shared" si="678"/>
        <v>0</v>
      </c>
      <c r="AR113" s="361">
        <f t="shared" si="678"/>
        <v>0</v>
      </c>
      <c r="AS113" s="361">
        <f t="shared" si="678"/>
        <v>0</v>
      </c>
      <c r="AT113" s="361">
        <f t="shared" si="678"/>
        <v>0</v>
      </c>
      <c r="AU113" s="127">
        <f>IF(AU111=0, 0, (AU110/AU111) * (
  MIN(AU111, 50000) * 0.02 +
  MAX(0, MIN(AU111, 100000) - 50000) * 0.015 +
  MAX(0, AU111 - 100000) * 0.01
))</f>
        <v>0</v>
      </c>
      <c r="AV113" s="128">
        <f t="shared" si="649"/>
        <v>-420</v>
      </c>
      <c r="AW113" s="129">
        <f t="shared" si="650"/>
        <v>-1</v>
      </c>
      <c r="AX113" s="132">
        <f t="shared" ref="AX113:AY113" si="679">IF(AX111=0, 0, (AX110/AX111) * (
  MIN(AX111, 50000) * 0.02 +
  MAX(0, MIN(AX111, 100000) - 50000) * 0.015 +
  MAX(0, AX111 - 100000) * 0.01
))</f>
        <v>700</v>
      </c>
      <c r="AY113" s="127">
        <f t="shared" si="679"/>
        <v>0</v>
      </c>
      <c r="AZ113" s="128">
        <f t="shared" si="651"/>
        <v>-700</v>
      </c>
      <c r="BA113" s="129">
        <f t="shared" si="652"/>
        <v>-1</v>
      </c>
      <c r="BB113" s="132">
        <f t="shared" ref="BB113:BC113" si="680">IF(BB111=0, 0, (BB110/BB111) * (
  MIN(BB111, 50000) * 0.02 +
  MAX(0, MIN(BB111, 100000) - 50000) * 0.015 +
  MAX(0, BB111 - 100000) * 0.01
))</f>
        <v>2800</v>
      </c>
      <c r="BC113" s="127">
        <f t="shared" si="680"/>
        <v>0</v>
      </c>
      <c r="BD113" s="128">
        <f t="shared" si="653"/>
        <v>-2800</v>
      </c>
      <c r="BE113" s="129">
        <f t="shared" si="654"/>
        <v>-1</v>
      </c>
      <c r="BF113" s="132">
        <f t="shared" ref="BF113:BG113" si="681">IF(BF111=0, 0, (BF110/BF111) * (
  MIN(BF111, 50000) * 0.02 +
  MAX(0, MIN(BF111, 100000) - 50000) * 0.015 +
  MAX(0, BF111 - 100000) * 0.01
))</f>
        <v>2800</v>
      </c>
      <c r="BG113" s="127">
        <f t="shared" si="681"/>
        <v>0</v>
      </c>
      <c r="BH113" s="128">
        <f t="shared" si="655"/>
        <v>-2800</v>
      </c>
      <c r="BI113" s="129">
        <f t="shared" si="656"/>
        <v>-1</v>
      </c>
      <c r="BJ113" s="132">
        <f t="shared" ref="BJ113:BK113" si="682">IF(BJ111=0, 0, (BJ110/BJ111) * (
  MIN(BJ111, 50000) * 0.02 +
  MAX(0, MIN(BJ111, 100000) - 50000) * 0.015 +
  MAX(0, BJ111 - 100000) * 0.01
))</f>
        <v>3500</v>
      </c>
      <c r="BK113" s="127">
        <f t="shared" si="682"/>
        <v>0</v>
      </c>
      <c r="BL113" s="128">
        <f t="shared" si="657"/>
        <v>-3500</v>
      </c>
      <c r="BM113" s="129">
        <f t="shared" si="658"/>
        <v>-1</v>
      </c>
      <c r="BN113" s="127">
        <f t="shared" ref="BN113:BO113" si="683">IF(BN111=0, 0, (BN110/BN111) * (
  MIN(BN111, 50000) * 0.02 +
  MAX(0, MIN(BN111, 100000) - 50000) * 0.015 +
  MAX(0, BN111 - 100000) * 0.01
))</f>
        <v>3500</v>
      </c>
      <c r="BO113" s="127">
        <f t="shared" si="683"/>
        <v>0</v>
      </c>
      <c r="BP113" s="128">
        <f t="shared" si="659"/>
        <v>-3500</v>
      </c>
      <c r="BQ113" s="131">
        <f t="shared" si="660"/>
        <v>-1</v>
      </c>
      <c r="BR113" s="135">
        <f>SUM(L113,P113,T113,X113,AB113,AF113,AO113,AX113,BB113,BF113,BJ113,BN113)</f>
        <v>14000</v>
      </c>
      <c r="BS113" s="213">
        <f>SUM(M113,Q113,U113,Y113,AC113,AG113,AU113,AY113,BC113,BG113,BK113,BO113)</f>
        <v>67.2226</v>
      </c>
      <c r="BT113" s="139">
        <f t="shared" si="662"/>
        <v>-0.9951983857</v>
      </c>
      <c r="BU113" s="140">
        <v>0.0</v>
      </c>
      <c r="BV113" s="141" t="str">
        <f>IFERROR((BR113/BU113),"-")</f>
        <v>-</v>
      </c>
      <c r="BW113" s="3"/>
      <c r="BX113" s="3"/>
      <c r="BY113" s="3"/>
      <c r="BZ113" s="3"/>
      <c r="CA113" s="3"/>
      <c r="CB113" s="3"/>
    </row>
    <row r="114" ht="15.75" customHeight="1">
      <c r="A114" s="1"/>
      <c r="B114" s="142"/>
      <c r="C114" s="143"/>
      <c r="D114" s="144"/>
      <c r="E114" s="192"/>
      <c r="F114" s="146"/>
      <c r="G114" s="147"/>
      <c r="H114" s="148"/>
      <c r="I114" s="149"/>
      <c r="J114" s="8"/>
      <c r="K114" s="9"/>
      <c r="L114" s="185"/>
      <c r="M114" s="185"/>
      <c r="N114" s="185"/>
      <c r="O114" s="185"/>
      <c r="P114" s="185"/>
      <c r="Q114" s="214"/>
      <c r="R114" s="185"/>
      <c r="S114" s="185"/>
      <c r="T114" s="185"/>
      <c r="U114" s="185"/>
      <c r="V114" s="185"/>
      <c r="W114" s="185"/>
      <c r="X114" s="185"/>
      <c r="Y114" s="185"/>
      <c r="Z114" s="185"/>
      <c r="AA114" s="3"/>
      <c r="AB114" s="3"/>
      <c r="AC114" s="3"/>
      <c r="AD114" s="3"/>
      <c r="AE114" s="3"/>
      <c r="AF114" s="3"/>
      <c r="AP114" s="363"/>
      <c r="AQ114" s="363"/>
      <c r="AR114" s="363"/>
      <c r="AS114" s="363"/>
      <c r="AT114" s="363"/>
      <c r="BA114" s="187"/>
      <c r="BB114" s="25"/>
      <c r="BC114" s="188"/>
      <c r="BD114" s="25"/>
    </row>
    <row r="115" ht="15.75" customHeight="1">
      <c r="A115" s="1"/>
      <c r="B115" s="142"/>
      <c r="C115" s="143"/>
      <c r="D115" s="144"/>
      <c r="E115" s="192"/>
      <c r="F115" s="146"/>
      <c r="G115" s="147"/>
      <c r="H115" s="148"/>
      <c r="I115" s="149"/>
      <c r="J115" s="34" t="s">
        <v>102</v>
      </c>
      <c r="K115" s="35"/>
      <c r="L115" s="36" t="s">
        <v>10</v>
      </c>
      <c r="M115" s="37" t="s">
        <v>11</v>
      </c>
      <c r="N115" s="38" t="s">
        <v>12</v>
      </c>
      <c r="O115" s="39" t="s">
        <v>13</v>
      </c>
      <c r="P115" s="157" t="s">
        <v>14</v>
      </c>
      <c r="Q115" s="199" t="s">
        <v>15</v>
      </c>
      <c r="R115" s="38" t="s">
        <v>16</v>
      </c>
      <c r="S115" s="42" t="s">
        <v>17</v>
      </c>
      <c r="T115" s="43" t="s">
        <v>18</v>
      </c>
      <c r="U115" s="199" t="s">
        <v>95</v>
      </c>
      <c r="V115" s="38" t="s">
        <v>20</v>
      </c>
      <c r="W115" s="45" t="s">
        <v>96</v>
      </c>
      <c r="X115" s="44" t="s">
        <v>22</v>
      </c>
      <c r="Y115" s="199" t="s">
        <v>97</v>
      </c>
      <c r="Z115" s="38" t="s">
        <v>24</v>
      </c>
      <c r="AA115" s="45" t="s">
        <v>96</v>
      </c>
      <c r="AB115" s="43" t="s">
        <v>26</v>
      </c>
      <c r="AC115" s="199" t="s">
        <v>27</v>
      </c>
      <c r="AD115" s="38" t="s">
        <v>28</v>
      </c>
      <c r="AE115" s="45" t="s">
        <v>29</v>
      </c>
      <c r="AF115" s="44" t="s">
        <v>30</v>
      </c>
      <c r="AG115" s="343" t="s">
        <v>120</v>
      </c>
      <c r="AH115" s="344" t="s">
        <v>121</v>
      </c>
      <c r="AI115" s="344" t="s">
        <v>122</v>
      </c>
      <c r="AJ115" s="344" t="s">
        <v>123</v>
      </c>
      <c r="AK115" s="344" t="s">
        <v>124</v>
      </c>
      <c r="AL115" s="344" t="s">
        <v>31</v>
      </c>
      <c r="AM115" s="38" t="s">
        <v>32</v>
      </c>
      <c r="AN115" s="45" t="s">
        <v>33</v>
      </c>
      <c r="AO115" s="43" t="s">
        <v>34</v>
      </c>
      <c r="AP115" s="343" t="s">
        <v>125</v>
      </c>
      <c r="AQ115" s="344" t="s">
        <v>126</v>
      </c>
      <c r="AR115" s="344" t="s">
        <v>127</v>
      </c>
      <c r="AS115" s="344" t="s">
        <v>128</v>
      </c>
      <c r="AT115" s="344" t="s">
        <v>129</v>
      </c>
      <c r="AU115" s="41" t="s">
        <v>35</v>
      </c>
      <c r="AV115" s="38" t="s">
        <v>36</v>
      </c>
      <c r="AW115" s="45" t="s">
        <v>37</v>
      </c>
      <c r="AX115" s="44" t="s">
        <v>38</v>
      </c>
      <c r="AY115" s="199" t="s">
        <v>39</v>
      </c>
      <c r="AZ115" s="38" t="s">
        <v>40</v>
      </c>
      <c r="BA115" s="45" t="s">
        <v>41</v>
      </c>
      <c r="BB115" s="43" t="s">
        <v>42</v>
      </c>
      <c r="BC115" s="199" t="s">
        <v>43</v>
      </c>
      <c r="BD115" s="38" t="s">
        <v>44</v>
      </c>
      <c r="BE115" s="45" t="s">
        <v>45</v>
      </c>
      <c r="BF115" s="44" t="s">
        <v>46</v>
      </c>
      <c r="BG115" s="199" t="s">
        <v>47</v>
      </c>
      <c r="BH115" s="38" t="s">
        <v>48</v>
      </c>
      <c r="BI115" s="45" t="s">
        <v>49</v>
      </c>
      <c r="BJ115" s="43" t="s">
        <v>50</v>
      </c>
      <c r="BK115" s="199" t="s">
        <v>51</v>
      </c>
      <c r="BL115" s="38" t="s">
        <v>52</v>
      </c>
      <c r="BM115" s="45" t="s">
        <v>53</v>
      </c>
      <c r="BN115" s="44" t="s">
        <v>54</v>
      </c>
      <c r="BO115" s="199" t="s">
        <v>55</v>
      </c>
      <c r="BP115" s="38" t="s">
        <v>56</v>
      </c>
      <c r="BQ115" s="42" t="s">
        <v>57</v>
      </c>
      <c r="BR115" s="345">
        <v>2026.0</v>
      </c>
      <c r="BS115" s="37" t="s">
        <v>61</v>
      </c>
      <c r="BT115" s="51" t="s">
        <v>62</v>
      </c>
      <c r="BU115" s="52">
        <v>2025.0</v>
      </c>
      <c r="BV115" s="53"/>
      <c r="BW115" s="3"/>
      <c r="BX115" s="3"/>
      <c r="BY115" s="3"/>
      <c r="BZ115" s="3"/>
      <c r="CA115" s="3"/>
      <c r="CB115" s="3"/>
    </row>
    <row r="116" ht="15.75" customHeight="1">
      <c r="A116" s="1"/>
      <c r="B116" s="142"/>
      <c r="C116" s="143"/>
      <c r="D116" s="144"/>
      <c r="E116" s="192"/>
      <c r="F116" s="146"/>
      <c r="G116" s="241"/>
      <c r="H116" s="242"/>
      <c r="I116" s="243"/>
      <c r="J116" s="346" t="s">
        <v>130</v>
      </c>
      <c r="K116" s="55"/>
      <c r="L116" s="56"/>
      <c r="M116" s="57"/>
      <c r="N116" s="58"/>
      <c r="O116" s="59"/>
      <c r="P116" s="56"/>
      <c r="Q116" s="202"/>
      <c r="R116" s="58"/>
      <c r="S116" s="61"/>
      <c r="T116" s="62"/>
      <c r="U116" s="63"/>
      <c r="V116" s="58"/>
      <c r="W116" s="59"/>
      <c r="X116" s="62"/>
      <c r="Y116" s="63"/>
      <c r="Z116" s="58"/>
      <c r="AA116" s="59"/>
      <c r="AB116" s="62"/>
      <c r="AC116" s="63"/>
      <c r="AD116" s="58"/>
      <c r="AE116" s="59"/>
      <c r="AF116" s="62"/>
      <c r="AG116" s="347">
        <f t="shared" ref="AG116:AK116" si="684">$AF$117/5</f>
        <v>0.018</v>
      </c>
      <c r="AH116" s="347">
        <f t="shared" si="684"/>
        <v>0.018</v>
      </c>
      <c r="AI116" s="347">
        <f t="shared" si="684"/>
        <v>0.018</v>
      </c>
      <c r="AJ116" s="347">
        <f t="shared" si="684"/>
        <v>0.018</v>
      </c>
      <c r="AK116" s="347">
        <f t="shared" si="684"/>
        <v>0.018</v>
      </c>
      <c r="AL116" s="347"/>
      <c r="AM116" s="58"/>
      <c r="AN116" s="59"/>
      <c r="AO116" s="62"/>
      <c r="AP116" s="347">
        <f t="shared" ref="AP116:AT116" si="685">$AO$117/5</f>
        <v>0.022</v>
      </c>
      <c r="AQ116" s="347">
        <f t="shared" si="685"/>
        <v>0.022</v>
      </c>
      <c r="AR116" s="347">
        <f t="shared" si="685"/>
        <v>0.022</v>
      </c>
      <c r="AS116" s="347">
        <f t="shared" si="685"/>
        <v>0.022</v>
      </c>
      <c r="AT116" s="347">
        <f t="shared" si="685"/>
        <v>0.022</v>
      </c>
      <c r="AU116" s="63"/>
      <c r="AV116" s="58"/>
      <c r="AW116" s="59"/>
      <c r="AX116" s="62"/>
      <c r="AY116" s="63"/>
      <c r="AZ116" s="58"/>
      <c r="BA116" s="59"/>
      <c r="BB116" s="62"/>
      <c r="BC116" s="63"/>
      <c r="BD116" s="58"/>
      <c r="BE116" s="59"/>
      <c r="BF116" s="62"/>
      <c r="BG116" s="63"/>
      <c r="BH116" s="58"/>
      <c r="BI116" s="59"/>
      <c r="BJ116" s="62"/>
      <c r="BK116" s="63"/>
      <c r="BL116" s="58"/>
      <c r="BM116" s="59"/>
      <c r="BN116" s="62"/>
      <c r="BO116" s="63"/>
      <c r="BP116" s="58"/>
      <c r="BQ116" s="61"/>
      <c r="BR116" s="66"/>
      <c r="BS116" s="349"/>
      <c r="BT116" s="69"/>
      <c r="BU116" s="70"/>
      <c r="BV116" s="71"/>
      <c r="BW116" s="3"/>
      <c r="BX116" s="3"/>
      <c r="BY116" s="3"/>
      <c r="BZ116" s="3"/>
      <c r="CA116" s="3"/>
      <c r="CB116" s="3"/>
    </row>
    <row r="117" ht="15.75" customHeight="1">
      <c r="A117" s="1"/>
      <c r="B117" s="142">
        <v>16.0</v>
      </c>
      <c r="C117" s="143" t="s">
        <v>103</v>
      </c>
      <c r="D117" s="144">
        <f>15000*12</f>
        <v>180000</v>
      </c>
      <c r="E117" s="192">
        <v>32.0</v>
      </c>
      <c r="F117" s="146">
        <f>E117*D117</f>
        <v>5760000</v>
      </c>
      <c r="G117" s="244">
        <v>356599.2800000031</v>
      </c>
      <c r="H117" s="245">
        <v>11282.0</v>
      </c>
      <c r="I117" s="246">
        <v>31.607807126396306</v>
      </c>
      <c r="J117" s="72" t="s">
        <v>64</v>
      </c>
      <c r="K117" s="73"/>
      <c r="L117" s="74" t="s">
        <v>63</v>
      </c>
      <c r="M117" s="75" t="s">
        <v>63</v>
      </c>
      <c r="N117" s="76" t="s">
        <v>63</v>
      </c>
      <c r="O117" s="77" t="s">
        <v>65</v>
      </c>
      <c r="P117" s="74" t="s">
        <v>63</v>
      </c>
      <c r="Q117" s="204" t="s">
        <v>63</v>
      </c>
      <c r="R117" s="76" t="s">
        <v>63</v>
      </c>
      <c r="S117" s="79" t="s">
        <v>65</v>
      </c>
      <c r="T117" s="80">
        <v>0.03</v>
      </c>
      <c r="U117" s="81">
        <f>U118/(BR118-(L118 + P118))</f>
        <v>0.02772611311</v>
      </c>
      <c r="V117" s="76" t="s">
        <v>63</v>
      </c>
      <c r="W117" s="77" t="s">
        <v>65</v>
      </c>
      <c r="X117" s="80">
        <v>0.04</v>
      </c>
      <c r="Y117" s="81">
        <f>Y118/(BR118-(L118+P118))</f>
        <v>0.02501738783</v>
      </c>
      <c r="Z117" s="76" t="s">
        <v>63</v>
      </c>
      <c r="AA117" s="77" t="s">
        <v>65</v>
      </c>
      <c r="AB117" s="80">
        <v>0.07</v>
      </c>
      <c r="AC117" s="81">
        <f>AC118/(BR118-(L118+P118))</f>
        <v>0.01824176216</v>
      </c>
      <c r="AD117" s="76" t="s">
        <v>63</v>
      </c>
      <c r="AE117" s="77" t="s">
        <v>65</v>
      </c>
      <c r="AF117" s="80">
        <v>0.09</v>
      </c>
      <c r="AG117" s="350">
        <f t="shared" ref="AG117:AK117" si="686">AG118/($BR$118-($L$118+$P$118))</f>
        <v>0.00606386466</v>
      </c>
      <c r="AH117" s="350">
        <f t="shared" si="686"/>
        <v>0.007895430705</v>
      </c>
      <c r="AI117" s="350">
        <f t="shared" si="686"/>
        <v>0.005778818197</v>
      </c>
      <c r="AJ117" s="350">
        <f t="shared" si="686"/>
        <v>0.004296861638</v>
      </c>
      <c r="AK117" s="350">
        <f t="shared" si="686"/>
        <v>0</v>
      </c>
      <c r="AL117" s="351">
        <f t="shared" ref="AL117:AL119" si="688">SUM(AG117:AK117)</f>
        <v>0.0240349752</v>
      </c>
      <c r="AM117" s="352">
        <f>AL117-AF117</f>
        <v>-0.0659650248</v>
      </c>
      <c r="AN117" s="77" t="s">
        <v>65</v>
      </c>
      <c r="AO117" s="80">
        <v>0.11</v>
      </c>
      <c r="AP117" s="350">
        <f t="shared" ref="AP117:AT117" si="687">AP118/($BR$118-($L$118+$P$118))</f>
        <v>0.005636366228</v>
      </c>
      <c r="AQ117" s="350">
        <f t="shared" si="687"/>
        <v>0.003805227752</v>
      </c>
      <c r="AR117" s="350">
        <f t="shared" si="687"/>
        <v>0</v>
      </c>
      <c r="AS117" s="350">
        <f t="shared" si="687"/>
        <v>0</v>
      </c>
      <c r="AT117" s="350">
        <f t="shared" si="687"/>
        <v>0</v>
      </c>
      <c r="AU117" s="351">
        <f t="shared" ref="AU117:AU119" si="689">SUM(AP117:AT117)</f>
        <v>0.00944159398</v>
      </c>
      <c r="AV117" s="76" t="s">
        <v>63</v>
      </c>
      <c r="AW117" s="77" t="s">
        <v>65</v>
      </c>
      <c r="AX117" s="80">
        <v>0.12</v>
      </c>
      <c r="AY117" s="81">
        <f>AY118/(BR118-(L118+P118))</f>
        <v>0</v>
      </c>
      <c r="AZ117" s="76" t="s">
        <v>63</v>
      </c>
      <c r="BA117" s="77" t="s">
        <v>65</v>
      </c>
      <c r="BB117" s="80">
        <v>0.12</v>
      </c>
      <c r="BC117" s="81">
        <f>BC118/(BR118-(L118+P118))</f>
        <v>0</v>
      </c>
      <c r="BD117" s="76" t="s">
        <v>63</v>
      </c>
      <c r="BE117" s="77" t="s">
        <v>65</v>
      </c>
      <c r="BF117" s="80">
        <v>0.12</v>
      </c>
      <c r="BG117" s="81">
        <f>BG118/(BR118-(L118+P118))</f>
        <v>0</v>
      </c>
      <c r="BH117" s="76" t="s">
        <v>63</v>
      </c>
      <c r="BI117" s="77" t="s">
        <v>65</v>
      </c>
      <c r="BJ117" s="80">
        <v>0.16</v>
      </c>
      <c r="BK117" s="81">
        <f>BK118/(BR118-(L118+P118))</f>
        <v>0</v>
      </c>
      <c r="BL117" s="76" t="s">
        <v>63</v>
      </c>
      <c r="BM117" s="77" t="s">
        <v>65</v>
      </c>
      <c r="BN117" s="80">
        <v>0.14</v>
      </c>
      <c r="BO117" s="81">
        <f>BO118/(BR118-(L118+P118))</f>
        <v>0</v>
      </c>
      <c r="BP117" s="76" t="s">
        <v>63</v>
      </c>
      <c r="BQ117" s="79" t="s">
        <v>65</v>
      </c>
      <c r="BR117" s="84">
        <f>SUM(T117,X117,AB117,AF117,AO117,AX117,BB117,BF117,BJ117,BN117)</f>
        <v>1</v>
      </c>
      <c r="BS117" s="350">
        <f>SUM(U117,Y117,AC117,AG117,AU117,AY117,BC117,BG117,BK117,BO117)</f>
        <v>0.08649072174</v>
      </c>
      <c r="BT117" s="88"/>
      <c r="BU117" s="89" t="s">
        <v>63</v>
      </c>
      <c r="BV117" s="71"/>
      <c r="BW117" s="3"/>
      <c r="BX117" s="3"/>
      <c r="BY117" s="3"/>
      <c r="BZ117" s="3"/>
      <c r="CA117" s="3"/>
      <c r="CB117" s="3"/>
    </row>
    <row r="118" ht="15.75" customHeight="1">
      <c r="A118" s="1"/>
      <c r="B118" s="142"/>
      <c r="C118" s="143"/>
      <c r="D118" s="144"/>
      <c r="E118" s="192"/>
      <c r="F118" s="146"/>
      <c r="G118" s="147"/>
      <c r="H118" s="148"/>
      <c r="I118" s="149"/>
      <c r="J118" s="72" t="s">
        <v>66</v>
      </c>
      <c r="K118" s="73"/>
      <c r="L118" s="167">
        <v>5894.0</v>
      </c>
      <c r="M118" s="91">
        <v>6435.6</v>
      </c>
      <c r="N118" s="92">
        <f t="shared" ref="N118:N121" si="690">IFERROR(M118-L118,"-")</f>
        <v>541.6</v>
      </c>
      <c r="O118" s="93">
        <f t="shared" ref="O118:O121" si="691">IFERROR(M118/L118-1,"-")</f>
        <v>0.09189005769</v>
      </c>
      <c r="P118" s="167">
        <v>3778.0</v>
      </c>
      <c r="Q118" s="91">
        <v>4215.7</v>
      </c>
      <c r="R118" s="92">
        <f t="shared" ref="R118:R121" si="692">IFERROR(Q118-P118,"-")</f>
        <v>437.7</v>
      </c>
      <c r="S118" s="95">
        <f t="shared" ref="S118:S121" si="693">IFERROR(Q118/P118-1,"-")</f>
        <v>0.1158549497</v>
      </c>
      <c r="T118" s="96">
        <f>($BR$118-($L$118+$P$118))*T117</f>
        <v>4209.84</v>
      </c>
      <c r="U118" s="91">
        <v>3890.75</v>
      </c>
      <c r="V118" s="92">
        <f t="shared" ref="V118:V121" si="694">IFERROR(U118-T118,"-")</f>
        <v>-319.09</v>
      </c>
      <c r="W118" s="93">
        <f t="shared" ref="W118:W121" si="695">IFERROR(U118/T118-1,"-")</f>
        <v>-0.07579622979</v>
      </c>
      <c r="X118" s="96">
        <f>($BR$118-($L$118+$P$118))*X117</f>
        <v>5613.12</v>
      </c>
      <c r="Y118" s="91">
        <v>3510.64</v>
      </c>
      <c r="Z118" s="92">
        <f t="shared" ref="Z118:Z121" si="696">IFERROR(Y118-X118,"-")</f>
        <v>-2102.48</v>
      </c>
      <c r="AA118" s="93">
        <f t="shared" ref="AA118:AA121" si="697">IFERROR(Y118/X118-1,"-")</f>
        <v>-0.3745653041</v>
      </c>
      <c r="AB118" s="96">
        <f>($BR$118-($L$118+$P$118))*AB117</f>
        <v>9822.96</v>
      </c>
      <c r="AC118" s="91">
        <v>2559.83</v>
      </c>
      <c r="AD118" s="92">
        <f t="shared" ref="AD118:AD121" si="698">IFERROR(AC118-AB118,"-")</f>
        <v>-7263.13</v>
      </c>
      <c r="AE118" s="93">
        <f t="shared" ref="AE118:AE121" si="699">IFERROR(AC118/AB118-1,"-")</f>
        <v>-0.7394033978</v>
      </c>
      <c r="AF118" s="96">
        <f>($BR$118-($L$118+$P$118))*AF117</f>
        <v>12629.52</v>
      </c>
      <c r="AG118" s="100">
        <v>850.93</v>
      </c>
      <c r="AH118" s="100">
        <v>1107.95</v>
      </c>
      <c r="AI118" s="100">
        <v>810.93</v>
      </c>
      <c r="AJ118" s="100">
        <v>602.97</v>
      </c>
      <c r="AK118" s="100">
        <v>0.0</v>
      </c>
      <c r="AL118" s="355">
        <f t="shared" si="688"/>
        <v>3372.78</v>
      </c>
      <c r="AM118" s="92">
        <f t="shared" ref="AM118:AM121" si="700">IFERROR(AL118-AF118,"-")</f>
        <v>-9256.74</v>
      </c>
      <c r="AN118" s="93">
        <f t="shared" ref="AN118:AN121" si="701">IFERROR(AL118/AF118-1,"-")</f>
        <v>-0.73294472</v>
      </c>
      <c r="AO118" s="96">
        <f>($BR$118-($L$118+$P$118))*AO117</f>
        <v>15436.08</v>
      </c>
      <c r="AP118" s="100">
        <v>790.94</v>
      </c>
      <c r="AQ118" s="353">
        <v>533.98</v>
      </c>
      <c r="AR118" s="354"/>
      <c r="AS118" s="354"/>
      <c r="AT118" s="354"/>
      <c r="AU118" s="91">
        <f t="shared" si="689"/>
        <v>1324.92</v>
      </c>
      <c r="AV118" s="92">
        <f t="shared" ref="AV118:AV121" si="702">IFERROR(AU118-AO118,"-")</f>
        <v>-14111.16</v>
      </c>
      <c r="AW118" s="93">
        <f t="shared" ref="AW118:AW121" si="703">IFERROR(AU118/AO118-1,"-")</f>
        <v>-0.9141673275</v>
      </c>
      <c r="AX118" s="96">
        <f>($BR$118-($L$118+$P$118))*AX117</f>
        <v>16839.36</v>
      </c>
      <c r="AY118" s="91">
        <v>0.0</v>
      </c>
      <c r="AZ118" s="92">
        <f t="shared" ref="AZ118:AZ121" si="704">IFERROR(AY118-AX118,"-")</f>
        <v>-16839.36</v>
      </c>
      <c r="BA118" s="93">
        <f t="shared" ref="BA118:BA121" si="705">IFERROR(AY118/AX118-1,"-")</f>
        <v>-1</v>
      </c>
      <c r="BB118" s="96">
        <f>($BR$118-($L$118+$P$118))*BB117</f>
        <v>16839.36</v>
      </c>
      <c r="BC118" s="91">
        <v>0.0</v>
      </c>
      <c r="BD118" s="92">
        <f t="shared" ref="BD118:BD121" si="706">IFERROR(BC118-BB118,"-")</f>
        <v>-16839.36</v>
      </c>
      <c r="BE118" s="93">
        <f t="shared" ref="BE118:BE121" si="707">IFERROR(BC118/BB118-1,"-")</f>
        <v>-1</v>
      </c>
      <c r="BF118" s="96">
        <f>($BR$118-($L$118+$P$118))*BF117</f>
        <v>16839.36</v>
      </c>
      <c r="BG118" s="91">
        <v>0.0</v>
      </c>
      <c r="BH118" s="92">
        <f t="shared" ref="BH118:BH121" si="708">IFERROR(BG118-BF118,"-")</f>
        <v>-16839.36</v>
      </c>
      <c r="BI118" s="93">
        <f t="shared" ref="BI118:BI121" si="709">IFERROR(BG118/BF118-1,"-")</f>
        <v>-1</v>
      </c>
      <c r="BJ118" s="96">
        <f>($BR$118-($L$118+$P$118))*BJ117</f>
        <v>22452.48</v>
      </c>
      <c r="BK118" s="91">
        <v>0.0</v>
      </c>
      <c r="BL118" s="92">
        <f t="shared" ref="BL118:BL121" si="710">IFERROR(BK118-BJ118,"-")</f>
        <v>-22452.48</v>
      </c>
      <c r="BM118" s="93">
        <f t="shared" ref="BM118:BM121" si="711">IFERROR(BK118/BJ118-1,"-")</f>
        <v>-1</v>
      </c>
      <c r="BN118" s="96">
        <f>($BR$118-($L$118+$P$118))*BN117</f>
        <v>19645.92</v>
      </c>
      <c r="BO118" s="91">
        <v>0.0</v>
      </c>
      <c r="BP118" s="92">
        <f t="shared" ref="BP118:BP121" si="712">IFERROR(BO118-BN118,"-")</f>
        <v>-19645.92</v>
      </c>
      <c r="BQ118" s="95">
        <f t="shared" ref="BQ118:BQ121" si="713">IFERROR(BO118/BN118-1,"-")</f>
        <v>-1</v>
      </c>
      <c r="BR118" s="101">
        <v>150000.0</v>
      </c>
      <c r="BS118" s="102">
        <f t="shared" ref="BS118:BS119" si="714">SUM(M118,Q118,U118,Y118,AC118,AG118,AU118,AY118,BC118,BG118,BK118,BO118)</f>
        <v>22788.37</v>
      </c>
      <c r="BT118" s="104">
        <f t="shared" ref="BT118:BT121" si="715">IFERROR(BS118/BR118-1,"-")</f>
        <v>-0.8480775333</v>
      </c>
      <c r="BU118" s="105">
        <v>9705.0</v>
      </c>
      <c r="BV118" s="106">
        <f t="shared" ref="BV118:BV119" si="716">BR118/BU118</f>
        <v>15.45595054</v>
      </c>
      <c r="BW118" s="3"/>
      <c r="BX118" s="3"/>
      <c r="BY118" s="3"/>
      <c r="BZ118" s="3"/>
      <c r="CA118" s="3"/>
      <c r="CB118" s="3"/>
    </row>
    <row r="119" ht="15.75" customHeight="1">
      <c r="A119" s="1"/>
      <c r="B119" s="142"/>
      <c r="C119" s="143"/>
      <c r="D119" s="144"/>
      <c r="E119" s="192"/>
      <c r="F119" s="146"/>
      <c r="G119" s="147"/>
      <c r="H119" s="148"/>
      <c r="I119" s="149"/>
      <c r="J119" s="72" t="s">
        <v>67</v>
      </c>
      <c r="K119" s="107"/>
      <c r="L119" s="171">
        <f>L118/$K$120</f>
        <v>196.4666667</v>
      </c>
      <c r="M119" s="109">
        <v>234.0</v>
      </c>
      <c r="N119" s="110">
        <f t="shared" si="690"/>
        <v>37.53333333</v>
      </c>
      <c r="O119" s="93">
        <f t="shared" si="691"/>
        <v>0.1910417374</v>
      </c>
      <c r="P119" s="171">
        <f>P118/$K$120</f>
        <v>125.9333333</v>
      </c>
      <c r="Q119" s="109">
        <v>95.0</v>
      </c>
      <c r="R119" s="110">
        <f t="shared" si="692"/>
        <v>-30.93333333</v>
      </c>
      <c r="S119" s="95">
        <f t="shared" si="693"/>
        <v>-0.2456326098</v>
      </c>
      <c r="T119" s="112">
        <f>T118/$K$120</f>
        <v>140.328</v>
      </c>
      <c r="U119" s="109">
        <v>235.0</v>
      </c>
      <c r="V119" s="110">
        <f t="shared" si="694"/>
        <v>94.672</v>
      </c>
      <c r="W119" s="93">
        <f t="shared" si="695"/>
        <v>0.6746479676</v>
      </c>
      <c r="X119" s="112">
        <f>X118/$K$120</f>
        <v>187.104</v>
      </c>
      <c r="Y119" s="109">
        <v>191.0</v>
      </c>
      <c r="Z119" s="110">
        <f t="shared" si="696"/>
        <v>3.896</v>
      </c>
      <c r="AA119" s="93">
        <f t="shared" si="697"/>
        <v>0.02082264409</v>
      </c>
      <c r="AB119" s="112">
        <f>AB118/$K$120</f>
        <v>327.432</v>
      </c>
      <c r="AC119" s="109">
        <v>198.0</v>
      </c>
      <c r="AD119" s="110">
        <f t="shared" si="698"/>
        <v>-129.432</v>
      </c>
      <c r="AE119" s="93">
        <f t="shared" si="699"/>
        <v>-0.3952942901</v>
      </c>
      <c r="AF119" s="112">
        <f>AF118/$K$120</f>
        <v>420.984</v>
      </c>
      <c r="AG119" s="114">
        <v>31.0</v>
      </c>
      <c r="AH119" s="114">
        <v>13.0</v>
      </c>
      <c r="AI119" s="114">
        <v>49.0</v>
      </c>
      <c r="AJ119" s="114">
        <v>51.0</v>
      </c>
      <c r="AK119" s="114">
        <v>11.0</v>
      </c>
      <c r="AL119" s="358">
        <f t="shared" si="688"/>
        <v>155</v>
      </c>
      <c r="AM119" s="110">
        <f t="shared" si="700"/>
        <v>-265.984</v>
      </c>
      <c r="AN119" s="93">
        <f t="shared" si="701"/>
        <v>-0.6318149858</v>
      </c>
      <c r="AO119" s="112">
        <f>AO118/$K$120</f>
        <v>514.536</v>
      </c>
      <c r="AP119" s="114">
        <v>34.0</v>
      </c>
      <c r="AQ119" s="356">
        <v>27.0</v>
      </c>
      <c r="AR119" s="357"/>
      <c r="AS119" s="357"/>
      <c r="AT119" s="357"/>
      <c r="AU119" s="109">
        <f t="shared" si="689"/>
        <v>61</v>
      </c>
      <c r="AV119" s="110">
        <f t="shared" si="702"/>
        <v>-453.536</v>
      </c>
      <c r="AW119" s="93">
        <f t="shared" si="703"/>
        <v>-0.8814465849</v>
      </c>
      <c r="AX119" s="112">
        <f>AX118/$K$120</f>
        <v>561.312</v>
      </c>
      <c r="AY119" s="109">
        <v>0.0</v>
      </c>
      <c r="AZ119" s="110">
        <f t="shared" si="704"/>
        <v>-561.312</v>
      </c>
      <c r="BA119" s="93">
        <f t="shared" si="705"/>
        <v>-1</v>
      </c>
      <c r="BB119" s="112">
        <f>BB118/$K$120</f>
        <v>561.312</v>
      </c>
      <c r="BC119" s="109">
        <v>0.0</v>
      </c>
      <c r="BD119" s="110">
        <f t="shared" si="706"/>
        <v>-561.312</v>
      </c>
      <c r="BE119" s="93">
        <f t="shared" si="707"/>
        <v>-1</v>
      </c>
      <c r="BF119" s="112">
        <f>BF118/$K$120</f>
        <v>561.312</v>
      </c>
      <c r="BG119" s="109">
        <v>0.0</v>
      </c>
      <c r="BH119" s="110">
        <f t="shared" si="708"/>
        <v>-561.312</v>
      </c>
      <c r="BI119" s="93">
        <f t="shared" si="709"/>
        <v>-1</v>
      </c>
      <c r="BJ119" s="112">
        <f>BJ118/$K$120</f>
        <v>748.416</v>
      </c>
      <c r="BK119" s="109">
        <v>0.0</v>
      </c>
      <c r="BL119" s="110">
        <f t="shared" si="710"/>
        <v>-748.416</v>
      </c>
      <c r="BM119" s="93">
        <f t="shared" si="711"/>
        <v>-1</v>
      </c>
      <c r="BN119" s="112">
        <f>BN118/$K$120</f>
        <v>654.864</v>
      </c>
      <c r="BO119" s="109">
        <v>0.0</v>
      </c>
      <c r="BP119" s="110">
        <f t="shared" si="712"/>
        <v>-654.864</v>
      </c>
      <c r="BQ119" s="95">
        <f t="shared" si="713"/>
        <v>-1</v>
      </c>
      <c r="BR119" s="206">
        <f>SUM(L119,P119,T119,X119,AB119,AF119,AO119,AX119,BB119,BF119,BJ119,BN119)</f>
        <v>5000</v>
      </c>
      <c r="BS119" s="207">
        <f t="shared" si="714"/>
        <v>1045</v>
      </c>
      <c r="BT119" s="104">
        <f t="shared" si="715"/>
        <v>-0.791</v>
      </c>
      <c r="BU119" s="119">
        <v>519.0</v>
      </c>
      <c r="BV119" s="106">
        <f t="shared" si="716"/>
        <v>9.633911368</v>
      </c>
      <c r="BW119" s="3"/>
      <c r="BX119" s="3"/>
      <c r="BY119" s="3"/>
      <c r="BZ119" s="3"/>
      <c r="CA119" s="3"/>
      <c r="CB119" s="3"/>
    </row>
    <row r="120" ht="15.75" customHeight="1">
      <c r="A120" s="1"/>
      <c r="B120" s="142"/>
      <c r="C120" s="143"/>
      <c r="D120" s="144"/>
      <c r="E120" s="192"/>
      <c r="F120" s="146"/>
      <c r="G120" s="147"/>
      <c r="H120" s="148"/>
      <c r="I120" s="149"/>
      <c r="J120" s="72" t="s">
        <v>68</v>
      </c>
      <c r="K120" s="107">
        <v>30.0</v>
      </c>
      <c r="L120" s="171">
        <f>L118/L119</f>
        <v>30</v>
      </c>
      <c r="M120" s="91">
        <f>IFERROR(M118/M119,"-")</f>
        <v>27.5025641</v>
      </c>
      <c r="N120" s="92">
        <f t="shared" si="690"/>
        <v>-2.497435897</v>
      </c>
      <c r="O120" s="93">
        <f t="shared" si="691"/>
        <v>-0.08324786325</v>
      </c>
      <c r="P120" s="90">
        <f t="shared" ref="P120:Q120" si="717">IFERROR(P118/P119,"-")</f>
        <v>30</v>
      </c>
      <c r="Q120" s="91">
        <f t="shared" si="717"/>
        <v>44.37578947</v>
      </c>
      <c r="R120" s="92">
        <f t="shared" si="692"/>
        <v>14.37578947</v>
      </c>
      <c r="S120" s="95">
        <f t="shared" si="693"/>
        <v>0.4791929825</v>
      </c>
      <c r="T120" s="112">
        <f>T118/T119</f>
        <v>30</v>
      </c>
      <c r="U120" s="91">
        <f>IFERROR(U118/U119,"-")</f>
        <v>16.55638298</v>
      </c>
      <c r="V120" s="92">
        <f t="shared" si="694"/>
        <v>-13.44361702</v>
      </c>
      <c r="W120" s="93">
        <f t="shared" si="695"/>
        <v>-0.4481205674</v>
      </c>
      <c r="X120" s="96">
        <f t="shared" ref="X120:Y120" si="718">IFERROR(X118/X119,"-")</f>
        <v>30</v>
      </c>
      <c r="Y120" s="91">
        <f t="shared" si="718"/>
        <v>18.38031414</v>
      </c>
      <c r="Z120" s="92">
        <f t="shared" si="696"/>
        <v>-11.61968586</v>
      </c>
      <c r="AA120" s="93">
        <f t="shared" si="697"/>
        <v>-0.3873228621</v>
      </c>
      <c r="AB120" s="112">
        <f>AB118/AB119</f>
        <v>30</v>
      </c>
      <c r="AC120" s="91">
        <f>IFERROR(AC118/AC119,"-")</f>
        <v>12.92843434</v>
      </c>
      <c r="AD120" s="92">
        <f t="shared" si="698"/>
        <v>-17.07156566</v>
      </c>
      <c r="AE120" s="93">
        <f t="shared" si="699"/>
        <v>-0.5690521886</v>
      </c>
      <c r="AF120" s="385">
        <f>AF118/AF119</f>
        <v>30</v>
      </c>
      <c r="AG120" s="370">
        <f t="shared" ref="AG120:AL120" si="719">IFERROR(AG118/AG119,"-")</f>
        <v>27.44935484</v>
      </c>
      <c r="AH120" s="370">
        <f t="shared" si="719"/>
        <v>85.22692308</v>
      </c>
      <c r="AI120" s="370">
        <f t="shared" si="719"/>
        <v>16.54959184</v>
      </c>
      <c r="AJ120" s="370">
        <f t="shared" si="719"/>
        <v>11.82294118</v>
      </c>
      <c r="AK120" s="370">
        <f t="shared" si="719"/>
        <v>0</v>
      </c>
      <c r="AL120" s="372">
        <f t="shared" si="719"/>
        <v>21.75987097</v>
      </c>
      <c r="AM120" s="92">
        <f t="shared" si="700"/>
        <v>-8.240129032</v>
      </c>
      <c r="AN120" s="93">
        <f t="shared" si="701"/>
        <v>-0.2746709677</v>
      </c>
      <c r="AO120" s="112">
        <f>AO118/AO119</f>
        <v>30</v>
      </c>
      <c r="AP120" s="91">
        <f t="shared" ref="AP120:AU120" si="720">IFERROR(AP118/AP119,"-")</f>
        <v>23.26294118</v>
      </c>
      <c r="AQ120" s="91">
        <f t="shared" si="720"/>
        <v>19.77703704</v>
      </c>
      <c r="AR120" s="359" t="str">
        <f t="shared" si="720"/>
        <v>-</v>
      </c>
      <c r="AS120" s="359" t="str">
        <f t="shared" si="720"/>
        <v>-</v>
      </c>
      <c r="AT120" s="359" t="str">
        <f t="shared" si="720"/>
        <v>-</v>
      </c>
      <c r="AU120" s="91">
        <f t="shared" si="720"/>
        <v>21.72</v>
      </c>
      <c r="AV120" s="92">
        <f t="shared" si="702"/>
        <v>-8.28</v>
      </c>
      <c r="AW120" s="93">
        <f t="shared" si="703"/>
        <v>-0.276</v>
      </c>
      <c r="AX120" s="112">
        <f>AX118/AX119</f>
        <v>30</v>
      </c>
      <c r="AY120" s="91" t="str">
        <f>IFERROR(AY118/AY119,"-")</f>
        <v>-</v>
      </c>
      <c r="AZ120" s="92" t="str">
        <f t="shared" si="704"/>
        <v>-</v>
      </c>
      <c r="BA120" s="93" t="str">
        <f t="shared" si="705"/>
        <v>-</v>
      </c>
      <c r="BB120" s="112">
        <f>BB118/BB119</f>
        <v>30</v>
      </c>
      <c r="BC120" s="91" t="str">
        <f>IFERROR(BC118/BC119,"-")</f>
        <v>-</v>
      </c>
      <c r="BD120" s="92" t="str">
        <f t="shared" si="706"/>
        <v>-</v>
      </c>
      <c r="BE120" s="93" t="str">
        <f t="shared" si="707"/>
        <v>-</v>
      </c>
      <c r="BF120" s="112">
        <f>BF118/BF119</f>
        <v>30</v>
      </c>
      <c r="BG120" s="91" t="str">
        <f>IFERROR(BG118/BG119,"-")</f>
        <v>-</v>
      </c>
      <c r="BH120" s="92" t="str">
        <f t="shared" si="708"/>
        <v>-</v>
      </c>
      <c r="BI120" s="93" t="str">
        <f t="shared" si="709"/>
        <v>-</v>
      </c>
      <c r="BJ120" s="112">
        <f>BJ118/BJ119</f>
        <v>30</v>
      </c>
      <c r="BK120" s="91" t="str">
        <f>IFERROR(BK118/BK119,"-")</f>
        <v>-</v>
      </c>
      <c r="BL120" s="92" t="str">
        <f t="shared" si="710"/>
        <v>-</v>
      </c>
      <c r="BM120" s="93" t="str">
        <f t="shared" si="711"/>
        <v>-</v>
      </c>
      <c r="BN120" s="112">
        <f>BN118/BN119</f>
        <v>30</v>
      </c>
      <c r="BO120" s="91" t="str">
        <f>IFERROR(BO118/BO119,"-")</f>
        <v>-</v>
      </c>
      <c r="BP120" s="92" t="str">
        <f t="shared" si="712"/>
        <v>-</v>
      </c>
      <c r="BQ120" s="95" t="str">
        <f t="shared" si="713"/>
        <v>-</v>
      </c>
      <c r="BR120" s="115">
        <f t="shared" ref="BR120:BS120" si="721">BR118/BR119</f>
        <v>30</v>
      </c>
      <c r="BS120" s="209">
        <f t="shared" si="721"/>
        <v>21.80705263</v>
      </c>
      <c r="BT120" s="104">
        <f t="shared" si="715"/>
        <v>-0.2730982456</v>
      </c>
      <c r="BU120" s="119">
        <f>BU118/BU119</f>
        <v>18.69942197</v>
      </c>
      <c r="BV120" s="106">
        <f>BR120/BU120-1</f>
        <v>0.6043276662</v>
      </c>
      <c r="BW120" s="3"/>
      <c r="BX120" s="3"/>
      <c r="BY120" s="3"/>
      <c r="BZ120" s="3"/>
      <c r="CA120" s="3"/>
      <c r="CB120" s="3"/>
    </row>
    <row r="121" ht="15.75" customHeight="1">
      <c r="A121" s="1"/>
      <c r="B121" s="142"/>
      <c r="C121" s="143"/>
      <c r="D121" s="144"/>
      <c r="E121" s="192"/>
      <c r="F121" s="146"/>
      <c r="G121" s="147"/>
      <c r="H121" s="148"/>
      <c r="I121" s="149"/>
      <c r="J121" s="124" t="s">
        <v>69</v>
      </c>
      <c r="K121" s="125">
        <v>0.049</v>
      </c>
      <c r="L121" s="132">
        <f t="shared" ref="L121:M121" si="722">L118*$K$121</f>
        <v>288.806</v>
      </c>
      <c r="M121" s="127">
        <f t="shared" si="722"/>
        <v>315.3444</v>
      </c>
      <c r="N121" s="128">
        <f t="shared" si="690"/>
        <v>26.5384</v>
      </c>
      <c r="O121" s="129">
        <f t="shared" si="691"/>
        <v>0.09189005769</v>
      </c>
      <c r="P121" s="132">
        <f t="shared" ref="P121:Q121" si="723">P118*$K$121</f>
        <v>185.122</v>
      </c>
      <c r="Q121" s="127">
        <f t="shared" si="723"/>
        <v>206.5693</v>
      </c>
      <c r="R121" s="128">
        <f t="shared" si="692"/>
        <v>21.4473</v>
      </c>
      <c r="S121" s="131">
        <f t="shared" si="693"/>
        <v>0.1158549497</v>
      </c>
      <c r="T121" s="132">
        <f t="shared" ref="T121:U121" si="724">T118*$K$121</f>
        <v>206.28216</v>
      </c>
      <c r="U121" s="127">
        <f t="shared" si="724"/>
        <v>190.64675</v>
      </c>
      <c r="V121" s="128">
        <f t="shared" si="694"/>
        <v>-15.63541</v>
      </c>
      <c r="W121" s="129">
        <f t="shared" si="695"/>
        <v>-0.07579622979</v>
      </c>
      <c r="X121" s="132">
        <f t="shared" ref="X121:Y121" si="725">X118*$K$121</f>
        <v>275.04288</v>
      </c>
      <c r="Y121" s="127">
        <f t="shared" si="725"/>
        <v>172.02136</v>
      </c>
      <c r="Z121" s="128">
        <f t="shared" si="696"/>
        <v>-103.02152</v>
      </c>
      <c r="AA121" s="129">
        <f t="shared" si="697"/>
        <v>-0.3745653041</v>
      </c>
      <c r="AB121" s="132">
        <f t="shared" ref="AB121:AC121" si="726">AB118*$K$121</f>
        <v>481.32504</v>
      </c>
      <c r="AC121" s="127">
        <f t="shared" si="726"/>
        <v>125.43167</v>
      </c>
      <c r="AD121" s="128">
        <f t="shared" si="698"/>
        <v>-355.89337</v>
      </c>
      <c r="AE121" s="134">
        <f t="shared" si="699"/>
        <v>-0.7394033978</v>
      </c>
      <c r="AF121" s="373">
        <f t="shared" ref="AF121:AL121" si="727">AF118*$K$121</f>
        <v>618.84648</v>
      </c>
      <c r="AG121" s="374">
        <f t="shared" si="727"/>
        <v>41.69557</v>
      </c>
      <c r="AH121" s="374">
        <f t="shared" si="727"/>
        <v>54.28955</v>
      </c>
      <c r="AI121" s="374">
        <f t="shared" si="727"/>
        <v>39.73557</v>
      </c>
      <c r="AJ121" s="374">
        <f t="shared" si="727"/>
        <v>29.54553</v>
      </c>
      <c r="AK121" s="374">
        <f t="shared" si="727"/>
        <v>0</v>
      </c>
      <c r="AL121" s="375">
        <f t="shared" si="727"/>
        <v>165.26622</v>
      </c>
      <c r="AM121" s="376">
        <f t="shared" si="700"/>
        <v>-453.58026</v>
      </c>
      <c r="AN121" s="129">
        <f t="shared" si="701"/>
        <v>-0.73294472</v>
      </c>
      <c r="AO121" s="132">
        <f>AO118*$K$121</f>
        <v>756.36792</v>
      </c>
      <c r="AP121" s="130">
        <f t="shared" ref="AP121:AT121" si="728">AP118*$K$9</f>
        <v>38.75606</v>
      </c>
      <c r="AQ121" s="130">
        <f t="shared" si="728"/>
        <v>26.16502</v>
      </c>
      <c r="AR121" s="361">
        <f t="shared" si="728"/>
        <v>0</v>
      </c>
      <c r="AS121" s="361">
        <f t="shared" si="728"/>
        <v>0</v>
      </c>
      <c r="AT121" s="361">
        <f t="shared" si="728"/>
        <v>0</v>
      </c>
      <c r="AU121" s="127">
        <f>AU118*$K$121</f>
        <v>64.92108</v>
      </c>
      <c r="AV121" s="128">
        <f t="shared" si="702"/>
        <v>-691.44684</v>
      </c>
      <c r="AW121" s="129">
        <f t="shared" si="703"/>
        <v>-0.9141673275</v>
      </c>
      <c r="AX121" s="132">
        <f t="shared" ref="AX121:AY121" si="729">AX118*$K$121</f>
        <v>825.12864</v>
      </c>
      <c r="AY121" s="127">
        <f t="shared" si="729"/>
        <v>0</v>
      </c>
      <c r="AZ121" s="128">
        <f t="shared" si="704"/>
        <v>-825.12864</v>
      </c>
      <c r="BA121" s="129">
        <f t="shared" si="705"/>
        <v>-1</v>
      </c>
      <c r="BB121" s="132">
        <f t="shared" ref="BB121:BC121" si="730">BB118*$K$121</f>
        <v>825.12864</v>
      </c>
      <c r="BC121" s="127">
        <f t="shared" si="730"/>
        <v>0</v>
      </c>
      <c r="BD121" s="128">
        <f t="shared" si="706"/>
        <v>-825.12864</v>
      </c>
      <c r="BE121" s="129">
        <f t="shared" si="707"/>
        <v>-1</v>
      </c>
      <c r="BF121" s="132">
        <f t="shared" ref="BF121:BG121" si="731">BF118*$K$121</f>
        <v>825.12864</v>
      </c>
      <c r="BG121" s="127">
        <f t="shared" si="731"/>
        <v>0</v>
      </c>
      <c r="BH121" s="128">
        <f t="shared" si="708"/>
        <v>-825.12864</v>
      </c>
      <c r="BI121" s="129">
        <f t="shared" si="709"/>
        <v>-1</v>
      </c>
      <c r="BJ121" s="132">
        <f t="shared" ref="BJ121:BK121" si="732">BJ118*$K$121</f>
        <v>1100.17152</v>
      </c>
      <c r="BK121" s="127">
        <f t="shared" si="732"/>
        <v>0</v>
      </c>
      <c r="BL121" s="128">
        <f t="shared" si="710"/>
        <v>-1100.17152</v>
      </c>
      <c r="BM121" s="129">
        <f t="shared" si="711"/>
        <v>-1</v>
      </c>
      <c r="BN121" s="132">
        <f t="shared" ref="BN121:BO121" si="733">BN118*$K$121</f>
        <v>962.65008</v>
      </c>
      <c r="BO121" s="127">
        <f t="shared" si="733"/>
        <v>0</v>
      </c>
      <c r="BP121" s="128">
        <f t="shared" si="712"/>
        <v>-962.65008</v>
      </c>
      <c r="BQ121" s="131">
        <f t="shared" si="713"/>
        <v>-1</v>
      </c>
      <c r="BR121" s="135">
        <f>SUM(L121,P121,T121,X121,AB121,AF121,AO121,AX121,BB121,BF121,BJ121,BN121)</f>
        <v>7350</v>
      </c>
      <c r="BS121" s="213">
        <f>SUM(M121,Q121,U121,Y121,AC121,AG121,AU121,AY121,BC121,BG121,BK121,BO121)</f>
        <v>1116.63013</v>
      </c>
      <c r="BT121" s="139">
        <f t="shared" si="715"/>
        <v>-0.8480775333</v>
      </c>
      <c r="BU121" s="140">
        <f>(5 * 399) + MAX(BU118 * 4.9%, 499)</f>
        <v>2494</v>
      </c>
      <c r="BV121" s="141">
        <f>BR121/BU121</f>
        <v>2.947072975</v>
      </c>
      <c r="BW121" s="3"/>
      <c r="BX121" s="3"/>
      <c r="BY121" s="3"/>
      <c r="BZ121" s="3"/>
      <c r="CA121" s="3"/>
      <c r="CB121" s="3"/>
    </row>
    <row r="122" ht="15.75" customHeight="1">
      <c r="A122" s="1"/>
      <c r="B122" s="142"/>
      <c r="C122" s="143"/>
      <c r="D122" s="144"/>
      <c r="E122" s="192"/>
      <c r="F122" s="146"/>
      <c r="G122" s="147"/>
      <c r="H122" s="148"/>
      <c r="I122" s="149"/>
      <c r="J122" s="8"/>
      <c r="K122" s="9"/>
      <c r="L122" s="185"/>
      <c r="M122" s="185"/>
      <c r="N122" s="185"/>
      <c r="O122" s="185"/>
      <c r="P122" s="185"/>
      <c r="Q122" s="23"/>
      <c r="R122" s="185"/>
      <c r="S122" s="185"/>
      <c r="T122" s="185"/>
      <c r="U122" s="185"/>
      <c r="V122" s="185"/>
      <c r="W122" s="185"/>
      <c r="X122" s="185"/>
      <c r="Y122" s="185"/>
      <c r="Z122" s="185"/>
      <c r="AA122" s="3"/>
      <c r="AB122" s="3"/>
      <c r="AC122" s="3"/>
      <c r="AD122" s="3"/>
      <c r="AE122" s="3"/>
      <c r="AF122" s="3"/>
      <c r="AP122" s="363"/>
      <c r="AQ122" s="363"/>
      <c r="AR122" s="363"/>
      <c r="AS122" s="363"/>
      <c r="AT122" s="363"/>
      <c r="BA122" s="187"/>
      <c r="BB122" s="25"/>
      <c r="BC122" s="188"/>
      <c r="BD122" s="25"/>
    </row>
    <row r="123" ht="15.75" customHeight="1">
      <c r="J123" s="34" t="s">
        <v>104</v>
      </c>
      <c r="K123" s="35"/>
      <c r="L123" s="36" t="s">
        <v>10</v>
      </c>
      <c r="M123" s="37" t="s">
        <v>11</v>
      </c>
      <c r="N123" s="38" t="s">
        <v>12</v>
      </c>
      <c r="O123" s="39" t="s">
        <v>13</v>
      </c>
      <c r="P123" s="157" t="s">
        <v>14</v>
      </c>
      <c r="Q123" s="199" t="s">
        <v>15</v>
      </c>
      <c r="R123" s="38" t="s">
        <v>16</v>
      </c>
      <c r="S123" s="42" t="s">
        <v>17</v>
      </c>
      <c r="T123" s="43" t="s">
        <v>18</v>
      </c>
      <c r="U123" s="199" t="s">
        <v>95</v>
      </c>
      <c r="V123" s="38" t="s">
        <v>20</v>
      </c>
      <c r="W123" s="45" t="s">
        <v>96</v>
      </c>
      <c r="X123" s="44" t="s">
        <v>22</v>
      </c>
      <c r="Y123" s="199" t="s">
        <v>97</v>
      </c>
      <c r="Z123" s="38" t="s">
        <v>24</v>
      </c>
      <c r="AA123" s="45" t="s">
        <v>96</v>
      </c>
      <c r="AB123" s="43" t="s">
        <v>26</v>
      </c>
      <c r="AC123" s="199" t="s">
        <v>27</v>
      </c>
      <c r="AD123" s="38" t="s">
        <v>28</v>
      </c>
      <c r="AE123" s="45" t="s">
        <v>29</v>
      </c>
      <c r="AF123" s="44" t="s">
        <v>30</v>
      </c>
      <c r="AG123" s="343" t="s">
        <v>120</v>
      </c>
      <c r="AH123" s="344" t="s">
        <v>121</v>
      </c>
      <c r="AI123" s="344" t="s">
        <v>122</v>
      </c>
      <c r="AJ123" s="344" t="s">
        <v>123</v>
      </c>
      <c r="AK123" s="344" t="s">
        <v>124</v>
      </c>
      <c r="AL123" s="344" t="s">
        <v>31</v>
      </c>
      <c r="AM123" s="38" t="s">
        <v>32</v>
      </c>
      <c r="AN123" s="45" t="s">
        <v>33</v>
      </c>
      <c r="AO123" s="43" t="s">
        <v>34</v>
      </c>
      <c r="AP123" s="343" t="s">
        <v>125</v>
      </c>
      <c r="AQ123" s="344" t="s">
        <v>126</v>
      </c>
      <c r="AR123" s="344" t="s">
        <v>127</v>
      </c>
      <c r="AS123" s="344" t="s">
        <v>128</v>
      </c>
      <c r="AT123" s="344" t="s">
        <v>129</v>
      </c>
      <c r="AU123" s="41" t="s">
        <v>35</v>
      </c>
      <c r="AV123" s="38" t="s">
        <v>36</v>
      </c>
      <c r="AW123" s="45" t="s">
        <v>37</v>
      </c>
      <c r="AX123" s="44" t="s">
        <v>38</v>
      </c>
      <c r="AY123" s="199" t="s">
        <v>39</v>
      </c>
      <c r="AZ123" s="38" t="s">
        <v>40</v>
      </c>
      <c r="BA123" s="45" t="s">
        <v>41</v>
      </c>
      <c r="BB123" s="43" t="s">
        <v>42</v>
      </c>
      <c r="BC123" s="199" t="s">
        <v>43</v>
      </c>
      <c r="BD123" s="38" t="s">
        <v>44</v>
      </c>
      <c r="BE123" s="45" t="s">
        <v>45</v>
      </c>
      <c r="BF123" s="44" t="s">
        <v>46</v>
      </c>
      <c r="BG123" s="199" t="s">
        <v>47</v>
      </c>
      <c r="BH123" s="38" t="s">
        <v>48</v>
      </c>
      <c r="BI123" s="45" t="s">
        <v>49</v>
      </c>
      <c r="BJ123" s="43" t="s">
        <v>50</v>
      </c>
      <c r="BK123" s="199" t="s">
        <v>51</v>
      </c>
      <c r="BL123" s="38" t="s">
        <v>52</v>
      </c>
      <c r="BM123" s="45" t="s">
        <v>53</v>
      </c>
      <c r="BN123" s="201" t="s">
        <v>54</v>
      </c>
      <c r="BO123" s="199" t="s">
        <v>55</v>
      </c>
      <c r="BP123" s="38" t="s">
        <v>56</v>
      </c>
      <c r="BQ123" s="42" t="s">
        <v>57</v>
      </c>
      <c r="BR123" s="345">
        <v>2026.0</v>
      </c>
      <c r="BS123" s="37" t="s">
        <v>61</v>
      </c>
      <c r="BT123" s="51" t="s">
        <v>62</v>
      </c>
      <c r="BU123" s="52">
        <v>2025.0</v>
      </c>
      <c r="BV123" s="53"/>
      <c r="BW123" s="3"/>
      <c r="BX123" s="3"/>
      <c r="BY123" s="3"/>
      <c r="BZ123" s="3"/>
      <c r="CA123" s="3"/>
      <c r="CB123" s="3"/>
    </row>
    <row r="124" ht="15.75" customHeight="1">
      <c r="A124" s="1"/>
      <c r="B124" s="247"/>
      <c r="C124" s="248"/>
      <c r="D124" s="249"/>
      <c r="E124" s="250"/>
      <c r="F124" s="251"/>
      <c r="G124" s="252"/>
      <c r="H124" s="253"/>
      <c r="I124" s="252"/>
      <c r="J124" s="346" t="s">
        <v>130</v>
      </c>
      <c r="K124" s="55"/>
      <c r="L124" s="56"/>
      <c r="M124" s="57"/>
      <c r="N124" s="58"/>
      <c r="O124" s="59"/>
      <c r="P124" s="56"/>
      <c r="Q124" s="202"/>
      <c r="R124" s="58"/>
      <c r="S124" s="61"/>
      <c r="T124" s="62"/>
      <c r="U124" s="63"/>
      <c r="V124" s="58"/>
      <c r="W124" s="59"/>
      <c r="X124" s="62"/>
      <c r="Y124" s="63"/>
      <c r="Z124" s="58"/>
      <c r="AA124" s="59"/>
      <c r="AB124" s="62"/>
      <c r="AC124" s="63"/>
      <c r="AD124" s="58"/>
      <c r="AE124" s="59"/>
      <c r="AF124" s="62"/>
      <c r="AG124" s="347">
        <f t="shared" ref="AG124:AK124" si="734">$AF$125/5</f>
        <v>0.016</v>
      </c>
      <c r="AH124" s="347">
        <f t="shared" si="734"/>
        <v>0.016</v>
      </c>
      <c r="AI124" s="347">
        <f t="shared" si="734"/>
        <v>0.016</v>
      </c>
      <c r="AJ124" s="347">
        <f t="shared" si="734"/>
        <v>0.016</v>
      </c>
      <c r="AK124" s="347">
        <f t="shared" si="734"/>
        <v>0.016</v>
      </c>
      <c r="AL124" s="347"/>
      <c r="AM124" s="58"/>
      <c r="AN124" s="59"/>
      <c r="AO124" s="62"/>
      <c r="AP124" s="347">
        <f t="shared" ref="AP124:AT124" si="735">$AO$125/5</f>
        <v>0.02</v>
      </c>
      <c r="AQ124" s="347">
        <f t="shared" si="735"/>
        <v>0.02</v>
      </c>
      <c r="AR124" s="347">
        <f t="shared" si="735"/>
        <v>0.02</v>
      </c>
      <c r="AS124" s="347">
        <f t="shared" si="735"/>
        <v>0.02</v>
      </c>
      <c r="AT124" s="347">
        <f t="shared" si="735"/>
        <v>0.02</v>
      </c>
      <c r="AU124" s="63"/>
      <c r="AV124" s="58"/>
      <c r="AW124" s="59"/>
      <c r="AX124" s="62"/>
      <c r="AY124" s="63"/>
      <c r="AZ124" s="58"/>
      <c r="BA124" s="59"/>
      <c r="BB124" s="62"/>
      <c r="BC124" s="63"/>
      <c r="BD124" s="58"/>
      <c r="BE124" s="59"/>
      <c r="BF124" s="62"/>
      <c r="BG124" s="63"/>
      <c r="BH124" s="58"/>
      <c r="BI124" s="59"/>
      <c r="BJ124" s="62"/>
      <c r="BK124" s="63"/>
      <c r="BL124" s="58"/>
      <c r="BM124" s="59"/>
      <c r="BN124" s="203"/>
      <c r="BO124" s="63"/>
      <c r="BP124" s="58"/>
      <c r="BQ124" s="61"/>
      <c r="BR124" s="66"/>
      <c r="BS124" s="349"/>
      <c r="BT124" s="69"/>
      <c r="BU124" s="70"/>
      <c r="BV124" s="71"/>
      <c r="BW124" s="3"/>
      <c r="BX124" s="3"/>
      <c r="BY124" s="3"/>
      <c r="BZ124" s="3"/>
      <c r="CA124" s="3"/>
      <c r="CB124" s="3"/>
    </row>
    <row r="125" ht="15.75" customHeight="1">
      <c r="A125" s="1"/>
      <c r="B125" s="142">
        <v>17.0</v>
      </c>
      <c r="C125" s="143" t="s">
        <v>103</v>
      </c>
      <c r="D125" s="144">
        <f>15000*12</f>
        <v>180000</v>
      </c>
      <c r="E125" s="192">
        <v>32.0</v>
      </c>
      <c r="F125" s="146">
        <f>E125*D125</f>
        <v>5760000</v>
      </c>
      <c r="G125" s="244">
        <v>356599.2800000031</v>
      </c>
      <c r="H125" s="245">
        <v>11282.0</v>
      </c>
      <c r="I125" s="246">
        <v>31.607807126396306</v>
      </c>
      <c r="J125" s="72" t="s">
        <v>64</v>
      </c>
      <c r="K125" s="73"/>
      <c r="L125" s="74" t="s">
        <v>63</v>
      </c>
      <c r="M125" s="75" t="s">
        <v>63</v>
      </c>
      <c r="N125" s="76" t="s">
        <v>63</v>
      </c>
      <c r="O125" s="77" t="s">
        <v>65</v>
      </c>
      <c r="P125" s="74" t="s">
        <v>63</v>
      </c>
      <c r="Q125" s="204" t="s">
        <v>63</v>
      </c>
      <c r="R125" s="76" t="s">
        <v>63</v>
      </c>
      <c r="S125" s="79" t="s">
        <v>65</v>
      </c>
      <c r="T125" s="80">
        <v>0.04</v>
      </c>
      <c r="U125" s="81">
        <f>U126/(BR126-(L126 + P126))</f>
        <v>0.03748663288</v>
      </c>
      <c r="V125" s="76" t="s">
        <v>63</v>
      </c>
      <c r="W125" s="77" t="s">
        <v>65</v>
      </c>
      <c r="X125" s="80">
        <v>0.04</v>
      </c>
      <c r="Y125" s="81">
        <f>Y126/(BR126-(L126+P126))</f>
        <v>0.03774243338</v>
      </c>
      <c r="Z125" s="76" t="s">
        <v>63</v>
      </c>
      <c r="AA125" s="77" t="s">
        <v>65</v>
      </c>
      <c r="AB125" s="80">
        <v>0.06</v>
      </c>
      <c r="AC125" s="81">
        <f>AC126/(BR126-(L126+P126))</f>
        <v>0.02756071627</v>
      </c>
      <c r="AD125" s="76" t="s">
        <v>63</v>
      </c>
      <c r="AE125" s="77" t="s">
        <v>65</v>
      </c>
      <c r="AF125" s="80">
        <v>0.08</v>
      </c>
      <c r="AG125" s="350">
        <f t="shared" ref="AG125:AK125" si="736">AG126/($BR$126-($L$126+$P$126))</f>
        <v>0.004180053983</v>
      </c>
      <c r="AH125" s="350">
        <f t="shared" si="736"/>
        <v>0.009393155428</v>
      </c>
      <c r="AI125" s="350">
        <f t="shared" si="736"/>
        <v>0.006487075168</v>
      </c>
      <c r="AJ125" s="350">
        <f t="shared" si="736"/>
        <v>0.006384939761</v>
      </c>
      <c r="AK125" s="350">
        <f t="shared" si="736"/>
        <v>0.001559310635</v>
      </c>
      <c r="AL125" s="351">
        <f t="shared" ref="AL125:AL127" si="738">SUM(AG125:AK125)</f>
        <v>0.02800453498</v>
      </c>
      <c r="AM125" s="352">
        <f>AL125-AF125</f>
        <v>-0.05199546502</v>
      </c>
      <c r="AN125" s="77" t="s">
        <v>65</v>
      </c>
      <c r="AO125" s="80">
        <v>0.1</v>
      </c>
      <c r="AP125" s="350">
        <f t="shared" ref="AP125:AT125" si="737">AP126/($BR$126-($L$126+$P$126))</f>
        <v>0.002999794002</v>
      </c>
      <c r="AQ125" s="350">
        <f t="shared" si="737"/>
        <v>0.002465169751</v>
      </c>
      <c r="AR125" s="350">
        <f t="shared" si="737"/>
        <v>0</v>
      </c>
      <c r="AS125" s="350">
        <f t="shared" si="737"/>
        <v>0</v>
      </c>
      <c r="AT125" s="350">
        <f t="shared" si="737"/>
        <v>0</v>
      </c>
      <c r="AU125" s="351">
        <f t="shared" ref="AU125:AU127" si="739">SUM(AP125:AT125)</f>
        <v>0.005464963754</v>
      </c>
      <c r="AV125" s="76" t="s">
        <v>63</v>
      </c>
      <c r="AW125" s="77" t="s">
        <v>65</v>
      </c>
      <c r="AX125" s="80">
        <v>0.1</v>
      </c>
      <c r="AY125" s="81">
        <f>AY126/(BR126-(L126+P126))</f>
        <v>0</v>
      </c>
      <c r="AZ125" s="76" t="s">
        <v>63</v>
      </c>
      <c r="BA125" s="77" t="s">
        <v>65</v>
      </c>
      <c r="BB125" s="80">
        <v>0.12</v>
      </c>
      <c r="BC125" s="81">
        <f>BC126/(BR126-(L126+P126))</f>
        <v>0</v>
      </c>
      <c r="BD125" s="76" t="s">
        <v>63</v>
      </c>
      <c r="BE125" s="77" t="s">
        <v>65</v>
      </c>
      <c r="BF125" s="80">
        <v>0.12</v>
      </c>
      <c r="BG125" s="81">
        <f>BG126/(BR126-(L126+P126))</f>
        <v>0</v>
      </c>
      <c r="BH125" s="76" t="s">
        <v>63</v>
      </c>
      <c r="BI125" s="77" t="s">
        <v>65</v>
      </c>
      <c r="BJ125" s="80">
        <v>0.16</v>
      </c>
      <c r="BK125" s="81">
        <f>BK126/(BR126-(L126+P126))</f>
        <v>0</v>
      </c>
      <c r="BL125" s="76" t="s">
        <v>63</v>
      </c>
      <c r="BM125" s="77" t="s">
        <v>65</v>
      </c>
      <c r="BN125" s="205">
        <v>0.18</v>
      </c>
      <c r="BO125" s="81">
        <f>BO126/(BR126-(L126+P126))</f>
        <v>0</v>
      </c>
      <c r="BP125" s="76" t="s">
        <v>63</v>
      </c>
      <c r="BQ125" s="79" t="s">
        <v>65</v>
      </c>
      <c r="BR125" s="84">
        <f>SUM(T125,X125,AB125,AF125,AO125,AX125,BB125,BF125,BJ125,BN125)</f>
        <v>1</v>
      </c>
      <c r="BS125" s="350">
        <f>SUM(U125,Y125,AC125,AG125,AU125,AY125,BC125,BG125,BK125,BO125)</f>
        <v>0.1124348003</v>
      </c>
      <c r="BT125" s="88"/>
      <c r="BU125" s="89" t="s">
        <v>63</v>
      </c>
      <c r="BV125" s="71"/>
      <c r="BW125" s="3"/>
      <c r="BX125" s="3"/>
      <c r="BY125" s="3"/>
      <c r="BZ125" s="3"/>
      <c r="CA125" s="3"/>
      <c r="CB125" s="3"/>
    </row>
    <row r="126" ht="15.75" customHeight="1">
      <c r="A126" s="1"/>
      <c r="B126" s="142"/>
      <c r="C126" s="143"/>
      <c r="D126" s="144"/>
      <c r="E126" s="192"/>
      <c r="F126" s="146"/>
      <c r="G126" s="147"/>
      <c r="H126" s="148"/>
      <c r="I126" s="149"/>
      <c r="J126" s="72" t="s">
        <v>66</v>
      </c>
      <c r="K126" s="73"/>
      <c r="L126" s="167">
        <v>19995.0</v>
      </c>
      <c r="M126" s="91">
        <v>20652.1</v>
      </c>
      <c r="N126" s="92">
        <f t="shared" ref="N126:N129" si="740">IFERROR(M126-L126,"-")</f>
        <v>657.1</v>
      </c>
      <c r="O126" s="93">
        <f t="shared" ref="O126:O129" si="741">IFERROR(M126/L126-1,"-")</f>
        <v>0.0328632158</v>
      </c>
      <c r="P126" s="167">
        <v>19803.0</v>
      </c>
      <c r="Q126" s="91">
        <v>20764.09</v>
      </c>
      <c r="R126" s="92">
        <f t="shared" ref="R126:R129" si="742">IFERROR(Q126-P126,"-")</f>
        <v>961.09</v>
      </c>
      <c r="S126" s="95">
        <f t="shared" ref="S126:S129" si="743">IFERROR(Q126/P126-1,"-")</f>
        <v>0.04853254557</v>
      </c>
      <c r="T126" s="96">
        <f>($BR$126-($L$126+$P$126))*T125</f>
        <v>26408.08</v>
      </c>
      <c r="U126" s="91">
        <v>24748.75</v>
      </c>
      <c r="V126" s="92">
        <f t="shared" ref="V126:V129" si="744">IFERROR(U126-T126,"-")</f>
        <v>-1659.33</v>
      </c>
      <c r="W126" s="93">
        <f t="shared" ref="W126:W129" si="745">IFERROR(U126/T126-1,"-")</f>
        <v>-0.06283417802</v>
      </c>
      <c r="X126" s="96">
        <f>($BR$126-($L$126+$P$126))*X125</f>
        <v>26408.08</v>
      </c>
      <c r="Y126" s="91">
        <v>24917.63</v>
      </c>
      <c r="Z126" s="92">
        <f t="shared" ref="Z126:Z129" si="746">IFERROR(Y126-X126,"-")</f>
        <v>-1490.45</v>
      </c>
      <c r="AA126" s="93">
        <f t="shared" ref="AA126:AA129" si="747">IFERROR(Y126/X126-1,"-")</f>
        <v>-0.05643916559</v>
      </c>
      <c r="AB126" s="96">
        <f>($BR$126-($L$126+$P$126))*AB125</f>
        <v>39612.12</v>
      </c>
      <c r="AC126" s="91">
        <v>18195.64</v>
      </c>
      <c r="AD126" s="92">
        <f t="shared" ref="AD126:AD129" si="748">IFERROR(AC126-AB126,"-")</f>
        <v>-21416.48</v>
      </c>
      <c r="AE126" s="93">
        <f t="shared" ref="AE126:AE129" si="749">IFERROR(AC126/AB126-1,"-")</f>
        <v>-0.5406547289</v>
      </c>
      <c r="AF126" s="96">
        <f>($BR$126-($L$126+$P$126))*AF125</f>
        <v>52816.16</v>
      </c>
      <c r="AG126" s="100">
        <v>2759.68</v>
      </c>
      <c r="AH126" s="100">
        <v>6201.38</v>
      </c>
      <c r="AI126" s="100">
        <v>4282.78</v>
      </c>
      <c r="AJ126" s="100">
        <v>4215.35</v>
      </c>
      <c r="AK126" s="100">
        <v>1029.46</v>
      </c>
      <c r="AL126" s="355">
        <f t="shared" si="738"/>
        <v>18488.65</v>
      </c>
      <c r="AM126" s="92">
        <f t="shared" ref="AM126:AM129" si="750">IFERROR(AL126-AF126,"-")</f>
        <v>-34327.51</v>
      </c>
      <c r="AN126" s="93">
        <f t="shared" ref="AN126:AN129" si="751">IFERROR(AL126/AF126-1,"-")</f>
        <v>-0.6499433128</v>
      </c>
      <c r="AO126" s="96">
        <f>($BR$126-($L$126+$P$126))*AO125</f>
        <v>66020.2</v>
      </c>
      <c r="AP126" s="100">
        <v>1980.47</v>
      </c>
      <c r="AQ126" s="353">
        <v>1627.51</v>
      </c>
      <c r="AR126" s="354"/>
      <c r="AS126" s="354"/>
      <c r="AT126" s="354"/>
      <c r="AU126" s="91">
        <f t="shared" si="739"/>
        <v>3607.98</v>
      </c>
      <c r="AV126" s="92">
        <f t="shared" ref="AV126:AV129" si="752">IFERROR(AU126-AO126,"-")</f>
        <v>-62412.22</v>
      </c>
      <c r="AW126" s="93">
        <f t="shared" ref="AW126:AW129" si="753">IFERROR(AU126/AO126-1,"-")</f>
        <v>-0.9453503625</v>
      </c>
      <c r="AX126" s="96">
        <f>($BR$126-($L$126+$P$126))*AX125</f>
        <v>66020.2</v>
      </c>
      <c r="AY126" s="91">
        <v>0.0</v>
      </c>
      <c r="AZ126" s="92">
        <f t="shared" ref="AZ126:AZ129" si="754">IFERROR(AY126-AX126,"-")</f>
        <v>-66020.2</v>
      </c>
      <c r="BA126" s="93">
        <f t="shared" ref="BA126:BA129" si="755">IFERROR(AY126/AX126-1,"-")</f>
        <v>-1</v>
      </c>
      <c r="BB126" s="96">
        <f>($BR$126-($L$126+$P$126))*BB125</f>
        <v>79224.24</v>
      </c>
      <c r="BC126" s="91">
        <v>0.0</v>
      </c>
      <c r="BD126" s="92">
        <f t="shared" ref="BD126:BD129" si="756">IFERROR(BC126-BB126,"-")</f>
        <v>-79224.24</v>
      </c>
      <c r="BE126" s="93">
        <f t="shared" ref="BE126:BE129" si="757">IFERROR(BC126/BB126-1,"-")</f>
        <v>-1</v>
      </c>
      <c r="BF126" s="96">
        <f>($BR$126-($L$126+$P$126))*BF125</f>
        <v>79224.24</v>
      </c>
      <c r="BG126" s="91">
        <v>0.0</v>
      </c>
      <c r="BH126" s="92">
        <f t="shared" ref="BH126:BH129" si="758">IFERROR(BG126-BF126,"-")</f>
        <v>-79224.24</v>
      </c>
      <c r="BI126" s="93">
        <f t="shared" ref="BI126:BI129" si="759">IFERROR(BG126/BF126-1,"-")</f>
        <v>-1</v>
      </c>
      <c r="BJ126" s="96">
        <f>($BR$126-($L$126+$P$126))*BJ125</f>
        <v>105632.32</v>
      </c>
      <c r="BK126" s="91">
        <v>0.0</v>
      </c>
      <c r="BL126" s="92">
        <f t="shared" ref="BL126:BL129" si="760">IFERROR(BK126-BJ126,"-")</f>
        <v>-105632.32</v>
      </c>
      <c r="BM126" s="93">
        <f t="shared" ref="BM126:BM129" si="761">IFERROR(BK126/BJ126-1,"-")</f>
        <v>-1</v>
      </c>
      <c r="BN126" s="91">
        <f>($BR$126-($L$126+$P$126))*BN125</f>
        <v>118836.36</v>
      </c>
      <c r="BO126" s="91">
        <v>0.0</v>
      </c>
      <c r="BP126" s="92">
        <f t="shared" ref="BP126:BP129" si="762">IFERROR(BO126-BN126,"-")</f>
        <v>-118836.36</v>
      </c>
      <c r="BQ126" s="95">
        <f t="shared" ref="BQ126:BQ129" si="763">IFERROR(BO126/BN126-1,"-")</f>
        <v>-1</v>
      </c>
      <c r="BR126" s="101">
        <v>700000.0</v>
      </c>
      <c r="BS126" s="102">
        <f t="shared" ref="BS126:BS127" si="764">SUM(M126,Q126,U126,Y126,AC126,AG126,AU126,AY126,BC126,BG126,BK126,BO126)</f>
        <v>115645.87</v>
      </c>
      <c r="BT126" s="104">
        <f t="shared" ref="BT126:BT129" si="765">IFERROR(BS126/BR126-1,"-")</f>
        <v>-0.8347916143</v>
      </c>
      <c r="BU126" s="105">
        <v>356599.28</v>
      </c>
      <c r="BV126" s="106">
        <f t="shared" ref="BV126:BV127" si="766">BR126/BU126</f>
        <v>1.962987699</v>
      </c>
      <c r="BW126" s="3"/>
      <c r="BX126" s="3"/>
      <c r="BY126" s="3"/>
      <c r="BZ126" s="3"/>
      <c r="CA126" s="3"/>
      <c r="CB126" s="3"/>
    </row>
    <row r="127" ht="15.75" customHeight="1">
      <c r="A127" s="1"/>
      <c r="B127" s="142"/>
      <c r="C127" s="143"/>
      <c r="D127" s="144"/>
      <c r="E127" s="192"/>
      <c r="F127" s="146"/>
      <c r="G127" s="147"/>
      <c r="H127" s="148"/>
      <c r="I127" s="149"/>
      <c r="J127" s="72" t="s">
        <v>67</v>
      </c>
      <c r="K127" s="107"/>
      <c r="L127" s="108">
        <f>L126/$K$128</f>
        <v>666.5</v>
      </c>
      <c r="M127" s="109">
        <v>905.0</v>
      </c>
      <c r="N127" s="110">
        <f t="shared" si="740"/>
        <v>238.5</v>
      </c>
      <c r="O127" s="93">
        <f t="shared" si="741"/>
        <v>0.3578394599</v>
      </c>
      <c r="P127" s="108">
        <f>P126/$K$128</f>
        <v>660.1</v>
      </c>
      <c r="Q127" s="109">
        <v>837.0</v>
      </c>
      <c r="R127" s="110">
        <f t="shared" si="742"/>
        <v>176.9</v>
      </c>
      <c r="S127" s="95">
        <f t="shared" si="743"/>
        <v>0.2679896985</v>
      </c>
      <c r="T127" s="112">
        <f>T126/$K$128</f>
        <v>880.2693333</v>
      </c>
      <c r="U127" s="109">
        <v>1651.0</v>
      </c>
      <c r="V127" s="110">
        <f t="shared" si="744"/>
        <v>770.7306667</v>
      </c>
      <c r="W127" s="93">
        <f t="shared" si="745"/>
        <v>0.8755623279</v>
      </c>
      <c r="X127" s="112">
        <f>X126/$K$128</f>
        <v>880.2693333</v>
      </c>
      <c r="Y127" s="109">
        <v>895.0</v>
      </c>
      <c r="Z127" s="110">
        <f t="shared" si="746"/>
        <v>14.73066667</v>
      </c>
      <c r="AA127" s="93">
        <f t="shared" si="747"/>
        <v>0.01673427224</v>
      </c>
      <c r="AB127" s="112">
        <f>AB126/$K$128</f>
        <v>1320.404</v>
      </c>
      <c r="AC127" s="109">
        <v>573.0</v>
      </c>
      <c r="AD127" s="110">
        <f t="shared" si="748"/>
        <v>-747.404</v>
      </c>
      <c r="AE127" s="93">
        <f t="shared" si="749"/>
        <v>-0.5660419084</v>
      </c>
      <c r="AF127" s="112">
        <f>AF126/$K$128</f>
        <v>1760.538667</v>
      </c>
      <c r="AG127" s="114">
        <v>75.0</v>
      </c>
      <c r="AH127" s="114">
        <v>227.0</v>
      </c>
      <c r="AI127" s="114">
        <v>131.0</v>
      </c>
      <c r="AJ127" s="114">
        <v>113.0</v>
      </c>
      <c r="AK127" s="114">
        <v>26.0</v>
      </c>
      <c r="AL127" s="358">
        <f t="shared" si="738"/>
        <v>572</v>
      </c>
      <c r="AM127" s="110">
        <f t="shared" si="750"/>
        <v>-1188.538667</v>
      </c>
      <c r="AN127" s="93">
        <f t="shared" si="751"/>
        <v>-0.6750994393</v>
      </c>
      <c r="AO127" s="112">
        <f>AO126/$K$128</f>
        <v>2200.673333</v>
      </c>
      <c r="AP127" s="114">
        <v>95.0</v>
      </c>
      <c r="AQ127" s="356">
        <v>61.0</v>
      </c>
      <c r="AR127" s="357"/>
      <c r="AS127" s="357"/>
      <c r="AT127" s="357"/>
      <c r="AU127" s="109">
        <f t="shared" si="739"/>
        <v>156</v>
      </c>
      <c r="AV127" s="110">
        <f t="shared" si="752"/>
        <v>-2044.673333</v>
      </c>
      <c r="AW127" s="93">
        <f t="shared" si="753"/>
        <v>-0.9291126049</v>
      </c>
      <c r="AX127" s="112">
        <f>AX126/$K$128</f>
        <v>2200.673333</v>
      </c>
      <c r="AY127" s="109">
        <v>0.0</v>
      </c>
      <c r="AZ127" s="110">
        <f t="shared" si="754"/>
        <v>-2200.673333</v>
      </c>
      <c r="BA127" s="93">
        <f t="shared" si="755"/>
        <v>-1</v>
      </c>
      <c r="BB127" s="112">
        <f>BB126/$K$128</f>
        <v>2640.808</v>
      </c>
      <c r="BC127" s="109">
        <v>0.0</v>
      </c>
      <c r="BD127" s="110">
        <f t="shared" si="756"/>
        <v>-2640.808</v>
      </c>
      <c r="BE127" s="93">
        <f t="shared" si="757"/>
        <v>-1</v>
      </c>
      <c r="BF127" s="112">
        <f>BF126/$K$128</f>
        <v>2640.808</v>
      </c>
      <c r="BG127" s="109">
        <v>0.0</v>
      </c>
      <c r="BH127" s="110">
        <f t="shared" si="758"/>
        <v>-2640.808</v>
      </c>
      <c r="BI127" s="93">
        <f t="shared" si="759"/>
        <v>-1</v>
      </c>
      <c r="BJ127" s="112">
        <f>BJ126/$K$128</f>
        <v>3521.077333</v>
      </c>
      <c r="BK127" s="109">
        <v>0.0</v>
      </c>
      <c r="BL127" s="110">
        <f t="shared" si="760"/>
        <v>-3521.077333</v>
      </c>
      <c r="BM127" s="93">
        <f t="shared" si="761"/>
        <v>-1</v>
      </c>
      <c r="BN127" s="109">
        <f>BN126/$K$128</f>
        <v>3961.212</v>
      </c>
      <c r="BO127" s="109">
        <v>0.0</v>
      </c>
      <c r="BP127" s="110">
        <f t="shared" si="762"/>
        <v>-3961.212</v>
      </c>
      <c r="BQ127" s="95">
        <f t="shared" si="763"/>
        <v>-1</v>
      </c>
      <c r="BR127" s="206">
        <f>SUM(L127,P127,T127,X127,AB127,AF127,AO127,AX127,BB127,BF127,BJ127,BN127)</f>
        <v>23333.33333</v>
      </c>
      <c r="BS127" s="207">
        <f t="shared" si="764"/>
        <v>5092</v>
      </c>
      <c r="BT127" s="104">
        <f t="shared" si="765"/>
        <v>-0.7817714286</v>
      </c>
      <c r="BU127" s="119">
        <v>11282.0</v>
      </c>
      <c r="BV127" s="106">
        <f t="shared" si="766"/>
        <v>2.068191219</v>
      </c>
      <c r="BW127" s="3"/>
      <c r="BX127" s="3"/>
      <c r="BY127" s="3"/>
      <c r="BZ127" s="3"/>
      <c r="CA127" s="3"/>
      <c r="CB127" s="3"/>
    </row>
    <row r="128" ht="15.75" customHeight="1">
      <c r="A128" s="1"/>
      <c r="B128" s="142"/>
      <c r="C128" s="143"/>
      <c r="D128" s="144"/>
      <c r="E128" s="192"/>
      <c r="F128" s="146"/>
      <c r="G128" s="147"/>
      <c r="H128" s="148"/>
      <c r="I128" s="149"/>
      <c r="J128" s="72" t="s">
        <v>68</v>
      </c>
      <c r="K128" s="107">
        <v>30.0</v>
      </c>
      <c r="L128" s="108">
        <f>L126/L127</f>
        <v>30</v>
      </c>
      <c r="M128" s="91">
        <f>IFERROR(M126/M127,"-")</f>
        <v>22.82</v>
      </c>
      <c r="N128" s="92">
        <f t="shared" si="740"/>
        <v>-7.18</v>
      </c>
      <c r="O128" s="93">
        <f t="shared" si="741"/>
        <v>-0.2393333333</v>
      </c>
      <c r="P128" s="90">
        <f t="shared" ref="P128:Q128" si="767">IFERROR(P126/P127,"-")</f>
        <v>30</v>
      </c>
      <c r="Q128" s="91">
        <f t="shared" si="767"/>
        <v>24.80775388</v>
      </c>
      <c r="R128" s="92">
        <f t="shared" si="742"/>
        <v>-5.192246117</v>
      </c>
      <c r="S128" s="95">
        <f t="shared" si="743"/>
        <v>-0.1730748706</v>
      </c>
      <c r="T128" s="112">
        <f>T126/T127</f>
        <v>30</v>
      </c>
      <c r="U128" s="91">
        <f>IFERROR(U126/U127,"-")</f>
        <v>14.99015748</v>
      </c>
      <c r="V128" s="92">
        <f t="shared" si="744"/>
        <v>-15.00984252</v>
      </c>
      <c r="W128" s="93">
        <f t="shared" si="745"/>
        <v>-0.500328084</v>
      </c>
      <c r="X128" s="96">
        <f t="shared" ref="X128:Y128" si="768">IFERROR(X126/X127,"-")</f>
        <v>30</v>
      </c>
      <c r="Y128" s="91">
        <f t="shared" si="768"/>
        <v>27.84092737</v>
      </c>
      <c r="Z128" s="92">
        <f t="shared" si="746"/>
        <v>-2.159072626</v>
      </c>
      <c r="AA128" s="93">
        <f t="shared" si="747"/>
        <v>-0.07196908752</v>
      </c>
      <c r="AB128" s="112">
        <f>AB126/AB127</f>
        <v>30</v>
      </c>
      <c r="AC128" s="91">
        <f>IFERROR(AC126/AC127,"-")</f>
        <v>31.75504363</v>
      </c>
      <c r="AD128" s="92">
        <f t="shared" si="748"/>
        <v>1.75504363</v>
      </c>
      <c r="AE128" s="93">
        <f t="shared" si="749"/>
        <v>0.05850145433</v>
      </c>
      <c r="AF128" s="385">
        <f>AF126/AF127</f>
        <v>30</v>
      </c>
      <c r="AG128" s="370">
        <f t="shared" ref="AG128:AL128" si="769">IFERROR(AG126/AG127,"-")</f>
        <v>36.79573333</v>
      </c>
      <c r="AH128" s="370">
        <f t="shared" si="769"/>
        <v>27.31885463</v>
      </c>
      <c r="AI128" s="370">
        <f t="shared" si="769"/>
        <v>32.6929771</v>
      </c>
      <c r="AJ128" s="370">
        <f t="shared" si="769"/>
        <v>37.3039823</v>
      </c>
      <c r="AK128" s="370">
        <f t="shared" si="769"/>
        <v>39.59461538</v>
      </c>
      <c r="AL128" s="372">
        <f t="shared" si="769"/>
        <v>32.32281469</v>
      </c>
      <c r="AM128" s="92">
        <f t="shared" si="750"/>
        <v>2.322814685</v>
      </c>
      <c r="AN128" s="93">
        <f t="shared" si="751"/>
        <v>0.07742715618</v>
      </c>
      <c r="AO128" s="112">
        <f>AO126/AO127</f>
        <v>30</v>
      </c>
      <c r="AP128" s="91">
        <f t="shared" ref="AP128:AU128" si="770">IFERROR(AP126/AP127,"-")</f>
        <v>20.84705263</v>
      </c>
      <c r="AQ128" s="91">
        <f t="shared" si="770"/>
        <v>26.6804918</v>
      </c>
      <c r="AR128" s="359" t="str">
        <f t="shared" si="770"/>
        <v>-</v>
      </c>
      <c r="AS128" s="359" t="str">
        <f t="shared" si="770"/>
        <v>-</v>
      </c>
      <c r="AT128" s="359" t="str">
        <f t="shared" si="770"/>
        <v>-</v>
      </c>
      <c r="AU128" s="91">
        <f t="shared" si="770"/>
        <v>23.12807692</v>
      </c>
      <c r="AV128" s="92">
        <f t="shared" si="752"/>
        <v>-6.871923077</v>
      </c>
      <c r="AW128" s="93">
        <f t="shared" si="753"/>
        <v>-0.2290641026</v>
      </c>
      <c r="AX128" s="112">
        <f t="shared" ref="AX128:AY128" si="771">AX126/AX127</f>
        <v>30</v>
      </c>
      <c r="AY128" s="109" t="str">
        <f t="shared" si="771"/>
        <v>#DIV/0!</v>
      </c>
      <c r="AZ128" s="92" t="str">
        <f t="shared" si="754"/>
        <v>-</v>
      </c>
      <c r="BA128" s="93" t="str">
        <f t="shared" si="755"/>
        <v>-</v>
      </c>
      <c r="BB128" s="112">
        <f>BB126/BB127</f>
        <v>30</v>
      </c>
      <c r="BC128" s="91" t="str">
        <f>IFERROR(BC126/BC127,"-")</f>
        <v>-</v>
      </c>
      <c r="BD128" s="92" t="str">
        <f t="shared" si="756"/>
        <v>-</v>
      </c>
      <c r="BE128" s="93" t="str">
        <f t="shared" si="757"/>
        <v>-</v>
      </c>
      <c r="BF128" s="112">
        <f>BF126/BF127</f>
        <v>30</v>
      </c>
      <c r="BG128" s="91" t="str">
        <f>IFERROR(BG126/BG127,"-")</f>
        <v>-</v>
      </c>
      <c r="BH128" s="92" t="str">
        <f t="shared" si="758"/>
        <v>-</v>
      </c>
      <c r="BI128" s="93" t="str">
        <f t="shared" si="759"/>
        <v>-</v>
      </c>
      <c r="BJ128" s="112">
        <f>BJ126/BJ127</f>
        <v>30</v>
      </c>
      <c r="BK128" s="91" t="str">
        <f>IFERROR(BK126/BK127,"-")</f>
        <v>-</v>
      </c>
      <c r="BL128" s="92" t="str">
        <f t="shared" si="760"/>
        <v>-</v>
      </c>
      <c r="BM128" s="93" t="str">
        <f t="shared" si="761"/>
        <v>-</v>
      </c>
      <c r="BN128" s="109">
        <f>BN126/BN127</f>
        <v>30</v>
      </c>
      <c r="BO128" s="91" t="str">
        <f>IFERROR(BO126/BO127,"-")</f>
        <v>-</v>
      </c>
      <c r="BP128" s="92" t="str">
        <f t="shared" si="762"/>
        <v>-</v>
      </c>
      <c r="BQ128" s="95" t="str">
        <f t="shared" si="763"/>
        <v>-</v>
      </c>
      <c r="BR128" s="115">
        <f t="shared" ref="BR128:BS128" si="772">BR126/BR127</f>
        <v>30</v>
      </c>
      <c r="BS128" s="209">
        <f t="shared" si="772"/>
        <v>22.71128633</v>
      </c>
      <c r="BT128" s="104">
        <f t="shared" si="765"/>
        <v>-0.2429571223</v>
      </c>
      <c r="BU128" s="119">
        <f>BU126/BU127</f>
        <v>31.60780713</v>
      </c>
      <c r="BV128" s="106">
        <f>BR128/BU128-1</f>
        <v>-0.050867405</v>
      </c>
      <c r="BW128" s="3"/>
      <c r="BX128" s="3"/>
      <c r="BY128" s="3"/>
      <c r="BZ128" s="3"/>
      <c r="CA128" s="3"/>
      <c r="CB128" s="3"/>
    </row>
    <row r="129" ht="15.75" customHeight="1">
      <c r="A129" s="1"/>
      <c r="B129" s="142"/>
      <c r="C129" s="143"/>
      <c r="D129" s="144"/>
      <c r="E129" s="192"/>
      <c r="F129" s="146"/>
      <c r="G129" s="147"/>
      <c r="H129" s="148"/>
      <c r="I129" s="149"/>
      <c r="J129" s="124" t="s">
        <v>69</v>
      </c>
      <c r="K129" s="254">
        <v>0.04</v>
      </c>
      <c r="L129" s="132">
        <f t="shared" ref="L129:M129" si="773">L126*$K$129</f>
        <v>799.8</v>
      </c>
      <c r="M129" s="127">
        <f t="shared" si="773"/>
        <v>826.084</v>
      </c>
      <c r="N129" s="128">
        <f t="shared" si="740"/>
        <v>26.284</v>
      </c>
      <c r="O129" s="129">
        <f t="shared" si="741"/>
        <v>0.0328632158</v>
      </c>
      <c r="P129" s="132">
        <f t="shared" ref="P129:Q129" si="774">P126*$K$129</f>
        <v>792.12</v>
      </c>
      <c r="Q129" s="127">
        <f t="shared" si="774"/>
        <v>830.5636</v>
      </c>
      <c r="R129" s="128">
        <f t="shared" si="742"/>
        <v>38.4436</v>
      </c>
      <c r="S129" s="131">
        <f t="shared" si="743"/>
        <v>0.04853254557</v>
      </c>
      <c r="T129" s="132">
        <f t="shared" ref="T129:U129" si="775">T126*$K$129</f>
        <v>1056.3232</v>
      </c>
      <c r="U129" s="127">
        <f t="shared" si="775"/>
        <v>989.95</v>
      </c>
      <c r="V129" s="128">
        <f t="shared" si="744"/>
        <v>-66.3732</v>
      </c>
      <c r="W129" s="129">
        <f t="shared" si="745"/>
        <v>-0.06283417802</v>
      </c>
      <c r="X129" s="132">
        <f t="shared" ref="X129:Y129" si="776">X126*$K$129</f>
        <v>1056.3232</v>
      </c>
      <c r="Y129" s="127">
        <f t="shared" si="776"/>
        <v>996.7052</v>
      </c>
      <c r="Z129" s="128">
        <f t="shared" si="746"/>
        <v>-59.618</v>
      </c>
      <c r="AA129" s="129">
        <f t="shared" si="747"/>
        <v>-0.05643916559</v>
      </c>
      <c r="AB129" s="132">
        <f t="shared" ref="AB129:AC129" si="777">AB126*$K$129</f>
        <v>1584.4848</v>
      </c>
      <c r="AC129" s="127">
        <f t="shared" si="777"/>
        <v>727.8256</v>
      </c>
      <c r="AD129" s="128">
        <f t="shared" si="748"/>
        <v>-856.6592</v>
      </c>
      <c r="AE129" s="134">
        <f t="shared" si="749"/>
        <v>-0.5406547289</v>
      </c>
      <c r="AF129" s="373">
        <f t="shared" ref="AF129:AL129" si="778">AF126*$K$129</f>
        <v>2112.6464</v>
      </c>
      <c r="AG129" s="374">
        <f t="shared" si="778"/>
        <v>110.3872</v>
      </c>
      <c r="AH129" s="374">
        <f t="shared" si="778"/>
        <v>248.0552</v>
      </c>
      <c r="AI129" s="374">
        <f t="shared" si="778"/>
        <v>171.3112</v>
      </c>
      <c r="AJ129" s="374">
        <f t="shared" si="778"/>
        <v>168.614</v>
      </c>
      <c r="AK129" s="374">
        <f t="shared" si="778"/>
        <v>41.1784</v>
      </c>
      <c r="AL129" s="375">
        <f t="shared" si="778"/>
        <v>739.546</v>
      </c>
      <c r="AM129" s="376">
        <f t="shared" si="750"/>
        <v>-1373.1004</v>
      </c>
      <c r="AN129" s="129">
        <f t="shared" si="751"/>
        <v>-0.6499433128</v>
      </c>
      <c r="AO129" s="132">
        <f>AO126*$K$129</f>
        <v>2640.808</v>
      </c>
      <c r="AP129" s="130">
        <f t="shared" ref="AP129:AT129" si="779">AP126*$K$9</f>
        <v>97.04303</v>
      </c>
      <c r="AQ129" s="130">
        <f t="shared" si="779"/>
        <v>79.74799</v>
      </c>
      <c r="AR129" s="361">
        <f t="shared" si="779"/>
        <v>0</v>
      </c>
      <c r="AS129" s="361">
        <f t="shared" si="779"/>
        <v>0</v>
      </c>
      <c r="AT129" s="361">
        <f t="shared" si="779"/>
        <v>0</v>
      </c>
      <c r="AU129" s="127">
        <f>AU126*$K$129</f>
        <v>144.3192</v>
      </c>
      <c r="AV129" s="128">
        <f t="shared" si="752"/>
        <v>-2496.4888</v>
      </c>
      <c r="AW129" s="129">
        <f t="shared" si="753"/>
        <v>-0.9453503625</v>
      </c>
      <c r="AX129" s="132">
        <f t="shared" ref="AX129:AY129" si="780">AX126*$K$129</f>
        <v>2640.808</v>
      </c>
      <c r="AY129" s="127">
        <f t="shared" si="780"/>
        <v>0</v>
      </c>
      <c r="AZ129" s="128">
        <f t="shared" si="754"/>
        <v>-2640.808</v>
      </c>
      <c r="BA129" s="129">
        <f t="shared" si="755"/>
        <v>-1</v>
      </c>
      <c r="BB129" s="132">
        <f t="shared" ref="BB129:BC129" si="781">BB126*$K$129</f>
        <v>3168.9696</v>
      </c>
      <c r="BC129" s="127">
        <f t="shared" si="781"/>
        <v>0</v>
      </c>
      <c r="BD129" s="128">
        <f t="shared" si="756"/>
        <v>-3168.9696</v>
      </c>
      <c r="BE129" s="129">
        <f t="shared" si="757"/>
        <v>-1</v>
      </c>
      <c r="BF129" s="132">
        <f t="shared" ref="BF129:BG129" si="782">BF126*$K$129</f>
        <v>3168.9696</v>
      </c>
      <c r="BG129" s="127">
        <f t="shared" si="782"/>
        <v>0</v>
      </c>
      <c r="BH129" s="128">
        <f t="shared" si="758"/>
        <v>-3168.9696</v>
      </c>
      <c r="BI129" s="129">
        <f t="shared" si="759"/>
        <v>-1</v>
      </c>
      <c r="BJ129" s="132">
        <f t="shared" ref="BJ129:BK129" si="783">BJ126*$K$129</f>
        <v>4225.2928</v>
      </c>
      <c r="BK129" s="127">
        <f t="shared" si="783"/>
        <v>0</v>
      </c>
      <c r="BL129" s="128">
        <f t="shared" si="760"/>
        <v>-4225.2928</v>
      </c>
      <c r="BM129" s="129">
        <f t="shared" si="761"/>
        <v>-1</v>
      </c>
      <c r="BN129" s="127">
        <f t="shared" ref="BN129:BO129" si="784">BN126*$K$129</f>
        <v>4753.4544</v>
      </c>
      <c r="BO129" s="127">
        <f t="shared" si="784"/>
        <v>0</v>
      </c>
      <c r="BP129" s="128">
        <f t="shared" si="762"/>
        <v>-4753.4544</v>
      </c>
      <c r="BQ129" s="131">
        <f t="shared" si="763"/>
        <v>-1</v>
      </c>
      <c r="BR129" s="135">
        <f>SUM(L129,P129,T129,X129,AB129,AF129,AO129,AX129,BB129,BF129,BJ129,BN129)</f>
        <v>28000</v>
      </c>
      <c r="BS129" s="213">
        <f>SUM(M129,Q129,U129,Y129,AC129,AG129,AU129,AY129,BC129,BG129,BK129,BO129)</f>
        <v>4625.8348</v>
      </c>
      <c r="BT129" s="139">
        <f t="shared" si="765"/>
        <v>-0.8347916143</v>
      </c>
      <c r="BU129" s="140">
        <f>BU126*0.04</f>
        <v>14263.9712</v>
      </c>
      <c r="BV129" s="141">
        <f>BR129/BU129</f>
        <v>1.962987699</v>
      </c>
      <c r="BW129" s="3"/>
      <c r="BX129" s="3"/>
      <c r="BY129" s="3"/>
      <c r="BZ129" s="3"/>
      <c r="CA129" s="3"/>
      <c r="CB129" s="3"/>
    </row>
    <row r="130" ht="15.75" customHeight="1">
      <c r="A130" s="1"/>
      <c r="B130" s="142"/>
      <c r="C130" s="143"/>
      <c r="D130" s="144"/>
      <c r="E130" s="192"/>
      <c r="F130" s="146"/>
      <c r="G130" s="147"/>
      <c r="H130" s="148"/>
      <c r="I130" s="149"/>
      <c r="J130" s="15"/>
      <c r="K130" s="238"/>
      <c r="L130" s="15"/>
      <c r="M130" s="15"/>
      <c r="N130" s="15"/>
      <c r="O130" s="15"/>
      <c r="P130" s="15"/>
      <c r="Q130" s="214"/>
      <c r="R130" s="15"/>
      <c r="S130" s="15"/>
      <c r="T130" s="15"/>
      <c r="U130" s="15"/>
      <c r="V130" s="15"/>
      <c r="W130" s="15"/>
      <c r="X130" s="14"/>
      <c r="Y130" s="14"/>
      <c r="Z130" s="15"/>
      <c r="AA130" s="3"/>
      <c r="AB130" s="3"/>
      <c r="AC130" s="3"/>
      <c r="AD130" s="3"/>
      <c r="AE130" s="3"/>
      <c r="AF130" s="3"/>
      <c r="AP130" s="363"/>
      <c r="AQ130" s="363"/>
      <c r="AR130" s="363"/>
      <c r="AS130" s="363"/>
      <c r="AT130" s="363"/>
      <c r="BA130" s="187"/>
      <c r="BB130" s="25"/>
      <c r="BC130" s="188"/>
      <c r="BD130" s="25"/>
    </row>
    <row r="131" ht="15.75" customHeight="1">
      <c r="A131" s="3"/>
      <c r="B131" s="3"/>
      <c r="C131" s="3"/>
      <c r="D131" s="3"/>
      <c r="E131" s="3"/>
      <c r="F131" s="3"/>
      <c r="G131" s="3"/>
      <c r="H131" s="3"/>
      <c r="I131" s="3"/>
      <c r="J131" s="34" t="s">
        <v>105</v>
      </c>
      <c r="K131" s="35"/>
      <c r="L131" s="36" t="s">
        <v>10</v>
      </c>
      <c r="M131" s="37" t="s">
        <v>11</v>
      </c>
      <c r="N131" s="38" t="s">
        <v>12</v>
      </c>
      <c r="O131" s="39" t="s">
        <v>13</v>
      </c>
      <c r="P131" s="157" t="s">
        <v>14</v>
      </c>
      <c r="Q131" s="199" t="s">
        <v>15</v>
      </c>
      <c r="R131" s="38" t="s">
        <v>16</v>
      </c>
      <c r="S131" s="42" t="s">
        <v>17</v>
      </c>
      <c r="T131" s="36" t="s">
        <v>18</v>
      </c>
      <c r="U131" s="199" t="s">
        <v>95</v>
      </c>
      <c r="V131" s="38" t="s">
        <v>20</v>
      </c>
      <c r="W131" s="45" t="s">
        <v>96</v>
      </c>
      <c r="X131" s="157" t="s">
        <v>22</v>
      </c>
      <c r="Y131" s="199" t="s">
        <v>97</v>
      </c>
      <c r="Z131" s="38" t="s">
        <v>24</v>
      </c>
      <c r="AA131" s="45" t="s">
        <v>96</v>
      </c>
      <c r="AB131" s="36" t="s">
        <v>26</v>
      </c>
      <c r="AC131" s="199" t="s">
        <v>27</v>
      </c>
      <c r="AD131" s="38" t="s">
        <v>28</v>
      </c>
      <c r="AE131" s="45" t="s">
        <v>29</v>
      </c>
      <c r="AF131" s="44" t="s">
        <v>30</v>
      </c>
      <c r="AG131" s="343" t="s">
        <v>120</v>
      </c>
      <c r="AH131" s="344" t="s">
        <v>121</v>
      </c>
      <c r="AI131" s="344" t="s">
        <v>122</v>
      </c>
      <c r="AJ131" s="344" t="s">
        <v>123</v>
      </c>
      <c r="AK131" s="344" t="s">
        <v>124</v>
      </c>
      <c r="AL131" s="344" t="s">
        <v>31</v>
      </c>
      <c r="AM131" s="38" t="s">
        <v>32</v>
      </c>
      <c r="AN131" s="45" t="s">
        <v>33</v>
      </c>
      <c r="AO131" s="43" t="s">
        <v>34</v>
      </c>
      <c r="AP131" s="343" t="s">
        <v>125</v>
      </c>
      <c r="AQ131" s="344" t="s">
        <v>126</v>
      </c>
      <c r="AR131" s="344" t="s">
        <v>127</v>
      </c>
      <c r="AS131" s="344" t="s">
        <v>128</v>
      </c>
      <c r="AT131" s="344" t="s">
        <v>129</v>
      </c>
      <c r="AU131" s="41" t="s">
        <v>35</v>
      </c>
      <c r="AV131" s="38" t="s">
        <v>36</v>
      </c>
      <c r="AW131" s="45" t="s">
        <v>37</v>
      </c>
      <c r="AX131" s="44" t="s">
        <v>38</v>
      </c>
      <c r="AY131" s="199" t="s">
        <v>39</v>
      </c>
      <c r="AZ131" s="38" t="s">
        <v>40</v>
      </c>
      <c r="BA131" s="45" t="s">
        <v>41</v>
      </c>
      <c r="BB131" s="43" t="s">
        <v>42</v>
      </c>
      <c r="BC131" s="199" t="s">
        <v>43</v>
      </c>
      <c r="BD131" s="38" t="s">
        <v>44</v>
      </c>
      <c r="BE131" s="45" t="s">
        <v>45</v>
      </c>
      <c r="BF131" s="44" t="s">
        <v>46</v>
      </c>
      <c r="BG131" s="199" t="s">
        <v>47</v>
      </c>
      <c r="BH131" s="38" t="s">
        <v>48</v>
      </c>
      <c r="BI131" s="45" t="s">
        <v>49</v>
      </c>
      <c r="BJ131" s="43" t="s">
        <v>50</v>
      </c>
      <c r="BK131" s="199" t="s">
        <v>51</v>
      </c>
      <c r="BL131" s="38" t="s">
        <v>52</v>
      </c>
      <c r="BM131" s="45" t="s">
        <v>53</v>
      </c>
      <c r="BN131" s="201" t="s">
        <v>54</v>
      </c>
      <c r="BO131" s="199" t="s">
        <v>55</v>
      </c>
      <c r="BP131" s="38" t="s">
        <v>56</v>
      </c>
      <c r="BQ131" s="42" t="s">
        <v>57</v>
      </c>
      <c r="BR131" s="345">
        <v>2026.0</v>
      </c>
      <c r="BS131" s="37" t="s">
        <v>61</v>
      </c>
      <c r="BT131" s="51" t="s">
        <v>62</v>
      </c>
      <c r="BU131" s="52">
        <v>2025.0</v>
      </c>
      <c r="BV131" s="53"/>
      <c r="BW131" s="3"/>
      <c r="BX131" s="3"/>
      <c r="BY131" s="3"/>
      <c r="BZ131" s="3"/>
      <c r="CA131" s="3"/>
      <c r="CB131" s="3"/>
    </row>
    <row r="132" ht="15.75" customHeight="1">
      <c r="A132" s="25"/>
      <c r="B132" s="255"/>
      <c r="C132" s="256"/>
      <c r="D132" s="257"/>
      <c r="E132" s="258"/>
      <c r="F132" s="259"/>
      <c r="G132" s="260"/>
      <c r="H132" s="261"/>
      <c r="I132" s="260"/>
      <c r="J132" s="346" t="s">
        <v>130</v>
      </c>
      <c r="K132" s="55"/>
      <c r="L132" s="56"/>
      <c r="M132" s="57"/>
      <c r="N132" s="58"/>
      <c r="O132" s="59"/>
      <c r="P132" s="56"/>
      <c r="Q132" s="202"/>
      <c r="R132" s="58"/>
      <c r="S132" s="61"/>
      <c r="T132" s="56"/>
      <c r="U132" s="63"/>
      <c r="V132" s="58"/>
      <c r="W132" s="59"/>
      <c r="X132" s="56"/>
      <c r="Y132" s="63"/>
      <c r="Z132" s="58"/>
      <c r="AA132" s="59"/>
      <c r="AB132" s="56"/>
      <c r="AC132" s="63"/>
      <c r="AD132" s="58"/>
      <c r="AE132" s="59"/>
      <c r="AF132" s="62"/>
      <c r="AG132" s="347">
        <f t="shared" ref="AG132:AK132" si="785">$AF$133/5</f>
        <v>0.01</v>
      </c>
      <c r="AH132" s="347">
        <f t="shared" si="785"/>
        <v>0.01</v>
      </c>
      <c r="AI132" s="347">
        <f t="shared" si="785"/>
        <v>0.01</v>
      </c>
      <c r="AJ132" s="347">
        <f t="shared" si="785"/>
        <v>0.01</v>
      </c>
      <c r="AK132" s="347">
        <f t="shared" si="785"/>
        <v>0.01</v>
      </c>
      <c r="AL132" s="347"/>
      <c r="AM132" s="58"/>
      <c r="AN132" s="59"/>
      <c r="AO132" s="62"/>
      <c r="AP132" s="347">
        <f t="shared" ref="AP132:AT132" si="786">$AO$133/5</f>
        <v>0.016</v>
      </c>
      <c r="AQ132" s="347">
        <f t="shared" si="786"/>
        <v>0.016</v>
      </c>
      <c r="AR132" s="347">
        <f t="shared" si="786"/>
        <v>0.016</v>
      </c>
      <c r="AS132" s="347">
        <f t="shared" si="786"/>
        <v>0.016</v>
      </c>
      <c r="AT132" s="347">
        <f t="shared" si="786"/>
        <v>0.016</v>
      </c>
      <c r="AU132" s="63"/>
      <c r="AV132" s="58"/>
      <c r="AW132" s="59"/>
      <c r="AX132" s="62"/>
      <c r="AY132" s="63"/>
      <c r="AZ132" s="58"/>
      <c r="BA132" s="59"/>
      <c r="BB132" s="62"/>
      <c r="BC132" s="63"/>
      <c r="BD132" s="58"/>
      <c r="BE132" s="59"/>
      <c r="BF132" s="62"/>
      <c r="BG132" s="63"/>
      <c r="BH132" s="58"/>
      <c r="BI132" s="59"/>
      <c r="BJ132" s="62"/>
      <c r="BK132" s="63"/>
      <c r="BL132" s="58"/>
      <c r="BM132" s="59"/>
      <c r="BN132" s="203"/>
      <c r="BO132" s="63"/>
      <c r="BP132" s="58"/>
      <c r="BQ132" s="61"/>
      <c r="BR132" s="66"/>
      <c r="BS132" s="349"/>
      <c r="BT132" s="69"/>
      <c r="BU132" s="70"/>
      <c r="BV132" s="71"/>
      <c r="BW132" s="262"/>
      <c r="BX132" s="25"/>
      <c r="BY132" s="25"/>
      <c r="BZ132" s="25"/>
      <c r="CA132" s="25"/>
      <c r="CB132" s="25"/>
    </row>
    <row r="133" ht="15.75" customHeight="1">
      <c r="A133" s="25"/>
      <c r="B133" s="263">
        <v>17.0</v>
      </c>
      <c r="C133" s="264" t="s">
        <v>103</v>
      </c>
      <c r="D133" s="265">
        <f>15000*12</f>
        <v>180000</v>
      </c>
      <c r="E133" s="266">
        <v>32.0</v>
      </c>
      <c r="F133" s="267">
        <f>E133*D133</f>
        <v>5760000</v>
      </c>
      <c r="G133" s="268">
        <v>356599.2800000031</v>
      </c>
      <c r="H133" s="269">
        <v>11282.0</v>
      </c>
      <c r="I133" s="270">
        <v>31.607807126396306</v>
      </c>
      <c r="J133" s="72" t="s">
        <v>64</v>
      </c>
      <c r="K133" s="73"/>
      <c r="L133" s="74" t="s">
        <v>63</v>
      </c>
      <c r="M133" s="75" t="s">
        <v>63</v>
      </c>
      <c r="N133" s="76" t="s">
        <v>63</v>
      </c>
      <c r="O133" s="77" t="s">
        <v>65</v>
      </c>
      <c r="P133" s="74" t="s">
        <v>63</v>
      </c>
      <c r="Q133" s="204" t="s">
        <v>63</v>
      </c>
      <c r="R133" s="76" t="s">
        <v>63</v>
      </c>
      <c r="S133" s="79" t="s">
        <v>65</v>
      </c>
      <c r="T133" s="74" t="s">
        <v>63</v>
      </c>
      <c r="U133" s="81" t="s">
        <v>63</v>
      </c>
      <c r="V133" s="76" t="s">
        <v>63</v>
      </c>
      <c r="W133" s="77" t="s">
        <v>65</v>
      </c>
      <c r="X133" s="74" t="s">
        <v>63</v>
      </c>
      <c r="Y133" s="81" t="s">
        <v>63</v>
      </c>
      <c r="Z133" s="76" t="s">
        <v>63</v>
      </c>
      <c r="AA133" s="77" t="s">
        <v>65</v>
      </c>
      <c r="AB133" s="74" t="s">
        <v>63</v>
      </c>
      <c r="AC133" s="81" t="s">
        <v>63</v>
      </c>
      <c r="AD133" s="76" t="s">
        <v>63</v>
      </c>
      <c r="AE133" s="77" t="s">
        <v>65</v>
      </c>
      <c r="AF133" s="80">
        <v>0.05</v>
      </c>
      <c r="AG133" s="350">
        <f t="shared" ref="AG133:AK133" si="787">AG134/($BR$134-($L$134+$P$134+$T$134+$X$134+$AB$134))</f>
        <v>0.00075687</v>
      </c>
      <c r="AH133" s="350">
        <f t="shared" si="787"/>
        <v>0.01009705625</v>
      </c>
      <c r="AI133" s="350">
        <f t="shared" si="787"/>
        <v>0.01341471208</v>
      </c>
      <c r="AJ133" s="350">
        <f t="shared" si="787"/>
        <v>0.01809782083</v>
      </c>
      <c r="AK133" s="350">
        <f t="shared" si="787"/>
        <v>0.005684467917</v>
      </c>
      <c r="AL133" s="351">
        <f t="shared" ref="AL133:AL135" si="789">SUM(AG133:AK133)</f>
        <v>0.04805092708</v>
      </c>
      <c r="AM133" s="352">
        <f>AL133-AF133</f>
        <v>-0.001949072917</v>
      </c>
      <c r="AN133" s="77" t="s">
        <v>65</v>
      </c>
      <c r="AO133" s="80">
        <v>0.08</v>
      </c>
      <c r="AP133" s="350">
        <f t="shared" ref="AP133:AT133" si="788">AP134/($BR$134-($L$134+$P$134+$T$134+$X$134+$AB$134))</f>
        <v>0.01198687083</v>
      </c>
      <c r="AQ133" s="350">
        <f t="shared" si="788"/>
        <v>0.01235228167</v>
      </c>
      <c r="AR133" s="350">
        <f t="shared" si="788"/>
        <v>0</v>
      </c>
      <c r="AS133" s="350">
        <f t="shared" si="788"/>
        <v>0</v>
      </c>
      <c r="AT133" s="350">
        <f t="shared" si="788"/>
        <v>0</v>
      </c>
      <c r="AU133" s="351">
        <f t="shared" ref="AU133:AU135" si="790">SUM(AP133:AT133)</f>
        <v>0.0243391525</v>
      </c>
      <c r="AV133" s="76" t="s">
        <v>63</v>
      </c>
      <c r="AW133" s="77" t="s">
        <v>65</v>
      </c>
      <c r="AX133" s="80">
        <v>0.1</v>
      </c>
      <c r="AY133" s="81">
        <f>AY134/(BR134-(L134+P134+T134+X134+AB134))</f>
        <v>0</v>
      </c>
      <c r="AZ133" s="76" t="s">
        <v>63</v>
      </c>
      <c r="BA133" s="77" t="s">
        <v>65</v>
      </c>
      <c r="BB133" s="80">
        <v>0.16</v>
      </c>
      <c r="BC133" s="81">
        <f>BC134/(BR134-(L134+P134+T134+X134+AB134))</f>
        <v>0</v>
      </c>
      <c r="BD133" s="76" t="s">
        <v>63</v>
      </c>
      <c r="BE133" s="77" t="s">
        <v>65</v>
      </c>
      <c r="BF133" s="80">
        <v>0.2</v>
      </c>
      <c r="BG133" s="81">
        <f>BG134/(BR134-(L134+P134+T134+X134+AB134))</f>
        <v>0</v>
      </c>
      <c r="BH133" s="76" t="s">
        <v>63</v>
      </c>
      <c r="BI133" s="77" t="s">
        <v>65</v>
      </c>
      <c r="BJ133" s="80">
        <v>0.21</v>
      </c>
      <c r="BK133" s="81">
        <f>BK134/(BR134-(L134+P134+T134+X134+AB134))</f>
        <v>0</v>
      </c>
      <c r="BL133" s="76" t="s">
        <v>63</v>
      </c>
      <c r="BM133" s="77" t="s">
        <v>65</v>
      </c>
      <c r="BN133" s="205">
        <v>0.2</v>
      </c>
      <c r="BO133" s="81">
        <f>BO134/(BR134-(L134+P134+T134+X134++AB134))</f>
        <v>0</v>
      </c>
      <c r="BP133" s="76" t="s">
        <v>63</v>
      </c>
      <c r="BQ133" s="79" t="s">
        <v>65</v>
      </c>
      <c r="BR133" s="84">
        <f>SUM(AF133,AO133,AX133,BB133,BF133,BJ133,BN133)</f>
        <v>1</v>
      </c>
      <c r="BS133" s="350">
        <f>SUM(AG133,AU133,AY133,BC133,BG133,BK133,BO133)</f>
        <v>0.0250960225</v>
      </c>
      <c r="BT133" s="88"/>
      <c r="BU133" s="89" t="s">
        <v>63</v>
      </c>
      <c r="BV133" s="71"/>
      <c r="BW133" s="271"/>
      <c r="BX133" s="25"/>
      <c r="BY133" s="25"/>
      <c r="BZ133" s="25"/>
      <c r="CA133" s="25"/>
      <c r="CB133" s="25"/>
    </row>
    <row r="134" ht="15.75" customHeight="1">
      <c r="A134" s="25"/>
      <c r="B134" s="272"/>
      <c r="C134" s="264"/>
      <c r="D134" s="273"/>
      <c r="E134" s="274"/>
      <c r="F134" s="275"/>
      <c r="G134" s="276"/>
      <c r="H134" s="277"/>
      <c r="I134" s="278"/>
      <c r="J134" s="72" t="s">
        <v>66</v>
      </c>
      <c r="K134" s="73"/>
      <c r="L134" s="167">
        <v>0.0</v>
      </c>
      <c r="M134" s="91">
        <v>0.0</v>
      </c>
      <c r="N134" s="92">
        <f t="shared" ref="N134:N137" si="791">IFERROR(M134-L134,"-")</f>
        <v>0</v>
      </c>
      <c r="O134" s="93" t="str">
        <f t="shared" ref="O134:O137" si="792">IFERROR(M134/L134-1,"-")</f>
        <v>-</v>
      </c>
      <c r="P134" s="167">
        <v>0.0</v>
      </c>
      <c r="Q134" s="91">
        <v>0.0</v>
      </c>
      <c r="R134" s="92">
        <f t="shared" ref="R134:R137" si="793">IFERROR(Q134-P134,"-")</f>
        <v>0</v>
      </c>
      <c r="S134" s="95" t="str">
        <f t="shared" ref="S134:S137" si="794">IFERROR(Q134/P134-1,"-")</f>
        <v>-</v>
      </c>
      <c r="T134" s="90">
        <v>0.0</v>
      </c>
      <c r="U134" s="91">
        <v>0.0</v>
      </c>
      <c r="V134" s="92">
        <f t="shared" ref="V134:V137" si="795">IFERROR(U134-T134,"-")</f>
        <v>0</v>
      </c>
      <c r="W134" s="93" t="str">
        <f t="shared" ref="W134:W137" si="796">IFERROR(U134/T134-1,"-")</f>
        <v>-</v>
      </c>
      <c r="X134" s="90">
        <v>0.0</v>
      </c>
      <c r="Y134" s="91">
        <v>0.0</v>
      </c>
      <c r="Z134" s="92">
        <f t="shared" ref="Z134:Z137" si="797">IFERROR(Y134-X134,"-")</f>
        <v>0</v>
      </c>
      <c r="AA134" s="93" t="str">
        <f t="shared" ref="AA134:AA137" si="798">IFERROR(Y134/X134-1,"-")</f>
        <v>-</v>
      </c>
      <c r="AB134" s="90">
        <v>0.0</v>
      </c>
      <c r="AC134" s="91">
        <v>4133.38</v>
      </c>
      <c r="AD134" s="92">
        <f t="shared" ref="AD134:AD137" si="799">IFERROR(AC134-AB134,"-")</f>
        <v>4133.38</v>
      </c>
      <c r="AE134" s="93" t="str">
        <f t="shared" ref="AE134:AE137" si="800">IFERROR(AC134/AB134-1,"-")</f>
        <v>-</v>
      </c>
      <c r="AF134" s="96">
        <f>($BR$134-($L$134+$P$134))*AF133</f>
        <v>1200000</v>
      </c>
      <c r="AG134" s="100">
        <v>18164.88</v>
      </c>
      <c r="AH134" s="100">
        <v>242329.35</v>
      </c>
      <c r="AI134" s="100">
        <v>321953.09</v>
      </c>
      <c r="AJ134" s="100">
        <v>434347.7</v>
      </c>
      <c r="AK134" s="100">
        <v>136427.23</v>
      </c>
      <c r="AL134" s="355">
        <f t="shared" si="789"/>
        <v>1153222.25</v>
      </c>
      <c r="AM134" s="92">
        <f t="shared" ref="AM134:AM137" si="801">IFERROR(AL134-AF134,"-")</f>
        <v>-46777.75</v>
      </c>
      <c r="AN134" s="93">
        <f t="shared" ref="AN134:AN137" si="802">IFERROR(AL134/AF134-1,"-")</f>
        <v>-0.03898145833</v>
      </c>
      <c r="AO134" s="96">
        <f>($BR$134-($L$134+$P$134))*AO133</f>
        <v>1920000</v>
      </c>
      <c r="AP134" s="100">
        <v>287684.9</v>
      </c>
      <c r="AQ134" s="353">
        <v>296454.76</v>
      </c>
      <c r="AR134" s="354"/>
      <c r="AS134" s="354"/>
      <c r="AT134" s="354"/>
      <c r="AU134" s="91">
        <f t="shared" si="790"/>
        <v>584139.66</v>
      </c>
      <c r="AV134" s="92">
        <f t="shared" ref="AV134:AV137" si="803">IFERROR(AU134-AO134,"-")</f>
        <v>-1335860.34</v>
      </c>
      <c r="AW134" s="93">
        <f t="shared" ref="AW134:AW137" si="804">IFERROR(AU134/AO134-1,"-")</f>
        <v>-0.6957605938</v>
      </c>
      <c r="AX134" s="96">
        <f>($BR$134-($L$134+$P$134))*AX133</f>
        <v>2400000</v>
      </c>
      <c r="AY134" s="91">
        <v>0.0</v>
      </c>
      <c r="AZ134" s="92">
        <f t="shared" ref="AZ134:AZ137" si="805">IFERROR(AY134-AX134,"-")</f>
        <v>-2400000</v>
      </c>
      <c r="BA134" s="93">
        <f t="shared" ref="BA134:BA137" si="806">IFERROR(AY134/AX134-1,"-")</f>
        <v>-1</v>
      </c>
      <c r="BB134" s="96">
        <f>($BR$134-($L$134+$P$134))*BB133</f>
        <v>3840000</v>
      </c>
      <c r="BC134" s="91">
        <v>0.0</v>
      </c>
      <c r="BD134" s="92">
        <f t="shared" ref="BD134:BD137" si="807">IFERROR(BC134-BB134,"-")</f>
        <v>-3840000</v>
      </c>
      <c r="BE134" s="93">
        <f t="shared" ref="BE134:BE137" si="808">IFERROR(BC134/BB134-1,"-")</f>
        <v>-1</v>
      </c>
      <c r="BF134" s="96">
        <f>($BR$134-($L$134+$P$134))*BF133</f>
        <v>4800000</v>
      </c>
      <c r="BG134" s="91">
        <v>0.0</v>
      </c>
      <c r="BH134" s="92">
        <f t="shared" ref="BH134:BH137" si="809">IFERROR(BG134-BF134,"-")</f>
        <v>-4800000</v>
      </c>
      <c r="BI134" s="93">
        <f t="shared" ref="BI134:BI137" si="810">IFERROR(BG134/BF134-1,"-")</f>
        <v>-1</v>
      </c>
      <c r="BJ134" s="96">
        <f>($BR$134-($L$134+$P$134))*BJ133</f>
        <v>5040000</v>
      </c>
      <c r="BK134" s="91">
        <v>0.0</v>
      </c>
      <c r="BL134" s="92">
        <f t="shared" ref="BL134:BL137" si="811">IFERROR(BK134-BJ134,"-")</f>
        <v>-5040000</v>
      </c>
      <c r="BM134" s="93">
        <f t="shared" ref="BM134:BM137" si="812">IFERROR(BK134/BJ134-1,"-")</f>
        <v>-1</v>
      </c>
      <c r="BN134" s="91">
        <f>($BR$134-($L$134+$P$134))*BN133</f>
        <v>4800000</v>
      </c>
      <c r="BO134" s="91">
        <v>0.0</v>
      </c>
      <c r="BP134" s="92">
        <f t="shared" ref="BP134:BP137" si="813">IFERROR(BO134-BN134,"-")</f>
        <v>-4800000</v>
      </c>
      <c r="BQ134" s="95">
        <f t="shared" ref="BQ134:BQ137" si="814">IFERROR(BO134/BN134-1,"-")</f>
        <v>-1</v>
      </c>
      <c r="BR134" s="101">
        <v>2.4E7</v>
      </c>
      <c r="BS134" s="102">
        <f t="shared" ref="BS134:BS135" si="815">SUM(M134,Q134,U134,Y134,AC134,AG134,AU134,AY134,BC134,BG134,BK134,BO134)</f>
        <v>606437.92</v>
      </c>
      <c r="BT134" s="104">
        <f t="shared" ref="BT134:BT137" si="816">IFERROR(BS134/BR134-1,"-")</f>
        <v>-0.9747317533</v>
      </c>
      <c r="BU134" s="105"/>
      <c r="BV134" s="106"/>
      <c r="BW134" s="279"/>
      <c r="BX134" s="25"/>
      <c r="BY134" s="25"/>
      <c r="BZ134" s="25"/>
      <c r="CA134" s="25"/>
      <c r="CB134" s="25"/>
    </row>
    <row r="135" ht="15.75" customHeight="1">
      <c r="A135" s="25"/>
      <c r="B135" s="272"/>
      <c r="C135" s="264"/>
      <c r="D135" s="273"/>
      <c r="E135" s="274"/>
      <c r="F135" s="275"/>
      <c r="G135" s="276"/>
      <c r="H135" s="277"/>
      <c r="I135" s="278"/>
      <c r="J135" s="72" t="s">
        <v>67</v>
      </c>
      <c r="K135" s="107"/>
      <c r="L135" s="171">
        <f>L134/$K$136</f>
        <v>0</v>
      </c>
      <c r="M135" s="109">
        <v>0.0</v>
      </c>
      <c r="N135" s="110">
        <f t="shared" si="791"/>
        <v>0</v>
      </c>
      <c r="O135" s="93" t="str">
        <f t="shared" si="792"/>
        <v>-</v>
      </c>
      <c r="P135" s="171">
        <f>P134/$K$136</f>
        <v>0</v>
      </c>
      <c r="Q135" s="109">
        <v>0.0</v>
      </c>
      <c r="R135" s="110">
        <f t="shared" si="793"/>
        <v>0</v>
      </c>
      <c r="S135" s="95" t="str">
        <f t="shared" si="794"/>
        <v>-</v>
      </c>
      <c r="T135" s="171">
        <f>T134/$K$136</f>
        <v>0</v>
      </c>
      <c r="U135" s="109">
        <v>0.0</v>
      </c>
      <c r="V135" s="110">
        <f t="shared" si="795"/>
        <v>0</v>
      </c>
      <c r="W135" s="93" t="str">
        <f t="shared" si="796"/>
        <v>-</v>
      </c>
      <c r="X135" s="171">
        <f>X134/$K$136</f>
        <v>0</v>
      </c>
      <c r="Y135" s="109">
        <v>0.0</v>
      </c>
      <c r="Z135" s="110">
        <f t="shared" si="797"/>
        <v>0</v>
      </c>
      <c r="AA135" s="93" t="str">
        <f t="shared" si="798"/>
        <v>-</v>
      </c>
      <c r="AB135" s="108">
        <f>AB134/$K$136</f>
        <v>0</v>
      </c>
      <c r="AC135" s="109">
        <v>57.0</v>
      </c>
      <c r="AD135" s="110">
        <f t="shared" si="799"/>
        <v>57</v>
      </c>
      <c r="AE135" s="93" t="str">
        <f t="shared" si="800"/>
        <v>-</v>
      </c>
      <c r="AF135" s="112">
        <f>AF134/$K$136</f>
        <v>11881.18812</v>
      </c>
      <c r="AG135" s="114">
        <v>220.0</v>
      </c>
      <c r="AH135" s="114">
        <v>1513.0</v>
      </c>
      <c r="AI135" s="114">
        <v>2098.0</v>
      </c>
      <c r="AJ135" s="114">
        <v>2811.0</v>
      </c>
      <c r="AK135" s="114">
        <v>837.0</v>
      </c>
      <c r="AL135" s="358">
        <f t="shared" si="789"/>
        <v>7479</v>
      </c>
      <c r="AM135" s="110">
        <f t="shared" si="801"/>
        <v>-4402.188119</v>
      </c>
      <c r="AN135" s="93">
        <f t="shared" si="802"/>
        <v>-0.3705175</v>
      </c>
      <c r="AO135" s="112">
        <f>AO134/$K$136</f>
        <v>19009.90099</v>
      </c>
      <c r="AP135" s="114">
        <v>2003.0</v>
      </c>
      <c r="AQ135" s="356">
        <v>2377.0</v>
      </c>
      <c r="AR135" s="357"/>
      <c r="AS135" s="357"/>
      <c r="AT135" s="357"/>
      <c r="AU135" s="109">
        <f t="shared" si="790"/>
        <v>4380</v>
      </c>
      <c r="AV135" s="110">
        <f t="shared" si="803"/>
        <v>-14629.90099</v>
      </c>
      <c r="AW135" s="93">
        <f t="shared" si="804"/>
        <v>-0.76959375</v>
      </c>
      <c r="AX135" s="112">
        <f>AX134/$K$136</f>
        <v>23762.37624</v>
      </c>
      <c r="AY135" s="109">
        <v>0.0</v>
      </c>
      <c r="AZ135" s="110">
        <f t="shared" si="805"/>
        <v>-23762.37624</v>
      </c>
      <c r="BA135" s="93">
        <f t="shared" si="806"/>
        <v>-1</v>
      </c>
      <c r="BB135" s="112">
        <f>BB134/$K$136</f>
        <v>38019.80198</v>
      </c>
      <c r="BC135" s="109">
        <v>0.0</v>
      </c>
      <c r="BD135" s="110">
        <f t="shared" si="807"/>
        <v>-38019.80198</v>
      </c>
      <c r="BE135" s="93">
        <f t="shared" si="808"/>
        <v>-1</v>
      </c>
      <c r="BF135" s="112">
        <f>BF134/$K$136</f>
        <v>47524.75248</v>
      </c>
      <c r="BG135" s="109">
        <v>0.0</v>
      </c>
      <c r="BH135" s="110">
        <f t="shared" si="809"/>
        <v>-47524.75248</v>
      </c>
      <c r="BI135" s="93">
        <f t="shared" si="810"/>
        <v>-1</v>
      </c>
      <c r="BJ135" s="112">
        <f>BJ134/$K$136</f>
        <v>49900.9901</v>
      </c>
      <c r="BK135" s="109">
        <v>0.0</v>
      </c>
      <c r="BL135" s="110">
        <f t="shared" si="811"/>
        <v>-49900.9901</v>
      </c>
      <c r="BM135" s="93">
        <f t="shared" si="812"/>
        <v>-1</v>
      </c>
      <c r="BN135" s="109">
        <f>BN134/$K$136</f>
        <v>47524.75248</v>
      </c>
      <c r="BO135" s="109">
        <v>0.0</v>
      </c>
      <c r="BP135" s="110">
        <f t="shared" si="813"/>
        <v>-47524.75248</v>
      </c>
      <c r="BQ135" s="95">
        <f t="shared" si="814"/>
        <v>-1</v>
      </c>
      <c r="BR135" s="206">
        <f>SUM(L135,T135,X135,AB135,AF135,AO135,AX135,BB135,BF135,BJ135,BN135)</f>
        <v>237623.7624</v>
      </c>
      <c r="BS135" s="207">
        <f t="shared" si="815"/>
        <v>4657</v>
      </c>
      <c r="BT135" s="104">
        <f t="shared" si="816"/>
        <v>-0.9804017917</v>
      </c>
      <c r="BU135" s="119"/>
      <c r="BV135" s="106"/>
      <c r="BW135" s="280"/>
      <c r="BX135" s="25"/>
      <c r="BY135" s="281"/>
      <c r="BZ135" s="25"/>
      <c r="CA135" s="25"/>
      <c r="CB135" s="25"/>
    </row>
    <row r="136" ht="15.75" customHeight="1">
      <c r="A136" s="25"/>
      <c r="B136" s="272"/>
      <c r="C136" s="264"/>
      <c r="D136" s="273"/>
      <c r="E136" s="274"/>
      <c r="F136" s="275"/>
      <c r="G136" s="276"/>
      <c r="H136" s="277"/>
      <c r="I136" s="278"/>
      <c r="J136" s="72" t="s">
        <v>68</v>
      </c>
      <c r="K136" s="107">
        <v>101.0</v>
      </c>
      <c r="L136" s="90" t="str">
        <f t="shared" ref="L136:M136" si="817">IFERROR(L134/L135,"-")</f>
        <v>-</v>
      </c>
      <c r="M136" s="91" t="str">
        <f t="shared" si="817"/>
        <v>-</v>
      </c>
      <c r="N136" s="92" t="str">
        <f t="shared" si="791"/>
        <v>-</v>
      </c>
      <c r="O136" s="93" t="str">
        <f t="shared" si="792"/>
        <v>-</v>
      </c>
      <c r="P136" s="90" t="str">
        <f t="shared" ref="P136:Q136" si="818">IFERROR(P134/P135,"-")</f>
        <v>-</v>
      </c>
      <c r="Q136" s="91" t="str">
        <f t="shared" si="818"/>
        <v>-</v>
      </c>
      <c r="R136" s="92" t="str">
        <f t="shared" si="793"/>
        <v>-</v>
      </c>
      <c r="S136" s="95" t="str">
        <f t="shared" si="794"/>
        <v>-</v>
      </c>
      <c r="T136" s="90" t="str">
        <f t="shared" ref="T136:U136" si="819">IFERROR(T134/T135,"-")</f>
        <v>-</v>
      </c>
      <c r="U136" s="91" t="str">
        <f t="shared" si="819"/>
        <v>-</v>
      </c>
      <c r="V136" s="92" t="str">
        <f t="shared" si="795"/>
        <v>-</v>
      </c>
      <c r="W136" s="93" t="str">
        <f t="shared" si="796"/>
        <v>-</v>
      </c>
      <c r="X136" s="90" t="str">
        <f t="shared" ref="X136:Y136" si="820">IFERROR(X134/X135,"-")</f>
        <v>-</v>
      </c>
      <c r="Y136" s="91" t="str">
        <f t="shared" si="820"/>
        <v>-</v>
      </c>
      <c r="Z136" s="92" t="str">
        <f t="shared" si="797"/>
        <v>-</v>
      </c>
      <c r="AA136" s="93" t="str">
        <f t="shared" si="798"/>
        <v>-</v>
      </c>
      <c r="AB136" s="90" t="str">
        <f t="shared" ref="AB136:AC136" si="821">IFERROR(AB134/AB135,"-")</f>
        <v>-</v>
      </c>
      <c r="AC136" s="91">
        <f t="shared" si="821"/>
        <v>72.5154386</v>
      </c>
      <c r="AD136" s="92" t="str">
        <f t="shared" si="799"/>
        <v>-</v>
      </c>
      <c r="AE136" s="93" t="str">
        <f t="shared" si="800"/>
        <v>-</v>
      </c>
      <c r="AF136" s="385">
        <f>AF134/AF135</f>
        <v>101</v>
      </c>
      <c r="AG136" s="370">
        <f t="shared" ref="AG136:AL136" si="822">IFERROR(AG134/AG135,"-")</f>
        <v>82.56763636</v>
      </c>
      <c r="AH136" s="370">
        <f t="shared" si="822"/>
        <v>160.164805</v>
      </c>
      <c r="AI136" s="370">
        <f t="shared" si="822"/>
        <v>153.4571449</v>
      </c>
      <c r="AJ136" s="370">
        <f t="shared" si="822"/>
        <v>154.5171469</v>
      </c>
      <c r="AK136" s="370">
        <f t="shared" si="822"/>
        <v>162.9954958</v>
      </c>
      <c r="AL136" s="372">
        <f t="shared" si="822"/>
        <v>154.1947119</v>
      </c>
      <c r="AM136" s="92">
        <f t="shared" si="801"/>
        <v>53.19471186</v>
      </c>
      <c r="AN136" s="93">
        <f t="shared" si="802"/>
        <v>0.5266803154</v>
      </c>
      <c r="AO136" s="112">
        <f>AO134/AO135</f>
        <v>101</v>
      </c>
      <c r="AP136" s="91">
        <f t="shared" ref="AP136:AU136" si="823">IFERROR(AP134/AP135,"-")</f>
        <v>143.6270095</v>
      </c>
      <c r="AQ136" s="91">
        <f t="shared" si="823"/>
        <v>124.7180311</v>
      </c>
      <c r="AR136" s="359" t="str">
        <f t="shared" si="823"/>
        <v>-</v>
      </c>
      <c r="AS136" s="359" t="str">
        <f t="shared" si="823"/>
        <v>-</v>
      </c>
      <c r="AT136" s="359" t="str">
        <f t="shared" si="823"/>
        <v>-</v>
      </c>
      <c r="AU136" s="91">
        <f t="shared" si="823"/>
        <v>133.3652192</v>
      </c>
      <c r="AV136" s="92">
        <f t="shared" si="803"/>
        <v>32.36521918</v>
      </c>
      <c r="AW136" s="93">
        <f t="shared" si="804"/>
        <v>0.3204477146</v>
      </c>
      <c r="AX136" s="112">
        <f>AX134/AX135</f>
        <v>101</v>
      </c>
      <c r="AY136" s="91" t="str">
        <f>IFERROR(AY134/AY135,"-")</f>
        <v>-</v>
      </c>
      <c r="AZ136" s="92" t="str">
        <f t="shared" si="805"/>
        <v>-</v>
      </c>
      <c r="BA136" s="93" t="str">
        <f t="shared" si="806"/>
        <v>-</v>
      </c>
      <c r="BB136" s="112">
        <f>BB134/BB135</f>
        <v>101</v>
      </c>
      <c r="BC136" s="91" t="str">
        <f>IFERROR(BC134/BC135,"-")</f>
        <v>-</v>
      </c>
      <c r="BD136" s="92" t="str">
        <f t="shared" si="807"/>
        <v>-</v>
      </c>
      <c r="BE136" s="93" t="str">
        <f t="shared" si="808"/>
        <v>-</v>
      </c>
      <c r="BF136" s="112">
        <f>BF134/BF135</f>
        <v>101</v>
      </c>
      <c r="BG136" s="91" t="str">
        <f>IFERROR(BG134/BG135,"-")</f>
        <v>-</v>
      </c>
      <c r="BH136" s="92" t="str">
        <f t="shared" si="809"/>
        <v>-</v>
      </c>
      <c r="BI136" s="93" t="str">
        <f t="shared" si="810"/>
        <v>-</v>
      </c>
      <c r="BJ136" s="112">
        <f>BJ134/BJ135</f>
        <v>101</v>
      </c>
      <c r="BK136" s="91" t="str">
        <f>IFERROR(BK134/BK135,"-")</f>
        <v>-</v>
      </c>
      <c r="BL136" s="92" t="str">
        <f t="shared" si="811"/>
        <v>-</v>
      </c>
      <c r="BM136" s="93" t="str">
        <f t="shared" si="812"/>
        <v>-</v>
      </c>
      <c r="BN136" s="109">
        <f>BN134/BN135</f>
        <v>101</v>
      </c>
      <c r="BO136" s="91" t="str">
        <f>IFERROR(BO134/BO135,"-")</f>
        <v>-</v>
      </c>
      <c r="BP136" s="92" t="str">
        <f t="shared" si="813"/>
        <v>-</v>
      </c>
      <c r="BQ136" s="95" t="str">
        <f t="shared" si="814"/>
        <v>-</v>
      </c>
      <c r="BR136" s="115">
        <f>BR134/BR135</f>
        <v>101</v>
      </c>
      <c r="BS136" s="91">
        <f>IFERROR(BS134/BS135,"-")</f>
        <v>130.2207258</v>
      </c>
      <c r="BT136" s="104">
        <f t="shared" si="816"/>
        <v>0.2893141167</v>
      </c>
      <c r="BU136" s="119"/>
      <c r="BV136" s="106"/>
      <c r="BW136" s="280"/>
      <c r="BX136" s="25"/>
      <c r="BY136" s="281"/>
      <c r="BZ136" s="25"/>
      <c r="CA136" s="25"/>
      <c r="CB136" s="25"/>
    </row>
    <row r="137" ht="16.5" customHeight="1">
      <c r="A137" s="25"/>
      <c r="B137" s="272"/>
      <c r="C137" s="264"/>
      <c r="D137" s="273"/>
      <c r="E137" s="274"/>
      <c r="F137" s="275"/>
      <c r="G137" s="276"/>
      <c r="H137" s="277"/>
      <c r="I137" s="278"/>
      <c r="J137" s="124" t="s">
        <v>69</v>
      </c>
      <c r="K137" s="254" t="s">
        <v>63</v>
      </c>
      <c r="L137" s="132">
        <f t="shared" ref="L137:M137" si="824">IF(L135=0, 0,
  MIN(L135, 10000) * 4 +
  MAX(0, MIN(L135, 20000) - 10000) * 3 +
  MAX(0, MIN(L135, 40000) - 20000) * 2 +
  MAX(0, MIN(L135, 80000) - 40000) * 1 +
  MAX(0, MIN(L135, 100000) - 80000) * 0.5 +
  MAX(0, L135 - 100000) * 0.25
)</f>
        <v>0</v>
      </c>
      <c r="M137" s="127">
        <f t="shared" si="824"/>
        <v>0</v>
      </c>
      <c r="N137" s="128">
        <f t="shared" si="791"/>
        <v>0</v>
      </c>
      <c r="O137" s="129" t="str">
        <f t="shared" si="792"/>
        <v>-</v>
      </c>
      <c r="P137" s="132">
        <f t="shared" ref="P137:Q137" si="825">IF(P135=0, 0,
  MIN(P135, 10000) * 4 +
  MAX(0, MIN(P135, 20000) - 10000) * 3 +
  MAX(0, MIN(P135, 40000) - 20000) * 2 +
  MAX(0, MIN(P135, 80000) - 40000) * 1 +
  MAX(0, MIN(P135, 100000) - 80000) * 0.5 +
  MAX(0, P135 - 100000) * 0.25
)</f>
        <v>0</v>
      </c>
      <c r="Q137" s="127">
        <f t="shared" si="825"/>
        <v>0</v>
      </c>
      <c r="R137" s="128">
        <f t="shared" si="793"/>
        <v>0</v>
      </c>
      <c r="S137" s="131" t="str">
        <f t="shared" si="794"/>
        <v>-</v>
      </c>
      <c r="T137" s="132">
        <f t="shared" ref="T137:U137" si="826">IF(T135=0, 0,
  MIN(T135, 10000) * 4 +
  MAX(0, MIN(T135, 20000) - 10000) * 3 +
  MAX(0, MIN(T135, 40000) - 20000) * 2 +
  MAX(0, MIN(T135, 80000) - 40000) * 1 +
  MAX(0, MIN(T135, 100000) - 80000) * 0.5 +
  MAX(0, T135 - 100000) * 0.25
)</f>
        <v>0</v>
      </c>
      <c r="U137" s="127">
        <f t="shared" si="826"/>
        <v>0</v>
      </c>
      <c r="V137" s="128">
        <f t="shared" si="795"/>
        <v>0</v>
      </c>
      <c r="W137" s="129" t="str">
        <f t="shared" si="796"/>
        <v>-</v>
      </c>
      <c r="X137" s="132">
        <f t="shared" ref="X137:Y137" si="827">IF(X135=0, 0,
  MIN(X135, 10000) * 4 +
  MAX(0, MIN(X135, 20000) - 10000) * 3 +
  MAX(0, MIN(X135, 40000) - 20000) * 2 +
  MAX(0, MIN(X135, 80000) - 40000) * 1 +
  MAX(0, MIN(X135, 100000) - 80000) * 0.5 +
  MAX(0, X135 - 100000) * 0.25
)</f>
        <v>0</v>
      </c>
      <c r="Y137" s="127">
        <f t="shared" si="827"/>
        <v>0</v>
      </c>
      <c r="Z137" s="128">
        <f t="shared" si="797"/>
        <v>0</v>
      </c>
      <c r="AA137" s="129" t="str">
        <f t="shared" si="798"/>
        <v>-</v>
      </c>
      <c r="AB137" s="132">
        <f t="shared" ref="AB137:AC137" si="828">IF(AB135=0, 0,
  MIN(AB135, 10000) * 4 +
  MAX(0, MIN(AB135, 20000) - 10000) * 3 +
  MAX(0, MIN(AB135, 40000) - 20000) * 2 +
  MAX(0, MIN(AB135, 80000) - 40000) * 1 +
  MAX(0, MIN(AB135, 100000) - 80000) * 0.5 +
  MAX(0, AB135 - 100000) * 0.25
)</f>
        <v>0</v>
      </c>
      <c r="AC137" s="127">
        <f t="shared" si="828"/>
        <v>228</v>
      </c>
      <c r="AD137" s="128">
        <f t="shared" si="799"/>
        <v>228</v>
      </c>
      <c r="AE137" s="134" t="str">
        <f t="shared" si="800"/>
        <v>-</v>
      </c>
      <c r="AF137" s="373">
        <f t="shared" ref="AF137:AL137" si="829">IF(AF135=0, 0,
  MIN(AF135, 10000) * 4 +
  MAX(0, MIN(AF135, 20000) - 10000) * 3 +
  MAX(0, MIN(AF135, 40000) - 20000) * 2 +
  MAX(0, MIN(AF135, 80000) - 40000) * 1 +
  MAX(0, MIN(AF135, 100000) - 80000) * 0.5 +
  MAX(0, AF135 - 100000) * 0.25
)</f>
        <v>45643.56436</v>
      </c>
      <c r="AG137" s="374">
        <f t="shared" si="829"/>
        <v>880</v>
      </c>
      <c r="AH137" s="374">
        <f t="shared" si="829"/>
        <v>6052</v>
      </c>
      <c r="AI137" s="374">
        <f t="shared" si="829"/>
        <v>8392</v>
      </c>
      <c r="AJ137" s="374">
        <f t="shared" si="829"/>
        <v>11244</v>
      </c>
      <c r="AK137" s="374">
        <f t="shared" si="829"/>
        <v>3348</v>
      </c>
      <c r="AL137" s="375">
        <f t="shared" si="829"/>
        <v>29916</v>
      </c>
      <c r="AM137" s="376">
        <f t="shared" si="801"/>
        <v>-15727.56436</v>
      </c>
      <c r="AN137" s="129">
        <f t="shared" si="802"/>
        <v>-0.3445735358</v>
      </c>
      <c r="AO137" s="132">
        <f>IF(AO135=0, 0,
  MIN(AO135, 10000) * 4 +
  MAX(0, MIN(AO135, 20000) - 10000) * 3 +
  MAX(0, MIN(AO135, 40000) - 20000) * 2 +
  MAX(0, MIN(AO135, 80000) - 40000) * 1 +
  MAX(0, MIN(AO135, 100000) - 80000) * 0.5 +
  MAX(0, AO135 - 100000) * 0.25
)</f>
        <v>67029.70297</v>
      </c>
      <c r="AP137" s="130">
        <f t="shared" ref="AP137:AT137" si="830">AP134*$K$9</f>
        <v>14096.5601</v>
      </c>
      <c r="AQ137" s="130">
        <f t="shared" si="830"/>
        <v>14526.28324</v>
      </c>
      <c r="AR137" s="361">
        <f t="shared" si="830"/>
        <v>0</v>
      </c>
      <c r="AS137" s="361">
        <f t="shared" si="830"/>
        <v>0</v>
      </c>
      <c r="AT137" s="361">
        <f t="shared" si="830"/>
        <v>0</v>
      </c>
      <c r="AU137" s="127">
        <f>IF(AU135=0, 0,
  MIN(AU135, 10000) * 4 +
  MAX(0, MIN(AU135, 20000) - 10000) * 3 +
  MAX(0, MIN(AU135, 40000) - 20000) * 2 +
  MAX(0, MIN(AU135, 80000) - 40000) * 1 +
  MAX(0, MIN(AU135, 100000) - 80000) * 0.5 +
  MAX(0, AU135 - 100000) * 0.25
)</f>
        <v>17520</v>
      </c>
      <c r="AV137" s="128">
        <f t="shared" si="803"/>
        <v>-49509.70297</v>
      </c>
      <c r="AW137" s="129">
        <f t="shared" si="804"/>
        <v>-0.7386233383</v>
      </c>
      <c r="AX137" s="132">
        <f t="shared" ref="AX137:AY137" si="831">IF(AX135=0, 0,
  MIN(AX135, 10000) * 4 +
  MAX(0, MIN(AX135, 20000) - 10000) * 3 +
  MAX(0, MIN(AX135, 40000) - 20000) * 2 +
  MAX(0, MIN(AX135, 80000) - 40000) * 1 +
  MAX(0, MIN(AX135, 100000) - 80000) * 0.5 +
  MAX(0, AX135 - 100000) * 0.25
)</f>
        <v>77524.75248</v>
      </c>
      <c r="AY137" s="127">
        <f t="shared" si="831"/>
        <v>0</v>
      </c>
      <c r="AZ137" s="128">
        <f t="shared" si="805"/>
        <v>-77524.75248</v>
      </c>
      <c r="BA137" s="129">
        <f t="shared" si="806"/>
        <v>-1</v>
      </c>
      <c r="BB137" s="132">
        <f t="shared" ref="BB137:BC137" si="832">IF(BB135=0, 0,
  MIN(BB135, 10000) * 4 +
  MAX(0, MIN(BB135, 20000) - 10000) * 3 +
  MAX(0, MIN(BB135, 40000) - 20000) * 2 +
  MAX(0, MIN(BB135, 80000) - 40000) * 1 +
  MAX(0, MIN(BB135, 100000) - 80000) * 0.5 +
  MAX(0, BB135 - 100000) * 0.25
)</f>
        <v>106039.604</v>
      </c>
      <c r="BC137" s="127">
        <f t="shared" si="832"/>
        <v>0</v>
      </c>
      <c r="BD137" s="128">
        <f t="shared" si="807"/>
        <v>-106039.604</v>
      </c>
      <c r="BE137" s="129">
        <f t="shared" si="808"/>
        <v>-1</v>
      </c>
      <c r="BF137" s="132">
        <f t="shared" ref="BF137:BG137" si="833">IF(BF135=0, 0,
  MIN(BF135, 10000) * 4 +
  MAX(0, MIN(BF135, 20000) - 10000) * 3 +
  MAX(0, MIN(BF135, 40000) - 20000) * 2 +
  MAX(0, MIN(BF135, 80000) - 40000) * 1 +
  MAX(0, MIN(BF135, 100000) - 80000) * 0.5 +
  MAX(0, BF135 - 100000) * 0.25
)</f>
        <v>117524.7525</v>
      </c>
      <c r="BG137" s="127">
        <f t="shared" si="833"/>
        <v>0</v>
      </c>
      <c r="BH137" s="128">
        <f t="shared" si="809"/>
        <v>-117524.7525</v>
      </c>
      <c r="BI137" s="129">
        <f t="shared" si="810"/>
        <v>-1</v>
      </c>
      <c r="BJ137" s="132">
        <f t="shared" ref="BJ137:BK137" si="834">IF(BJ135=0, 0,
  MIN(BJ135, 10000) * 4 +
  MAX(0, MIN(BJ135, 20000) - 10000) * 3 +
  MAX(0, MIN(BJ135, 40000) - 20000) * 2 +
  MAX(0, MIN(BJ135, 80000) - 40000) * 1 +
  MAX(0, MIN(BJ135, 100000) - 80000) * 0.5 +
  MAX(0, BJ135 - 100000) * 0.25
)</f>
        <v>119900.9901</v>
      </c>
      <c r="BK137" s="127">
        <f t="shared" si="834"/>
        <v>0</v>
      </c>
      <c r="BL137" s="128">
        <f t="shared" si="811"/>
        <v>-119900.9901</v>
      </c>
      <c r="BM137" s="129">
        <f t="shared" si="812"/>
        <v>-1</v>
      </c>
      <c r="BN137" s="127">
        <f t="shared" ref="BN137:BO137" si="835">IF(BN135=0, 0,
  MIN(BN135, 10000) * 4 +
  MAX(0, MIN(BN135, 20000) - 10000) * 3 +
  MAX(0, MIN(BN135, 40000) - 20000) * 2 +
  MAX(0, MIN(BN135, 80000) - 40000) * 1 +
  MAX(0, MIN(BN135, 100000) - 80000) * 0.5 +
  MAX(0, BN135 - 100000) * 0.25
)</f>
        <v>117524.7525</v>
      </c>
      <c r="BO137" s="127">
        <f t="shared" si="835"/>
        <v>0</v>
      </c>
      <c r="BP137" s="128">
        <f t="shared" si="813"/>
        <v>-117524.7525</v>
      </c>
      <c r="BQ137" s="131">
        <f t="shared" si="814"/>
        <v>-1</v>
      </c>
      <c r="BR137" s="135">
        <f>SUM(L137,P137,T137,X137,AB137,AF137,AO137,AX137,BB137,BF137,BJ137,BN137)</f>
        <v>651188.1188</v>
      </c>
      <c r="BS137" s="213">
        <f>SUM(M137,Q137,U137,Y137,AC137,AG137,AU137,AY137,BC137,BG137,BK137,BO137)</f>
        <v>18628</v>
      </c>
      <c r="BT137" s="139">
        <f t="shared" si="816"/>
        <v>-0.971393827</v>
      </c>
      <c r="BU137" s="140"/>
      <c r="BV137" s="141"/>
      <c r="BW137" s="284"/>
      <c r="BX137" s="25"/>
      <c r="BY137" s="25"/>
      <c r="BZ137" s="25"/>
      <c r="CA137" s="25"/>
      <c r="CB137" s="25"/>
    </row>
    <row r="138" ht="15.75" customHeight="1">
      <c r="A138" s="25"/>
      <c r="B138" s="272"/>
      <c r="C138" s="264"/>
      <c r="D138" s="273"/>
      <c r="E138" s="274"/>
      <c r="F138" s="275"/>
      <c r="G138" s="276"/>
      <c r="H138" s="277"/>
      <c r="I138" s="278"/>
      <c r="J138" s="3"/>
      <c r="K138" s="3"/>
      <c r="L138" s="3"/>
      <c r="M138" s="3"/>
      <c r="N138" s="3"/>
      <c r="O138" s="3"/>
      <c r="P138" s="3"/>
      <c r="Q138" s="3"/>
      <c r="R138" s="3"/>
      <c r="S138" s="3"/>
      <c r="T138" s="3"/>
      <c r="U138" s="3"/>
      <c r="V138" s="3"/>
      <c r="W138" s="3"/>
      <c r="X138" s="3"/>
      <c r="Y138" s="3"/>
      <c r="Z138" s="3"/>
      <c r="AA138" s="285"/>
      <c r="AB138" s="25"/>
      <c r="AC138" s="25"/>
      <c r="AD138" s="25"/>
      <c r="AE138" s="25"/>
      <c r="AF138" s="25"/>
      <c r="AG138" s="25"/>
      <c r="AH138" s="25"/>
      <c r="AI138" s="25"/>
      <c r="AJ138" s="25"/>
      <c r="AK138" s="25"/>
      <c r="AL138" s="25"/>
      <c r="AM138" s="25"/>
      <c r="AN138" s="25"/>
      <c r="AO138" s="25"/>
      <c r="AP138" s="363"/>
      <c r="AQ138" s="363"/>
      <c r="AR138" s="363"/>
      <c r="AS138" s="363"/>
      <c r="AT138" s="363"/>
      <c r="AU138" s="25"/>
      <c r="AV138" s="25"/>
      <c r="AW138" s="25"/>
      <c r="BA138" s="187"/>
      <c r="BB138" s="25"/>
      <c r="BC138" s="188"/>
      <c r="BD138" s="25"/>
    </row>
    <row r="139" ht="15.75" customHeight="1">
      <c r="A139" s="3"/>
      <c r="B139" s="3"/>
      <c r="C139" s="3"/>
      <c r="D139" s="3"/>
      <c r="E139" s="3"/>
      <c r="F139" s="3"/>
      <c r="G139" s="3"/>
      <c r="H139" s="3"/>
      <c r="I139" s="3"/>
      <c r="J139" s="286" t="s">
        <v>106</v>
      </c>
      <c r="K139" s="287"/>
      <c r="L139" s="191" t="s">
        <v>10</v>
      </c>
      <c r="M139" s="37" t="s">
        <v>11</v>
      </c>
      <c r="N139" s="38" t="s">
        <v>12</v>
      </c>
      <c r="O139" s="39" t="s">
        <v>13</v>
      </c>
      <c r="P139" s="190" t="s">
        <v>14</v>
      </c>
      <c r="Q139" s="199" t="s">
        <v>15</v>
      </c>
      <c r="R139" s="38" t="s">
        <v>16</v>
      </c>
      <c r="S139" s="42" t="s">
        <v>17</v>
      </c>
      <c r="T139" s="191" t="s">
        <v>18</v>
      </c>
      <c r="U139" s="199" t="s">
        <v>95</v>
      </c>
      <c r="V139" s="38" t="s">
        <v>20</v>
      </c>
      <c r="W139" s="45" t="s">
        <v>96</v>
      </c>
      <c r="X139" s="190" t="s">
        <v>22</v>
      </c>
      <c r="Y139" s="199" t="s">
        <v>97</v>
      </c>
      <c r="Z139" s="38" t="s">
        <v>24</v>
      </c>
      <c r="AA139" s="45" t="s">
        <v>96</v>
      </c>
      <c r="AB139" s="191" t="s">
        <v>26</v>
      </c>
      <c r="AC139" s="199" t="s">
        <v>27</v>
      </c>
      <c r="AD139" s="38" t="s">
        <v>28</v>
      </c>
      <c r="AE139" s="45" t="s">
        <v>29</v>
      </c>
      <c r="AF139" s="190" t="s">
        <v>30</v>
      </c>
      <c r="AG139" s="343" t="s">
        <v>120</v>
      </c>
      <c r="AH139" s="344" t="s">
        <v>121</v>
      </c>
      <c r="AI139" s="344" t="s">
        <v>122</v>
      </c>
      <c r="AJ139" s="344" t="s">
        <v>123</v>
      </c>
      <c r="AK139" s="344" t="s">
        <v>124</v>
      </c>
      <c r="AL139" s="344" t="s">
        <v>31</v>
      </c>
      <c r="AM139" s="38" t="s">
        <v>32</v>
      </c>
      <c r="AN139" s="45" t="s">
        <v>33</v>
      </c>
      <c r="AO139" s="191" t="s">
        <v>34</v>
      </c>
      <c r="AP139" s="343" t="s">
        <v>125</v>
      </c>
      <c r="AQ139" s="344" t="s">
        <v>126</v>
      </c>
      <c r="AR139" s="344" t="s">
        <v>127</v>
      </c>
      <c r="AS139" s="344" t="s">
        <v>128</v>
      </c>
      <c r="AT139" s="344" t="s">
        <v>129</v>
      </c>
      <c r="AU139" s="41" t="s">
        <v>35</v>
      </c>
      <c r="AV139" s="38" t="s">
        <v>36</v>
      </c>
      <c r="AW139" s="45" t="s">
        <v>37</v>
      </c>
      <c r="AX139" s="190" t="s">
        <v>38</v>
      </c>
      <c r="AY139" s="199" t="s">
        <v>39</v>
      </c>
      <c r="AZ139" s="38" t="s">
        <v>40</v>
      </c>
      <c r="BA139" s="45" t="s">
        <v>41</v>
      </c>
      <c r="BB139" s="191" t="s">
        <v>42</v>
      </c>
      <c r="BC139" s="199" t="s">
        <v>43</v>
      </c>
      <c r="BD139" s="38" t="s">
        <v>44</v>
      </c>
      <c r="BE139" s="45" t="s">
        <v>45</v>
      </c>
      <c r="BF139" s="288" t="s">
        <v>46</v>
      </c>
      <c r="BG139" s="199" t="s">
        <v>47</v>
      </c>
      <c r="BH139" s="38" t="s">
        <v>48</v>
      </c>
      <c r="BI139" s="45" t="s">
        <v>49</v>
      </c>
      <c r="BJ139" s="217" t="s">
        <v>50</v>
      </c>
      <c r="BK139" s="199" t="s">
        <v>51</v>
      </c>
      <c r="BL139" s="38" t="s">
        <v>52</v>
      </c>
      <c r="BM139" s="45" t="s">
        <v>53</v>
      </c>
      <c r="BN139" s="289" t="s">
        <v>54</v>
      </c>
      <c r="BO139" s="199" t="s">
        <v>55</v>
      </c>
      <c r="BP139" s="38" t="s">
        <v>56</v>
      </c>
      <c r="BQ139" s="42" t="s">
        <v>57</v>
      </c>
      <c r="BR139" s="391">
        <v>2026.0</v>
      </c>
      <c r="BS139" s="37" t="s">
        <v>61</v>
      </c>
      <c r="BT139" s="51" t="s">
        <v>62</v>
      </c>
      <c r="BU139" s="52">
        <v>2025.0</v>
      </c>
      <c r="BV139" s="290"/>
      <c r="BW139" s="3"/>
      <c r="BX139" s="3"/>
      <c r="BY139" s="3"/>
      <c r="BZ139" s="3"/>
      <c r="CA139" s="3"/>
      <c r="CB139" s="3"/>
    </row>
    <row r="140" ht="15.75" customHeight="1">
      <c r="A140" s="3"/>
      <c r="B140" s="3"/>
      <c r="C140" s="3"/>
      <c r="D140" s="3"/>
      <c r="E140" s="3"/>
      <c r="F140" s="3"/>
      <c r="G140" s="3"/>
      <c r="H140" s="3"/>
      <c r="I140" s="3"/>
      <c r="J140" s="346" t="s">
        <v>130</v>
      </c>
      <c r="K140" s="292"/>
      <c r="L140" s="56"/>
      <c r="M140" s="57"/>
      <c r="N140" s="58"/>
      <c r="O140" s="59"/>
      <c r="P140" s="56"/>
      <c r="Q140" s="202"/>
      <c r="R140" s="58"/>
      <c r="S140" s="61"/>
      <c r="T140" s="56"/>
      <c r="U140" s="63"/>
      <c r="V140" s="58"/>
      <c r="W140" s="59"/>
      <c r="X140" s="56"/>
      <c r="Y140" s="63"/>
      <c r="Z140" s="58"/>
      <c r="AA140" s="59"/>
      <c r="AB140" s="56"/>
      <c r="AC140" s="63"/>
      <c r="AD140" s="58"/>
      <c r="AE140" s="59"/>
      <c r="AF140" s="56"/>
      <c r="AG140" s="392" t="s">
        <v>131</v>
      </c>
      <c r="AH140" s="392" t="s">
        <v>131</v>
      </c>
      <c r="AI140" s="392" t="s">
        <v>131</v>
      </c>
      <c r="AJ140" s="392" t="s">
        <v>131</v>
      </c>
      <c r="AK140" s="392" t="s">
        <v>131</v>
      </c>
      <c r="AL140" s="347"/>
      <c r="AM140" s="58"/>
      <c r="AN140" s="59"/>
      <c r="AO140" s="56"/>
      <c r="AP140" s="347"/>
      <c r="AQ140" s="347"/>
      <c r="AR140" s="347"/>
      <c r="AS140" s="347"/>
      <c r="AT140" s="347"/>
      <c r="AU140" s="63"/>
      <c r="AV140" s="58"/>
      <c r="AW140" s="59"/>
      <c r="AX140" s="56"/>
      <c r="AY140" s="63"/>
      <c r="AZ140" s="58"/>
      <c r="BA140" s="59"/>
      <c r="BB140" s="56"/>
      <c r="BC140" s="63"/>
      <c r="BD140" s="58"/>
      <c r="BE140" s="59"/>
      <c r="BF140" s="62"/>
      <c r="BG140" s="63"/>
      <c r="BH140" s="58"/>
      <c r="BI140" s="59"/>
      <c r="BJ140" s="62"/>
      <c r="BK140" s="63"/>
      <c r="BL140" s="58"/>
      <c r="BM140" s="59"/>
      <c r="BN140" s="203"/>
      <c r="BO140" s="63"/>
      <c r="BP140" s="58"/>
      <c r="BQ140" s="61"/>
      <c r="BR140" s="66"/>
      <c r="BS140" s="349"/>
      <c r="BT140" s="69"/>
      <c r="BU140" s="70"/>
      <c r="BV140" s="293"/>
      <c r="BW140" s="3"/>
      <c r="BX140" s="3"/>
      <c r="BY140" s="3"/>
      <c r="BZ140" s="3"/>
      <c r="CA140" s="3"/>
      <c r="CB140" s="3"/>
    </row>
    <row r="141" ht="15.75" customHeight="1">
      <c r="A141" s="3"/>
      <c r="B141" s="3"/>
      <c r="C141" s="3"/>
      <c r="D141" s="3"/>
      <c r="E141" s="3"/>
      <c r="F141" s="3"/>
      <c r="G141" s="3"/>
      <c r="H141" s="3"/>
      <c r="I141" s="3"/>
      <c r="J141" s="294" t="s">
        <v>64</v>
      </c>
      <c r="K141" s="295"/>
      <c r="L141" s="74" t="s">
        <v>63</v>
      </c>
      <c r="M141" s="75" t="s">
        <v>63</v>
      </c>
      <c r="N141" s="76" t="s">
        <v>63</v>
      </c>
      <c r="O141" s="77" t="s">
        <v>65</v>
      </c>
      <c r="P141" s="74" t="s">
        <v>63</v>
      </c>
      <c r="Q141" s="204" t="s">
        <v>63</v>
      </c>
      <c r="R141" s="76" t="s">
        <v>63</v>
      </c>
      <c r="S141" s="79" t="s">
        <v>65</v>
      </c>
      <c r="T141" s="74" t="s">
        <v>63</v>
      </c>
      <c r="U141" s="81" t="s">
        <v>63</v>
      </c>
      <c r="V141" s="76" t="s">
        <v>63</v>
      </c>
      <c r="W141" s="77" t="s">
        <v>65</v>
      </c>
      <c r="X141" s="74" t="s">
        <v>63</v>
      </c>
      <c r="Y141" s="81" t="s">
        <v>63</v>
      </c>
      <c r="Z141" s="76" t="s">
        <v>63</v>
      </c>
      <c r="AA141" s="77" t="s">
        <v>65</v>
      </c>
      <c r="AB141" s="74" t="s">
        <v>63</v>
      </c>
      <c r="AC141" s="81" t="s">
        <v>63</v>
      </c>
      <c r="AD141" s="76" t="s">
        <v>63</v>
      </c>
      <c r="AE141" s="77" t="s">
        <v>65</v>
      </c>
      <c r="AF141" s="74" t="s">
        <v>63</v>
      </c>
      <c r="AG141" s="81" t="s">
        <v>63</v>
      </c>
      <c r="AH141" s="81" t="s">
        <v>63</v>
      </c>
      <c r="AI141" s="81" t="s">
        <v>63</v>
      </c>
      <c r="AJ141" s="81" t="s">
        <v>63</v>
      </c>
      <c r="AK141" s="81" t="s">
        <v>63</v>
      </c>
      <c r="AL141" s="351">
        <f t="shared" ref="AL141:AL143" si="837">SUM(AG141:AK141)</f>
        <v>0</v>
      </c>
      <c r="AM141" s="352" t="str">
        <f t="shared" ref="AM141:AM145" si="838">IFERROR(AL141-AF141,"-")</f>
        <v>-</v>
      </c>
      <c r="AN141" s="77" t="s">
        <v>65</v>
      </c>
      <c r="AO141" s="74" t="s">
        <v>63</v>
      </c>
      <c r="AP141" s="350">
        <f t="shared" ref="AP141:AT141" si="836">AP142/($BR$6-($L$6+$P$6))</f>
        <v>0</v>
      </c>
      <c r="AQ141" s="350">
        <f t="shared" si="836"/>
        <v>0</v>
      </c>
      <c r="AR141" s="350">
        <f t="shared" si="836"/>
        <v>0</v>
      </c>
      <c r="AS141" s="350">
        <f t="shared" si="836"/>
        <v>0</v>
      </c>
      <c r="AT141" s="350">
        <f t="shared" si="836"/>
        <v>0</v>
      </c>
      <c r="AU141" s="351" t="s">
        <v>63</v>
      </c>
      <c r="AV141" s="76" t="s">
        <v>63</v>
      </c>
      <c r="AW141" s="77" t="s">
        <v>65</v>
      </c>
      <c r="AX141" s="74" t="s">
        <v>63</v>
      </c>
      <c r="AY141" s="81" t="s">
        <v>63</v>
      </c>
      <c r="AZ141" s="76" t="s">
        <v>63</v>
      </c>
      <c r="BA141" s="77" t="s">
        <v>65</v>
      </c>
      <c r="BB141" s="74" t="s">
        <v>63</v>
      </c>
      <c r="BC141" s="81" t="s">
        <v>63</v>
      </c>
      <c r="BD141" s="76" t="s">
        <v>63</v>
      </c>
      <c r="BE141" s="77" t="s">
        <v>65</v>
      </c>
      <c r="BF141" s="80">
        <v>0.2</v>
      </c>
      <c r="BG141" s="81">
        <f>BG142/(BR142-(L142+P142+T142+X142+AB142+AF142+AO142+AX142+BB142))</f>
        <v>0</v>
      </c>
      <c r="BH141" s="76" t="s">
        <v>63</v>
      </c>
      <c r="BI141" s="77" t="s">
        <v>65</v>
      </c>
      <c r="BJ141" s="80">
        <v>0.3</v>
      </c>
      <c r="BK141" s="81">
        <f>BK142/(BR142-(L142+P142+T142+X142+AB142+AF142+AO142+AX142+BB142))</f>
        <v>0</v>
      </c>
      <c r="BL141" s="76" t="s">
        <v>63</v>
      </c>
      <c r="BM141" s="77" t="s">
        <v>65</v>
      </c>
      <c r="BN141" s="205">
        <v>0.5</v>
      </c>
      <c r="BO141" s="81">
        <f>BO142/(BR142-(L142+P142+T142+X142++AB142+AF142+AO142+AX142+BB142))</f>
        <v>0</v>
      </c>
      <c r="BP141" s="76" t="s">
        <v>63</v>
      </c>
      <c r="BQ141" s="79" t="s">
        <v>65</v>
      </c>
      <c r="BR141" s="84">
        <f>SUM(BF141,BJ141,BN141)</f>
        <v>1</v>
      </c>
      <c r="BS141" s="350">
        <f>SUM(AG141,AU141,AY141,BC141,BG141,BK141,BO141)</f>
        <v>0</v>
      </c>
      <c r="BT141" s="88"/>
      <c r="BU141" s="89" t="s">
        <v>63</v>
      </c>
      <c r="BV141" s="293"/>
      <c r="BW141" s="3"/>
      <c r="BX141" s="3"/>
      <c r="BY141" s="3"/>
      <c r="BZ141" s="3"/>
      <c r="CA141" s="3"/>
      <c r="CB141" s="3"/>
    </row>
    <row r="142" ht="15.75" customHeight="1">
      <c r="J142" s="294" t="s">
        <v>66</v>
      </c>
      <c r="K142" s="295"/>
      <c r="L142" s="296">
        <v>0.0</v>
      </c>
      <c r="M142" s="91">
        <v>0.0</v>
      </c>
      <c r="N142" s="92">
        <f t="shared" ref="N142:N145" si="839">IFERROR(M142-L142,"-")</f>
        <v>0</v>
      </c>
      <c r="O142" s="93" t="str">
        <f t="shared" ref="O142:O145" si="840">IFERROR(M142/L142-1,"-")</f>
        <v>-</v>
      </c>
      <c r="P142" s="296">
        <v>0.0</v>
      </c>
      <c r="Q142" s="91">
        <v>0.0</v>
      </c>
      <c r="R142" s="92">
        <f t="shared" ref="R142:R145" si="841">IFERROR(Q142-P142,"-")</f>
        <v>0</v>
      </c>
      <c r="S142" s="95" t="str">
        <f t="shared" ref="S142:S145" si="842">IFERROR(Q142/P142-1,"-")</f>
        <v>-</v>
      </c>
      <c r="T142" s="297">
        <v>0.0</v>
      </c>
      <c r="U142" s="91">
        <v>0.0</v>
      </c>
      <c r="V142" s="92">
        <f t="shared" ref="V142:V145" si="843">IFERROR(U142-T142,"-")</f>
        <v>0</v>
      </c>
      <c r="W142" s="93" t="str">
        <f t="shared" ref="W142:W145" si="844">IFERROR(U142/T142-1,"-")</f>
        <v>-</v>
      </c>
      <c r="X142" s="297">
        <v>0.0</v>
      </c>
      <c r="Y142" s="91">
        <v>0.0</v>
      </c>
      <c r="Z142" s="92">
        <f t="shared" ref="Z142:Z145" si="845">IFERROR(Y142-X142,"-")</f>
        <v>0</v>
      </c>
      <c r="AA142" s="93" t="str">
        <f t="shared" ref="AA142:AA145" si="846">IFERROR(Y142/X142-1,"-")</f>
        <v>-</v>
      </c>
      <c r="AB142" s="297">
        <v>0.0</v>
      </c>
      <c r="AC142" s="91">
        <v>0.0</v>
      </c>
      <c r="AD142" s="92">
        <f t="shared" ref="AD142:AD145" si="847">IFERROR(AC142-AB142,"-")</f>
        <v>0</v>
      </c>
      <c r="AE142" s="93" t="str">
        <f t="shared" ref="AE142:AE145" si="848">IFERROR(AC142/AB142-1,"-")</f>
        <v>-</v>
      </c>
      <c r="AF142" s="297">
        <v>0.0</v>
      </c>
      <c r="AG142" s="91">
        <v>0.0</v>
      </c>
      <c r="AH142" s="91">
        <v>0.0</v>
      </c>
      <c r="AI142" s="91">
        <v>0.0</v>
      </c>
      <c r="AJ142" s="91">
        <v>0.0</v>
      </c>
      <c r="AK142" s="91">
        <v>0.0</v>
      </c>
      <c r="AL142" s="355">
        <f t="shared" si="837"/>
        <v>0</v>
      </c>
      <c r="AM142" s="92">
        <f t="shared" si="838"/>
        <v>0</v>
      </c>
      <c r="AN142" s="93" t="str">
        <f t="shared" ref="AN142:AN145" si="849">IFERROR(AL142/AF142-1,"-")</f>
        <v>-</v>
      </c>
      <c r="AO142" s="297">
        <v>0.0</v>
      </c>
      <c r="AP142" s="100">
        <v>0.0</v>
      </c>
      <c r="AQ142" s="353">
        <v>0.0</v>
      </c>
      <c r="AR142" s="354"/>
      <c r="AS142" s="354"/>
      <c r="AT142" s="354"/>
      <c r="AU142" s="91">
        <f t="shared" ref="AU142:AU143" si="850">SUM(AP142:AT142)</f>
        <v>0</v>
      </c>
      <c r="AV142" s="92">
        <f t="shared" ref="AV142:AV145" si="851">IFERROR(AU142-AO142,"-")</f>
        <v>0</v>
      </c>
      <c r="AW142" s="93" t="str">
        <f t="shared" ref="AW142:AW145" si="852">IFERROR(AU142/AO142-1,"-")</f>
        <v>-</v>
      </c>
      <c r="AX142" s="297">
        <v>0.0</v>
      </c>
      <c r="AY142" s="91">
        <v>0.0</v>
      </c>
      <c r="AZ142" s="92">
        <f t="shared" ref="AZ142:AZ145" si="853">IFERROR(AY142-AX142,"-")</f>
        <v>0</v>
      </c>
      <c r="BA142" s="93" t="str">
        <f t="shared" ref="BA142:BA145" si="854">IFERROR(AY142/AX142-1,"-")</f>
        <v>-</v>
      </c>
      <c r="BB142" s="297">
        <v>0.0</v>
      </c>
      <c r="BC142" s="91">
        <v>0.0</v>
      </c>
      <c r="BD142" s="92">
        <f t="shared" ref="BD142:BD145" si="855">IFERROR(BC142-BB142,"-")</f>
        <v>0</v>
      </c>
      <c r="BE142" s="93" t="str">
        <f t="shared" ref="BE142:BE145" si="856">IFERROR(BC142/BB142-1,"-")</f>
        <v>-</v>
      </c>
      <c r="BF142" s="298">
        <f>BF141*BR142</f>
        <v>18000</v>
      </c>
      <c r="BG142" s="91">
        <v>0.0</v>
      </c>
      <c r="BH142" s="92">
        <f t="shared" ref="BH142:BH145" si="857">IFERROR(BG142-BF142,"-")</f>
        <v>-18000</v>
      </c>
      <c r="BI142" s="93">
        <f t="shared" ref="BI142:BI145" si="858">IFERROR(BG142/BF142-1,"-")</f>
        <v>-1</v>
      </c>
      <c r="BJ142" s="298">
        <f>BJ141*BU142</f>
        <v>106979.784</v>
      </c>
      <c r="BK142" s="91">
        <v>0.0</v>
      </c>
      <c r="BL142" s="92">
        <f t="shared" ref="BL142:BL145" si="859">IFERROR(BK142-BJ142,"-")</f>
        <v>-106979.784</v>
      </c>
      <c r="BM142" s="93">
        <f t="shared" ref="BM142:BM145" si="860">IFERROR(BK142/BJ142-1,"-")</f>
        <v>-1</v>
      </c>
      <c r="BN142" s="299">
        <f>BN141*BR142</f>
        <v>45000</v>
      </c>
      <c r="BO142" s="91">
        <v>0.0</v>
      </c>
      <c r="BP142" s="92">
        <f t="shared" ref="BP142:BP145" si="861">IFERROR(BO142-BN142,"-")</f>
        <v>-45000</v>
      </c>
      <c r="BQ142" s="95">
        <f t="shared" ref="BQ142:BQ145" si="862">IFERROR(BO142/BN142-1,"-")</f>
        <v>-1</v>
      </c>
      <c r="BR142" s="300">
        <v>90000.0</v>
      </c>
      <c r="BS142" s="102">
        <f t="shared" ref="BS142:BS143" si="863">SUM(M142,Q142,U142,Y142,AC142,AG142,AU142,AY142,BC142,BG142,BK142,BO142)</f>
        <v>0</v>
      </c>
      <c r="BT142" s="104">
        <f t="shared" ref="BT142:BT145" si="864">IFERROR(BS142/BR142-1,"-")</f>
        <v>-1</v>
      </c>
      <c r="BU142" s="105">
        <v>356599.28</v>
      </c>
      <c r="BV142" s="106">
        <f t="shared" ref="BV142:BV143" si="865">BR142/BU142</f>
        <v>0.2523841327</v>
      </c>
      <c r="BW142" s="3"/>
      <c r="BX142" s="3"/>
      <c r="BY142" s="3"/>
      <c r="BZ142" s="3"/>
      <c r="CA142" s="3"/>
    </row>
    <row r="143" ht="15.75" customHeight="1">
      <c r="J143" s="294" t="s">
        <v>67</v>
      </c>
      <c r="K143" s="301"/>
      <c r="L143" s="302">
        <f>L142/$K$144</f>
        <v>0</v>
      </c>
      <c r="M143" s="109">
        <v>0.0</v>
      </c>
      <c r="N143" s="110">
        <f t="shared" si="839"/>
        <v>0</v>
      </c>
      <c r="O143" s="93" t="str">
        <f t="shared" si="840"/>
        <v>-</v>
      </c>
      <c r="P143" s="302">
        <f>P142/$K$144</f>
        <v>0</v>
      </c>
      <c r="Q143" s="109">
        <v>0.0</v>
      </c>
      <c r="R143" s="110">
        <f t="shared" si="841"/>
        <v>0</v>
      </c>
      <c r="S143" s="95" t="str">
        <f t="shared" si="842"/>
        <v>-</v>
      </c>
      <c r="T143" s="302">
        <f>T142/$K$144</f>
        <v>0</v>
      </c>
      <c r="U143" s="109">
        <v>0.0</v>
      </c>
      <c r="V143" s="110">
        <f t="shared" si="843"/>
        <v>0</v>
      </c>
      <c r="W143" s="93" t="str">
        <f t="shared" si="844"/>
        <v>-</v>
      </c>
      <c r="X143" s="302">
        <f>X142/$K$144</f>
        <v>0</v>
      </c>
      <c r="Y143" s="109">
        <v>0.0</v>
      </c>
      <c r="Z143" s="110">
        <f t="shared" si="845"/>
        <v>0</v>
      </c>
      <c r="AA143" s="93" t="str">
        <f t="shared" si="846"/>
        <v>-</v>
      </c>
      <c r="AB143" s="302">
        <f>AB142/$K$144</f>
        <v>0</v>
      </c>
      <c r="AC143" s="109">
        <v>0.0</v>
      </c>
      <c r="AD143" s="110">
        <f t="shared" si="847"/>
        <v>0</v>
      </c>
      <c r="AE143" s="93" t="str">
        <f t="shared" si="848"/>
        <v>-</v>
      </c>
      <c r="AF143" s="302">
        <f>AF142/$K$144</f>
        <v>0</v>
      </c>
      <c r="AG143" s="109">
        <v>0.0</v>
      </c>
      <c r="AH143" s="109">
        <v>0.0</v>
      </c>
      <c r="AI143" s="109">
        <v>0.0</v>
      </c>
      <c r="AJ143" s="109">
        <v>0.0</v>
      </c>
      <c r="AK143" s="109">
        <v>0.0</v>
      </c>
      <c r="AL143" s="358">
        <f t="shared" si="837"/>
        <v>0</v>
      </c>
      <c r="AM143" s="110">
        <f t="shared" si="838"/>
        <v>0</v>
      </c>
      <c r="AN143" s="93" t="str">
        <f t="shared" si="849"/>
        <v>-</v>
      </c>
      <c r="AO143" s="302">
        <f>AO142/$K$144</f>
        <v>0</v>
      </c>
      <c r="AP143" s="114">
        <v>0.0</v>
      </c>
      <c r="AQ143" s="356">
        <v>0.0</v>
      </c>
      <c r="AR143" s="357"/>
      <c r="AS143" s="357"/>
      <c r="AT143" s="357"/>
      <c r="AU143" s="109">
        <f t="shared" si="850"/>
        <v>0</v>
      </c>
      <c r="AV143" s="110">
        <f t="shared" si="851"/>
        <v>0</v>
      </c>
      <c r="AW143" s="93" t="str">
        <f t="shared" si="852"/>
        <v>-</v>
      </c>
      <c r="AX143" s="302">
        <f>AX142/$K$144</f>
        <v>0</v>
      </c>
      <c r="AY143" s="109">
        <v>0.0</v>
      </c>
      <c r="AZ143" s="110">
        <f t="shared" si="853"/>
        <v>0</v>
      </c>
      <c r="BA143" s="93" t="str">
        <f t="shared" si="854"/>
        <v>-</v>
      </c>
      <c r="BB143" s="302">
        <f>BB142/$K$144</f>
        <v>0</v>
      </c>
      <c r="BC143" s="109">
        <v>0.0</v>
      </c>
      <c r="BD143" s="110">
        <f t="shared" si="855"/>
        <v>0</v>
      </c>
      <c r="BE143" s="93" t="str">
        <f t="shared" si="856"/>
        <v>-</v>
      </c>
      <c r="BF143" s="303">
        <f>BF142/'planej.OPS-OTIMISTA_26'!$K$102</f>
        <v>178.2178218</v>
      </c>
      <c r="BG143" s="109">
        <v>0.0</v>
      </c>
      <c r="BH143" s="110">
        <f t="shared" si="857"/>
        <v>-178.2178218</v>
      </c>
      <c r="BI143" s="93">
        <f t="shared" si="858"/>
        <v>-1</v>
      </c>
      <c r="BJ143" s="303">
        <f>BJ142/'planej.OPS-OTIMISTA_26'!$K$102</f>
        <v>1059.205782</v>
      </c>
      <c r="BK143" s="109">
        <v>0.0</v>
      </c>
      <c r="BL143" s="110">
        <f t="shared" si="859"/>
        <v>-1059.205782</v>
      </c>
      <c r="BM143" s="93">
        <f t="shared" si="860"/>
        <v>-1</v>
      </c>
      <c r="BN143" s="304">
        <f>BN142/'planej.OPS-OTIMISTA_26'!$K$102</f>
        <v>445.5445545</v>
      </c>
      <c r="BO143" s="109">
        <v>0.0</v>
      </c>
      <c r="BP143" s="110">
        <f t="shared" si="861"/>
        <v>-445.5445545</v>
      </c>
      <c r="BQ143" s="95">
        <f t="shared" si="862"/>
        <v>-1</v>
      </c>
      <c r="BR143" s="206">
        <f>SUM(L143,T143,X143,AB143,AF143,AO143,AX143,BB143,BF143,BJ143,BN143)</f>
        <v>1682.968158</v>
      </c>
      <c r="BS143" s="207">
        <f t="shared" si="863"/>
        <v>0</v>
      </c>
      <c r="BT143" s="104">
        <f t="shared" si="864"/>
        <v>-1</v>
      </c>
      <c r="BU143" s="119">
        <v>11282.0</v>
      </c>
      <c r="BV143" s="106">
        <f t="shared" si="865"/>
        <v>0.1491728557</v>
      </c>
      <c r="BW143" s="3"/>
      <c r="BX143" s="3"/>
      <c r="BY143" s="3"/>
      <c r="BZ143" s="3"/>
      <c r="CA143" s="3"/>
    </row>
    <row r="144" ht="15.75" customHeight="1">
      <c r="J144" s="72" t="s">
        <v>68</v>
      </c>
      <c r="K144" s="301">
        <v>120.0</v>
      </c>
      <c r="L144" s="90" t="str">
        <f t="shared" ref="L144:M144" si="866">IFERROR(L142/L143,"-")</f>
        <v>-</v>
      </c>
      <c r="M144" s="91" t="str">
        <f t="shared" si="866"/>
        <v>-</v>
      </c>
      <c r="N144" s="92" t="str">
        <f t="shared" si="839"/>
        <v>-</v>
      </c>
      <c r="O144" s="93" t="str">
        <f t="shared" si="840"/>
        <v>-</v>
      </c>
      <c r="P144" s="90" t="str">
        <f t="shared" ref="P144:Q144" si="867">IFERROR(P142/P143,"-")</f>
        <v>-</v>
      </c>
      <c r="Q144" s="91" t="str">
        <f t="shared" si="867"/>
        <v>-</v>
      </c>
      <c r="R144" s="92" t="str">
        <f t="shared" si="841"/>
        <v>-</v>
      </c>
      <c r="S144" s="95" t="str">
        <f t="shared" si="842"/>
        <v>-</v>
      </c>
      <c r="T144" s="90" t="str">
        <f t="shared" ref="T144:U144" si="868">IFERROR(T142/T143,"-")</f>
        <v>-</v>
      </c>
      <c r="U144" s="91" t="str">
        <f t="shared" si="868"/>
        <v>-</v>
      </c>
      <c r="V144" s="92" t="str">
        <f t="shared" si="843"/>
        <v>-</v>
      </c>
      <c r="W144" s="93" t="str">
        <f t="shared" si="844"/>
        <v>-</v>
      </c>
      <c r="X144" s="90" t="str">
        <f t="shared" ref="X144:Y144" si="869">IFERROR(X142/X143,"-")</f>
        <v>-</v>
      </c>
      <c r="Y144" s="91" t="str">
        <f t="shared" si="869"/>
        <v>-</v>
      </c>
      <c r="Z144" s="92" t="str">
        <f t="shared" si="845"/>
        <v>-</v>
      </c>
      <c r="AA144" s="93" t="str">
        <f t="shared" si="846"/>
        <v>-</v>
      </c>
      <c r="AB144" s="90" t="str">
        <f t="shared" ref="AB144:AC144" si="870">IFERROR(AB142/AB143,"-")</f>
        <v>-</v>
      </c>
      <c r="AC144" s="91" t="str">
        <f t="shared" si="870"/>
        <v>-</v>
      </c>
      <c r="AD144" s="92" t="str">
        <f t="shared" si="847"/>
        <v>-</v>
      </c>
      <c r="AE144" s="93" t="str">
        <f t="shared" si="848"/>
        <v>-</v>
      </c>
      <c r="AF144" s="393" t="str">
        <f t="shared" ref="AF144:AL144" si="871">IFERROR(AF142/AF143,"-")</f>
        <v>-</v>
      </c>
      <c r="AG144" s="370" t="str">
        <f t="shared" si="871"/>
        <v>-</v>
      </c>
      <c r="AH144" s="370" t="str">
        <f t="shared" si="871"/>
        <v>-</v>
      </c>
      <c r="AI144" s="370" t="str">
        <f t="shared" si="871"/>
        <v>-</v>
      </c>
      <c r="AJ144" s="370" t="str">
        <f t="shared" si="871"/>
        <v>-</v>
      </c>
      <c r="AK144" s="370" t="str">
        <f t="shared" si="871"/>
        <v>-</v>
      </c>
      <c r="AL144" s="372" t="str">
        <f t="shared" si="871"/>
        <v>-</v>
      </c>
      <c r="AM144" s="92" t="str">
        <f t="shared" si="838"/>
        <v>-</v>
      </c>
      <c r="AN144" s="93" t="str">
        <f t="shared" si="849"/>
        <v>-</v>
      </c>
      <c r="AO144" s="90" t="str">
        <f t="shared" ref="AO144:AU144" si="872">IFERROR(AO142/AO143,"-")</f>
        <v>-</v>
      </c>
      <c r="AP144" s="91" t="str">
        <f t="shared" si="872"/>
        <v>-</v>
      </c>
      <c r="AQ144" s="91" t="str">
        <f t="shared" si="872"/>
        <v>-</v>
      </c>
      <c r="AR144" s="359" t="str">
        <f t="shared" si="872"/>
        <v>-</v>
      </c>
      <c r="AS144" s="359" t="str">
        <f t="shared" si="872"/>
        <v>-</v>
      </c>
      <c r="AT144" s="359" t="str">
        <f t="shared" si="872"/>
        <v>-</v>
      </c>
      <c r="AU144" s="91" t="str">
        <f t="shared" si="872"/>
        <v>-</v>
      </c>
      <c r="AV144" s="92" t="str">
        <f t="shared" si="851"/>
        <v>-</v>
      </c>
      <c r="AW144" s="93" t="str">
        <f t="shared" si="852"/>
        <v>-</v>
      </c>
      <c r="AX144" s="90" t="str">
        <f t="shared" ref="AX144:AY144" si="873">IFERROR(AX142/AX143,"-")</f>
        <v>-</v>
      </c>
      <c r="AY144" s="91" t="str">
        <f t="shared" si="873"/>
        <v>-</v>
      </c>
      <c r="AZ144" s="92" t="str">
        <f t="shared" si="853"/>
        <v>-</v>
      </c>
      <c r="BA144" s="93" t="str">
        <f t="shared" si="854"/>
        <v>-</v>
      </c>
      <c r="BB144" s="90" t="str">
        <f t="shared" ref="BB144:BC144" si="874">IFERROR(BB142/BB143,"-")</f>
        <v>-</v>
      </c>
      <c r="BC144" s="91" t="str">
        <f t="shared" si="874"/>
        <v>-</v>
      </c>
      <c r="BD144" s="92" t="str">
        <f t="shared" si="855"/>
        <v>-</v>
      </c>
      <c r="BE144" s="93" t="str">
        <f t="shared" si="856"/>
        <v>-</v>
      </c>
      <c r="BF144" s="303">
        <f>BF142/BF143</f>
        <v>101</v>
      </c>
      <c r="BG144" s="91" t="str">
        <f>IFERROR(BG142/BG143,"-")</f>
        <v>-</v>
      </c>
      <c r="BH144" s="92" t="str">
        <f t="shared" si="857"/>
        <v>-</v>
      </c>
      <c r="BI144" s="93" t="str">
        <f t="shared" si="858"/>
        <v>-</v>
      </c>
      <c r="BJ144" s="303">
        <f>BJ142/BJ143</f>
        <v>101</v>
      </c>
      <c r="BK144" s="91" t="str">
        <f>IFERROR(BK142/BK143,"-")</f>
        <v>-</v>
      </c>
      <c r="BL144" s="92" t="str">
        <f t="shared" si="859"/>
        <v>-</v>
      </c>
      <c r="BM144" s="93" t="str">
        <f t="shared" si="860"/>
        <v>-</v>
      </c>
      <c r="BN144" s="304">
        <f>BN142/BN143</f>
        <v>101</v>
      </c>
      <c r="BO144" s="91" t="str">
        <f>IFERROR(BO142/BO143,"-")</f>
        <v>-</v>
      </c>
      <c r="BP144" s="92" t="str">
        <f t="shared" si="861"/>
        <v>-</v>
      </c>
      <c r="BQ144" s="95" t="str">
        <f t="shared" si="862"/>
        <v>-</v>
      </c>
      <c r="BR144" s="115">
        <f>BR142/BR143</f>
        <v>53.47694759</v>
      </c>
      <c r="BS144" s="91" t="str">
        <f>IFERROR(BS142/BS143,"-")</f>
        <v>-</v>
      </c>
      <c r="BT144" s="104" t="str">
        <f t="shared" si="864"/>
        <v>-</v>
      </c>
      <c r="BU144" s="119">
        <f>BU142/BU143</f>
        <v>31.60780713</v>
      </c>
      <c r="BV144" s="106"/>
      <c r="BW144" s="3"/>
      <c r="BX144" s="3"/>
      <c r="BY144" s="3"/>
      <c r="BZ144" s="3"/>
      <c r="CA144" s="3"/>
    </row>
    <row r="145" ht="15.75" customHeight="1">
      <c r="J145" s="305" t="s">
        <v>69</v>
      </c>
      <c r="K145" s="306" t="s">
        <v>63</v>
      </c>
      <c r="L145" s="307">
        <f t="shared" ref="L145:M145" si="875">IF(L143=0, 0,
  MIN(L143, 10000) * 4 +
  MAX(0, MIN(L143, 20000) - 10000) * 3 +
  MAX(0, MIN(L143, 40000) - 20000) * 2 +
  MAX(0, MIN(L143, 80000) - 40000) * 1 +
  MAX(0, MIN(L143, 100000) - 80000) * 0.5 +
  MAX(0, L143 - 100000) * 0.25
)</f>
        <v>0</v>
      </c>
      <c r="M145" s="308">
        <f t="shared" si="875"/>
        <v>0</v>
      </c>
      <c r="N145" s="128">
        <f t="shared" si="839"/>
        <v>0</v>
      </c>
      <c r="O145" s="129" t="str">
        <f t="shared" si="840"/>
        <v>-</v>
      </c>
      <c r="P145" s="307">
        <f t="shared" ref="P145:Q145" si="876">IF(P143=0, 0,
  MIN(P143, 10000) * 4 +
  MAX(0, MIN(P143, 20000) - 10000) * 3 +
  MAX(0, MIN(P143, 40000) - 20000) * 2 +
  MAX(0, MIN(P143, 80000) - 40000) * 1 +
  MAX(0, MIN(P143, 100000) - 80000) * 0.5 +
  MAX(0, P143 - 100000) * 0.25
)</f>
        <v>0</v>
      </c>
      <c r="Q145" s="308">
        <f t="shared" si="876"/>
        <v>0</v>
      </c>
      <c r="R145" s="128">
        <f t="shared" si="841"/>
        <v>0</v>
      </c>
      <c r="S145" s="131" t="str">
        <f t="shared" si="842"/>
        <v>-</v>
      </c>
      <c r="T145" s="307">
        <f t="shared" ref="T145:U145" si="877">IF(T143=0, 0,
  MIN(T143, 10000) * 4 +
  MAX(0, MIN(T143, 20000) - 10000) * 3 +
  MAX(0, MIN(T143, 40000) - 20000) * 2 +
  MAX(0, MIN(T143, 80000) - 40000) * 1 +
  MAX(0, MIN(T143, 100000) - 80000) * 0.5 +
  MAX(0, T143 - 100000) * 0.25
)</f>
        <v>0</v>
      </c>
      <c r="U145" s="308">
        <f t="shared" si="877"/>
        <v>0</v>
      </c>
      <c r="V145" s="128">
        <f t="shared" si="843"/>
        <v>0</v>
      </c>
      <c r="W145" s="129" t="str">
        <f t="shared" si="844"/>
        <v>-</v>
      </c>
      <c r="X145" s="307">
        <f t="shared" ref="X145:Y145" si="878">IF(X143=0, 0,
  MIN(X143, 10000) * 4 +
  MAX(0, MIN(X143, 20000) - 10000) * 3 +
  MAX(0, MIN(X143, 40000) - 20000) * 2 +
  MAX(0, MIN(X143, 80000) - 40000) * 1 +
  MAX(0, MIN(X143, 100000) - 80000) * 0.5 +
  MAX(0, X143 - 100000) * 0.25
)</f>
        <v>0</v>
      </c>
      <c r="Y145" s="308">
        <f t="shared" si="878"/>
        <v>0</v>
      </c>
      <c r="Z145" s="128">
        <f t="shared" si="845"/>
        <v>0</v>
      </c>
      <c r="AA145" s="129" t="str">
        <f t="shared" si="846"/>
        <v>-</v>
      </c>
      <c r="AB145" s="307">
        <f t="shared" ref="AB145:AC145" si="879">IF(AB143=0, 0,
  MIN(AB143, 10000) * 4 +
  MAX(0, MIN(AB143, 20000) - 10000) * 3 +
  MAX(0, MIN(AB143, 40000) - 20000) * 2 +
  MAX(0, MIN(AB143, 80000) - 40000) * 1 +
  MAX(0, MIN(AB143, 100000) - 80000) * 0.5 +
  MAX(0, AB143 - 100000) * 0.25
)</f>
        <v>0</v>
      </c>
      <c r="AC145" s="308">
        <f t="shared" si="879"/>
        <v>0</v>
      </c>
      <c r="AD145" s="128">
        <f t="shared" si="847"/>
        <v>0</v>
      </c>
      <c r="AE145" s="134" t="str">
        <f t="shared" si="848"/>
        <v>-</v>
      </c>
      <c r="AF145" s="394">
        <f t="shared" ref="AF145:AL145" si="880">IF(AF143=0, 0,
  MIN(AF143, 10000) * 4 +
  MAX(0, MIN(AF143, 20000) - 10000) * 3 +
  MAX(0, MIN(AF143, 40000) - 20000) * 2 +
  MAX(0, MIN(AF143, 80000) - 40000) * 1 +
  MAX(0, MIN(AF143, 100000) - 80000) * 0.5 +
  MAX(0, AF143 - 100000) * 0.25
)</f>
        <v>0</v>
      </c>
      <c r="AG145" s="390">
        <f t="shared" si="880"/>
        <v>0</v>
      </c>
      <c r="AH145" s="390">
        <f t="shared" si="880"/>
        <v>0</v>
      </c>
      <c r="AI145" s="390">
        <f t="shared" si="880"/>
        <v>0</v>
      </c>
      <c r="AJ145" s="390">
        <f t="shared" si="880"/>
        <v>0</v>
      </c>
      <c r="AK145" s="390">
        <f t="shared" si="880"/>
        <v>0</v>
      </c>
      <c r="AL145" s="390">
        <f t="shared" si="880"/>
        <v>0</v>
      </c>
      <c r="AM145" s="376">
        <f t="shared" si="838"/>
        <v>0</v>
      </c>
      <c r="AN145" s="129" t="str">
        <f t="shared" si="849"/>
        <v>-</v>
      </c>
      <c r="AO145" s="307">
        <f>IF(AO143=0, 0,
  MIN(AO143, 10000) * 4 +
  MAX(0, MIN(AO143, 20000) - 10000) * 3 +
  MAX(0, MIN(AO143, 40000) - 20000) * 2 +
  MAX(0, MIN(AO143, 80000) - 40000) * 1 +
  MAX(0, MIN(AO143, 100000) - 80000) * 0.5 +
  MAX(0, AO143 - 100000) * 0.25
)</f>
        <v>0</v>
      </c>
      <c r="AP145" s="130">
        <f t="shared" ref="AP145:AT145" si="881">AP142*$K$9</f>
        <v>0</v>
      </c>
      <c r="AQ145" s="130">
        <f t="shared" si="881"/>
        <v>0</v>
      </c>
      <c r="AR145" s="361">
        <f t="shared" si="881"/>
        <v>0</v>
      </c>
      <c r="AS145" s="361">
        <f t="shared" si="881"/>
        <v>0</v>
      </c>
      <c r="AT145" s="361">
        <f t="shared" si="881"/>
        <v>0</v>
      </c>
      <c r="AU145" s="127">
        <f>IF(AU143=0, 0,
  MIN(AU143, 10000) * 4 +
  MAX(0, MIN(AU143, 20000) - 10000) * 3 +
  MAX(0, MIN(AU143, 40000) - 20000) * 2 +
  MAX(0, MIN(AU143, 80000) - 40000) * 1 +
  MAX(0, MIN(AU143, 100000) - 80000) * 0.5 +
  MAX(0, AU143 - 100000) * 0.25
)</f>
        <v>0</v>
      </c>
      <c r="AV145" s="128">
        <f t="shared" si="851"/>
        <v>0</v>
      </c>
      <c r="AW145" s="129" t="str">
        <f t="shared" si="852"/>
        <v>-</v>
      </c>
      <c r="AX145" s="307">
        <f t="shared" ref="AX145:AY145" si="882">IF(AX143=0, 0,
  MIN(AX143, 10000) * 4 +
  MAX(0, MIN(AX143, 20000) - 10000) * 3 +
  MAX(0, MIN(AX143, 40000) - 20000) * 2 +
  MAX(0, MIN(AX143, 80000) - 40000) * 1 +
  MAX(0, MIN(AX143, 100000) - 80000) * 0.5 +
  MAX(0, AX143 - 100000) * 0.25
)</f>
        <v>0</v>
      </c>
      <c r="AY145" s="127">
        <f t="shared" si="882"/>
        <v>0</v>
      </c>
      <c r="AZ145" s="128">
        <f t="shared" si="853"/>
        <v>0</v>
      </c>
      <c r="BA145" s="129" t="str">
        <f t="shared" si="854"/>
        <v>-</v>
      </c>
      <c r="BB145" s="307">
        <f t="shared" ref="BB145:BC145" si="883">IF(BB143=0, 0,
  MIN(BB143, 10000) * 4 +
  MAX(0, MIN(BB143, 20000) - 10000) * 3 +
  MAX(0, MIN(BB143, 40000) - 20000) * 2 +
  MAX(0, MIN(BB143, 80000) - 40000) * 1 +
  MAX(0, MIN(BB143, 100000) - 80000) * 0.5 +
  MAX(0, BB143 - 100000) * 0.25
)</f>
        <v>0</v>
      </c>
      <c r="BC145" s="308">
        <f t="shared" si="883"/>
        <v>0</v>
      </c>
      <c r="BD145" s="128">
        <f t="shared" si="855"/>
        <v>0</v>
      </c>
      <c r="BE145" s="129" t="str">
        <f t="shared" si="856"/>
        <v>-</v>
      </c>
      <c r="BF145" s="307">
        <f t="shared" ref="BF145:BG145" si="884">IF(BF143=0, 0,
  MIN(BF143, 10000) * 4 +
  MAX(0, MIN(BF143, 20000) - 10000) * 3 +
  MAX(0, MIN(BF143, 40000) - 20000) * 2 +
  MAX(0, MIN(BF143, 80000) - 40000) * 1 +
  MAX(0, MIN(BF143, 100000) - 80000) * 0.5 +
  MAX(0, BF143 - 100000) * 0.25
)</f>
        <v>712.8712871</v>
      </c>
      <c r="BG145" s="127">
        <f t="shared" si="884"/>
        <v>0</v>
      </c>
      <c r="BH145" s="128">
        <f t="shared" si="857"/>
        <v>-712.8712871</v>
      </c>
      <c r="BI145" s="129">
        <f t="shared" si="858"/>
        <v>-1</v>
      </c>
      <c r="BJ145" s="307">
        <f t="shared" ref="BJ145:BK145" si="885">IF(BJ143=0, 0,
  MIN(BJ143, 10000) * 4 +
  MAX(0, MIN(BJ143, 20000) - 10000) * 3 +
  MAX(0, MIN(BJ143, 40000) - 20000) * 2 +
  MAX(0, MIN(BJ143, 80000) - 40000) * 1 +
  MAX(0, MIN(BJ143, 100000) - 80000) * 0.5 +
  MAX(0, BJ143 - 100000) * 0.25
)</f>
        <v>4236.823129</v>
      </c>
      <c r="BK145" s="127">
        <f t="shared" si="885"/>
        <v>0</v>
      </c>
      <c r="BL145" s="128">
        <f t="shared" si="859"/>
        <v>-4236.823129</v>
      </c>
      <c r="BM145" s="129">
        <f t="shared" si="860"/>
        <v>-1</v>
      </c>
      <c r="BN145" s="308">
        <f t="shared" ref="BN145:BO145" si="886">IF(BN143=0, 0,
  MIN(BN143, 10000) * 4 +
  MAX(0, MIN(BN143, 20000) - 10000) * 3 +
  MAX(0, MIN(BN143, 40000) - 20000) * 2 +
  MAX(0, MIN(BN143, 80000) - 40000) * 1 +
  MAX(0, MIN(BN143, 100000) - 80000) * 0.5 +
  MAX(0, BN143 - 100000) * 0.25
)</f>
        <v>1782.178218</v>
      </c>
      <c r="BO145" s="127">
        <f t="shared" si="886"/>
        <v>0</v>
      </c>
      <c r="BP145" s="128">
        <f t="shared" si="861"/>
        <v>-1782.178218</v>
      </c>
      <c r="BQ145" s="131">
        <f t="shared" si="862"/>
        <v>-1</v>
      </c>
      <c r="BR145" s="135">
        <f>SUM(L145,P145,T145,X145,AB145,AF145,AO145,AX145,BB145,BF145,BJ145,BN145)</f>
        <v>6731.872634</v>
      </c>
      <c r="BS145" s="213">
        <f>SUM(M145,Q145,U145,Y145,AC145,AG145,AU145,AY145,BC145,BG145,BK145,BO145)</f>
        <v>0</v>
      </c>
      <c r="BT145" s="139">
        <f t="shared" si="864"/>
        <v>-1</v>
      </c>
      <c r="BU145" s="140">
        <f>BU142*0.04</f>
        <v>14263.9712</v>
      </c>
      <c r="BV145" s="141">
        <f>BR145/BU145</f>
        <v>0.4719493989</v>
      </c>
      <c r="BW145" s="3"/>
      <c r="BX145" s="3"/>
      <c r="BY145" s="3"/>
      <c r="BZ145" s="3"/>
      <c r="CA145" s="3"/>
    </row>
    <row r="146" ht="15.75" customHeight="1">
      <c r="J146" s="3"/>
      <c r="K146" s="3"/>
      <c r="L146" s="3"/>
      <c r="M146" s="3"/>
      <c r="N146" s="3"/>
      <c r="O146" s="3"/>
      <c r="P146" s="3"/>
      <c r="Q146" s="3"/>
      <c r="R146" s="3"/>
      <c r="S146" s="3"/>
      <c r="T146" s="3"/>
      <c r="U146" s="3"/>
      <c r="V146" s="3"/>
      <c r="W146" s="3"/>
      <c r="X146" s="3"/>
      <c r="Y146" s="3"/>
      <c r="Z146" s="3"/>
      <c r="AA146" s="3"/>
      <c r="AB146" s="3"/>
      <c r="AC146" s="3"/>
      <c r="AD146" s="3"/>
      <c r="AE146" s="3"/>
      <c r="AP146" s="363"/>
      <c r="AQ146" s="363"/>
      <c r="AR146" s="363"/>
      <c r="AS146" s="363"/>
      <c r="AT146" s="363"/>
    </row>
    <row r="147" ht="15.75" customHeight="1">
      <c r="J147" s="3"/>
      <c r="K147" s="3"/>
      <c r="L147" s="3"/>
      <c r="M147" s="3"/>
      <c r="N147" s="3"/>
      <c r="O147" s="3"/>
      <c r="P147" s="3"/>
      <c r="Q147" s="3"/>
      <c r="R147" s="3"/>
      <c r="S147" s="3"/>
      <c r="T147" s="3"/>
      <c r="U147" s="3"/>
      <c r="AD147" s="3"/>
      <c r="AE147" s="3"/>
      <c r="AF147" s="3"/>
    </row>
    <row r="148" ht="15.75" customHeight="1">
      <c r="J148" s="15"/>
      <c r="K148" s="238"/>
      <c r="L148" s="151"/>
      <c r="M148" s="15"/>
      <c r="N148" s="15"/>
      <c r="O148" s="15"/>
      <c r="P148" s="15"/>
      <c r="Q148" s="15"/>
      <c r="R148" s="15"/>
      <c r="S148" s="15"/>
      <c r="T148" s="15"/>
      <c r="U148" s="15"/>
      <c r="AE148" s="3"/>
      <c r="AF148" s="3"/>
      <c r="AG148" s="3"/>
      <c r="AH148" s="3"/>
      <c r="AI148" s="3"/>
    </row>
    <row r="149" ht="15.75" customHeight="1">
      <c r="J149" s="15"/>
      <c r="K149" s="238"/>
      <c r="L149" s="15"/>
      <c r="M149" s="15"/>
      <c r="N149" s="15"/>
      <c r="O149" s="15"/>
      <c r="P149" s="15"/>
      <c r="Q149" s="317"/>
      <c r="R149" s="15"/>
      <c r="S149" s="15"/>
      <c r="T149" s="15"/>
      <c r="U149" s="15"/>
      <c r="AE149" s="3"/>
      <c r="AF149" s="3"/>
      <c r="AG149" s="3"/>
      <c r="AH149" s="3"/>
      <c r="AI149" s="3"/>
    </row>
    <row r="150" ht="15.75" customHeight="1">
      <c r="J150" s="15"/>
      <c r="K150" s="238"/>
      <c r="L150" s="15"/>
      <c r="M150" s="15"/>
      <c r="N150" s="15"/>
      <c r="O150" s="15"/>
      <c r="P150" s="15"/>
      <c r="Q150" s="332"/>
      <c r="R150" s="15"/>
      <c r="S150" s="15"/>
      <c r="T150" s="15"/>
      <c r="U150" s="15"/>
      <c r="AE150" s="3"/>
      <c r="AF150" s="3"/>
      <c r="AG150" s="3"/>
      <c r="AH150" s="3"/>
      <c r="AI150" s="3"/>
    </row>
    <row r="151" ht="15.75" customHeight="1">
      <c r="J151" s="15"/>
      <c r="K151" s="238"/>
      <c r="L151" s="15"/>
      <c r="M151" s="15"/>
      <c r="N151" s="15"/>
      <c r="O151" s="15"/>
      <c r="P151" s="15"/>
      <c r="Q151" s="332"/>
      <c r="R151" s="15"/>
      <c r="S151" s="15"/>
      <c r="T151" s="15"/>
      <c r="U151" s="15"/>
      <c r="AE151" s="3"/>
      <c r="AF151" s="3"/>
      <c r="AG151" s="3"/>
      <c r="AH151" s="3"/>
      <c r="AI151" s="3"/>
    </row>
    <row r="152" ht="15.75" customHeight="1">
      <c r="J152" s="15"/>
      <c r="K152" s="238"/>
      <c r="L152" s="15"/>
      <c r="M152" s="15"/>
      <c r="N152" s="15"/>
      <c r="O152" s="15"/>
      <c r="P152" s="15"/>
      <c r="Q152" s="332"/>
      <c r="R152" s="15"/>
      <c r="S152" s="15"/>
      <c r="T152" s="15"/>
      <c r="U152" s="15"/>
      <c r="AE152" s="3"/>
      <c r="AF152" s="3"/>
      <c r="AG152" s="3"/>
      <c r="AH152" s="3"/>
      <c r="AI152" s="3"/>
    </row>
    <row r="153" ht="15.75" customHeight="1">
      <c r="J153" s="15"/>
      <c r="K153" s="238"/>
      <c r="L153" s="15"/>
      <c r="M153" s="15"/>
      <c r="N153" s="15"/>
      <c r="O153" s="15"/>
      <c r="P153" s="15"/>
      <c r="Q153" s="15"/>
      <c r="R153" s="15"/>
      <c r="S153" s="15"/>
      <c r="T153" s="15"/>
      <c r="U153" s="15"/>
      <c r="AD153" s="3"/>
      <c r="AE153" s="3"/>
      <c r="AF153" s="3"/>
    </row>
    <row r="154" ht="15.75" customHeight="1">
      <c r="J154" s="15"/>
      <c r="K154" s="238"/>
      <c r="L154" s="15"/>
      <c r="M154" s="15"/>
      <c r="N154" s="15"/>
      <c r="O154" s="15"/>
      <c r="P154" s="15"/>
      <c r="Q154" s="15"/>
      <c r="R154" s="15"/>
      <c r="S154" s="15"/>
      <c r="T154" s="15"/>
      <c r="U154" s="15"/>
      <c r="V154" s="15"/>
      <c r="W154" s="15"/>
      <c r="X154" s="25"/>
      <c r="Y154" s="14"/>
      <c r="Z154" s="15"/>
      <c r="AA154" s="3"/>
      <c r="AB154" s="3"/>
      <c r="AC154" s="3"/>
      <c r="AD154" s="3"/>
      <c r="AE154" s="3"/>
      <c r="AF154" s="3"/>
    </row>
    <row r="155" ht="15.75" customHeight="1">
      <c r="J155" s="15"/>
      <c r="K155" s="238"/>
      <c r="L155" s="15"/>
      <c r="M155" s="15"/>
      <c r="N155" s="15"/>
      <c r="O155" s="15"/>
      <c r="P155" s="15"/>
      <c r="Q155" s="15"/>
      <c r="R155" s="15"/>
      <c r="S155" s="15"/>
      <c r="T155" s="15"/>
      <c r="U155" s="15"/>
      <c r="V155" s="15"/>
      <c r="W155" s="15"/>
      <c r="X155" s="14"/>
      <c r="Y155" s="14"/>
      <c r="Z155" s="15"/>
      <c r="AA155" s="3"/>
      <c r="AB155" s="3"/>
      <c r="AC155" s="3"/>
      <c r="AD155" s="3"/>
      <c r="AE155" s="3"/>
      <c r="AF155" s="3"/>
    </row>
    <row r="156" ht="15.75" customHeight="1">
      <c r="J156" s="15"/>
      <c r="K156" s="238"/>
      <c r="L156" s="15"/>
      <c r="M156" s="15"/>
      <c r="N156" s="15"/>
      <c r="O156" s="15"/>
      <c r="P156" s="15"/>
      <c r="Q156" s="15"/>
      <c r="R156" s="15"/>
      <c r="S156" s="15"/>
      <c r="T156" s="15"/>
      <c r="U156" s="15"/>
      <c r="V156" s="15"/>
      <c r="W156" s="15"/>
      <c r="X156" s="14"/>
      <c r="Y156" s="14"/>
      <c r="Z156" s="15"/>
      <c r="AA156" s="3"/>
      <c r="AB156" s="3"/>
      <c r="AC156" s="3"/>
      <c r="AD156" s="3"/>
      <c r="AE156" s="3"/>
      <c r="AF156" s="3"/>
    </row>
    <row r="157" ht="15.75" customHeight="1">
      <c r="J157" s="15"/>
      <c r="K157" s="238"/>
      <c r="L157" s="15"/>
      <c r="M157" s="15"/>
      <c r="N157" s="15"/>
      <c r="O157" s="15"/>
      <c r="P157" s="15"/>
      <c r="Q157" s="15"/>
      <c r="R157" s="15"/>
      <c r="S157" s="15"/>
      <c r="T157" s="15"/>
      <c r="U157" s="15"/>
      <c r="V157" s="15"/>
      <c r="W157" s="15"/>
      <c r="X157" s="14"/>
      <c r="Y157" s="14"/>
      <c r="Z157" s="15"/>
      <c r="AA157" s="3"/>
      <c r="AB157" s="3"/>
      <c r="AC157" s="3"/>
      <c r="AD157" s="3"/>
      <c r="AE157" s="3"/>
      <c r="AF157" s="3"/>
    </row>
    <row r="158" ht="15.75" customHeight="1">
      <c r="J158" s="15"/>
      <c r="K158" s="238"/>
      <c r="L158" s="15"/>
      <c r="M158" s="15"/>
      <c r="N158" s="15"/>
      <c r="O158" s="15"/>
      <c r="P158" s="15"/>
      <c r="Q158" s="15"/>
      <c r="R158" s="15"/>
      <c r="S158" s="15"/>
      <c r="T158" s="15"/>
      <c r="U158" s="15"/>
      <c r="V158" s="15"/>
      <c r="W158" s="15"/>
      <c r="X158" s="14"/>
      <c r="Y158" s="14"/>
      <c r="Z158" s="15"/>
      <c r="AA158" s="3"/>
      <c r="AB158" s="3"/>
      <c r="AC158" s="3"/>
      <c r="AD158" s="3"/>
      <c r="AE158" s="3"/>
      <c r="AF158" s="3"/>
    </row>
    <row r="159" ht="15.75" customHeight="1">
      <c r="J159" s="15"/>
      <c r="K159" s="238"/>
      <c r="L159" s="15"/>
      <c r="M159" s="15"/>
      <c r="N159" s="15"/>
      <c r="O159" s="15"/>
      <c r="P159" s="15"/>
      <c r="Q159" s="15"/>
      <c r="R159" s="15"/>
      <c r="S159" s="15"/>
      <c r="T159" s="15"/>
      <c r="U159" s="15"/>
      <c r="V159" s="15"/>
      <c r="W159" s="15"/>
      <c r="X159" s="14"/>
      <c r="Y159" s="14"/>
      <c r="Z159" s="15"/>
      <c r="AA159" s="3"/>
      <c r="AB159" s="3"/>
      <c r="AC159" s="3"/>
      <c r="AD159" s="3"/>
      <c r="AE159" s="3"/>
      <c r="AF159" s="3"/>
    </row>
    <row r="160" ht="15.75" customHeight="1">
      <c r="J160" s="15"/>
      <c r="K160" s="238"/>
      <c r="L160" s="15"/>
      <c r="M160" s="15"/>
      <c r="N160" s="15"/>
      <c r="O160" s="15"/>
      <c r="P160" s="15"/>
      <c r="Q160" s="15"/>
      <c r="R160" s="15"/>
      <c r="S160" s="15"/>
      <c r="T160" s="15"/>
      <c r="U160" s="15"/>
      <c r="V160" s="15"/>
      <c r="W160" s="15"/>
      <c r="X160" s="14"/>
      <c r="Y160" s="14"/>
      <c r="Z160" s="15"/>
      <c r="AA160" s="3"/>
      <c r="AB160" s="3"/>
      <c r="AC160" s="3"/>
      <c r="AD160" s="3"/>
      <c r="AE160" s="3"/>
      <c r="AF160" s="3"/>
    </row>
    <row r="161" ht="15.75" customHeight="1">
      <c r="J161" s="15"/>
      <c r="K161" s="238"/>
      <c r="L161" s="15"/>
      <c r="M161" s="15"/>
      <c r="N161" s="15"/>
      <c r="O161" s="15"/>
      <c r="P161" s="15"/>
      <c r="Q161" s="15"/>
      <c r="R161" s="15"/>
      <c r="S161" s="15"/>
      <c r="T161" s="15"/>
      <c r="U161" s="15"/>
      <c r="V161" s="15"/>
      <c r="W161" s="15"/>
      <c r="X161" s="14"/>
      <c r="Y161" s="14"/>
      <c r="Z161" s="15"/>
      <c r="AA161" s="3"/>
      <c r="AB161" s="3"/>
      <c r="AC161" s="3"/>
      <c r="AD161" s="3"/>
      <c r="AE161" s="3"/>
      <c r="AF161" s="3"/>
    </row>
    <row r="162" ht="15.75" customHeight="1">
      <c r="J162" s="15"/>
      <c r="K162" s="238"/>
      <c r="L162" s="15"/>
      <c r="M162" s="15"/>
      <c r="N162" s="15"/>
      <c r="O162" s="15"/>
      <c r="P162" s="15"/>
      <c r="Q162" s="15"/>
      <c r="R162" s="15"/>
      <c r="S162" s="15"/>
      <c r="T162" s="15"/>
      <c r="U162" s="15"/>
      <c r="V162" s="15"/>
      <c r="W162" s="15"/>
      <c r="X162" s="14"/>
      <c r="Y162" s="14"/>
      <c r="Z162" s="15"/>
      <c r="AA162" s="3"/>
      <c r="AB162" s="3"/>
      <c r="AC162" s="3"/>
      <c r="AD162" s="3"/>
      <c r="AE162" s="3"/>
      <c r="AF162" s="3"/>
    </row>
    <row r="163" ht="15.75" customHeight="1">
      <c r="J163" s="15"/>
      <c r="K163" s="238"/>
      <c r="L163" s="15"/>
      <c r="M163" s="15"/>
      <c r="N163" s="15"/>
      <c r="O163" s="15"/>
      <c r="P163" s="15"/>
      <c r="Q163" s="15"/>
      <c r="R163" s="15"/>
      <c r="S163" s="15"/>
      <c r="T163" s="15"/>
      <c r="U163" s="15"/>
      <c r="V163" s="15"/>
      <c r="W163" s="15"/>
      <c r="X163" s="14"/>
      <c r="Y163" s="14"/>
      <c r="Z163" s="15"/>
      <c r="AA163" s="3"/>
      <c r="AB163" s="3"/>
      <c r="AC163" s="3"/>
      <c r="AD163" s="3"/>
      <c r="AE163" s="3"/>
      <c r="AF163" s="3"/>
    </row>
    <row r="164" ht="15.75" customHeight="1">
      <c r="J164" s="15"/>
      <c r="K164" s="238"/>
      <c r="L164" s="15"/>
      <c r="M164" s="15"/>
      <c r="N164" s="15"/>
      <c r="O164" s="15"/>
      <c r="P164" s="15"/>
      <c r="Q164" s="15"/>
      <c r="R164" s="15"/>
      <c r="S164" s="15"/>
      <c r="T164" s="15"/>
      <c r="U164" s="15"/>
      <c r="V164" s="15"/>
      <c r="W164" s="15"/>
      <c r="X164" s="14"/>
      <c r="Y164" s="14"/>
      <c r="Z164" s="15"/>
      <c r="AA164" s="3"/>
      <c r="AB164" s="3"/>
      <c r="AC164" s="3"/>
      <c r="AD164" s="3"/>
      <c r="AE164" s="3"/>
      <c r="AF164" s="3"/>
    </row>
    <row r="165" ht="15.75" customHeight="1">
      <c r="J165" s="15"/>
      <c r="K165" s="238"/>
      <c r="L165" s="15"/>
      <c r="M165" s="15"/>
      <c r="N165" s="15"/>
      <c r="O165" s="15"/>
      <c r="P165" s="15"/>
      <c r="Q165" s="15"/>
      <c r="R165" s="15"/>
      <c r="S165" s="15"/>
      <c r="T165" s="15"/>
      <c r="U165" s="15"/>
      <c r="V165" s="15"/>
      <c r="W165" s="15"/>
      <c r="X165" s="14"/>
      <c r="Y165" s="14"/>
      <c r="Z165" s="15"/>
      <c r="AA165" s="3"/>
      <c r="AB165" s="3"/>
      <c r="AC165" s="3"/>
      <c r="AD165" s="3"/>
      <c r="AE165" s="3"/>
      <c r="AF165" s="3"/>
    </row>
    <row r="166" ht="15.75" customHeight="1">
      <c r="J166" s="15"/>
      <c r="K166" s="238"/>
      <c r="L166" s="15"/>
      <c r="M166" s="15"/>
      <c r="N166" s="15"/>
      <c r="O166" s="15"/>
      <c r="P166" s="15"/>
      <c r="Q166" s="15"/>
      <c r="R166" s="15"/>
      <c r="S166" s="15"/>
      <c r="T166" s="15"/>
      <c r="U166" s="15"/>
      <c r="V166" s="15"/>
      <c r="W166" s="15"/>
      <c r="X166" s="14"/>
      <c r="Y166" s="14"/>
      <c r="Z166" s="15"/>
      <c r="AA166" s="3"/>
      <c r="AB166" s="3"/>
      <c r="AC166" s="3"/>
      <c r="AD166" s="3"/>
      <c r="AE166" s="3"/>
      <c r="AF166" s="3"/>
    </row>
    <row r="167" ht="15.75" customHeight="1">
      <c r="J167" s="15"/>
      <c r="K167" s="238"/>
      <c r="L167" s="15"/>
      <c r="M167" s="15"/>
      <c r="N167" s="15"/>
      <c r="O167" s="15"/>
      <c r="P167" s="15"/>
      <c r="Q167" s="15"/>
      <c r="R167" s="15"/>
      <c r="S167" s="15"/>
      <c r="T167" s="15"/>
      <c r="U167" s="15"/>
      <c r="V167" s="15"/>
      <c r="W167" s="15"/>
      <c r="X167" s="14"/>
      <c r="Y167" s="14"/>
      <c r="Z167" s="15"/>
      <c r="AA167" s="3"/>
      <c r="AB167" s="3"/>
      <c r="AC167" s="3"/>
      <c r="AD167" s="3"/>
      <c r="AE167" s="3"/>
      <c r="AF167" s="3"/>
    </row>
    <row r="168" ht="15.75" customHeight="1">
      <c r="J168" s="15"/>
      <c r="K168" s="238"/>
      <c r="L168" s="15"/>
      <c r="M168" s="15"/>
      <c r="N168" s="15"/>
      <c r="O168" s="15"/>
      <c r="P168" s="15"/>
      <c r="Q168" s="15"/>
      <c r="R168" s="15"/>
      <c r="S168" s="15"/>
      <c r="T168" s="15"/>
      <c r="U168" s="15"/>
      <c r="V168" s="15"/>
      <c r="W168" s="15"/>
      <c r="X168" s="14"/>
      <c r="Y168" s="14"/>
      <c r="Z168" s="15"/>
      <c r="AA168" s="3"/>
      <c r="AB168" s="3"/>
      <c r="AC168" s="3"/>
      <c r="AD168" s="3"/>
      <c r="AE168" s="3"/>
      <c r="AF168" s="3"/>
    </row>
    <row r="169" ht="15.75" customHeight="1">
      <c r="J169" s="15"/>
      <c r="K169" s="238"/>
      <c r="L169" s="15"/>
      <c r="M169" s="15"/>
      <c r="N169" s="15"/>
      <c r="O169" s="15"/>
      <c r="P169" s="15"/>
      <c r="Q169" s="15"/>
      <c r="R169" s="15"/>
      <c r="S169" s="15"/>
      <c r="T169" s="15"/>
      <c r="U169" s="15"/>
      <c r="V169" s="15"/>
      <c r="W169" s="15"/>
      <c r="X169" s="14"/>
      <c r="Y169" s="14"/>
      <c r="Z169" s="15"/>
      <c r="AA169" s="3"/>
      <c r="AB169" s="3"/>
      <c r="AC169" s="3"/>
      <c r="AD169" s="3"/>
      <c r="AE169" s="3"/>
      <c r="AF169" s="3"/>
    </row>
    <row r="170" ht="15.75" customHeight="1">
      <c r="J170" s="15"/>
      <c r="K170" s="238"/>
      <c r="L170" s="15"/>
      <c r="M170" s="15"/>
      <c r="N170" s="15"/>
      <c r="O170" s="15"/>
      <c r="P170" s="15"/>
      <c r="Q170" s="15"/>
      <c r="R170" s="15"/>
      <c r="S170" s="15"/>
      <c r="T170" s="15"/>
      <c r="U170" s="15"/>
      <c r="V170" s="15"/>
      <c r="W170" s="15"/>
      <c r="X170" s="14"/>
      <c r="Y170" s="14"/>
      <c r="Z170" s="15"/>
      <c r="AA170" s="3"/>
      <c r="AB170" s="3"/>
      <c r="AC170" s="3"/>
      <c r="AD170" s="3"/>
      <c r="AE170" s="3"/>
      <c r="AF170" s="3"/>
    </row>
    <row r="171" ht="15.75" customHeight="1">
      <c r="J171" s="15"/>
      <c r="K171" s="238"/>
      <c r="L171" s="15"/>
      <c r="M171" s="15"/>
      <c r="N171" s="15"/>
      <c r="O171" s="15"/>
      <c r="P171" s="15"/>
      <c r="Q171" s="15"/>
      <c r="R171" s="15"/>
      <c r="S171" s="15"/>
      <c r="T171" s="15"/>
      <c r="U171" s="15"/>
      <c r="V171" s="15"/>
      <c r="W171" s="15"/>
      <c r="X171" s="14"/>
      <c r="Y171" s="14"/>
      <c r="Z171" s="15"/>
      <c r="AA171" s="3"/>
      <c r="AB171" s="3"/>
      <c r="AC171" s="3"/>
      <c r="AD171" s="3"/>
      <c r="AE171" s="3"/>
      <c r="AF171" s="3"/>
    </row>
    <row r="172" ht="15.75" customHeight="1">
      <c r="J172" s="15"/>
      <c r="K172" s="238"/>
      <c r="L172" s="15"/>
      <c r="M172" s="15"/>
      <c r="N172" s="15"/>
      <c r="O172" s="15"/>
      <c r="P172" s="15"/>
      <c r="Q172" s="15"/>
      <c r="R172" s="15"/>
      <c r="S172" s="15"/>
      <c r="T172" s="15"/>
      <c r="U172" s="15"/>
      <c r="V172" s="15"/>
      <c r="W172" s="15"/>
      <c r="X172" s="14"/>
      <c r="Y172" s="14"/>
      <c r="Z172" s="15"/>
      <c r="AA172" s="3"/>
      <c r="AB172" s="3"/>
      <c r="AC172" s="3"/>
      <c r="AD172" s="3"/>
      <c r="AE172" s="3"/>
      <c r="AF172" s="3"/>
    </row>
    <row r="173" ht="15.75" customHeight="1">
      <c r="J173" s="15"/>
      <c r="K173" s="238"/>
      <c r="L173" s="15"/>
      <c r="M173" s="15"/>
      <c r="N173" s="15"/>
      <c r="O173" s="15"/>
      <c r="P173" s="15"/>
      <c r="Q173" s="15"/>
      <c r="R173" s="15"/>
      <c r="S173" s="15"/>
      <c r="T173" s="15"/>
      <c r="U173" s="15"/>
      <c r="V173" s="15"/>
      <c r="W173" s="15"/>
      <c r="X173" s="14"/>
      <c r="Y173" s="14"/>
      <c r="Z173" s="15"/>
      <c r="AA173" s="3"/>
      <c r="AB173" s="3"/>
      <c r="AC173" s="3"/>
      <c r="AD173" s="3"/>
      <c r="AE173" s="3"/>
      <c r="AF173" s="3"/>
    </row>
    <row r="174" ht="15.75" customHeight="1">
      <c r="J174" s="15"/>
      <c r="K174" s="238"/>
      <c r="L174" s="15"/>
      <c r="M174" s="15"/>
      <c r="N174" s="15"/>
      <c r="O174" s="15"/>
      <c r="P174" s="15"/>
      <c r="Q174" s="15"/>
      <c r="R174" s="15"/>
      <c r="S174" s="15"/>
      <c r="T174" s="15"/>
      <c r="U174" s="15"/>
      <c r="V174" s="15"/>
      <c r="W174" s="15"/>
      <c r="X174" s="14"/>
      <c r="Y174" s="14"/>
      <c r="Z174" s="15"/>
      <c r="AA174" s="3"/>
      <c r="AB174" s="3"/>
      <c r="AC174" s="3"/>
      <c r="AD174" s="3"/>
      <c r="AE174" s="3"/>
      <c r="AF174" s="3"/>
    </row>
    <row r="175" ht="15.75" customHeight="1">
      <c r="J175" s="15"/>
      <c r="K175" s="238"/>
      <c r="L175" s="15"/>
      <c r="M175" s="15"/>
      <c r="N175" s="15"/>
      <c r="O175" s="15"/>
      <c r="P175" s="15"/>
      <c r="Q175" s="15"/>
      <c r="R175" s="15"/>
      <c r="S175" s="15"/>
      <c r="T175" s="15"/>
      <c r="U175" s="15"/>
      <c r="V175" s="15"/>
      <c r="W175" s="15"/>
      <c r="X175" s="14"/>
      <c r="Y175" s="14"/>
      <c r="Z175" s="15"/>
      <c r="AA175" s="3"/>
      <c r="AB175" s="3"/>
      <c r="AC175" s="3"/>
      <c r="AD175" s="3"/>
      <c r="AE175" s="3"/>
      <c r="AF175" s="3"/>
    </row>
    <row r="176" ht="15.75" customHeight="1">
      <c r="J176" s="15"/>
      <c r="K176" s="238"/>
      <c r="L176" s="15"/>
      <c r="M176" s="15"/>
      <c r="N176" s="15"/>
      <c r="O176" s="15"/>
      <c r="P176" s="15"/>
      <c r="Q176" s="15"/>
      <c r="R176" s="15"/>
      <c r="S176" s="15"/>
      <c r="T176" s="15"/>
      <c r="U176" s="15"/>
      <c r="V176" s="15"/>
      <c r="W176" s="15"/>
      <c r="X176" s="14"/>
      <c r="Y176" s="14"/>
      <c r="Z176" s="15"/>
      <c r="AA176" s="3"/>
      <c r="AB176" s="3"/>
      <c r="AC176" s="3"/>
      <c r="AD176" s="3"/>
      <c r="AE176" s="3"/>
      <c r="AF176" s="3"/>
    </row>
    <row r="177" ht="15.75" customHeight="1">
      <c r="J177" s="15"/>
      <c r="K177" s="238"/>
      <c r="L177" s="15"/>
      <c r="M177" s="15"/>
      <c r="N177" s="15"/>
      <c r="O177" s="15"/>
      <c r="P177" s="15"/>
      <c r="Q177" s="15"/>
      <c r="R177" s="15"/>
      <c r="S177" s="15"/>
      <c r="T177" s="15"/>
      <c r="U177" s="15"/>
      <c r="V177" s="15"/>
      <c r="W177" s="15"/>
      <c r="X177" s="14"/>
      <c r="Y177" s="14"/>
      <c r="Z177" s="15"/>
      <c r="AA177" s="3"/>
      <c r="AB177" s="3"/>
      <c r="AC177" s="3"/>
      <c r="AD177" s="3"/>
      <c r="AE177" s="3"/>
      <c r="AF177" s="3"/>
    </row>
    <row r="178" ht="15.75" customHeight="1">
      <c r="J178" s="15"/>
      <c r="K178" s="238"/>
      <c r="L178" s="15"/>
      <c r="M178" s="15"/>
      <c r="N178" s="15"/>
      <c r="O178" s="15"/>
      <c r="P178" s="15"/>
      <c r="Q178" s="15"/>
      <c r="R178" s="15"/>
      <c r="S178" s="15"/>
      <c r="T178" s="15"/>
      <c r="U178" s="15"/>
      <c r="V178" s="15"/>
      <c r="W178" s="15"/>
      <c r="X178" s="14"/>
      <c r="Y178" s="14"/>
      <c r="Z178" s="15"/>
      <c r="AA178" s="3"/>
      <c r="AB178" s="3"/>
      <c r="AC178" s="3"/>
      <c r="AD178" s="3"/>
      <c r="AE178" s="3"/>
      <c r="AF178" s="3"/>
    </row>
    <row r="179" ht="15.75" customHeight="1">
      <c r="J179" s="15"/>
      <c r="K179" s="238"/>
      <c r="L179" s="15"/>
      <c r="M179" s="15"/>
      <c r="N179" s="15"/>
      <c r="O179" s="15"/>
      <c r="P179" s="15"/>
      <c r="Q179" s="15"/>
      <c r="R179" s="15"/>
      <c r="S179" s="15"/>
      <c r="T179" s="15"/>
      <c r="U179" s="15"/>
      <c r="V179" s="15"/>
      <c r="W179" s="15"/>
      <c r="X179" s="14"/>
      <c r="Y179" s="14"/>
      <c r="Z179" s="15"/>
      <c r="AA179" s="3"/>
      <c r="AB179" s="3"/>
      <c r="AC179" s="3"/>
      <c r="AD179" s="3"/>
      <c r="AE179" s="3"/>
      <c r="AF179" s="3"/>
    </row>
    <row r="180" ht="15.75" customHeight="1">
      <c r="J180" s="15"/>
      <c r="K180" s="238"/>
      <c r="L180" s="15"/>
      <c r="M180" s="15"/>
      <c r="N180" s="15"/>
      <c r="O180" s="15"/>
      <c r="P180" s="15"/>
      <c r="Q180" s="15"/>
      <c r="R180" s="15"/>
      <c r="S180" s="15"/>
      <c r="T180" s="15"/>
      <c r="U180" s="15"/>
      <c r="V180" s="15"/>
      <c r="W180" s="15"/>
      <c r="X180" s="14"/>
      <c r="Y180" s="14"/>
      <c r="Z180" s="15"/>
      <c r="AA180" s="3"/>
      <c r="AB180" s="3"/>
      <c r="AC180" s="3"/>
      <c r="AD180" s="3"/>
      <c r="AE180" s="3"/>
      <c r="AF180" s="3"/>
    </row>
    <row r="181" ht="15.75" customHeight="1">
      <c r="J181" s="15"/>
      <c r="K181" s="238"/>
      <c r="L181" s="15"/>
      <c r="M181" s="15"/>
      <c r="N181" s="15"/>
      <c r="O181" s="15"/>
      <c r="P181" s="15"/>
      <c r="Q181" s="15"/>
      <c r="R181" s="15"/>
      <c r="S181" s="15"/>
      <c r="T181" s="15"/>
      <c r="U181" s="15"/>
      <c r="V181" s="15"/>
      <c r="W181" s="15"/>
      <c r="X181" s="14"/>
      <c r="Y181" s="14"/>
      <c r="Z181" s="15"/>
      <c r="AA181" s="3"/>
      <c r="AB181" s="3"/>
      <c r="AC181" s="3"/>
      <c r="AD181" s="3"/>
      <c r="AE181" s="3"/>
      <c r="AF181" s="3"/>
    </row>
    <row r="182" ht="15.75" customHeight="1">
      <c r="J182" s="15"/>
      <c r="K182" s="238"/>
      <c r="L182" s="15"/>
      <c r="M182" s="15"/>
      <c r="N182" s="15"/>
      <c r="O182" s="15"/>
      <c r="P182" s="15"/>
      <c r="Q182" s="15"/>
      <c r="R182" s="15"/>
      <c r="S182" s="15"/>
      <c r="T182" s="15"/>
      <c r="U182" s="15"/>
      <c r="V182" s="15"/>
      <c r="W182" s="15"/>
      <c r="X182" s="14"/>
      <c r="Y182" s="14"/>
      <c r="Z182" s="15"/>
      <c r="AA182" s="3"/>
      <c r="AB182" s="3"/>
      <c r="AC182" s="3"/>
      <c r="AD182" s="3"/>
      <c r="AE182" s="3"/>
      <c r="AF182" s="3"/>
    </row>
    <row r="183" ht="15.75" customHeight="1">
      <c r="J183" s="15"/>
      <c r="K183" s="238"/>
      <c r="L183" s="15"/>
      <c r="M183" s="15"/>
      <c r="N183" s="15"/>
      <c r="O183" s="15"/>
      <c r="P183" s="15"/>
      <c r="Q183" s="15"/>
      <c r="R183" s="15"/>
      <c r="S183" s="15"/>
      <c r="T183" s="15"/>
      <c r="U183" s="15"/>
      <c r="V183" s="15"/>
      <c r="W183" s="15"/>
      <c r="X183" s="14"/>
      <c r="Y183" s="14"/>
      <c r="Z183" s="15"/>
      <c r="AA183" s="3"/>
      <c r="AB183" s="3"/>
      <c r="AC183" s="3"/>
      <c r="AD183" s="3"/>
      <c r="AE183" s="3"/>
      <c r="AF183" s="3"/>
    </row>
    <row r="184" ht="15.75" customHeight="1">
      <c r="J184" s="15"/>
      <c r="K184" s="238"/>
      <c r="L184" s="15"/>
      <c r="M184" s="15"/>
      <c r="N184" s="15"/>
      <c r="O184" s="15"/>
      <c r="P184" s="15"/>
      <c r="Q184" s="15"/>
      <c r="R184" s="15"/>
      <c r="S184" s="15"/>
      <c r="T184" s="15"/>
      <c r="U184" s="15"/>
      <c r="V184" s="15"/>
      <c r="W184" s="15"/>
      <c r="X184" s="14"/>
      <c r="Y184" s="14"/>
      <c r="Z184" s="15"/>
      <c r="AA184" s="3"/>
      <c r="AB184" s="3"/>
      <c r="AC184" s="3"/>
      <c r="AD184" s="3"/>
      <c r="AE184" s="3"/>
      <c r="AF184" s="3"/>
    </row>
    <row r="185" ht="15.75" customHeight="1">
      <c r="J185" s="15"/>
      <c r="K185" s="238"/>
      <c r="L185" s="15"/>
      <c r="M185" s="15"/>
      <c r="N185" s="15"/>
      <c r="O185" s="15"/>
      <c r="P185" s="15"/>
      <c r="Q185" s="15"/>
      <c r="R185" s="15"/>
      <c r="S185" s="15"/>
      <c r="T185" s="15"/>
      <c r="U185" s="15"/>
      <c r="V185" s="15"/>
      <c r="W185" s="15"/>
      <c r="X185" s="14"/>
      <c r="Y185" s="14"/>
      <c r="Z185" s="15"/>
      <c r="AA185" s="3"/>
      <c r="AB185" s="3"/>
      <c r="AC185" s="3"/>
      <c r="AD185" s="3"/>
      <c r="AE185" s="3"/>
      <c r="AF185" s="3"/>
    </row>
    <row r="186" ht="15.75" customHeight="1">
      <c r="J186" s="15"/>
      <c r="K186" s="238"/>
      <c r="L186" s="15"/>
      <c r="M186" s="15"/>
      <c r="N186" s="15"/>
      <c r="O186" s="15"/>
      <c r="P186" s="15"/>
      <c r="Q186" s="15"/>
      <c r="R186" s="15"/>
      <c r="S186" s="15"/>
      <c r="T186" s="15"/>
      <c r="U186" s="15"/>
      <c r="V186" s="15"/>
      <c r="W186" s="15"/>
      <c r="X186" s="14"/>
      <c r="Y186" s="14"/>
      <c r="Z186" s="15"/>
      <c r="AA186" s="3"/>
      <c r="AB186" s="3"/>
      <c r="AC186" s="3"/>
      <c r="AD186" s="3"/>
      <c r="AE186" s="3"/>
      <c r="AF186" s="3"/>
    </row>
    <row r="187" ht="15.75" customHeight="1">
      <c r="J187" s="15"/>
      <c r="K187" s="238"/>
      <c r="L187" s="15"/>
      <c r="M187" s="15"/>
      <c r="N187" s="15"/>
      <c r="O187" s="15"/>
      <c r="P187" s="15"/>
      <c r="Q187" s="15"/>
      <c r="R187" s="15"/>
      <c r="S187" s="15"/>
      <c r="T187" s="15"/>
      <c r="U187" s="15"/>
      <c r="V187" s="15"/>
      <c r="W187" s="15"/>
      <c r="X187" s="14"/>
      <c r="Y187" s="14"/>
      <c r="Z187" s="15"/>
      <c r="AA187" s="3"/>
      <c r="AB187" s="3"/>
      <c r="AC187" s="3"/>
      <c r="AD187" s="3"/>
      <c r="AE187" s="3"/>
      <c r="AF187" s="3"/>
    </row>
    <row r="188" ht="15.75" customHeight="1">
      <c r="J188" s="15"/>
      <c r="K188" s="238"/>
      <c r="L188" s="15"/>
      <c r="M188" s="15"/>
      <c r="N188" s="15"/>
      <c r="O188" s="15"/>
      <c r="P188" s="15"/>
      <c r="Q188" s="15"/>
      <c r="R188" s="15"/>
      <c r="S188" s="15"/>
      <c r="T188" s="15"/>
      <c r="U188" s="15"/>
      <c r="V188" s="15"/>
      <c r="W188" s="15"/>
      <c r="X188" s="14"/>
      <c r="Y188" s="14"/>
      <c r="Z188" s="15"/>
      <c r="AA188" s="3"/>
      <c r="AB188" s="3"/>
      <c r="AC188" s="3"/>
      <c r="AD188" s="3"/>
      <c r="AE188" s="3"/>
      <c r="AF188" s="3"/>
    </row>
    <row r="189" ht="15.75" customHeight="1">
      <c r="J189" s="15"/>
      <c r="K189" s="238"/>
      <c r="L189" s="15"/>
      <c r="M189" s="15"/>
      <c r="N189" s="15"/>
      <c r="O189" s="15"/>
      <c r="P189" s="15"/>
      <c r="Q189" s="15"/>
      <c r="R189" s="15"/>
      <c r="S189" s="15"/>
      <c r="T189" s="15"/>
      <c r="U189" s="15"/>
      <c r="V189" s="15"/>
      <c r="W189" s="15"/>
      <c r="X189" s="14"/>
      <c r="Y189" s="14"/>
      <c r="Z189" s="15"/>
      <c r="AA189" s="3"/>
      <c r="AB189" s="3"/>
      <c r="AC189" s="3"/>
      <c r="AD189" s="3"/>
      <c r="AE189" s="3"/>
      <c r="AF189" s="3"/>
    </row>
    <row r="190" ht="15.75" customHeight="1">
      <c r="J190" s="15"/>
      <c r="K190" s="238"/>
      <c r="L190" s="15"/>
      <c r="M190" s="15"/>
      <c r="N190" s="15"/>
      <c r="O190" s="15"/>
      <c r="P190" s="15"/>
      <c r="Q190" s="15"/>
      <c r="R190" s="15"/>
      <c r="S190" s="15"/>
      <c r="T190" s="15"/>
      <c r="U190" s="15"/>
      <c r="V190" s="15"/>
      <c r="W190" s="15"/>
      <c r="X190" s="14"/>
      <c r="Y190" s="14"/>
      <c r="Z190" s="15"/>
      <c r="AA190" s="3"/>
      <c r="AB190" s="3"/>
      <c r="AC190" s="3"/>
      <c r="AD190" s="3"/>
      <c r="AE190" s="3"/>
      <c r="AF190" s="3"/>
    </row>
    <row r="191" ht="15.75" customHeight="1">
      <c r="J191" s="15"/>
      <c r="K191" s="238"/>
      <c r="L191" s="15"/>
      <c r="M191" s="15"/>
      <c r="N191" s="15"/>
      <c r="O191" s="15"/>
      <c r="P191" s="15"/>
      <c r="Q191" s="15"/>
      <c r="R191" s="15"/>
      <c r="S191" s="15"/>
      <c r="T191" s="15"/>
      <c r="U191" s="15"/>
      <c r="V191" s="15"/>
      <c r="W191" s="15"/>
      <c r="X191" s="14"/>
      <c r="Y191" s="14"/>
      <c r="Z191" s="15"/>
      <c r="AA191" s="3"/>
      <c r="AB191" s="3"/>
      <c r="AC191" s="3"/>
      <c r="AD191" s="3"/>
      <c r="AE191" s="3"/>
      <c r="AF191" s="3"/>
    </row>
    <row r="192" ht="15.75" customHeight="1">
      <c r="J192" s="15"/>
      <c r="K192" s="238"/>
      <c r="L192" s="15"/>
      <c r="M192" s="15"/>
      <c r="N192" s="15"/>
      <c r="O192" s="15"/>
      <c r="P192" s="15"/>
      <c r="Q192" s="15"/>
      <c r="R192" s="15"/>
      <c r="S192" s="15"/>
      <c r="T192" s="15"/>
      <c r="U192" s="15"/>
      <c r="V192" s="15"/>
      <c r="W192" s="15"/>
      <c r="X192" s="14"/>
      <c r="Y192" s="14"/>
      <c r="Z192" s="15"/>
      <c r="AA192" s="3"/>
      <c r="AB192" s="3"/>
      <c r="AC192" s="3"/>
      <c r="AD192" s="3"/>
      <c r="AE192" s="3"/>
      <c r="AF192" s="3"/>
    </row>
    <row r="193" ht="15.75" customHeight="1">
      <c r="J193" s="15"/>
      <c r="K193" s="238"/>
      <c r="L193" s="15"/>
      <c r="M193" s="15"/>
      <c r="N193" s="15"/>
      <c r="O193" s="15"/>
      <c r="P193" s="15"/>
      <c r="Q193" s="15"/>
      <c r="R193" s="15"/>
      <c r="S193" s="15"/>
      <c r="T193" s="15"/>
      <c r="U193" s="15"/>
      <c r="V193" s="15"/>
      <c r="W193" s="15"/>
      <c r="X193" s="14"/>
      <c r="Y193" s="14"/>
      <c r="Z193" s="15"/>
      <c r="AA193" s="3"/>
      <c r="AB193" s="3"/>
      <c r="AC193" s="3"/>
      <c r="AD193" s="3"/>
      <c r="AE193" s="3"/>
      <c r="AF193" s="3"/>
    </row>
    <row r="194" ht="15.75" customHeight="1">
      <c r="J194" s="15"/>
      <c r="K194" s="238"/>
      <c r="L194" s="15"/>
      <c r="M194" s="15"/>
      <c r="N194" s="15"/>
      <c r="O194" s="15"/>
      <c r="P194" s="15"/>
      <c r="Q194" s="15"/>
      <c r="R194" s="15"/>
      <c r="S194" s="15"/>
      <c r="T194" s="15"/>
      <c r="U194" s="15"/>
      <c r="V194" s="15"/>
      <c r="W194" s="15"/>
      <c r="X194" s="14"/>
      <c r="Y194" s="14"/>
      <c r="Z194" s="15"/>
      <c r="AA194" s="3"/>
      <c r="AB194" s="3"/>
      <c r="AC194" s="3"/>
      <c r="AD194" s="3"/>
      <c r="AE194" s="3"/>
      <c r="AF194" s="3"/>
    </row>
    <row r="195" ht="15.75" customHeight="1">
      <c r="J195" s="15"/>
      <c r="K195" s="238"/>
      <c r="L195" s="15"/>
      <c r="M195" s="15"/>
      <c r="N195" s="15"/>
      <c r="O195" s="15"/>
      <c r="P195" s="15"/>
      <c r="Q195" s="15"/>
      <c r="R195" s="15"/>
      <c r="S195" s="15"/>
      <c r="T195" s="15"/>
      <c r="U195" s="15"/>
      <c r="V195" s="15"/>
      <c r="W195" s="15"/>
      <c r="X195" s="14"/>
      <c r="Y195" s="14"/>
      <c r="Z195" s="15"/>
      <c r="AA195" s="3"/>
      <c r="AB195" s="3"/>
      <c r="AC195" s="3"/>
      <c r="AD195" s="3"/>
      <c r="AE195" s="3"/>
      <c r="AF195" s="3"/>
    </row>
    <row r="196" ht="15.75" customHeight="1">
      <c r="J196" s="15"/>
      <c r="K196" s="238"/>
      <c r="L196" s="15"/>
      <c r="M196" s="15"/>
      <c r="N196" s="15"/>
      <c r="O196" s="15"/>
      <c r="P196" s="15"/>
      <c r="Q196" s="15"/>
      <c r="R196" s="15"/>
      <c r="S196" s="15"/>
      <c r="T196" s="15"/>
      <c r="U196" s="15"/>
      <c r="V196" s="15"/>
      <c r="W196" s="15"/>
      <c r="X196" s="14"/>
      <c r="Y196" s="14"/>
      <c r="Z196" s="15"/>
      <c r="AA196" s="3"/>
      <c r="AB196" s="3"/>
      <c r="AC196" s="3"/>
      <c r="AD196" s="3"/>
      <c r="AE196" s="3"/>
      <c r="AF196" s="3"/>
    </row>
    <row r="197" ht="15.75" customHeight="1">
      <c r="J197" s="15"/>
      <c r="K197" s="238"/>
      <c r="L197" s="15"/>
      <c r="M197" s="15"/>
      <c r="N197" s="15"/>
      <c r="O197" s="15"/>
      <c r="P197" s="15"/>
      <c r="Q197" s="15"/>
      <c r="R197" s="15"/>
      <c r="S197" s="15"/>
      <c r="T197" s="15"/>
      <c r="U197" s="15"/>
      <c r="V197" s="15"/>
      <c r="W197" s="15"/>
      <c r="X197" s="14"/>
      <c r="Y197" s="14"/>
      <c r="Z197" s="15"/>
      <c r="AA197" s="3"/>
      <c r="AB197" s="3"/>
      <c r="AC197" s="3"/>
      <c r="AD197" s="3"/>
      <c r="AE197" s="3"/>
      <c r="AF197" s="3"/>
    </row>
    <row r="198" ht="15.75" customHeight="1">
      <c r="J198" s="15"/>
      <c r="K198" s="238"/>
      <c r="L198" s="15"/>
      <c r="M198" s="15"/>
      <c r="N198" s="15"/>
      <c r="O198" s="15"/>
      <c r="P198" s="15"/>
      <c r="Q198" s="15"/>
      <c r="R198" s="15"/>
      <c r="S198" s="15"/>
      <c r="T198" s="15"/>
      <c r="U198" s="15"/>
      <c r="V198" s="15"/>
      <c r="W198" s="15"/>
      <c r="X198" s="14"/>
      <c r="Y198" s="14"/>
      <c r="Z198" s="15"/>
      <c r="AA198" s="3"/>
      <c r="AB198" s="3"/>
      <c r="AC198" s="3"/>
      <c r="AD198" s="3"/>
      <c r="AE198" s="3"/>
      <c r="AF198" s="3"/>
    </row>
    <row r="199" ht="15.75" customHeight="1">
      <c r="J199" s="15"/>
      <c r="K199" s="238"/>
      <c r="L199" s="15"/>
      <c r="M199" s="15"/>
      <c r="N199" s="15"/>
      <c r="O199" s="15"/>
      <c r="P199" s="15"/>
      <c r="Q199" s="15"/>
      <c r="R199" s="15"/>
      <c r="S199" s="15"/>
      <c r="T199" s="15"/>
      <c r="U199" s="15"/>
      <c r="V199" s="15"/>
      <c r="W199" s="15"/>
      <c r="X199" s="14"/>
      <c r="Y199" s="14"/>
      <c r="Z199" s="15"/>
      <c r="AA199" s="3"/>
      <c r="AB199" s="3"/>
      <c r="AC199" s="3"/>
      <c r="AD199" s="3"/>
      <c r="AE199" s="3"/>
      <c r="AF199" s="3"/>
    </row>
    <row r="200" ht="15.75" customHeight="1">
      <c r="J200" s="15"/>
      <c r="K200" s="238"/>
      <c r="L200" s="15"/>
      <c r="M200" s="15"/>
      <c r="N200" s="15"/>
      <c r="O200" s="15"/>
      <c r="P200" s="15"/>
      <c r="Q200" s="15"/>
      <c r="R200" s="15"/>
      <c r="S200" s="15"/>
      <c r="T200" s="15"/>
      <c r="U200" s="15"/>
      <c r="V200" s="15"/>
      <c r="W200" s="15"/>
      <c r="X200" s="14"/>
      <c r="Y200" s="14"/>
      <c r="Z200" s="15"/>
      <c r="AA200" s="3"/>
      <c r="AB200" s="3"/>
      <c r="AC200" s="3"/>
      <c r="AD200" s="3"/>
      <c r="AE200" s="3"/>
      <c r="AF200" s="3"/>
    </row>
    <row r="201" ht="15.75" customHeight="1">
      <c r="J201" s="15"/>
      <c r="K201" s="238"/>
      <c r="L201" s="15"/>
      <c r="M201" s="15"/>
      <c r="N201" s="15"/>
      <c r="O201" s="15"/>
      <c r="P201" s="15"/>
      <c r="Q201" s="15"/>
      <c r="R201" s="15"/>
      <c r="S201" s="15"/>
      <c r="T201" s="15"/>
      <c r="U201" s="15"/>
      <c r="V201" s="15"/>
      <c r="W201" s="15"/>
      <c r="X201" s="14"/>
      <c r="Y201" s="14"/>
      <c r="Z201" s="15"/>
      <c r="AA201" s="3"/>
      <c r="AB201" s="3"/>
      <c r="AC201" s="3"/>
      <c r="AD201" s="3"/>
      <c r="AE201" s="3"/>
      <c r="AF201" s="3"/>
    </row>
    <row r="202" ht="15.75" customHeight="1">
      <c r="J202" s="15"/>
      <c r="K202" s="238"/>
      <c r="L202" s="15"/>
      <c r="M202" s="15"/>
      <c r="N202" s="15"/>
      <c r="O202" s="15"/>
      <c r="P202" s="15"/>
      <c r="Q202" s="15"/>
      <c r="R202" s="15"/>
      <c r="S202" s="15"/>
      <c r="T202" s="15"/>
      <c r="U202" s="15"/>
      <c r="V202" s="15"/>
      <c r="W202" s="15"/>
      <c r="X202" s="14"/>
      <c r="Y202" s="14"/>
      <c r="Z202" s="15"/>
      <c r="AA202" s="3"/>
      <c r="AB202" s="3"/>
      <c r="AC202" s="3"/>
      <c r="AD202" s="3"/>
      <c r="AE202" s="3"/>
      <c r="AF202" s="3"/>
    </row>
    <row r="203" ht="15.75" customHeight="1">
      <c r="J203" s="15"/>
      <c r="K203" s="238"/>
      <c r="L203" s="15"/>
      <c r="M203" s="15"/>
      <c r="N203" s="15"/>
      <c r="O203" s="15"/>
      <c r="P203" s="15"/>
      <c r="Q203" s="15"/>
      <c r="R203" s="15"/>
      <c r="S203" s="15"/>
      <c r="T203" s="15"/>
      <c r="U203" s="15"/>
      <c r="V203" s="15"/>
      <c r="W203" s="15"/>
      <c r="X203" s="14"/>
      <c r="Y203" s="14"/>
      <c r="Z203" s="15"/>
      <c r="AA203" s="3"/>
      <c r="AB203" s="3"/>
      <c r="AC203" s="3"/>
      <c r="AD203" s="3"/>
      <c r="AE203" s="3"/>
      <c r="AF203" s="3"/>
    </row>
    <row r="204" ht="15.75" customHeight="1">
      <c r="J204" s="15"/>
      <c r="K204" s="238"/>
      <c r="L204" s="15"/>
      <c r="M204" s="15"/>
      <c r="N204" s="15"/>
      <c r="O204" s="15"/>
      <c r="P204" s="15"/>
      <c r="Q204" s="15"/>
      <c r="R204" s="15"/>
      <c r="S204" s="15"/>
      <c r="T204" s="15"/>
      <c r="U204" s="15"/>
      <c r="V204" s="15"/>
      <c r="W204" s="15"/>
      <c r="X204" s="14"/>
      <c r="Y204" s="14"/>
      <c r="Z204" s="15"/>
      <c r="AA204" s="3"/>
      <c r="AB204" s="3"/>
      <c r="AC204" s="3"/>
      <c r="AD204" s="3"/>
      <c r="AE204" s="3"/>
      <c r="AF204" s="3"/>
    </row>
    <row r="205" ht="15.75" customHeight="1">
      <c r="J205" s="15"/>
      <c r="K205" s="238"/>
      <c r="L205" s="15"/>
      <c r="M205" s="15"/>
      <c r="N205" s="15"/>
      <c r="O205" s="15"/>
      <c r="P205" s="15"/>
      <c r="Q205" s="15"/>
      <c r="R205" s="15"/>
      <c r="S205" s="15"/>
      <c r="T205" s="15"/>
      <c r="U205" s="15"/>
      <c r="V205" s="15"/>
      <c r="W205" s="15"/>
      <c r="X205" s="14"/>
      <c r="Y205" s="14"/>
      <c r="Z205" s="15"/>
      <c r="AA205" s="3"/>
      <c r="AB205" s="3"/>
      <c r="AC205" s="3"/>
      <c r="AD205" s="3"/>
      <c r="AE205" s="3"/>
      <c r="AF205" s="3"/>
    </row>
    <row r="206" ht="15.75" customHeight="1">
      <c r="J206" s="15"/>
      <c r="K206" s="238"/>
      <c r="L206" s="15"/>
      <c r="M206" s="15"/>
      <c r="N206" s="15"/>
      <c r="O206" s="15"/>
      <c r="P206" s="15"/>
      <c r="Q206" s="15"/>
      <c r="R206" s="15"/>
      <c r="S206" s="15"/>
      <c r="T206" s="15"/>
      <c r="U206" s="15"/>
      <c r="V206" s="15"/>
      <c r="W206" s="15"/>
      <c r="X206" s="14"/>
      <c r="Y206" s="14"/>
      <c r="Z206" s="15"/>
      <c r="AA206" s="3"/>
      <c r="AB206" s="3"/>
      <c r="AC206" s="3"/>
      <c r="AD206" s="3"/>
      <c r="AE206" s="3"/>
      <c r="AF206" s="3"/>
    </row>
    <row r="207" ht="15.75" customHeight="1">
      <c r="J207" s="15"/>
      <c r="K207" s="238"/>
      <c r="L207" s="15"/>
      <c r="M207" s="15"/>
      <c r="N207" s="15"/>
      <c r="O207" s="15"/>
      <c r="P207" s="15"/>
      <c r="Q207" s="15"/>
      <c r="R207" s="15"/>
      <c r="S207" s="15"/>
      <c r="T207" s="15"/>
      <c r="U207" s="15"/>
      <c r="V207" s="15"/>
      <c r="W207" s="15"/>
      <c r="X207" s="14"/>
      <c r="Y207" s="14"/>
      <c r="Z207" s="15"/>
      <c r="AA207" s="3"/>
      <c r="AB207" s="3"/>
      <c r="AC207" s="3"/>
      <c r="AD207" s="3"/>
      <c r="AE207" s="3"/>
      <c r="AF207" s="3"/>
    </row>
    <row r="208" ht="15.75" customHeight="1">
      <c r="J208" s="15"/>
      <c r="K208" s="238"/>
      <c r="L208" s="15"/>
      <c r="M208" s="15"/>
      <c r="N208" s="15"/>
      <c r="O208" s="15"/>
      <c r="P208" s="15"/>
      <c r="Q208" s="15"/>
      <c r="R208" s="15"/>
      <c r="S208" s="15"/>
      <c r="T208" s="15"/>
      <c r="U208" s="15"/>
      <c r="V208" s="15"/>
      <c r="W208" s="15"/>
      <c r="X208" s="14"/>
      <c r="Y208" s="14"/>
      <c r="Z208" s="15"/>
      <c r="AA208" s="3"/>
      <c r="AB208" s="3"/>
      <c r="AC208" s="3"/>
      <c r="AD208" s="3"/>
      <c r="AE208" s="3"/>
      <c r="AF208" s="3"/>
    </row>
    <row r="209" ht="15.75" customHeight="1">
      <c r="J209" s="15"/>
      <c r="K209" s="238"/>
      <c r="L209" s="15"/>
      <c r="M209" s="15"/>
      <c r="N209" s="15"/>
      <c r="O209" s="15"/>
      <c r="P209" s="15"/>
      <c r="Q209" s="15"/>
      <c r="R209" s="15"/>
      <c r="S209" s="15"/>
      <c r="T209" s="15"/>
      <c r="U209" s="15"/>
      <c r="V209" s="15"/>
      <c r="W209" s="15"/>
      <c r="X209" s="14"/>
      <c r="Y209" s="14"/>
      <c r="Z209" s="15"/>
      <c r="AA209" s="3"/>
      <c r="AB209" s="3"/>
      <c r="AC209" s="3"/>
      <c r="AD209" s="3"/>
      <c r="AE209" s="3"/>
      <c r="AF209" s="3"/>
    </row>
    <row r="210" ht="15.75" customHeight="1">
      <c r="J210" s="15"/>
      <c r="K210" s="238"/>
      <c r="L210" s="15"/>
      <c r="M210" s="15"/>
      <c r="N210" s="15"/>
      <c r="O210" s="15"/>
      <c r="P210" s="15"/>
      <c r="Q210" s="15"/>
      <c r="R210" s="15"/>
      <c r="S210" s="15"/>
      <c r="T210" s="15"/>
      <c r="U210" s="15"/>
      <c r="V210" s="15"/>
      <c r="W210" s="15"/>
      <c r="X210" s="14"/>
      <c r="Y210" s="14"/>
      <c r="Z210" s="15"/>
      <c r="AA210" s="3"/>
      <c r="AB210" s="3"/>
      <c r="AC210" s="3"/>
      <c r="AD210" s="3"/>
      <c r="AE210" s="3"/>
      <c r="AF210" s="3"/>
    </row>
    <row r="211" ht="15.75" customHeight="1">
      <c r="J211" s="15"/>
      <c r="K211" s="238"/>
      <c r="L211" s="15"/>
      <c r="M211" s="15"/>
      <c r="N211" s="15"/>
      <c r="O211" s="15"/>
      <c r="P211" s="15"/>
      <c r="Q211" s="15"/>
      <c r="R211" s="15"/>
      <c r="S211" s="15"/>
      <c r="T211" s="15"/>
      <c r="U211" s="15"/>
      <c r="V211" s="15"/>
      <c r="W211" s="15"/>
      <c r="X211" s="14"/>
      <c r="Y211" s="14"/>
      <c r="Z211" s="15"/>
      <c r="AA211" s="3"/>
      <c r="AB211" s="3"/>
      <c r="AC211" s="3"/>
      <c r="AD211" s="3"/>
      <c r="AE211" s="3"/>
      <c r="AF211" s="3"/>
    </row>
    <row r="212" ht="15.75" customHeight="1">
      <c r="J212" s="15"/>
      <c r="K212" s="238"/>
      <c r="L212" s="15"/>
      <c r="M212" s="15"/>
      <c r="N212" s="15"/>
      <c r="O212" s="15"/>
      <c r="P212" s="15"/>
      <c r="Q212" s="15"/>
      <c r="R212" s="15"/>
      <c r="S212" s="15"/>
      <c r="T212" s="15"/>
      <c r="U212" s="15"/>
      <c r="V212" s="15"/>
      <c r="W212" s="15"/>
      <c r="X212" s="14"/>
      <c r="Y212" s="14"/>
      <c r="Z212" s="15"/>
      <c r="AA212" s="3"/>
      <c r="AB212" s="3"/>
      <c r="AC212" s="3"/>
      <c r="AD212" s="3"/>
      <c r="AE212" s="3"/>
      <c r="AF212" s="3"/>
    </row>
    <row r="213" ht="15.75" customHeight="1">
      <c r="J213" s="15"/>
      <c r="K213" s="238"/>
      <c r="L213" s="15"/>
      <c r="M213" s="15"/>
      <c r="N213" s="15"/>
      <c r="O213" s="15"/>
      <c r="P213" s="15"/>
      <c r="Q213" s="15"/>
      <c r="R213" s="15"/>
      <c r="S213" s="15"/>
      <c r="T213" s="15"/>
      <c r="U213" s="15"/>
      <c r="V213" s="15"/>
      <c r="W213" s="15"/>
      <c r="X213" s="14"/>
      <c r="Y213" s="14"/>
      <c r="Z213" s="15"/>
      <c r="AA213" s="3"/>
      <c r="AB213" s="3"/>
      <c r="AC213" s="3"/>
      <c r="AD213" s="3"/>
      <c r="AE213" s="3"/>
      <c r="AF213" s="3"/>
    </row>
    <row r="214" ht="15.75" customHeight="1">
      <c r="J214" s="15"/>
      <c r="K214" s="238"/>
      <c r="L214" s="15"/>
      <c r="M214" s="15"/>
      <c r="N214" s="15"/>
      <c r="O214" s="15"/>
      <c r="P214" s="15"/>
      <c r="Q214" s="15"/>
      <c r="R214" s="15"/>
      <c r="S214" s="15"/>
      <c r="T214" s="15"/>
      <c r="U214" s="15"/>
      <c r="V214" s="15"/>
      <c r="W214" s="15"/>
      <c r="X214" s="14"/>
      <c r="Y214" s="14"/>
      <c r="Z214" s="15"/>
      <c r="AA214" s="3"/>
      <c r="AB214" s="3"/>
      <c r="AC214" s="3"/>
      <c r="AD214" s="3"/>
      <c r="AE214" s="3"/>
      <c r="AF214" s="3"/>
    </row>
    <row r="215" ht="15.75" customHeight="1">
      <c r="J215" s="15"/>
      <c r="K215" s="238"/>
      <c r="L215" s="15"/>
      <c r="M215" s="15"/>
      <c r="N215" s="15"/>
      <c r="O215" s="15"/>
      <c r="P215" s="15"/>
      <c r="Q215" s="15"/>
      <c r="R215" s="15"/>
      <c r="S215" s="15"/>
      <c r="T215" s="15"/>
      <c r="U215" s="15"/>
      <c r="V215" s="15"/>
      <c r="W215" s="15"/>
      <c r="X215" s="14"/>
      <c r="Y215" s="14"/>
      <c r="Z215" s="15"/>
      <c r="AA215" s="3"/>
      <c r="AB215" s="3"/>
      <c r="AC215" s="3"/>
      <c r="AD215" s="3"/>
      <c r="AE215" s="3"/>
      <c r="AF215" s="3"/>
    </row>
    <row r="216" ht="15.75" customHeight="1">
      <c r="J216" s="15"/>
      <c r="K216" s="238"/>
      <c r="L216" s="15"/>
      <c r="M216" s="15"/>
      <c r="N216" s="15"/>
      <c r="O216" s="15"/>
      <c r="P216" s="15"/>
      <c r="Q216" s="15"/>
      <c r="R216" s="15"/>
      <c r="S216" s="15"/>
      <c r="T216" s="15"/>
      <c r="U216" s="15"/>
      <c r="V216" s="15"/>
      <c r="W216" s="15"/>
      <c r="X216" s="14"/>
      <c r="Y216" s="14"/>
      <c r="Z216" s="15"/>
      <c r="AA216" s="3"/>
      <c r="AB216" s="3"/>
      <c r="AC216" s="3"/>
      <c r="AD216" s="3"/>
      <c r="AE216" s="3"/>
      <c r="AF216" s="3"/>
    </row>
    <row r="217" ht="15.75" customHeight="1">
      <c r="J217" s="15"/>
      <c r="K217" s="238"/>
      <c r="L217" s="15"/>
      <c r="M217" s="15"/>
      <c r="N217" s="15"/>
      <c r="O217" s="15"/>
      <c r="P217" s="15"/>
      <c r="Q217" s="15"/>
      <c r="R217" s="15"/>
      <c r="S217" s="15"/>
      <c r="T217" s="15"/>
      <c r="U217" s="15"/>
      <c r="V217" s="15"/>
      <c r="W217" s="15"/>
      <c r="X217" s="14"/>
      <c r="Y217" s="14"/>
      <c r="Z217" s="15"/>
      <c r="AA217" s="3"/>
      <c r="AB217" s="3"/>
      <c r="AC217" s="3"/>
      <c r="AD217" s="3"/>
      <c r="AE217" s="3"/>
      <c r="AF217" s="3"/>
    </row>
    <row r="218" ht="15.75" customHeight="1">
      <c r="J218" s="15"/>
      <c r="K218" s="238"/>
      <c r="L218" s="15"/>
      <c r="M218" s="15"/>
      <c r="N218" s="15"/>
      <c r="O218" s="15"/>
      <c r="P218" s="15"/>
      <c r="Q218" s="15"/>
      <c r="R218" s="15"/>
      <c r="S218" s="15"/>
      <c r="T218" s="15"/>
      <c r="U218" s="15"/>
      <c r="V218" s="15"/>
      <c r="W218" s="15"/>
      <c r="X218" s="14"/>
      <c r="Y218" s="14"/>
      <c r="Z218" s="15"/>
      <c r="AA218" s="3"/>
      <c r="AB218" s="3"/>
      <c r="AC218" s="3"/>
      <c r="AD218" s="3"/>
      <c r="AE218" s="3"/>
      <c r="AF218" s="3"/>
    </row>
    <row r="219" ht="15.75" customHeight="1">
      <c r="J219" s="15"/>
      <c r="K219" s="238"/>
      <c r="L219" s="15"/>
      <c r="M219" s="15"/>
      <c r="N219" s="15"/>
      <c r="O219" s="15"/>
      <c r="P219" s="15"/>
      <c r="Q219" s="15"/>
      <c r="R219" s="15"/>
      <c r="S219" s="15"/>
      <c r="T219" s="15"/>
      <c r="U219" s="15"/>
      <c r="V219" s="15"/>
      <c r="W219" s="15"/>
      <c r="X219" s="14"/>
      <c r="Y219" s="14"/>
      <c r="Z219" s="15"/>
      <c r="AA219" s="3"/>
      <c r="AB219" s="3"/>
      <c r="AC219" s="3"/>
      <c r="AD219" s="3"/>
      <c r="AE219" s="3"/>
      <c r="AF219" s="3"/>
    </row>
    <row r="220" ht="15.75" customHeight="1">
      <c r="J220" s="15"/>
      <c r="K220" s="238"/>
      <c r="L220" s="15"/>
      <c r="M220" s="15"/>
      <c r="N220" s="15"/>
      <c r="O220" s="15"/>
      <c r="P220" s="15"/>
      <c r="Q220" s="15"/>
      <c r="R220" s="15"/>
      <c r="S220" s="15"/>
      <c r="T220" s="15"/>
      <c r="U220" s="15"/>
      <c r="V220" s="15"/>
      <c r="W220" s="15"/>
      <c r="X220" s="14"/>
      <c r="Y220" s="14"/>
      <c r="Z220" s="15"/>
      <c r="AA220" s="3"/>
      <c r="AB220" s="3"/>
      <c r="AC220" s="3"/>
      <c r="AD220" s="3"/>
      <c r="AE220" s="3"/>
      <c r="AF220" s="3"/>
    </row>
    <row r="221" ht="15.75" customHeight="1">
      <c r="J221" s="15"/>
      <c r="K221" s="238"/>
      <c r="L221" s="15"/>
      <c r="M221" s="15"/>
      <c r="N221" s="15"/>
      <c r="O221" s="15"/>
      <c r="P221" s="15"/>
      <c r="Q221" s="15"/>
      <c r="R221" s="15"/>
      <c r="S221" s="15"/>
      <c r="T221" s="15"/>
      <c r="U221" s="15"/>
      <c r="V221" s="15"/>
      <c r="W221" s="15"/>
      <c r="X221" s="14"/>
      <c r="Y221" s="14"/>
      <c r="Z221" s="15"/>
      <c r="AA221" s="3"/>
      <c r="AB221" s="3"/>
      <c r="AC221" s="3"/>
      <c r="AD221" s="3"/>
      <c r="AE221" s="3"/>
      <c r="AF221" s="3"/>
    </row>
    <row r="222" ht="15.75" customHeight="1">
      <c r="J222" s="15"/>
      <c r="K222" s="238"/>
      <c r="L222" s="15"/>
      <c r="M222" s="15"/>
      <c r="N222" s="15"/>
      <c r="O222" s="15"/>
      <c r="P222" s="15"/>
      <c r="Q222" s="15"/>
      <c r="R222" s="15"/>
      <c r="S222" s="15"/>
      <c r="T222" s="15"/>
      <c r="U222" s="15"/>
      <c r="V222" s="15"/>
      <c r="W222" s="15"/>
      <c r="X222" s="14"/>
      <c r="Y222" s="14"/>
      <c r="Z222" s="15"/>
      <c r="AA222" s="3"/>
      <c r="AB222" s="3"/>
      <c r="AC222" s="3"/>
      <c r="AD222" s="3"/>
      <c r="AE222" s="3"/>
      <c r="AF222" s="3"/>
    </row>
    <row r="223" ht="15.75" customHeight="1">
      <c r="J223" s="15"/>
      <c r="K223" s="238"/>
      <c r="L223" s="15"/>
      <c r="M223" s="15"/>
      <c r="N223" s="15"/>
      <c r="O223" s="15"/>
      <c r="P223" s="15"/>
      <c r="Q223" s="15"/>
      <c r="R223" s="15"/>
      <c r="S223" s="15"/>
      <c r="T223" s="15"/>
      <c r="U223" s="15"/>
      <c r="V223" s="15"/>
      <c r="W223" s="15"/>
      <c r="X223" s="14"/>
      <c r="Y223" s="14"/>
      <c r="Z223" s="15"/>
      <c r="AA223" s="3"/>
      <c r="AB223" s="3"/>
      <c r="AC223" s="3"/>
      <c r="AD223" s="3"/>
      <c r="AE223" s="3"/>
      <c r="AF223" s="3"/>
    </row>
    <row r="224" ht="15.75" customHeight="1">
      <c r="J224" s="15"/>
      <c r="K224" s="238"/>
      <c r="L224" s="15"/>
      <c r="M224" s="15"/>
      <c r="N224" s="15"/>
      <c r="O224" s="15"/>
      <c r="P224" s="15"/>
      <c r="Q224" s="15"/>
      <c r="R224" s="15"/>
      <c r="S224" s="15"/>
      <c r="T224" s="15"/>
      <c r="U224" s="15"/>
      <c r="V224" s="15"/>
      <c r="W224" s="15"/>
      <c r="X224" s="14"/>
      <c r="Y224" s="14"/>
      <c r="Z224" s="15"/>
      <c r="AA224" s="3"/>
      <c r="AB224" s="3"/>
      <c r="AC224" s="3"/>
      <c r="AD224" s="3"/>
      <c r="AE224" s="3"/>
      <c r="AF224" s="3"/>
    </row>
    <row r="225" ht="15.75" customHeight="1">
      <c r="J225" s="15"/>
      <c r="K225" s="238"/>
      <c r="L225" s="15"/>
      <c r="M225" s="15"/>
      <c r="N225" s="15"/>
      <c r="O225" s="15"/>
      <c r="P225" s="15"/>
      <c r="Q225" s="15"/>
      <c r="R225" s="15"/>
      <c r="S225" s="15"/>
      <c r="T225" s="15"/>
      <c r="U225" s="15"/>
      <c r="V225" s="15"/>
      <c r="W225" s="15"/>
      <c r="X225" s="14"/>
      <c r="Y225" s="14"/>
      <c r="Z225" s="15"/>
      <c r="AA225" s="3"/>
      <c r="AB225" s="3"/>
      <c r="AC225" s="3"/>
      <c r="AD225" s="3"/>
      <c r="AE225" s="3"/>
      <c r="AF225" s="3"/>
    </row>
    <row r="226" ht="15.75" customHeight="1">
      <c r="J226" s="15"/>
      <c r="K226" s="238"/>
      <c r="L226" s="15"/>
      <c r="M226" s="15"/>
      <c r="N226" s="15"/>
      <c r="O226" s="15"/>
      <c r="P226" s="15"/>
      <c r="Q226" s="15"/>
      <c r="R226" s="15"/>
      <c r="S226" s="15"/>
      <c r="T226" s="15"/>
      <c r="U226" s="15"/>
      <c r="V226" s="15"/>
      <c r="W226" s="15"/>
      <c r="X226" s="14"/>
      <c r="Y226" s="14"/>
      <c r="Z226" s="15"/>
      <c r="AA226" s="3"/>
      <c r="AB226" s="3"/>
      <c r="AC226" s="3"/>
      <c r="AD226" s="3"/>
      <c r="AE226" s="3"/>
      <c r="AF226" s="3"/>
    </row>
    <row r="227" ht="15.75" customHeight="1">
      <c r="J227" s="15"/>
      <c r="K227" s="238"/>
      <c r="L227" s="15"/>
      <c r="M227" s="15"/>
      <c r="N227" s="15"/>
      <c r="O227" s="15"/>
      <c r="P227" s="15"/>
      <c r="Q227" s="15"/>
      <c r="R227" s="15"/>
      <c r="S227" s="15"/>
      <c r="T227" s="15"/>
      <c r="U227" s="15"/>
      <c r="V227" s="15"/>
      <c r="W227" s="15"/>
      <c r="X227" s="14"/>
      <c r="Y227" s="14"/>
      <c r="Z227" s="15"/>
      <c r="AA227" s="3"/>
      <c r="AB227" s="3"/>
      <c r="AC227" s="3"/>
      <c r="AD227" s="3"/>
      <c r="AE227" s="3"/>
      <c r="AF227" s="3"/>
    </row>
    <row r="228" ht="15.75" customHeight="1">
      <c r="J228" s="15"/>
      <c r="K228" s="238"/>
      <c r="L228" s="15"/>
      <c r="M228" s="15"/>
      <c r="N228" s="15"/>
      <c r="O228" s="15"/>
      <c r="P228" s="15"/>
      <c r="Q228" s="15"/>
      <c r="R228" s="15"/>
      <c r="S228" s="15"/>
      <c r="T228" s="15"/>
      <c r="U228" s="15"/>
      <c r="V228" s="15"/>
      <c r="W228" s="15"/>
      <c r="X228" s="14"/>
      <c r="Y228" s="14"/>
      <c r="Z228" s="15"/>
      <c r="AA228" s="3"/>
      <c r="AB228" s="3"/>
      <c r="AC228" s="3"/>
      <c r="AD228" s="3"/>
      <c r="AE228" s="3"/>
      <c r="AF228" s="3"/>
    </row>
    <row r="229" ht="15.75" customHeight="1">
      <c r="J229" s="15"/>
      <c r="K229" s="238"/>
      <c r="L229" s="15"/>
      <c r="M229" s="15"/>
      <c r="N229" s="15"/>
      <c r="O229" s="15"/>
      <c r="P229" s="15"/>
      <c r="Q229" s="15"/>
      <c r="R229" s="15"/>
      <c r="S229" s="15"/>
      <c r="T229" s="15"/>
      <c r="U229" s="15"/>
      <c r="V229" s="15"/>
      <c r="W229" s="15"/>
      <c r="X229" s="14"/>
      <c r="Y229" s="14"/>
      <c r="Z229" s="15"/>
      <c r="AA229" s="3"/>
      <c r="AB229" s="3"/>
      <c r="AC229" s="3"/>
      <c r="AD229" s="3"/>
      <c r="AE229" s="3"/>
      <c r="AF229" s="3"/>
    </row>
    <row r="230" ht="15.75" customHeight="1">
      <c r="J230" s="15"/>
      <c r="K230" s="238"/>
      <c r="L230" s="15"/>
      <c r="M230" s="15"/>
      <c r="N230" s="15"/>
      <c r="O230" s="15"/>
      <c r="P230" s="15"/>
      <c r="Q230" s="15"/>
      <c r="R230" s="15"/>
      <c r="S230" s="15"/>
      <c r="T230" s="15"/>
      <c r="U230" s="15"/>
      <c r="V230" s="15"/>
      <c r="W230" s="15"/>
      <c r="X230" s="14"/>
      <c r="Y230" s="14"/>
      <c r="Z230" s="15"/>
      <c r="AA230" s="3"/>
      <c r="AB230" s="3"/>
      <c r="AC230" s="3"/>
      <c r="AD230" s="3"/>
      <c r="AE230" s="3"/>
      <c r="AF230" s="3"/>
    </row>
    <row r="231" ht="15.75" customHeight="1">
      <c r="J231" s="15"/>
      <c r="K231" s="238"/>
      <c r="L231" s="15"/>
      <c r="M231" s="15"/>
      <c r="N231" s="15"/>
      <c r="O231" s="15"/>
      <c r="P231" s="15"/>
      <c r="Q231" s="15"/>
      <c r="R231" s="15"/>
      <c r="S231" s="15"/>
      <c r="T231" s="15"/>
      <c r="U231" s="15"/>
      <c r="V231" s="15"/>
      <c r="W231" s="15"/>
      <c r="X231" s="14"/>
      <c r="Y231" s="14"/>
      <c r="Z231" s="15"/>
      <c r="AA231" s="3"/>
      <c r="AB231" s="3"/>
      <c r="AC231" s="3"/>
      <c r="AD231" s="3"/>
      <c r="AE231" s="3"/>
      <c r="AF231" s="3"/>
    </row>
    <row r="232" ht="15.75" customHeight="1">
      <c r="J232" s="15"/>
      <c r="K232" s="238"/>
      <c r="L232" s="15"/>
      <c r="M232" s="15"/>
      <c r="N232" s="15"/>
      <c r="O232" s="15"/>
      <c r="P232" s="15"/>
      <c r="Q232" s="15"/>
      <c r="R232" s="15"/>
      <c r="S232" s="15"/>
      <c r="T232" s="15"/>
      <c r="U232" s="15"/>
      <c r="V232" s="15"/>
      <c r="W232" s="15"/>
      <c r="X232" s="14"/>
      <c r="Y232" s="14"/>
      <c r="Z232" s="15"/>
      <c r="AA232" s="3"/>
      <c r="AB232" s="3"/>
      <c r="AC232" s="3"/>
      <c r="AD232" s="3"/>
      <c r="AE232" s="3"/>
      <c r="AF232" s="3"/>
    </row>
    <row r="233" ht="15.75" customHeight="1">
      <c r="J233" s="15"/>
      <c r="K233" s="238"/>
      <c r="L233" s="15"/>
      <c r="M233" s="15"/>
      <c r="N233" s="15"/>
      <c r="O233" s="15"/>
      <c r="P233" s="15"/>
      <c r="Q233" s="15"/>
      <c r="R233" s="15"/>
      <c r="S233" s="15"/>
      <c r="T233" s="15"/>
      <c r="U233" s="15"/>
      <c r="V233" s="15"/>
      <c r="W233" s="15"/>
      <c r="X233" s="14"/>
      <c r="Y233" s="14"/>
      <c r="Z233" s="15"/>
      <c r="AA233" s="3"/>
      <c r="AB233" s="3"/>
      <c r="AC233" s="3"/>
      <c r="AD233" s="3"/>
      <c r="AE233" s="3"/>
      <c r="AF233" s="3"/>
    </row>
    <row r="234" ht="15.75" customHeight="1">
      <c r="J234" s="15"/>
      <c r="K234" s="238"/>
      <c r="L234" s="15"/>
      <c r="M234" s="15"/>
      <c r="N234" s="15"/>
      <c r="O234" s="15"/>
      <c r="P234" s="15"/>
      <c r="Q234" s="15"/>
      <c r="R234" s="15"/>
      <c r="S234" s="15"/>
      <c r="T234" s="15"/>
      <c r="U234" s="15"/>
      <c r="V234" s="15"/>
      <c r="W234" s="15"/>
      <c r="X234" s="14"/>
      <c r="Y234" s="14"/>
      <c r="Z234" s="15"/>
      <c r="AA234" s="3"/>
      <c r="AB234" s="3"/>
      <c r="AC234" s="3"/>
      <c r="AD234" s="3"/>
      <c r="AE234" s="3"/>
      <c r="AF234" s="3"/>
    </row>
    <row r="235" ht="15.75" customHeight="1">
      <c r="J235" s="15"/>
      <c r="K235" s="238"/>
      <c r="L235" s="15"/>
      <c r="M235" s="15"/>
      <c r="N235" s="15"/>
      <c r="O235" s="15"/>
      <c r="P235" s="15"/>
      <c r="Q235" s="15"/>
      <c r="R235" s="15"/>
      <c r="S235" s="15"/>
      <c r="T235" s="15"/>
      <c r="U235" s="15"/>
      <c r="V235" s="15"/>
      <c r="W235" s="15"/>
      <c r="X235" s="14"/>
      <c r="Y235" s="14"/>
      <c r="Z235" s="15"/>
      <c r="AA235" s="3"/>
      <c r="AB235" s="3"/>
      <c r="AC235" s="3"/>
      <c r="AD235" s="3"/>
      <c r="AE235" s="3"/>
      <c r="AF235" s="3"/>
    </row>
    <row r="236" ht="15.75" customHeight="1">
      <c r="J236" s="15"/>
      <c r="K236" s="238"/>
      <c r="L236" s="15"/>
      <c r="M236" s="15"/>
      <c r="N236" s="15"/>
      <c r="O236" s="15"/>
      <c r="P236" s="15"/>
      <c r="Q236" s="15"/>
      <c r="R236" s="15"/>
      <c r="S236" s="15"/>
      <c r="T236" s="15"/>
      <c r="U236" s="15"/>
      <c r="V236" s="15"/>
      <c r="W236" s="15"/>
      <c r="X236" s="14"/>
      <c r="Y236" s="14"/>
      <c r="Z236" s="15"/>
      <c r="AA236" s="3"/>
      <c r="AB236" s="3"/>
      <c r="AC236" s="3"/>
      <c r="AD236" s="3"/>
      <c r="AE236" s="3"/>
      <c r="AF236" s="3"/>
    </row>
    <row r="237" ht="15.75" customHeight="1">
      <c r="J237" s="15"/>
      <c r="K237" s="238"/>
      <c r="L237" s="15"/>
      <c r="M237" s="15"/>
      <c r="N237" s="15"/>
      <c r="O237" s="15"/>
      <c r="P237" s="15"/>
      <c r="Q237" s="15"/>
      <c r="R237" s="15"/>
      <c r="S237" s="15"/>
      <c r="T237" s="15"/>
      <c r="U237" s="15"/>
      <c r="V237" s="15"/>
      <c r="W237" s="15"/>
      <c r="X237" s="14"/>
      <c r="Y237" s="14"/>
      <c r="Z237" s="15"/>
      <c r="AA237" s="3"/>
      <c r="AB237" s="3"/>
      <c r="AC237" s="3"/>
      <c r="AD237" s="3"/>
      <c r="AE237" s="3"/>
      <c r="AF237" s="3"/>
    </row>
    <row r="238" ht="15.75" customHeight="1">
      <c r="J238" s="15"/>
      <c r="K238" s="238"/>
      <c r="L238" s="15"/>
      <c r="M238" s="15"/>
      <c r="N238" s="15"/>
      <c r="O238" s="15"/>
      <c r="P238" s="15"/>
      <c r="Q238" s="15"/>
      <c r="R238" s="15"/>
      <c r="S238" s="15"/>
      <c r="T238" s="15"/>
      <c r="U238" s="15"/>
      <c r="V238" s="15"/>
      <c r="W238" s="15"/>
      <c r="X238" s="14"/>
      <c r="Y238" s="14"/>
      <c r="Z238" s="15"/>
      <c r="AA238" s="3"/>
      <c r="AB238" s="3"/>
      <c r="AC238" s="3"/>
      <c r="AD238" s="3"/>
      <c r="AE238" s="3"/>
      <c r="AF238" s="3"/>
    </row>
    <row r="239" ht="15.75" customHeight="1">
      <c r="J239" s="15"/>
      <c r="K239" s="238"/>
      <c r="L239" s="15"/>
      <c r="M239" s="15"/>
      <c r="N239" s="15"/>
      <c r="O239" s="15"/>
      <c r="P239" s="15"/>
      <c r="Q239" s="15"/>
      <c r="R239" s="15"/>
      <c r="S239" s="15"/>
      <c r="T239" s="15"/>
      <c r="U239" s="15"/>
      <c r="V239" s="15"/>
      <c r="W239" s="15"/>
      <c r="X239" s="14"/>
      <c r="Y239" s="14"/>
      <c r="Z239" s="15"/>
      <c r="AA239" s="3"/>
      <c r="AB239" s="3"/>
      <c r="AC239" s="3"/>
      <c r="AD239" s="3"/>
      <c r="AE239" s="3"/>
      <c r="AF239" s="3"/>
    </row>
    <row r="240" ht="15.75" customHeight="1">
      <c r="J240" s="15"/>
      <c r="K240" s="238"/>
      <c r="L240" s="15"/>
      <c r="M240" s="15"/>
      <c r="N240" s="15"/>
      <c r="O240" s="15"/>
      <c r="P240" s="15"/>
      <c r="Q240" s="15"/>
      <c r="R240" s="15"/>
      <c r="S240" s="15"/>
      <c r="T240" s="15"/>
      <c r="U240" s="15"/>
      <c r="V240" s="15"/>
      <c r="W240" s="15"/>
      <c r="X240" s="14"/>
      <c r="Y240" s="14"/>
      <c r="Z240" s="15"/>
      <c r="AA240" s="3"/>
      <c r="AB240" s="3"/>
      <c r="AC240" s="3"/>
      <c r="AD240" s="3"/>
      <c r="AE240" s="3"/>
      <c r="AF240" s="3"/>
    </row>
    <row r="241" ht="15.75" customHeight="1">
      <c r="J241" s="15"/>
      <c r="K241" s="238"/>
      <c r="L241" s="15"/>
      <c r="M241" s="15"/>
      <c r="N241" s="15"/>
      <c r="O241" s="15"/>
      <c r="P241" s="15"/>
      <c r="Q241" s="15"/>
      <c r="R241" s="15"/>
      <c r="S241" s="15"/>
      <c r="T241" s="15"/>
      <c r="U241" s="15"/>
      <c r="V241" s="15"/>
      <c r="W241" s="15"/>
      <c r="X241" s="14"/>
      <c r="Y241" s="14"/>
      <c r="Z241" s="15"/>
      <c r="AA241" s="3"/>
      <c r="AB241" s="3"/>
      <c r="AC241" s="3"/>
      <c r="AD241" s="3"/>
      <c r="AE241" s="3"/>
      <c r="AF241" s="3"/>
    </row>
    <row r="242" ht="15.75" customHeight="1">
      <c r="J242" s="15"/>
      <c r="K242" s="238"/>
      <c r="L242" s="15"/>
      <c r="M242" s="15"/>
      <c r="N242" s="15"/>
      <c r="O242" s="15"/>
      <c r="P242" s="15"/>
      <c r="Q242" s="15"/>
      <c r="R242" s="15"/>
      <c r="S242" s="15"/>
      <c r="T242" s="15"/>
      <c r="U242" s="15"/>
      <c r="V242" s="15"/>
      <c r="W242" s="15"/>
      <c r="X242" s="14"/>
      <c r="Y242" s="14"/>
      <c r="Z242" s="15"/>
      <c r="AA242" s="3"/>
      <c r="AB242" s="3"/>
      <c r="AC242" s="3"/>
      <c r="AD242" s="3"/>
      <c r="AE242" s="3"/>
      <c r="AF242" s="3"/>
    </row>
    <row r="243" ht="15.75" customHeight="1">
      <c r="J243" s="15"/>
      <c r="K243" s="238"/>
      <c r="L243" s="15"/>
      <c r="M243" s="15"/>
      <c r="N243" s="15"/>
      <c r="O243" s="15"/>
      <c r="P243" s="15"/>
      <c r="Q243" s="15"/>
      <c r="R243" s="15"/>
      <c r="S243" s="15"/>
      <c r="T243" s="15"/>
      <c r="U243" s="15"/>
      <c r="V243" s="15"/>
      <c r="W243" s="15"/>
      <c r="X243" s="14"/>
      <c r="Y243" s="14"/>
      <c r="Z243" s="15"/>
      <c r="AA243" s="3"/>
      <c r="AB243" s="3"/>
      <c r="AC243" s="3"/>
      <c r="AD243" s="3"/>
      <c r="AE243" s="3"/>
      <c r="AF243" s="3"/>
    </row>
    <row r="244" ht="15.75" customHeight="1">
      <c r="J244" s="15"/>
      <c r="K244" s="238"/>
      <c r="L244" s="15"/>
      <c r="M244" s="15"/>
      <c r="N244" s="15"/>
      <c r="O244" s="15"/>
      <c r="P244" s="15"/>
      <c r="Q244" s="15"/>
      <c r="R244" s="15"/>
      <c r="S244" s="15"/>
      <c r="T244" s="15"/>
      <c r="U244" s="15"/>
      <c r="V244" s="15"/>
      <c r="W244" s="15"/>
      <c r="X244" s="14"/>
      <c r="Y244" s="14"/>
      <c r="Z244" s="15"/>
      <c r="AA244" s="3"/>
      <c r="AB244" s="3"/>
      <c r="AC244" s="3"/>
      <c r="AD244" s="3"/>
      <c r="AE244" s="3"/>
      <c r="AF244" s="3"/>
    </row>
    <row r="245" ht="15.75" customHeight="1">
      <c r="J245" s="15"/>
      <c r="K245" s="238"/>
      <c r="L245" s="15"/>
      <c r="M245" s="15"/>
      <c r="N245" s="15"/>
      <c r="O245" s="15"/>
      <c r="P245" s="15"/>
      <c r="Q245" s="15"/>
      <c r="R245" s="15"/>
      <c r="S245" s="15"/>
      <c r="T245" s="15"/>
      <c r="U245" s="15"/>
      <c r="V245" s="15"/>
      <c r="W245" s="15"/>
      <c r="X245" s="14"/>
      <c r="Y245" s="14"/>
      <c r="Z245" s="15"/>
      <c r="AA245" s="3"/>
      <c r="AB245" s="3"/>
      <c r="AC245" s="3"/>
      <c r="AD245" s="3"/>
      <c r="AE245" s="3"/>
      <c r="AF245" s="3"/>
    </row>
    <row r="246" ht="15.75" customHeight="1">
      <c r="J246" s="15"/>
      <c r="K246" s="238"/>
      <c r="L246" s="15"/>
      <c r="M246" s="15"/>
      <c r="N246" s="15"/>
      <c r="O246" s="15"/>
      <c r="P246" s="15"/>
      <c r="Q246" s="15"/>
      <c r="R246" s="15"/>
      <c r="S246" s="15"/>
      <c r="T246" s="15"/>
      <c r="U246" s="15"/>
      <c r="V246" s="15"/>
      <c r="W246" s="15"/>
      <c r="X246" s="14"/>
      <c r="Y246" s="14"/>
      <c r="Z246" s="15"/>
      <c r="AA246" s="3"/>
      <c r="AB246" s="3"/>
      <c r="AC246" s="3"/>
      <c r="AD246" s="3"/>
      <c r="AE246" s="3"/>
      <c r="AF246" s="3"/>
    </row>
    <row r="247" ht="15.75" customHeight="1">
      <c r="J247" s="15"/>
      <c r="K247" s="238"/>
      <c r="L247" s="15"/>
      <c r="M247" s="15"/>
      <c r="N247" s="15"/>
      <c r="O247" s="15"/>
      <c r="P247" s="15"/>
      <c r="Q247" s="15"/>
      <c r="R247" s="15"/>
      <c r="S247" s="15"/>
      <c r="T247" s="15"/>
      <c r="U247" s="15"/>
      <c r="V247" s="15"/>
      <c r="W247" s="15"/>
      <c r="X247" s="14"/>
      <c r="Y247" s="14"/>
      <c r="Z247" s="15"/>
      <c r="AA247" s="3"/>
      <c r="AB247" s="3"/>
      <c r="AC247" s="3"/>
      <c r="AD247" s="3"/>
      <c r="AE247" s="3"/>
      <c r="AF247" s="3"/>
    </row>
    <row r="248" ht="15.75" customHeight="1">
      <c r="J248" s="15"/>
      <c r="K248" s="238"/>
      <c r="L248" s="15"/>
      <c r="M248" s="15"/>
      <c r="N248" s="15"/>
      <c r="O248" s="15"/>
      <c r="P248" s="15"/>
      <c r="Q248" s="15"/>
      <c r="R248" s="15"/>
      <c r="S248" s="15"/>
      <c r="T248" s="15"/>
      <c r="U248" s="15"/>
      <c r="V248" s="15"/>
      <c r="W248" s="15"/>
      <c r="X248" s="14"/>
      <c r="Y248" s="14"/>
      <c r="Z248" s="15"/>
      <c r="AA248" s="3"/>
      <c r="AB248" s="3"/>
      <c r="AC248" s="3"/>
      <c r="AD248" s="3"/>
      <c r="AE248" s="3"/>
      <c r="AF248" s="3"/>
    </row>
    <row r="249" ht="15.75" customHeight="1">
      <c r="J249" s="15"/>
      <c r="K249" s="238"/>
      <c r="L249" s="15"/>
      <c r="M249" s="15"/>
      <c r="N249" s="15"/>
      <c r="O249" s="15"/>
      <c r="P249" s="15"/>
      <c r="Q249" s="15"/>
      <c r="R249" s="15"/>
      <c r="S249" s="15"/>
      <c r="T249" s="15"/>
      <c r="U249" s="15"/>
      <c r="V249" s="15"/>
      <c r="W249" s="15"/>
      <c r="X249" s="14"/>
      <c r="Y249" s="14"/>
      <c r="Z249" s="15"/>
      <c r="AA249" s="3"/>
      <c r="AB249" s="3"/>
      <c r="AC249" s="3"/>
      <c r="AD249" s="3"/>
      <c r="AE249" s="3"/>
      <c r="AF249" s="3"/>
    </row>
    <row r="250" ht="15.75" customHeight="1">
      <c r="J250" s="15"/>
      <c r="K250" s="238"/>
      <c r="L250" s="15"/>
      <c r="M250" s="15"/>
      <c r="N250" s="15"/>
      <c r="O250" s="15"/>
      <c r="P250" s="15"/>
      <c r="Q250" s="15"/>
      <c r="R250" s="15"/>
      <c r="S250" s="15"/>
      <c r="T250" s="15"/>
      <c r="U250" s="15"/>
      <c r="V250" s="15"/>
      <c r="W250" s="15"/>
      <c r="X250" s="14"/>
      <c r="Y250" s="14"/>
      <c r="Z250" s="15"/>
      <c r="AA250" s="3"/>
      <c r="AB250" s="3"/>
      <c r="AC250" s="3"/>
      <c r="AD250" s="3"/>
      <c r="AE250" s="3"/>
      <c r="AF250" s="3"/>
    </row>
    <row r="251" ht="15.75" customHeight="1">
      <c r="J251" s="15"/>
      <c r="K251" s="238"/>
      <c r="L251" s="15"/>
      <c r="M251" s="15"/>
      <c r="N251" s="15"/>
      <c r="O251" s="15"/>
      <c r="P251" s="15"/>
      <c r="Q251" s="15"/>
      <c r="R251" s="15"/>
      <c r="S251" s="15"/>
      <c r="T251" s="15"/>
      <c r="U251" s="15"/>
      <c r="V251" s="15"/>
      <c r="W251" s="15"/>
      <c r="X251" s="14"/>
      <c r="Y251" s="14"/>
      <c r="Z251" s="15"/>
      <c r="AA251" s="3"/>
      <c r="AB251" s="3"/>
      <c r="AC251" s="3"/>
      <c r="AD251" s="3"/>
      <c r="AE251" s="3"/>
      <c r="AF251" s="3"/>
    </row>
    <row r="252" ht="15.75" customHeight="1">
      <c r="J252" s="15"/>
      <c r="K252" s="238"/>
      <c r="L252" s="15"/>
      <c r="M252" s="15"/>
      <c r="N252" s="15"/>
      <c r="O252" s="15"/>
      <c r="P252" s="15"/>
      <c r="Q252" s="15"/>
      <c r="R252" s="15"/>
      <c r="S252" s="15"/>
      <c r="T252" s="15"/>
      <c r="U252" s="15"/>
      <c r="V252" s="15"/>
      <c r="W252" s="15"/>
      <c r="X252" s="14"/>
      <c r="Y252" s="14"/>
      <c r="Z252" s="15"/>
      <c r="AA252" s="3"/>
      <c r="AB252" s="3"/>
      <c r="AC252" s="3"/>
      <c r="AD252" s="3"/>
      <c r="AE252" s="3"/>
      <c r="AF252" s="3"/>
    </row>
    <row r="253" ht="15.75" customHeight="1">
      <c r="J253" s="15"/>
      <c r="K253" s="238"/>
      <c r="L253" s="15"/>
      <c r="M253" s="15"/>
      <c r="N253" s="15"/>
      <c r="O253" s="15"/>
      <c r="P253" s="15"/>
      <c r="Q253" s="15"/>
      <c r="R253" s="15"/>
      <c r="S253" s="15"/>
      <c r="T253" s="15"/>
      <c r="U253" s="15"/>
      <c r="V253" s="15"/>
      <c r="W253" s="15"/>
      <c r="X253" s="14"/>
      <c r="Y253" s="14"/>
      <c r="Z253" s="15"/>
      <c r="AA253" s="3"/>
      <c r="AB253" s="3"/>
      <c r="AC253" s="3"/>
      <c r="AD253" s="3"/>
      <c r="AE253" s="3"/>
      <c r="AF253" s="3"/>
    </row>
    <row r="254" ht="15.75" customHeight="1">
      <c r="J254" s="15"/>
      <c r="K254" s="238"/>
      <c r="L254" s="15"/>
      <c r="M254" s="15"/>
      <c r="N254" s="15"/>
      <c r="O254" s="15"/>
      <c r="P254" s="15"/>
      <c r="Q254" s="15"/>
      <c r="R254" s="15"/>
      <c r="S254" s="15"/>
      <c r="T254" s="15"/>
      <c r="U254" s="15"/>
      <c r="V254" s="15"/>
      <c r="W254" s="15"/>
      <c r="X254" s="14"/>
      <c r="Y254" s="14"/>
      <c r="Z254" s="15"/>
      <c r="AA254" s="3"/>
      <c r="AB254" s="3"/>
      <c r="AC254" s="3"/>
      <c r="AD254" s="3"/>
      <c r="AE254" s="3"/>
      <c r="AF254" s="3"/>
    </row>
    <row r="255" ht="15.75" customHeight="1">
      <c r="J255" s="15"/>
      <c r="K255" s="238"/>
      <c r="L255" s="15"/>
      <c r="M255" s="15"/>
      <c r="N255" s="15"/>
      <c r="O255" s="15"/>
      <c r="P255" s="15"/>
      <c r="Q255" s="15"/>
      <c r="R255" s="15"/>
      <c r="S255" s="15"/>
      <c r="T255" s="15"/>
      <c r="U255" s="15"/>
      <c r="V255" s="15"/>
      <c r="W255" s="15"/>
      <c r="X255" s="14"/>
      <c r="Y255" s="14"/>
      <c r="Z255" s="15"/>
      <c r="AA255" s="3"/>
      <c r="AB255" s="3"/>
      <c r="AC255" s="3"/>
      <c r="AD255" s="3"/>
      <c r="AE255" s="3"/>
      <c r="AF255" s="3"/>
    </row>
    <row r="256" ht="15.75" customHeight="1">
      <c r="J256" s="15"/>
      <c r="K256" s="238"/>
      <c r="L256" s="15"/>
      <c r="M256" s="15"/>
      <c r="N256" s="15"/>
      <c r="O256" s="15"/>
      <c r="P256" s="15"/>
      <c r="Q256" s="15"/>
      <c r="R256" s="15"/>
      <c r="S256" s="15"/>
      <c r="T256" s="15"/>
      <c r="U256" s="15"/>
      <c r="V256" s="15"/>
      <c r="W256" s="15"/>
      <c r="X256" s="14"/>
      <c r="Y256" s="14"/>
      <c r="Z256" s="15"/>
      <c r="AA256" s="3"/>
      <c r="AB256" s="3"/>
      <c r="AC256" s="3"/>
      <c r="AD256" s="3"/>
      <c r="AE256" s="3"/>
      <c r="AF256" s="3"/>
    </row>
    <row r="257" ht="15.75" customHeight="1">
      <c r="J257" s="15"/>
      <c r="K257" s="238"/>
      <c r="L257" s="15"/>
      <c r="M257" s="15"/>
      <c r="N257" s="15"/>
      <c r="O257" s="15"/>
      <c r="P257" s="15"/>
      <c r="Q257" s="15"/>
      <c r="R257" s="15"/>
      <c r="S257" s="15"/>
      <c r="T257" s="15"/>
      <c r="U257" s="15"/>
      <c r="V257" s="15"/>
      <c r="W257" s="15"/>
      <c r="X257" s="14"/>
      <c r="Y257" s="14"/>
      <c r="Z257" s="15"/>
      <c r="AA257" s="3"/>
      <c r="AB257" s="3"/>
      <c r="AC257" s="3"/>
      <c r="AD257" s="3"/>
      <c r="AE257" s="3"/>
      <c r="AF257" s="3"/>
    </row>
    <row r="258" ht="15.75" customHeight="1">
      <c r="J258" s="15"/>
      <c r="K258" s="238"/>
      <c r="L258" s="15"/>
      <c r="M258" s="15"/>
      <c r="N258" s="15"/>
      <c r="O258" s="15"/>
      <c r="P258" s="15"/>
      <c r="Q258" s="15"/>
      <c r="R258" s="15"/>
      <c r="S258" s="15"/>
      <c r="T258" s="15"/>
      <c r="U258" s="15"/>
      <c r="V258" s="15"/>
      <c r="W258" s="15"/>
      <c r="X258" s="14"/>
      <c r="Y258" s="14"/>
      <c r="Z258" s="15"/>
      <c r="AA258" s="3"/>
      <c r="AB258" s="3"/>
      <c r="AC258" s="3"/>
      <c r="AD258" s="3"/>
      <c r="AE258" s="3"/>
      <c r="AF258" s="3"/>
    </row>
    <row r="259" ht="15.75" customHeight="1">
      <c r="J259" s="15"/>
      <c r="K259" s="238"/>
      <c r="L259" s="15"/>
      <c r="M259" s="15"/>
      <c r="N259" s="15"/>
      <c r="O259" s="15"/>
      <c r="P259" s="15"/>
      <c r="Q259" s="15"/>
      <c r="R259" s="15"/>
      <c r="S259" s="15"/>
      <c r="T259" s="15"/>
      <c r="U259" s="15"/>
      <c r="V259" s="15"/>
      <c r="W259" s="15"/>
      <c r="X259" s="14"/>
      <c r="Y259" s="14"/>
      <c r="Z259" s="15"/>
      <c r="AA259" s="3"/>
      <c r="AB259" s="3"/>
      <c r="AC259" s="3"/>
      <c r="AD259" s="3"/>
      <c r="AE259" s="3"/>
      <c r="AF259" s="3"/>
    </row>
    <row r="260" ht="15.75" customHeight="1">
      <c r="J260" s="15"/>
      <c r="K260" s="238"/>
      <c r="L260" s="15"/>
      <c r="M260" s="15"/>
      <c r="N260" s="15"/>
      <c r="O260" s="15"/>
      <c r="P260" s="15"/>
      <c r="Q260" s="15"/>
      <c r="R260" s="15"/>
      <c r="S260" s="15"/>
      <c r="T260" s="15"/>
      <c r="U260" s="15"/>
      <c r="V260" s="15"/>
      <c r="W260" s="15"/>
      <c r="X260" s="14"/>
      <c r="Y260" s="14"/>
      <c r="Z260" s="15"/>
      <c r="AA260" s="3"/>
      <c r="AB260" s="3"/>
      <c r="AC260" s="3"/>
      <c r="AD260" s="3"/>
      <c r="AE260" s="3"/>
      <c r="AF260" s="3"/>
    </row>
    <row r="261" ht="15.75" customHeight="1">
      <c r="J261" s="15"/>
      <c r="K261" s="238"/>
      <c r="L261" s="15"/>
      <c r="M261" s="15"/>
      <c r="N261" s="15"/>
      <c r="O261" s="15"/>
      <c r="P261" s="15"/>
      <c r="Q261" s="15"/>
      <c r="R261" s="15"/>
      <c r="S261" s="15"/>
      <c r="T261" s="15"/>
      <c r="U261" s="15"/>
      <c r="V261" s="15"/>
      <c r="W261" s="15"/>
      <c r="X261" s="14"/>
      <c r="Y261" s="14"/>
      <c r="Z261" s="15"/>
      <c r="AA261" s="3"/>
      <c r="AB261" s="3"/>
      <c r="AC261" s="3"/>
      <c r="AD261" s="3"/>
      <c r="AE261" s="3"/>
      <c r="AF261" s="3"/>
    </row>
    <row r="262" ht="15.75" customHeight="1">
      <c r="J262" s="15"/>
      <c r="K262" s="238"/>
      <c r="L262" s="15"/>
      <c r="M262" s="15"/>
      <c r="N262" s="15"/>
      <c r="O262" s="15"/>
      <c r="P262" s="15"/>
      <c r="Q262" s="15"/>
      <c r="R262" s="15"/>
      <c r="S262" s="15"/>
      <c r="T262" s="15"/>
      <c r="U262" s="15"/>
      <c r="V262" s="15"/>
      <c r="W262" s="15"/>
      <c r="X262" s="14"/>
      <c r="Y262" s="14"/>
      <c r="Z262" s="15"/>
      <c r="AA262" s="3"/>
      <c r="AB262" s="3"/>
      <c r="AC262" s="3"/>
      <c r="AD262" s="3"/>
      <c r="AE262" s="3"/>
      <c r="AF262" s="3"/>
    </row>
    <row r="263" ht="15.75" customHeight="1">
      <c r="J263" s="15"/>
      <c r="K263" s="238"/>
      <c r="L263" s="15"/>
      <c r="M263" s="15"/>
      <c r="N263" s="15"/>
      <c r="O263" s="15"/>
      <c r="P263" s="15"/>
      <c r="Q263" s="15"/>
      <c r="R263" s="15"/>
      <c r="S263" s="15"/>
      <c r="T263" s="15"/>
      <c r="U263" s="15"/>
      <c r="V263" s="15"/>
      <c r="W263" s="15"/>
      <c r="X263" s="14"/>
      <c r="Y263" s="14"/>
      <c r="Z263" s="15"/>
      <c r="AA263" s="3"/>
      <c r="AB263" s="3"/>
      <c r="AC263" s="3"/>
      <c r="AD263" s="3"/>
      <c r="AE263" s="3"/>
      <c r="AF263" s="3"/>
    </row>
    <row r="264" ht="15.75" customHeight="1">
      <c r="J264" s="15"/>
      <c r="K264" s="238"/>
      <c r="L264" s="15"/>
      <c r="M264" s="15"/>
      <c r="N264" s="15"/>
      <c r="O264" s="15"/>
      <c r="P264" s="15"/>
      <c r="Q264" s="15"/>
      <c r="R264" s="15"/>
      <c r="S264" s="15"/>
      <c r="T264" s="15"/>
      <c r="U264" s="15"/>
      <c r="V264" s="15"/>
      <c r="W264" s="15"/>
      <c r="X264" s="14"/>
      <c r="Y264" s="14"/>
      <c r="Z264" s="15"/>
      <c r="AA264" s="3"/>
      <c r="AB264" s="3"/>
      <c r="AC264" s="3"/>
      <c r="AD264" s="3"/>
      <c r="AE264" s="3"/>
      <c r="AF264" s="3"/>
    </row>
    <row r="265" ht="15.75" customHeight="1">
      <c r="J265" s="15"/>
      <c r="K265" s="238"/>
      <c r="L265" s="15"/>
      <c r="M265" s="15"/>
      <c r="N265" s="15"/>
      <c r="O265" s="15"/>
      <c r="P265" s="15"/>
      <c r="Q265" s="15"/>
      <c r="R265" s="15"/>
      <c r="S265" s="15"/>
      <c r="T265" s="15"/>
      <c r="U265" s="15"/>
      <c r="V265" s="15"/>
      <c r="W265" s="15"/>
      <c r="X265" s="14"/>
      <c r="Y265" s="14"/>
      <c r="Z265" s="15"/>
      <c r="AA265" s="3"/>
      <c r="AB265" s="3"/>
      <c r="AC265" s="3"/>
      <c r="AD265" s="3"/>
      <c r="AE265" s="3"/>
      <c r="AF265" s="3"/>
    </row>
    <row r="266" ht="15.75" customHeight="1">
      <c r="J266" s="15"/>
      <c r="K266" s="238"/>
      <c r="L266" s="15"/>
      <c r="M266" s="15"/>
      <c r="N266" s="15"/>
      <c r="O266" s="15"/>
      <c r="P266" s="15"/>
      <c r="Q266" s="15"/>
      <c r="R266" s="15"/>
      <c r="S266" s="15"/>
      <c r="T266" s="15"/>
      <c r="U266" s="15"/>
      <c r="V266" s="15"/>
      <c r="W266" s="15"/>
      <c r="X266" s="14"/>
      <c r="Y266" s="14"/>
      <c r="Z266" s="15"/>
      <c r="AA266" s="3"/>
      <c r="AB266" s="3"/>
      <c r="AC266" s="3"/>
      <c r="AD266" s="3"/>
      <c r="AE266" s="3"/>
      <c r="AF266" s="3"/>
    </row>
    <row r="267" ht="15.75" customHeight="1">
      <c r="J267" s="15"/>
      <c r="K267" s="238"/>
      <c r="L267" s="15"/>
      <c r="M267" s="15"/>
      <c r="N267" s="15"/>
      <c r="O267" s="15"/>
      <c r="P267" s="15"/>
      <c r="Q267" s="15"/>
      <c r="R267" s="15"/>
      <c r="S267" s="15"/>
      <c r="T267" s="15"/>
      <c r="U267" s="15"/>
      <c r="V267" s="15"/>
      <c r="W267" s="15"/>
      <c r="X267" s="14"/>
      <c r="Y267" s="14"/>
      <c r="Z267" s="15"/>
      <c r="AA267" s="3"/>
      <c r="AB267" s="3"/>
      <c r="AC267" s="3"/>
      <c r="AD267" s="3"/>
      <c r="AE267" s="3"/>
      <c r="AF267" s="3"/>
    </row>
    <row r="268" ht="15.75" customHeight="1">
      <c r="J268" s="15"/>
      <c r="K268" s="238"/>
      <c r="L268" s="15"/>
      <c r="M268" s="15"/>
      <c r="N268" s="15"/>
      <c r="O268" s="15"/>
      <c r="P268" s="15"/>
      <c r="Q268" s="15"/>
      <c r="R268" s="15"/>
      <c r="S268" s="15"/>
      <c r="T268" s="15"/>
      <c r="U268" s="15"/>
      <c r="V268" s="15"/>
      <c r="W268" s="15"/>
      <c r="X268" s="14"/>
      <c r="Y268" s="14"/>
      <c r="Z268" s="15"/>
      <c r="AA268" s="3"/>
      <c r="AB268" s="3"/>
      <c r="AC268" s="3"/>
      <c r="AD268" s="3"/>
      <c r="AE268" s="3"/>
      <c r="AF268" s="3"/>
    </row>
    <row r="269" ht="15.75" customHeight="1">
      <c r="J269" s="15"/>
      <c r="K269" s="238"/>
      <c r="L269" s="15"/>
      <c r="M269" s="15"/>
      <c r="N269" s="15"/>
      <c r="O269" s="15"/>
      <c r="P269" s="15"/>
      <c r="Q269" s="15"/>
      <c r="R269" s="15"/>
      <c r="S269" s="15"/>
      <c r="T269" s="15"/>
      <c r="U269" s="15"/>
      <c r="V269" s="15"/>
      <c r="W269" s="15"/>
      <c r="X269" s="14"/>
      <c r="Y269" s="14"/>
      <c r="Z269" s="15"/>
      <c r="AA269" s="3"/>
      <c r="AB269" s="3"/>
      <c r="AC269" s="3"/>
      <c r="AD269" s="3"/>
      <c r="AE269" s="3"/>
      <c r="AF269" s="3"/>
    </row>
    <row r="270" ht="15.75" customHeight="1">
      <c r="J270" s="15"/>
      <c r="K270" s="238"/>
      <c r="L270" s="15"/>
      <c r="M270" s="15"/>
      <c r="N270" s="15"/>
      <c r="O270" s="15"/>
      <c r="P270" s="15"/>
      <c r="Q270" s="15"/>
      <c r="R270" s="15"/>
      <c r="S270" s="15"/>
      <c r="T270" s="15"/>
      <c r="U270" s="15"/>
      <c r="V270" s="15"/>
      <c r="W270" s="15"/>
      <c r="X270" s="14"/>
      <c r="Y270" s="14"/>
      <c r="Z270" s="15"/>
      <c r="AA270" s="3"/>
      <c r="AB270" s="3"/>
      <c r="AC270" s="3"/>
      <c r="AD270" s="3"/>
      <c r="AE270" s="3"/>
      <c r="AF270" s="3"/>
    </row>
    <row r="271" ht="15.75" customHeight="1">
      <c r="J271" s="15"/>
      <c r="K271" s="238"/>
      <c r="L271" s="15"/>
      <c r="M271" s="15"/>
      <c r="N271" s="15"/>
      <c r="O271" s="15"/>
      <c r="P271" s="15"/>
      <c r="Q271" s="15"/>
      <c r="R271" s="15"/>
      <c r="S271" s="15"/>
      <c r="T271" s="15"/>
      <c r="U271" s="15"/>
      <c r="V271" s="15"/>
      <c r="W271" s="15"/>
      <c r="X271" s="14"/>
      <c r="Y271" s="14"/>
      <c r="Z271" s="15"/>
      <c r="AA271" s="3"/>
      <c r="AB271" s="3"/>
      <c r="AC271" s="3"/>
      <c r="AD271" s="3"/>
      <c r="AE271" s="3"/>
      <c r="AF271" s="3"/>
    </row>
    <row r="272" ht="15.75" customHeight="1">
      <c r="J272" s="15"/>
      <c r="K272" s="238"/>
      <c r="L272" s="15"/>
      <c r="M272" s="15"/>
      <c r="N272" s="15"/>
      <c r="O272" s="15"/>
      <c r="P272" s="15"/>
      <c r="Q272" s="15"/>
      <c r="R272" s="15"/>
      <c r="S272" s="15"/>
      <c r="T272" s="15"/>
      <c r="U272" s="15"/>
      <c r="V272" s="15"/>
      <c r="W272" s="15"/>
      <c r="X272" s="14"/>
      <c r="Y272" s="14"/>
      <c r="Z272" s="15"/>
      <c r="AA272" s="3"/>
      <c r="AB272" s="3"/>
      <c r="AC272" s="3"/>
      <c r="AD272" s="3"/>
      <c r="AE272" s="3"/>
      <c r="AF272" s="3"/>
    </row>
    <row r="273" ht="15.75" customHeight="1">
      <c r="J273" s="15"/>
      <c r="K273" s="238"/>
      <c r="L273" s="15"/>
      <c r="M273" s="15"/>
      <c r="N273" s="15"/>
      <c r="O273" s="15"/>
      <c r="P273" s="15"/>
      <c r="Q273" s="15"/>
      <c r="R273" s="15"/>
      <c r="S273" s="15"/>
      <c r="T273" s="15"/>
      <c r="U273" s="15"/>
      <c r="V273" s="15"/>
      <c r="W273" s="15"/>
      <c r="X273" s="14"/>
      <c r="Y273" s="14"/>
      <c r="Z273" s="15"/>
      <c r="AA273" s="3"/>
      <c r="AB273" s="3"/>
      <c r="AC273" s="3"/>
      <c r="AD273" s="3"/>
      <c r="AE273" s="3"/>
      <c r="AF273" s="3"/>
    </row>
    <row r="274" ht="15.75" customHeight="1">
      <c r="J274" s="15"/>
      <c r="K274" s="238"/>
      <c r="L274" s="15"/>
      <c r="M274" s="15"/>
      <c r="N274" s="15"/>
      <c r="O274" s="15"/>
      <c r="P274" s="15"/>
      <c r="Q274" s="15"/>
      <c r="R274" s="15"/>
      <c r="S274" s="15"/>
      <c r="T274" s="15"/>
      <c r="U274" s="15"/>
      <c r="V274" s="15"/>
      <c r="W274" s="15"/>
      <c r="X274" s="14"/>
      <c r="Y274" s="14"/>
      <c r="Z274" s="15"/>
      <c r="AA274" s="3"/>
      <c r="AB274" s="3"/>
      <c r="AC274" s="3"/>
      <c r="AD274" s="3"/>
      <c r="AE274" s="3"/>
      <c r="AF274" s="3"/>
    </row>
    <row r="275" ht="15.75" customHeight="1">
      <c r="J275" s="15"/>
      <c r="K275" s="238"/>
      <c r="L275" s="15"/>
      <c r="M275" s="15"/>
      <c r="N275" s="15"/>
      <c r="O275" s="15"/>
      <c r="P275" s="15"/>
      <c r="Q275" s="15"/>
      <c r="R275" s="15"/>
      <c r="S275" s="15"/>
      <c r="T275" s="15"/>
      <c r="U275" s="15"/>
      <c r="V275" s="15"/>
      <c r="W275" s="15"/>
      <c r="X275" s="14"/>
      <c r="Y275" s="14"/>
      <c r="Z275" s="15"/>
      <c r="AA275" s="3"/>
      <c r="AB275" s="3"/>
      <c r="AC275" s="3"/>
      <c r="AD275" s="3"/>
      <c r="AE275" s="3"/>
      <c r="AF275" s="3"/>
    </row>
    <row r="276" ht="15.75" customHeight="1">
      <c r="J276" s="15"/>
      <c r="K276" s="238"/>
      <c r="L276" s="15"/>
      <c r="M276" s="15"/>
      <c r="N276" s="15"/>
      <c r="O276" s="15"/>
      <c r="P276" s="15"/>
      <c r="Q276" s="15"/>
      <c r="R276" s="15"/>
      <c r="S276" s="15"/>
      <c r="T276" s="15"/>
      <c r="U276" s="15"/>
      <c r="V276" s="15"/>
      <c r="W276" s="15"/>
      <c r="X276" s="14"/>
      <c r="Y276" s="14"/>
      <c r="Z276" s="15"/>
      <c r="AA276" s="3"/>
      <c r="AB276" s="3"/>
      <c r="AC276" s="3"/>
      <c r="AD276" s="3"/>
      <c r="AE276" s="3"/>
      <c r="AF276" s="3"/>
    </row>
    <row r="277" ht="15.75" customHeight="1">
      <c r="J277" s="15"/>
      <c r="K277" s="238"/>
      <c r="L277" s="15"/>
      <c r="M277" s="15"/>
      <c r="N277" s="15"/>
      <c r="O277" s="15"/>
      <c r="P277" s="15"/>
      <c r="Q277" s="15"/>
      <c r="R277" s="15"/>
      <c r="S277" s="15"/>
      <c r="T277" s="15"/>
      <c r="U277" s="15"/>
      <c r="V277" s="15"/>
      <c r="W277" s="15"/>
      <c r="X277" s="14"/>
      <c r="Y277" s="14"/>
      <c r="Z277" s="15"/>
      <c r="AA277" s="3"/>
      <c r="AB277" s="3"/>
      <c r="AC277" s="3"/>
      <c r="AD277" s="3"/>
      <c r="AE277" s="3"/>
      <c r="AF277" s="3"/>
    </row>
    <row r="278" ht="15.75" customHeight="1">
      <c r="J278" s="15"/>
      <c r="K278" s="238"/>
      <c r="L278" s="15"/>
      <c r="M278" s="15"/>
      <c r="N278" s="15"/>
      <c r="O278" s="15"/>
      <c r="P278" s="15"/>
      <c r="Q278" s="15"/>
      <c r="R278" s="15"/>
      <c r="S278" s="15"/>
      <c r="T278" s="15"/>
      <c r="U278" s="15"/>
      <c r="V278" s="15"/>
      <c r="W278" s="15"/>
      <c r="X278" s="14"/>
      <c r="Y278" s="14"/>
      <c r="Z278" s="15"/>
      <c r="AA278" s="3"/>
      <c r="AB278" s="3"/>
      <c r="AC278" s="3"/>
      <c r="AD278" s="3"/>
      <c r="AE278" s="3"/>
      <c r="AF278" s="3"/>
    </row>
    <row r="279" ht="15.75" customHeight="1">
      <c r="J279" s="15"/>
      <c r="K279" s="238"/>
      <c r="L279" s="15"/>
      <c r="M279" s="15"/>
      <c r="N279" s="15"/>
      <c r="O279" s="15"/>
      <c r="P279" s="15"/>
      <c r="Q279" s="15"/>
      <c r="R279" s="15"/>
      <c r="S279" s="15"/>
      <c r="T279" s="15"/>
      <c r="U279" s="15"/>
      <c r="V279" s="15"/>
      <c r="W279" s="15"/>
      <c r="X279" s="14"/>
      <c r="Y279" s="14"/>
      <c r="Z279" s="15"/>
      <c r="AA279" s="3"/>
      <c r="AB279" s="3"/>
      <c r="AC279" s="3"/>
      <c r="AD279" s="3"/>
      <c r="AE279" s="3"/>
      <c r="AF279" s="3"/>
    </row>
    <row r="280" ht="15.75" customHeight="1">
      <c r="J280" s="15"/>
      <c r="K280" s="238"/>
      <c r="L280" s="15"/>
      <c r="M280" s="15"/>
      <c r="N280" s="15"/>
      <c r="O280" s="15"/>
      <c r="P280" s="15"/>
      <c r="Q280" s="15"/>
      <c r="R280" s="15"/>
      <c r="S280" s="15"/>
      <c r="T280" s="15"/>
      <c r="U280" s="15"/>
      <c r="V280" s="15"/>
      <c r="W280" s="15"/>
      <c r="X280" s="14"/>
      <c r="Y280" s="14"/>
      <c r="Z280" s="15"/>
      <c r="AA280" s="3"/>
      <c r="AB280" s="3"/>
      <c r="AC280" s="3"/>
      <c r="AD280" s="3"/>
      <c r="AE280" s="3"/>
      <c r="AF280" s="3"/>
    </row>
    <row r="281" ht="15.75" customHeight="1">
      <c r="J281" s="15"/>
      <c r="K281" s="238"/>
      <c r="L281" s="15"/>
      <c r="M281" s="15"/>
      <c r="N281" s="15"/>
      <c r="O281" s="15"/>
      <c r="P281" s="15"/>
      <c r="Q281" s="15"/>
      <c r="R281" s="15"/>
      <c r="S281" s="15"/>
      <c r="T281" s="15"/>
      <c r="U281" s="15"/>
      <c r="V281" s="15"/>
      <c r="W281" s="15"/>
      <c r="X281" s="14"/>
      <c r="Y281" s="14"/>
      <c r="Z281" s="15"/>
      <c r="AA281" s="3"/>
      <c r="AB281" s="3"/>
      <c r="AC281" s="3"/>
      <c r="AD281" s="3"/>
      <c r="AE281" s="3"/>
      <c r="AF281" s="3"/>
    </row>
    <row r="282" ht="15.75" customHeight="1">
      <c r="J282" s="15"/>
      <c r="K282" s="238"/>
      <c r="L282" s="15"/>
      <c r="M282" s="15"/>
      <c r="N282" s="15"/>
      <c r="O282" s="15"/>
      <c r="P282" s="15"/>
      <c r="Q282" s="15"/>
      <c r="R282" s="15"/>
      <c r="S282" s="15"/>
      <c r="T282" s="15"/>
      <c r="U282" s="15"/>
      <c r="V282" s="15"/>
      <c r="W282" s="15"/>
      <c r="X282" s="14"/>
      <c r="Y282" s="14"/>
      <c r="Z282" s="15"/>
      <c r="AA282" s="3"/>
      <c r="AB282" s="3"/>
      <c r="AC282" s="3"/>
      <c r="AD282" s="3"/>
      <c r="AE282" s="3"/>
      <c r="AF282" s="3"/>
    </row>
    <row r="283" ht="15.75" customHeight="1">
      <c r="J283" s="15"/>
      <c r="K283" s="238"/>
      <c r="L283" s="15"/>
      <c r="M283" s="15"/>
      <c r="N283" s="15"/>
      <c r="O283" s="15"/>
      <c r="P283" s="15"/>
      <c r="Q283" s="15"/>
      <c r="R283" s="15"/>
      <c r="S283" s="15"/>
      <c r="T283" s="15"/>
      <c r="U283" s="15"/>
      <c r="V283" s="15"/>
      <c r="W283" s="15"/>
      <c r="X283" s="14"/>
      <c r="Y283" s="14"/>
      <c r="Z283" s="15"/>
      <c r="AA283" s="3"/>
      <c r="AB283" s="3"/>
      <c r="AC283" s="3"/>
      <c r="AD283" s="3"/>
      <c r="AE283" s="3"/>
      <c r="AF283" s="3"/>
    </row>
    <row r="284" ht="15.75" customHeight="1">
      <c r="J284" s="15"/>
      <c r="K284" s="238"/>
      <c r="L284" s="15"/>
      <c r="M284" s="15"/>
      <c r="N284" s="15"/>
      <c r="O284" s="15"/>
      <c r="P284" s="15"/>
      <c r="Q284" s="15"/>
      <c r="R284" s="15"/>
      <c r="S284" s="15"/>
      <c r="T284" s="15"/>
      <c r="U284" s="15"/>
      <c r="V284" s="15"/>
      <c r="W284" s="15"/>
      <c r="X284" s="14"/>
      <c r="Y284" s="14"/>
      <c r="Z284" s="15"/>
      <c r="AA284" s="3"/>
      <c r="AB284" s="3"/>
      <c r="AC284" s="3"/>
      <c r="AD284" s="3"/>
      <c r="AE284" s="3"/>
      <c r="AF284" s="3"/>
    </row>
    <row r="285" ht="15.75" customHeight="1">
      <c r="J285" s="15"/>
      <c r="K285" s="238"/>
      <c r="L285" s="15"/>
      <c r="M285" s="15"/>
      <c r="N285" s="15"/>
      <c r="O285" s="15"/>
      <c r="P285" s="15"/>
      <c r="Q285" s="15"/>
      <c r="R285" s="15"/>
      <c r="S285" s="15"/>
      <c r="T285" s="15"/>
      <c r="U285" s="15"/>
      <c r="V285" s="15"/>
      <c r="W285" s="15"/>
      <c r="X285" s="14"/>
      <c r="Y285" s="14"/>
      <c r="Z285" s="15"/>
      <c r="AA285" s="3"/>
      <c r="AB285" s="3"/>
      <c r="AC285" s="3"/>
      <c r="AD285" s="3"/>
      <c r="AE285" s="3"/>
      <c r="AF285" s="3"/>
    </row>
    <row r="286" ht="15.75" customHeight="1">
      <c r="J286" s="15"/>
      <c r="K286" s="238"/>
      <c r="L286" s="15"/>
      <c r="M286" s="15"/>
      <c r="N286" s="15"/>
      <c r="O286" s="15"/>
      <c r="P286" s="15"/>
      <c r="Q286" s="15"/>
      <c r="R286" s="15"/>
      <c r="S286" s="15"/>
      <c r="T286" s="15"/>
      <c r="U286" s="15"/>
      <c r="V286" s="15"/>
      <c r="W286" s="15"/>
      <c r="X286" s="14"/>
      <c r="Y286" s="14"/>
      <c r="Z286" s="15"/>
      <c r="AA286" s="3"/>
      <c r="AB286" s="3"/>
      <c r="AC286" s="3"/>
      <c r="AD286" s="3"/>
      <c r="AE286" s="3"/>
      <c r="AF286" s="3"/>
    </row>
    <row r="287" ht="15.75" customHeight="1">
      <c r="J287" s="15"/>
      <c r="K287" s="238"/>
      <c r="L287" s="15"/>
      <c r="M287" s="15"/>
      <c r="N287" s="15"/>
      <c r="O287" s="15"/>
      <c r="P287" s="15"/>
      <c r="Q287" s="15"/>
      <c r="R287" s="15"/>
      <c r="S287" s="15"/>
      <c r="T287" s="15"/>
      <c r="U287" s="15"/>
      <c r="V287" s="15"/>
      <c r="W287" s="15"/>
      <c r="X287" s="14"/>
      <c r="Y287" s="14"/>
      <c r="Z287" s="15"/>
      <c r="AA287" s="3"/>
      <c r="AB287" s="3"/>
      <c r="AC287" s="3"/>
      <c r="AD287" s="3"/>
      <c r="AE287" s="3"/>
      <c r="AF287" s="3"/>
    </row>
    <row r="288" ht="15.75" customHeight="1">
      <c r="J288" s="15"/>
      <c r="K288" s="238"/>
      <c r="L288" s="15"/>
      <c r="M288" s="15"/>
      <c r="N288" s="15"/>
      <c r="O288" s="15"/>
      <c r="P288" s="15"/>
      <c r="Q288" s="15"/>
      <c r="R288" s="15"/>
      <c r="S288" s="15"/>
      <c r="T288" s="15"/>
      <c r="U288" s="15"/>
      <c r="V288" s="15"/>
      <c r="W288" s="15"/>
      <c r="X288" s="14"/>
      <c r="Y288" s="14"/>
      <c r="Z288" s="15"/>
      <c r="AA288" s="3"/>
      <c r="AB288" s="3"/>
      <c r="AC288" s="3"/>
      <c r="AD288" s="3"/>
      <c r="AE288" s="3"/>
      <c r="AF288" s="3"/>
    </row>
    <row r="289" ht="15.75" customHeight="1">
      <c r="J289" s="15"/>
      <c r="K289" s="238"/>
      <c r="L289" s="15"/>
      <c r="M289" s="15"/>
      <c r="N289" s="15"/>
      <c r="O289" s="15"/>
      <c r="P289" s="15"/>
      <c r="Q289" s="15"/>
      <c r="R289" s="15"/>
      <c r="S289" s="15"/>
      <c r="T289" s="15"/>
      <c r="U289" s="15"/>
      <c r="V289" s="15"/>
      <c r="W289" s="15"/>
      <c r="X289" s="14"/>
      <c r="Y289" s="14"/>
      <c r="Z289" s="15"/>
      <c r="AA289" s="3"/>
      <c r="AB289" s="3"/>
      <c r="AC289" s="3"/>
      <c r="AD289" s="3"/>
      <c r="AE289" s="3"/>
      <c r="AF289" s="3"/>
    </row>
    <row r="290" ht="15.75" customHeight="1">
      <c r="J290" s="15"/>
      <c r="K290" s="238"/>
      <c r="L290" s="15"/>
      <c r="M290" s="15"/>
      <c r="N290" s="15"/>
      <c r="O290" s="15"/>
      <c r="P290" s="15"/>
      <c r="Q290" s="15"/>
      <c r="R290" s="15"/>
      <c r="S290" s="15"/>
      <c r="T290" s="15"/>
      <c r="U290" s="15"/>
      <c r="V290" s="15"/>
      <c r="W290" s="15"/>
      <c r="X290" s="14"/>
      <c r="Y290" s="14"/>
      <c r="Z290" s="15"/>
      <c r="AA290" s="3"/>
      <c r="AB290" s="3"/>
      <c r="AC290" s="3"/>
      <c r="AD290" s="3"/>
      <c r="AE290" s="3"/>
      <c r="AF290" s="3"/>
    </row>
    <row r="291" ht="15.75" customHeight="1">
      <c r="J291" s="15"/>
      <c r="K291" s="238"/>
      <c r="L291" s="15"/>
      <c r="M291" s="15"/>
      <c r="N291" s="15"/>
      <c r="O291" s="15"/>
      <c r="P291" s="15"/>
      <c r="Q291" s="15"/>
      <c r="R291" s="15"/>
      <c r="S291" s="15"/>
      <c r="T291" s="15"/>
      <c r="U291" s="15"/>
      <c r="V291" s="15"/>
      <c r="W291" s="15"/>
      <c r="X291" s="14"/>
      <c r="Y291" s="14"/>
      <c r="Z291" s="15"/>
      <c r="AA291" s="3"/>
      <c r="AB291" s="3"/>
      <c r="AC291" s="3"/>
      <c r="AD291" s="3"/>
      <c r="AE291" s="3"/>
      <c r="AF291" s="3"/>
    </row>
    <row r="292" ht="15.75" customHeight="1">
      <c r="J292" s="15"/>
      <c r="K292" s="238"/>
      <c r="L292" s="15"/>
      <c r="M292" s="15"/>
      <c r="N292" s="15"/>
      <c r="O292" s="15"/>
      <c r="P292" s="15"/>
      <c r="Q292" s="15"/>
      <c r="R292" s="15"/>
      <c r="S292" s="15"/>
      <c r="T292" s="15"/>
      <c r="U292" s="15"/>
      <c r="V292" s="15"/>
      <c r="W292" s="15"/>
      <c r="X292" s="14"/>
      <c r="Y292" s="14"/>
      <c r="Z292" s="15"/>
      <c r="AA292" s="3"/>
      <c r="AB292" s="3"/>
      <c r="AC292" s="3"/>
      <c r="AD292" s="3"/>
      <c r="AE292" s="3"/>
      <c r="AF292" s="3"/>
    </row>
    <row r="293" ht="15.75" customHeight="1">
      <c r="J293" s="15"/>
      <c r="K293" s="238"/>
      <c r="L293" s="15"/>
      <c r="M293" s="15"/>
      <c r="N293" s="15"/>
      <c r="O293" s="15"/>
      <c r="P293" s="15"/>
      <c r="Q293" s="15"/>
      <c r="R293" s="15"/>
      <c r="S293" s="15"/>
      <c r="T293" s="15"/>
      <c r="U293" s="15"/>
      <c r="V293" s="15"/>
      <c r="W293" s="15"/>
      <c r="X293" s="14"/>
      <c r="Y293" s="14"/>
      <c r="Z293" s="15"/>
      <c r="AA293" s="3"/>
      <c r="AB293" s="3"/>
      <c r="AC293" s="3"/>
      <c r="AD293" s="3"/>
      <c r="AE293" s="3"/>
      <c r="AF293" s="3"/>
    </row>
    <row r="294" ht="15.75" customHeight="1">
      <c r="J294" s="15"/>
      <c r="K294" s="238"/>
      <c r="L294" s="15"/>
      <c r="M294" s="15"/>
      <c r="N294" s="15"/>
      <c r="O294" s="15"/>
      <c r="P294" s="15"/>
      <c r="Q294" s="15"/>
      <c r="R294" s="15"/>
      <c r="S294" s="15"/>
      <c r="T294" s="15"/>
      <c r="U294" s="15"/>
      <c r="V294" s="15"/>
      <c r="W294" s="15"/>
      <c r="X294" s="14"/>
      <c r="Y294" s="14"/>
      <c r="Z294" s="15"/>
      <c r="AA294" s="3"/>
      <c r="AB294" s="3"/>
      <c r="AC294" s="3"/>
      <c r="AD294" s="3"/>
      <c r="AE294" s="3"/>
      <c r="AF294" s="3"/>
    </row>
    <row r="295" ht="15.75" customHeight="1">
      <c r="J295" s="15"/>
      <c r="K295" s="238"/>
      <c r="L295" s="15"/>
      <c r="M295" s="15"/>
      <c r="N295" s="15"/>
      <c r="O295" s="15"/>
      <c r="P295" s="15"/>
      <c r="Q295" s="15"/>
      <c r="R295" s="15"/>
      <c r="S295" s="15"/>
      <c r="T295" s="15"/>
      <c r="U295" s="15"/>
      <c r="V295" s="15"/>
      <c r="W295" s="15"/>
      <c r="X295" s="14"/>
      <c r="Y295" s="14"/>
      <c r="Z295" s="15"/>
      <c r="AA295" s="3"/>
      <c r="AB295" s="3"/>
      <c r="AC295" s="3"/>
      <c r="AD295" s="3"/>
      <c r="AE295" s="3"/>
      <c r="AF295" s="3"/>
    </row>
    <row r="296" ht="15.75" customHeight="1">
      <c r="J296" s="15"/>
      <c r="K296" s="238"/>
      <c r="L296" s="15"/>
      <c r="M296" s="15"/>
      <c r="N296" s="15"/>
      <c r="O296" s="15"/>
      <c r="P296" s="15"/>
      <c r="Q296" s="15"/>
      <c r="R296" s="15"/>
      <c r="S296" s="15"/>
      <c r="T296" s="15"/>
      <c r="U296" s="15"/>
      <c r="V296" s="15"/>
      <c r="W296" s="15"/>
      <c r="X296" s="14"/>
      <c r="Y296" s="14"/>
      <c r="Z296" s="15"/>
      <c r="AA296" s="3"/>
      <c r="AB296" s="3"/>
      <c r="AC296" s="3"/>
      <c r="AD296" s="3"/>
      <c r="AE296" s="3"/>
      <c r="AF296" s="3"/>
    </row>
    <row r="297" ht="15.75" customHeight="1">
      <c r="J297" s="15"/>
      <c r="K297" s="238"/>
      <c r="L297" s="15"/>
      <c r="M297" s="15"/>
      <c r="N297" s="15"/>
      <c r="O297" s="15"/>
      <c r="P297" s="15"/>
      <c r="Q297" s="15"/>
      <c r="R297" s="15"/>
      <c r="S297" s="15"/>
      <c r="T297" s="15"/>
      <c r="U297" s="15"/>
      <c r="V297" s="15"/>
      <c r="W297" s="15"/>
      <c r="X297" s="14"/>
      <c r="Y297" s="14"/>
      <c r="Z297" s="15"/>
      <c r="AA297" s="3"/>
      <c r="AB297" s="3"/>
      <c r="AC297" s="3"/>
      <c r="AD297" s="3"/>
      <c r="AE297" s="3"/>
      <c r="AF297" s="3"/>
    </row>
    <row r="298" ht="15.75" customHeight="1">
      <c r="J298" s="15"/>
      <c r="K298" s="238"/>
      <c r="L298" s="15"/>
      <c r="M298" s="15"/>
      <c r="N298" s="15"/>
      <c r="O298" s="15"/>
      <c r="P298" s="15"/>
      <c r="Q298" s="15"/>
      <c r="R298" s="15"/>
      <c r="S298" s="15"/>
      <c r="T298" s="15"/>
      <c r="U298" s="15"/>
      <c r="V298" s="15"/>
      <c r="W298" s="15"/>
      <c r="X298" s="14"/>
      <c r="Y298" s="14"/>
      <c r="Z298" s="15"/>
      <c r="AA298" s="3"/>
      <c r="AB298" s="3"/>
      <c r="AC298" s="3"/>
      <c r="AD298" s="3"/>
      <c r="AE298" s="3"/>
      <c r="AF298" s="3"/>
    </row>
    <row r="299" ht="15.75" customHeight="1">
      <c r="J299" s="15"/>
      <c r="K299" s="238"/>
      <c r="L299" s="15"/>
      <c r="M299" s="15"/>
      <c r="N299" s="15"/>
      <c r="O299" s="15"/>
      <c r="P299" s="15"/>
      <c r="Q299" s="15"/>
      <c r="R299" s="15"/>
      <c r="S299" s="15"/>
      <c r="T299" s="15"/>
      <c r="U299" s="15"/>
      <c r="V299" s="15"/>
      <c r="W299" s="15"/>
      <c r="X299" s="14"/>
      <c r="Y299" s="14"/>
      <c r="Z299" s="15"/>
      <c r="AA299" s="3"/>
      <c r="AB299" s="3"/>
      <c r="AC299" s="3"/>
      <c r="AD299" s="3"/>
      <c r="AE299" s="3"/>
      <c r="AF299" s="3"/>
    </row>
    <row r="300" ht="15.75" customHeight="1">
      <c r="J300" s="15"/>
      <c r="K300" s="238"/>
      <c r="L300" s="15"/>
      <c r="M300" s="15"/>
      <c r="N300" s="15"/>
      <c r="O300" s="15"/>
      <c r="P300" s="15"/>
      <c r="Q300" s="15"/>
      <c r="R300" s="15"/>
      <c r="S300" s="15"/>
      <c r="T300" s="15"/>
      <c r="U300" s="15"/>
      <c r="V300" s="15"/>
      <c r="W300" s="15"/>
      <c r="X300" s="14"/>
      <c r="Y300" s="14"/>
      <c r="Z300" s="15"/>
      <c r="AA300" s="3"/>
      <c r="AB300" s="3"/>
      <c r="AC300" s="3"/>
      <c r="AD300" s="3"/>
      <c r="AE300" s="3"/>
      <c r="AF300" s="3"/>
    </row>
    <row r="301" ht="15.75" customHeight="1">
      <c r="J301" s="15"/>
      <c r="K301" s="238"/>
      <c r="L301" s="15"/>
      <c r="M301" s="15"/>
      <c r="N301" s="15"/>
      <c r="O301" s="15"/>
      <c r="P301" s="15"/>
      <c r="Q301" s="15"/>
      <c r="R301" s="15"/>
      <c r="S301" s="15"/>
      <c r="T301" s="15"/>
      <c r="U301" s="15"/>
      <c r="V301" s="15"/>
      <c r="W301" s="15"/>
      <c r="X301" s="14"/>
      <c r="Y301" s="14"/>
      <c r="Z301" s="15"/>
      <c r="AA301" s="3"/>
      <c r="AB301" s="3"/>
      <c r="AC301" s="3"/>
      <c r="AD301" s="3"/>
      <c r="AE301" s="3"/>
      <c r="AF301" s="3"/>
    </row>
    <row r="302" ht="15.75" customHeight="1">
      <c r="J302" s="15"/>
      <c r="K302" s="238"/>
      <c r="L302" s="15"/>
      <c r="M302" s="15"/>
      <c r="N302" s="15"/>
      <c r="O302" s="15"/>
      <c r="P302" s="15"/>
      <c r="Q302" s="15"/>
      <c r="R302" s="15"/>
      <c r="S302" s="15"/>
      <c r="T302" s="15"/>
      <c r="U302" s="15"/>
      <c r="V302" s="15"/>
      <c r="W302" s="15"/>
      <c r="X302" s="14"/>
      <c r="Y302" s="14"/>
      <c r="Z302" s="15"/>
      <c r="AA302" s="3"/>
      <c r="AB302" s="3"/>
      <c r="AC302" s="3"/>
      <c r="AD302" s="3"/>
      <c r="AE302" s="3"/>
      <c r="AF302" s="3"/>
    </row>
    <row r="303" ht="15.75" customHeight="1">
      <c r="J303" s="15"/>
      <c r="K303" s="238"/>
      <c r="L303" s="15"/>
      <c r="M303" s="15"/>
      <c r="N303" s="15"/>
      <c r="O303" s="15"/>
      <c r="P303" s="15"/>
      <c r="Q303" s="15"/>
      <c r="R303" s="15"/>
      <c r="S303" s="15"/>
      <c r="T303" s="15"/>
      <c r="U303" s="15"/>
      <c r="V303" s="15"/>
      <c r="W303" s="15"/>
      <c r="X303" s="14"/>
      <c r="Y303" s="14"/>
      <c r="Z303" s="15"/>
      <c r="AA303" s="3"/>
      <c r="AB303" s="3"/>
      <c r="AC303" s="3"/>
      <c r="AD303" s="3"/>
      <c r="AE303" s="3"/>
      <c r="AF303" s="3"/>
    </row>
    <row r="304" ht="15.75" customHeight="1">
      <c r="J304" s="15"/>
      <c r="K304" s="238"/>
      <c r="L304" s="15"/>
      <c r="M304" s="15"/>
      <c r="N304" s="15"/>
      <c r="O304" s="15"/>
      <c r="P304" s="15"/>
      <c r="Q304" s="15"/>
      <c r="R304" s="15"/>
      <c r="S304" s="15"/>
      <c r="T304" s="15"/>
      <c r="U304" s="15"/>
      <c r="V304" s="15"/>
      <c r="W304" s="15"/>
      <c r="X304" s="14"/>
      <c r="Y304" s="14"/>
      <c r="Z304" s="15"/>
      <c r="AA304" s="3"/>
      <c r="AB304" s="3"/>
      <c r="AC304" s="3"/>
      <c r="AD304" s="3"/>
      <c r="AE304" s="3"/>
      <c r="AF304" s="3"/>
    </row>
    <row r="305" ht="15.75" customHeight="1">
      <c r="J305" s="15"/>
      <c r="K305" s="238"/>
      <c r="L305" s="15"/>
      <c r="M305" s="15"/>
      <c r="N305" s="15"/>
      <c r="O305" s="15"/>
      <c r="P305" s="15"/>
      <c r="Q305" s="15"/>
      <c r="R305" s="15"/>
      <c r="S305" s="15"/>
      <c r="T305" s="15"/>
      <c r="U305" s="15"/>
      <c r="V305" s="15"/>
      <c r="W305" s="15"/>
      <c r="X305" s="14"/>
      <c r="Y305" s="14"/>
      <c r="Z305" s="15"/>
      <c r="AA305" s="3"/>
      <c r="AB305" s="3"/>
      <c r="AC305" s="3"/>
      <c r="AD305" s="3"/>
      <c r="AE305" s="3"/>
      <c r="AF305" s="3"/>
    </row>
    <row r="306" ht="15.75" customHeight="1">
      <c r="J306" s="15"/>
      <c r="K306" s="238"/>
      <c r="L306" s="15"/>
      <c r="M306" s="15"/>
      <c r="N306" s="15"/>
      <c r="O306" s="15"/>
      <c r="P306" s="15"/>
      <c r="Q306" s="15"/>
      <c r="R306" s="15"/>
      <c r="S306" s="15"/>
      <c r="T306" s="15"/>
      <c r="U306" s="15"/>
      <c r="V306" s="15"/>
      <c r="W306" s="15"/>
      <c r="X306" s="14"/>
      <c r="Y306" s="14"/>
      <c r="Z306" s="15"/>
      <c r="AA306" s="3"/>
      <c r="AB306" s="3"/>
      <c r="AC306" s="3"/>
      <c r="AD306" s="3"/>
      <c r="AE306" s="3"/>
      <c r="AF306" s="3"/>
    </row>
    <row r="307" ht="15.75" customHeight="1">
      <c r="J307" s="15"/>
      <c r="K307" s="238"/>
      <c r="L307" s="15"/>
      <c r="M307" s="15"/>
      <c r="N307" s="15"/>
      <c r="O307" s="15"/>
      <c r="P307" s="15"/>
      <c r="Q307" s="15"/>
      <c r="R307" s="15"/>
      <c r="S307" s="15"/>
      <c r="T307" s="15"/>
      <c r="U307" s="15"/>
      <c r="V307" s="15"/>
      <c r="W307" s="15"/>
      <c r="X307" s="14"/>
      <c r="Y307" s="14"/>
      <c r="Z307" s="15"/>
      <c r="AA307" s="3"/>
      <c r="AB307" s="3"/>
      <c r="AC307" s="3"/>
      <c r="AD307" s="3"/>
      <c r="AE307" s="3"/>
      <c r="AF307" s="3"/>
    </row>
    <row r="308" ht="15.75" customHeight="1">
      <c r="J308" s="15"/>
      <c r="K308" s="238"/>
      <c r="L308" s="15"/>
      <c r="M308" s="15"/>
      <c r="N308" s="15"/>
      <c r="O308" s="15"/>
      <c r="P308" s="15"/>
      <c r="Q308" s="15"/>
      <c r="R308" s="15"/>
      <c r="S308" s="15"/>
      <c r="T308" s="15"/>
      <c r="U308" s="15"/>
      <c r="V308" s="15"/>
      <c r="W308" s="15"/>
      <c r="X308" s="14"/>
      <c r="Y308" s="14"/>
      <c r="Z308" s="15"/>
      <c r="AA308" s="3"/>
      <c r="AB308" s="3"/>
      <c r="AC308" s="3"/>
      <c r="AD308" s="3"/>
      <c r="AE308" s="3"/>
      <c r="AF308" s="3"/>
    </row>
    <row r="309" ht="15.75" customHeight="1">
      <c r="J309" s="15"/>
      <c r="K309" s="238"/>
      <c r="L309" s="15"/>
      <c r="M309" s="15"/>
      <c r="N309" s="15"/>
      <c r="O309" s="15"/>
      <c r="P309" s="15"/>
      <c r="Q309" s="15"/>
      <c r="R309" s="15"/>
      <c r="S309" s="15"/>
      <c r="T309" s="15"/>
      <c r="U309" s="15"/>
      <c r="V309" s="15"/>
      <c r="W309" s="15"/>
      <c r="X309" s="14"/>
      <c r="Y309" s="14"/>
      <c r="Z309" s="15"/>
      <c r="AA309" s="3"/>
      <c r="AB309" s="3"/>
      <c r="AC309" s="3"/>
      <c r="AD309" s="3"/>
      <c r="AE309" s="3"/>
      <c r="AF309" s="3"/>
    </row>
    <row r="310" ht="15.75" customHeight="1">
      <c r="J310" s="15"/>
      <c r="K310" s="238"/>
      <c r="L310" s="15"/>
      <c r="M310" s="15"/>
      <c r="N310" s="15"/>
      <c r="O310" s="15"/>
      <c r="P310" s="15"/>
      <c r="Q310" s="15"/>
      <c r="R310" s="15"/>
      <c r="S310" s="15"/>
      <c r="T310" s="15"/>
      <c r="U310" s="15"/>
      <c r="V310" s="15"/>
      <c r="W310" s="15"/>
      <c r="X310" s="14"/>
      <c r="Y310" s="14"/>
      <c r="Z310" s="15"/>
      <c r="AA310" s="3"/>
      <c r="AB310" s="3"/>
      <c r="AC310" s="3"/>
      <c r="AD310" s="3"/>
      <c r="AE310" s="3"/>
      <c r="AF310" s="3"/>
    </row>
    <row r="311" ht="15.75" customHeight="1">
      <c r="J311" s="15"/>
      <c r="K311" s="238"/>
      <c r="L311" s="15"/>
      <c r="M311" s="15"/>
      <c r="N311" s="15"/>
      <c r="O311" s="15"/>
      <c r="P311" s="15"/>
      <c r="Q311" s="15"/>
      <c r="R311" s="15"/>
      <c r="S311" s="15"/>
      <c r="T311" s="15"/>
      <c r="U311" s="15"/>
      <c r="V311" s="15"/>
      <c r="W311" s="15"/>
      <c r="X311" s="14"/>
      <c r="Y311" s="14"/>
      <c r="Z311" s="15"/>
      <c r="AA311" s="3"/>
      <c r="AB311" s="3"/>
      <c r="AC311" s="3"/>
      <c r="AD311" s="3"/>
      <c r="AE311" s="3"/>
      <c r="AF311" s="3"/>
    </row>
    <row r="312" ht="15.75" customHeight="1">
      <c r="J312" s="15"/>
      <c r="K312" s="238"/>
      <c r="L312" s="15"/>
      <c r="M312" s="15"/>
      <c r="N312" s="15"/>
      <c r="O312" s="15"/>
      <c r="P312" s="15"/>
      <c r="Q312" s="15"/>
      <c r="R312" s="15"/>
      <c r="S312" s="15"/>
      <c r="T312" s="15"/>
      <c r="U312" s="15"/>
      <c r="V312" s="15"/>
      <c r="W312" s="15"/>
      <c r="X312" s="14"/>
      <c r="Y312" s="14"/>
      <c r="Z312" s="15"/>
      <c r="AA312" s="3"/>
      <c r="AB312" s="3"/>
      <c r="AC312" s="3"/>
      <c r="AD312" s="3"/>
      <c r="AE312" s="3"/>
      <c r="AF312" s="3"/>
    </row>
    <row r="313" ht="15.75" customHeight="1">
      <c r="J313" s="15"/>
      <c r="K313" s="238"/>
      <c r="L313" s="15"/>
      <c r="M313" s="15"/>
      <c r="N313" s="15"/>
      <c r="O313" s="15"/>
      <c r="P313" s="15"/>
      <c r="Q313" s="15"/>
      <c r="R313" s="15"/>
      <c r="S313" s="15"/>
      <c r="T313" s="15"/>
      <c r="U313" s="15"/>
      <c r="V313" s="15"/>
      <c r="W313" s="15"/>
      <c r="X313" s="14"/>
      <c r="Y313" s="14"/>
      <c r="Z313" s="15"/>
      <c r="AA313" s="3"/>
      <c r="AB313" s="3"/>
      <c r="AC313" s="3"/>
      <c r="AD313" s="3"/>
      <c r="AE313" s="3"/>
      <c r="AF313" s="3"/>
    </row>
    <row r="314" ht="15.75" customHeight="1">
      <c r="J314" s="15"/>
      <c r="K314" s="238"/>
      <c r="L314" s="15"/>
      <c r="M314" s="15"/>
      <c r="N314" s="15"/>
      <c r="O314" s="15"/>
      <c r="P314" s="15"/>
      <c r="Q314" s="15"/>
      <c r="R314" s="15"/>
      <c r="S314" s="15"/>
      <c r="T314" s="15"/>
      <c r="U314" s="15"/>
      <c r="V314" s="15"/>
      <c r="W314" s="15"/>
      <c r="X314" s="14"/>
      <c r="Y314" s="14"/>
      <c r="Z314" s="15"/>
      <c r="AA314" s="3"/>
      <c r="AB314" s="3"/>
      <c r="AC314" s="3"/>
      <c r="AD314" s="3"/>
      <c r="AE314" s="3"/>
      <c r="AF314" s="3"/>
    </row>
    <row r="315" ht="15.75" customHeight="1">
      <c r="J315" s="15"/>
      <c r="K315" s="238"/>
      <c r="L315" s="15"/>
      <c r="M315" s="15"/>
      <c r="N315" s="15"/>
      <c r="O315" s="15"/>
      <c r="P315" s="15"/>
      <c r="Q315" s="15"/>
      <c r="R315" s="15"/>
      <c r="S315" s="15"/>
      <c r="T315" s="15"/>
      <c r="U315" s="15"/>
      <c r="V315" s="15"/>
      <c r="W315" s="15"/>
      <c r="X315" s="14"/>
      <c r="Y315" s="14"/>
      <c r="Z315" s="15"/>
      <c r="AA315" s="3"/>
      <c r="AB315" s="3"/>
      <c r="AC315" s="3"/>
      <c r="AD315" s="3"/>
      <c r="AE315" s="3"/>
      <c r="AF315" s="3"/>
    </row>
    <row r="316" ht="15.75" customHeight="1">
      <c r="J316" s="15"/>
      <c r="K316" s="238"/>
      <c r="L316" s="15"/>
      <c r="M316" s="15"/>
      <c r="N316" s="15"/>
      <c r="O316" s="15"/>
      <c r="P316" s="15"/>
      <c r="Q316" s="15"/>
      <c r="R316" s="15"/>
      <c r="S316" s="15"/>
      <c r="T316" s="15"/>
      <c r="U316" s="15"/>
      <c r="V316" s="15"/>
      <c r="W316" s="15"/>
      <c r="X316" s="14"/>
      <c r="Y316" s="14"/>
      <c r="Z316" s="15"/>
      <c r="AA316" s="3"/>
      <c r="AB316" s="3"/>
      <c r="AC316" s="3"/>
      <c r="AD316" s="3"/>
      <c r="AE316" s="3"/>
      <c r="AF316" s="3"/>
    </row>
    <row r="317" ht="15.75" customHeight="1">
      <c r="J317" s="15"/>
      <c r="K317" s="238"/>
      <c r="L317" s="15"/>
      <c r="M317" s="15"/>
      <c r="N317" s="15"/>
      <c r="O317" s="15"/>
      <c r="P317" s="15"/>
      <c r="Q317" s="15"/>
      <c r="R317" s="15"/>
      <c r="S317" s="15"/>
      <c r="T317" s="15"/>
      <c r="U317" s="15"/>
      <c r="V317" s="15"/>
      <c r="W317" s="15"/>
      <c r="X317" s="14"/>
      <c r="Y317" s="14"/>
      <c r="Z317" s="15"/>
      <c r="AA317" s="3"/>
      <c r="AB317" s="3"/>
      <c r="AC317" s="3"/>
      <c r="AD317" s="3"/>
      <c r="AE317" s="3"/>
      <c r="AF317" s="3"/>
    </row>
    <row r="318" ht="15.75" customHeight="1">
      <c r="J318" s="15"/>
      <c r="K318" s="238"/>
      <c r="L318" s="15"/>
      <c r="M318" s="15"/>
      <c r="N318" s="15"/>
      <c r="O318" s="15"/>
      <c r="P318" s="15"/>
      <c r="Q318" s="15"/>
      <c r="R318" s="15"/>
      <c r="S318" s="15"/>
      <c r="T318" s="15"/>
      <c r="U318" s="15"/>
      <c r="V318" s="15"/>
      <c r="W318" s="15"/>
      <c r="X318" s="14"/>
      <c r="Y318" s="14"/>
      <c r="Z318" s="15"/>
      <c r="AA318" s="3"/>
      <c r="AB318" s="3"/>
      <c r="AC318" s="3"/>
      <c r="AD318" s="3"/>
      <c r="AE318" s="3"/>
      <c r="AF318" s="3"/>
    </row>
    <row r="319" ht="15.75" customHeight="1">
      <c r="J319" s="15"/>
      <c r="K319" s="238"/>
      <c r="L319" s="15"/>
      <c r="M319" s="15"/>
      <c r="N319" s="15"/>
      <c r="O319" s="15"/>
      <c r="P319" s="15"/>
      <c r="Q319" s="15"/>
      <c r="R319" s="15"/>
      <c r="S319" s="15"/>
      <c r="T319" s="15"/>
      <c r="U319" s="15"/>
      <c r="V319" s="15"/>
      <c r="W319" s="15"/>
      <c r="X319" s="14"/>
      <c r="Y319" s="14"/>
      <c r="Z319" s="15"/>
      <c r="AA319" s="3"/>
      <c r="AB319" s="3"/>
      <c r="AC319" s="3"/>
      <c r="AD319" s="3"/>
      <c r="AE319" s="3"/>
      <c r="AF319" s="3"/>
    </row>
    <row r="320" ht="15.75" customHeight="1">
      <c r="J320" s="15"/>
      <c r="K320" s="238"/>
      <c r="L320" s="15"/>
      <c r="M320" s="15"/>
      <c r="N320" s="15"/>
      <c r="O320" s="15"/>
      <c r="P320" s="15"/>
      <c r="Q320" s="15"/>
      <c r="R320" s="15"/>
      <c r="S320" s="15"/>
      <c r="T320" s="15"/>
      <c r="U320" s="15"/>
      <c r="V320" s="15"/>
      <c r="W320" s="15"/>
      <c r="X320" s="14"/>
      <c r="Y320" s="14"/>
      <c r="Z320" s="15"/>
      <c r="AA320" s="3"/>
      <c r="AB320" s="3"/>
      <c r="AC320" s="3"/>
      <c r="AD320" s="3"/>
      <c r="AE320" s="3"/>
      <c r="AF320" s="3"/>
    </row>
    <row r="321" ht="15.75" customHeight="1">
      <c r="J321" s="15"/>
      <c r="K321" s="238"/>
      <c r="L321" s="15"/>
      <c r="M321" s="15"/>
      <c r="N321" s="15"/>
      <c r="O321" s="15"/>
      <c r="P321" s="15"/>
      <c r="Q321" s="15"/>
      <c r="R321" s="15"/>
      <c r="S321" s="15"/>
      <c r="T321" s="15"/>
      <c r="U321" s="15"/>
      <c r="V321" s="15"/>
      <c r="W321" s="15"/>
      <c r="X321" s="14"/>
      <c r="Y321" s="14"/>
      <c r="Z321" s="15"/>
      <c r="AA321" s="3"/>
      <c r="AB321" s="3"/>
      <c r="AC321" s="3"/>
      <c r="AD321" s="3"/>
      <c r="AE321" s="3"/>
      <c r="AF321" s="3"/>
    </row>
    <row r="322" ht="15.75" customHeight="1">
      <c r="J322" s="15"/>
      <c r="K322" s="238"/>
      <c r="L322" s="15"/>
      <c r="M322" s="15"/>
      <c r="N322" s="15"/>
      <c r="O322" s="15"/>
      <c r="P322" s="15"/>
      <c r="Q322" s="15"/>
      <c r="R322" s="15"/>
      <c r="S322" s="15"/>
      <c r="T322" s="15"/>
      <c r="U322" s="15"/>
      <c r="V322" s="15"/>
      <c r="W322" s="15"/>
      <c r="X322" s="14"/>
      <c r="Y322" s="14"/>
      <c r="Z322" s="15"/>
      <c r="AA322" s="3"/>
      <c r="AB322" s="3"/>
      <c r="AC322" s="3"/>
      <c r="AD322" s="3"/>
      <c r="AE322" s="3"/>
      <c r="AF322" s="3"/>
    </row>
    <row r="323" ht="15.75" customHeight="1">
      <c r="J323" s="15"/>
      <c r="K323" s="238"/>
      <c r="L323" s="15"/>
      <c r="M323" s="15"/>
      <c r="N323" s="15"/>
      <c r="O323" s="15"/>
      <c r="P323" s="15"/>
      <c r="Q323" s="15"/>
      <c r="R323" s="15"/>
      <c r="S323" s="15"/>
      <c r="T323" s="15"/>
      <c r="U323" s="15"/>
      <c r="V323" s="15"/>
      <c r="W323" s="15"/>
      <c r="X323" s="14"/>
      <c r="Y323" s="14"/>
      <c r="Z323" s="15"/>
      <c r="AA323" s="3"/>
      <c r="AB323" s="3"/>
      <c r="AC323" s="3"/>
      <c r="AD323" s="3"/>
      <c r="AE323" s="3"/>
      <c r="AF323" s="3"/>
    </row>
    <row r="324" ht="15.75" customHeight="1">
      <c r="J324" s="15"/>
      <c r="K324" s="238"/>
      <c r="L324" s="15"/>
      <c r="M324" s="15"/>
      <c r="N324" s="15"/>
      <c r="O324" s="15"/>
      <c r="P324" s="15"/>
      <c r="Q324" s="15"/>
      <c r="R324" s="15"/>
      <c r="S324" s="15"/>
      <c r="T324" s="15"/>
      <c r="U324" s="15"/>
      <c r="V324" s="15"/>
      <c r="W324" s="15"/>
      <c r="X324" s="14"/>
      <c r="Y324" s="14"/>
      <c r="Z324" s="15"/>
      <c r="AA324" s="3"/>
      <c r="AB324" s="3"/>
      <c r="AC324" s="3"/>
      <c r="AD324" s="3"/>
      <c r="AE324" s="3"/>
      <c r="AF324" s="3"/>
    </row>
    <row r="325" ht="15.75" customHeight="1">
      <c r="J325" s="15"/>
      <c r="K325" s="238"/>
      <c r="L325" s="15"/>
      <c r="M325" s="15"/>
      <c r="N325" s="15"/>
      <c r="O325" s="15"/>
      <c r="P325" s="15"/>
      <c r="Q325" s="15"/>
      <c r="R325" s="15"/>
      <c r="S325" s="15"/>
      <c r="T325" s="15"/>
      <c r="U325" s="15"/>
      <c r="V325" s="15"/>
      <c r="W325" s="15"/>
      <c r="X325" s="14"/>
      <c r="Y325" s="14"/>
      <c r="Z325" s="15"/>
      <c r="AA325" s="3"/>
      <c r="AB325" s="3"/>
      <c r="AC325" s="3"/>
      <c r="AD325" s="3"/>
      <c r="AE325" s="3"/>
      <c r="AF325" s="3"/>
    </row>
    <row r="326" ht="15.75" customHeight="1">
      <c r="J326" s="15"/>
      <c r="K326" s="238"/>
      <c r="L326" s="15"/>
      <c r="M326" s="15"/>
      <c r="N326" s="15"/>
      <c r="O326" s="15"/>
      <c r="P326" s="15"/>
      <c r="Q326" s="15"/>
      <c r="R326" s="15"/>
      <c r="S326" s="15"/>
      <c r="T326" s="15"/>
      <c r="U326" s="15"/>
      <c r="V326" s="15"/>
      <c r="W326" s="15"/>
      <c r="X326" s="14"/>
      <c r="Y326" s="14"/>
      <c r="Z326" s="15"/>
      <c r="AA326" s="3"/>
      <c r="AB326" s="3"/>
      <c r="AC326" s="3"/>
      <c r="AD326" s="3"/>
      <c r="AE326" s="3"/>
      <c r="AF326" s="3"/>
    </row>
    <row r="327" ht="15.75" customHeight="1">
      <c r="J327" s="15"/>
      <c r="K327" s="238"/>
      <c r="L327" s="15"/>
      <c r="M327" s="15"/>
      <c r="N327" s="15"/>
      <c r="O327" s="15"/>
      <c r="P327" s="15"/>
      <c r="Q327" s="15"/>
      <c r="R327" s="15"/>
      <c r="S327" s="15"/>
      <c r="T327" s="15"/>
      <c r="U327" s="15"/>
      <c r="V327" s="15"/>
      <c r="W327" s="15"/>
      <c r="X327" s="14"/>
      <c r="Y327" s="14"/>
      <c r="Z327" s="15"/>
      <c r="AA327" s="3"/>
      <c r="AB327" s="3"/>
      <c r="AC327" s="3"/>
      <c r="AD327" s="3"/>
      <c r="AE327" s="3"/>
      <c r="AF327" s="3"/>
    </row>
    <row r="328" ht="15.75" customHeight="1">
      <c r="J328" s="15"/>
      <c r="K328" s="238"/>
      <c r="L328" s="15"/>
      <c r="M328" s="15"/>
      <c r="N328" s="15"/>
      <c r="O328" s="15"/>
      <c r="P328" s="15"/>
      <c r="Q328" s="15"/>
      <c r="R328" s="15"/>
      <c r="S328" s="15"/>
      <c r="T328" s="15"/>
      <c r="U328" s="15"/>
      <c r="V328" s="15"/>
      <c r="W328" s="15"/>
      <c r="X328" s="14"/>
      <c r="Y328" s="14"/>
      <c r="Z328" s="15"/>
      <c r="AA328" s="3"/>
      <c r="AB328" s="3"/>
      <c r="AC328" s="3"/>
      <c r="AD328" s="3"/>
      <c r="AE328" s="3"/>
      <c r="AF328" s="3"/>
    </row>
    <row r="329" ht="15.75" customHeight="1">
      <c r="J329" s="15"/>
      <c r="K329" s="238"/>
      <c r="L329" s="15"/>
      <c r="M329" s="15"/>
      <c r="N329" s="15"/>
      <c r="O329" s="15"/>
      <c r="P329" s="15"/>
      <c r="Q329" s="15"/>
      <c r="R329" s="15"/>
      <c r="S329" s="15"/>
      <c r="T329" s="15"/>
      <c r="U329" s="15"/>
      <c r="V329" s="15"/>
      <c r="W329" s="15"/>
      <c r="X329" s="14"/>
      <c r="Y329" s="14"/>
      <c r="Z329" s="15"/>
      <c r="AA329" s="3"/>
      <c r="AB329" s="3"/>
      <c r="AC329" s="3"/>
      <c r="AD329" s="3"/>
      <c r="AE329" s="3"/>
      <c r="AF329" s="3"/>
    </row>
    <row r="330" ht="15.75" customHeight="1">
      <c r="J330" s="15"/>
      <c r="K330" s="238"/>
      <c r="L330" s="15"/>
      <c r="M330" s="15"/>
      <c r="N330" s="15"/>
      <c r="O330" s="15"/>
      <c r="P330" s="15"/>
      <c r="Q330" s="15"/>
      <c r="R330" s="15"/>
      <c r="S330" s="15"/>
      <c r="T330" s="15"/>
      <c r="U330" s="15"/>
      <c r="V330" s="15"/>
      <c r="W330" s="15"/>
      <c r="X330" s="14"/>
      <c r="Y330" s="14"/>
      <c r="Z330" s="15"/>
      <c r="AA330" s="3"/>
      <c r="AB330" s="3"/>
      <c r="AC330" s="3"/>
      <c r="AD330" s="3"/>
      <c r="AE330" s="3"/>
      <c r="AF330" s="3"/>
    </row>
    <row r="331" ht="15.75" customHeight="1">
      <c r="J331" s="15"/>
      <c r="K331" s="238"/>
      <c r="L331" s="15"/>
      <c r="M331" s="15"/>
      <c r="N331" s="15"/>
      <c r="O331" s="15"/>
      <c r="P331" s="15"/>
      <c r="Q331" s="15"/>
      <c r="R331" s="15"/>
      <c r="S331" s="15"/>
      <c r="T331" s="15"/>
      <c r="U331" s="15"/>
      <c r="V331" s="15"/>
      <c r="W331" s="15"/>
      <c r="X331" s="14"/>
      <c r="Y331" s="14"/>
      <c r="Z331" s="15"/>
      <c r="AA331" s="3"/>
      <c r="AB331" s="3"/>
      <c r="AC331" s="3"/>
      <c r="AD331" s="3"/>
      <c r="AE331" s="3"/>
      <c r="AF331" s="3"/>
    </row>
    <row r="332" ht="15.75" customHeight="1">
      <c r="J332" s="15"/>
      <c r="K332" s="238"/>
      <c r="L332" s="15"/>
      <c r="M332" s="15"/>
      <c r="N332" s="15"/>
      <c r="O332" s="15"/>
      <c r="P332" s="15"/>
      <c r="Q332" s="15"/>
      <c r="R332" s="15"/>
      <c r="S332" s="15"/>
      <c r="T332" s="15"/>
      <c r="U332" s="15"/>
      <c r="V332" s="15"/>
      <c r="W332" s="15"/>
      <c r="X332" s="14"/>
      <c r="Y332" s="14"/>
      <c r="Z332" s="15"/>
      <c r="AA332" s="3"/>
      <c r="AB332" s="3"/>
      <c r="AC332" s="3"/>
      <c r="AD332" s="3"/>
      <c r="AE332" s="3"/>
      <c r="AF332" s="3"/>
    </row>
    <row r="333" ht="15.75" customHeight="1">
      <c r="J333" s="15"/>
      <c r="K333" s="238"/>
      <c r="L333" s="15"/>
      <c r="M333" s="15"/>
      <c r="N333" s="15"/>
      <c r="O333" s="15"/>
      <c r="P333" s="15"/>
      <c r="Q333" s="15"/>
      <c r="R333" s="15"/>
      <c r="S333" s="15"/>
      <c r="T333" s="15"/>
      <c r="U333" s="15"/>
      <c r="V333" s="15"/>
      <c r="W333" s="15"/>
      <c r="X333" s="14"/>
      <c r="Y333" s="14"/>
      <c r="Z333" s="15"/>
      <c r="AA333" s="3"/>
      <c r="AB333" s="3"/>
      <c r="AC333" s="3"/>
      <c r="AD333" s="3"/>
      <c r="AE333" s="3"/>
      <c r="AF333" s="3"/>
    </row>
    <row r="334" ht="15.75" customHeight="1">
      <c r="J334" s="15"/>
      <c r="K334" s="238"/>
      <c r="L334" s="15"/>
      <c r="M334" s="15"/>
      <c r="N334" s="15"/>
      <c r="O334" s="15"/>
      <c r="P334" s="15"/>
      <c r="Q334" s="15"/>
      <c r="R334" s="15"/>
      <c r="S334" s="15"/>
      <c r="T334" s="15"/>
      <c r="U334" s="15"/>
      <c r="V334" s="15"/>
      <c r="W334" s="15"/>
      <c r="X334" s="14"/>
      <c r="Y334" s="14"/>
      <c r="Z334" s="15"/>
      <c r="AA334" s="3"/>
      <c r="AB334" s="3"/>
      <c r="AC334" s="3"/>
      <c r="AD334" s="3"/>
      <c r="AE334" s="3"/>
      <c r="AF334" s="3"/>
    </row>
    <row r="335" ht="15.75" customHeight="1">
      <c r="J335" s="15"/>
      <c r="K335" s="238"/>
      <c r="L335" s="15"/>
      <c r="M335" s="15"/>
      <c r="N335" s="15"/>
      <c r="O335" s="15"/>
      <c r="P335" s="15"/>
      <c r="Q335" s="15"/>
      <c r="R335" s="15"/>
      <c r="S335" s="15"/>
      <c r="T335" s="15"/>
      <c r="U335" s="15"/>
      <c r="V335" s="15"/>
      <c r="W335" s="15"/>
      <c r="X335" s="14"/>
      <c r="Y335" s="14"/>
      <c r="Z335" s="15"/>
      <c r="AA335" s="3"/>
      <c r="AB335" s="3"/>
      <c r="AC335" s="3"/>
      <c r="AD335" s="3"/>
      <c r="AE335" s="3"/>
      <c r="AF335" s="3"/>
    </row>
    <row r="336" ht="15.75" customHeight="1">
      <c r="J336" s="15"/>
      <c r="K336" s="238"/>
      <c r="L336" s="15"/>
      <c r="M336" s="15"/>
      <c r="N336" s="15"/>
      <c r="O336" s="15"/>
      <c r="P336" s="15"/>
      <c r="Q336" s="15"/>
      <c r="R336" s="15"/>
      <c r="S336" s="15"/>
      <c r="T336" s="15"/>
      <c r="U336" s="15"/>
      <c r="V336" s="15"/>
      <c r="W336" s="15"/>
      <c r="X336" s="14"/>
      <c r="Y336" s="14"/>
      <c r="Z336" s="15"/>
      <c r="AA336" s="3"/>
      <c r="AB336" s="3"/>
      <c r="AC336" s="3"/>
      <c r="AD336" s="3"/>
      <c r="AE336" s="3"/>
      <c r="AF336" s="3"/>
    </row>
    <row r="337" ht="15.75" customHeight="1">
      <c r="J337" s="15"/>
      <c r="K337" s="238"/>
      <c r="L337" s="15"/>
      <c r="M337" s="15"/>
      <c r="N337" s="15"/>
      <c r="O337" s="15"/>
      <c r="P337" s="15"/>
      <c r="Q337" s="15"/>
      <c r="R337" s="15"/>
      <c r="S337" s="15"/>
      <c r="T337" s="15"/>
      <c r="U337" s="15"/>
      <c r="V337" s="15"/>
      <c r="W337" s="15"/>
      <c r="X337" s="14"/>
      <c r="Y337" s="14"/>
      <c r="Z337" s="15"/>
      <c r="AA337" s="3"/>
      <c r="AB337" s="3"/>
      <c r="AC337" s="3"/>
      <c r="AD337" s="3"/>
      <c r="AE337" s="3"/>
      <c r="AF337" s="3"/>
    </row>
    <row r="338" ht="15.75" customHeight="1">
      <c r="J338" s="15"/>
      <c r="K338" s="238"/>
      <c r="L338" s="15"/>
      <c r="M338" s="15"/>
      <c r="N338" s="15"/>
      <c r="O338" s="15"/>
      <c r="P338" s="15"/>
      <c r="Q338" s="15"/>
      <c r="R338" s="15"/>
      <c r="S338" s="15"/>
      <c r="T338" s="15"/>
      <c r="U338" s="15"/>
      <c r="V338" s="15"/>
      <c r="W338" s="15"/>
      <c r="X338" s="14"/>
      <c r="Y338" s="14"/>
      <c r="Z338" s="15"/>
      <c r="AA338" s="3"/>
      <c r="AB338" s="3"/>
      <c r="AC338" s="3"/>
      <c r="AD338" s="3"/>
      <c r="AE338" s="3"/>
      <c r="AF338" s="3"/>
    </row>
    <row r="339" ht="15.75" customHeight="1">
      <c r="J339" s="15"/>
      <c r="K339" s="238"/>
      <c r="L339" s="15"/>
      <c r="M339" s="15"/>
      <c r="N339" s="15"/>
      <c r="O339" s="15"/>
      <c r="P339" s="15"/>
      <c r="Q339" s="15"/>
      <c r="R339" s="15"/>
      <c r="S339" s="15"/>
      <c r="T339" s="15"/>
      <c r="U339" s="15"/>
      <c r="V339" s="15"/>
      <c r="W339" s="15"/>
      <c r="X339" s="14"/>
      <c r="Y339" s="14"/>
      <c r="Z339" s="15"/>
      <c r="AA339" s="3"/>
      <c r="AB339" s="3"/>
      <c r="AC339" s="3"/>
      <c r="AD339" s="3"/>
      <c r="AE339" s="3"/>
      <c r="AF339" s="3"/>
    </row>
    <row r="340" ht="15.75" customHeight="1">
      <c r="J340" s="15"/>
      <c r="K340" s="238"/>
      <c r="L340" s="15"/>
      <c r="M340" s="15"/>
      <c r="N340" s="15"/>
      <c r="O340" s="15"/>
      <c r="P340" s="15"/>
      <c r="Q340" s="15"/>
      <c r="R340" s="15"/>
      <c r="S340" s="15"/>
      <c r="T340" s="15"/>
      <c r="U340" s="15"/>
      <c r="V340" s="15"/>
      <c r="W340" s="15"/>
      <c r="X340" s="14"/>
      <c r="Y340" s="14"/>
      <c r="Z340" s="15"/>
      <c r="AA340" s="3"/>
      <c r="AB340" s="3"/>
      <c r="AC340" s="3"/>
      <c r="AD340" s="3"/>
      <c r="AE340" s="3"/>
      <c r="AF340" s="3"/>
    </row>
    <row r="341" ht="15.75" customHeight="1">
      <c r="J341" s="15"/>
      <c r="K341" s="238"/>
      <c r="L341" s="15"/>
      <c r="M341" s="15"/>
      <c r="N341" s="15"/>
      <c r="O341" s="15"/>
      <c r="P341" s="15"/>
      <c r="Q341" s="15"/>
      <c r="R341" s="15"/>
      <c r="S341" s="15"/>
      <c r="T341" s="15"/>
      <c r="U341" s="15"/>
      <c r="V341" s="15"/>
      <c r="W341" s="15"/>
      <c r="X341" s="14"/>
      <c r="Y341" s="14"/>
      <c r="Z341" s="15"/>
      <c r="AA341" s="3"/>
      <c r="AB341" s="3"/>
      <c r="AC341" s="3"/>
      <c r="AD341" s="3"/>
      <c r="AE341" s="3"/>
      <c r="AF341" s="3"/>
    </row>
    <row r="342" ht="15.75" customHeight="1">
      <c r="J342" s="15"/>
      <c r="K342" s="238"/>
      <c r="L342" s="15"/>
      <c r="M342" s="15"/>
      <c r="N342" s="15"/>
      <c r="O342" s="15"/>
      <c r="P342" s="15"/>
      <c r="Q342" s="15"/>
      <c r="R342" s="15"/>
      <c r="S342" s="15"/>
      <c r="T342" s="15"/>
      <c r="U342" s="15"/>
      <c r="V342" s="15"/>
      <c r="W342" s="15"/>
      <c r="X342" s="14"/>
      <c r="Y342" s="14"/>
      <c r="Z342" s="15"/>
      <c r="AA342" s="3"/>
      <c r="AB342" s="3"/>
      <c r="AC342" s="3"/>
      <c r="AD342" s="3"/>
      <c r="AE342" s="3"/>
      <c r="AF342" s="3"/>
    </row>
    <row r="343" ht="15.75" customHeight="1">
      <c r="J343" s="15"/>
      <c r="K343" s="238"/>
      <c r="L343" s="15"/>
      <c r="M343" s="15"/>
      <c r="N343" s="15"/>
      <c r="O343" s="15"/>
      <c r="P343" s="15"/>
      <c r="Q343" s="15"/>
      <c r="R343" s="15"/>
      <c r="S343" s="15"/>
      <c r="T343" s="15"/>
      <c r="U343" s="15"/>
      <c r="V343" s="15"/>
      <c r="W343" s="15"/>
      <c r="X343" s="14"/>
      <c r="Y343" s="14"/>
      <c r="Z343" s="15"/>
      <c r="AA343" s="3"/>
      <c r="AB343" s="3"/>
      <c r="AC343" s="3"/>
      <c r="AD343" s="3"/>
      <c r="AE343" s="3"/>
      <c r="AF343" s="3"/>
    </row>
    <row r="344" ht="15.75" customHeight="1">
      <c r="J344" s="15"/>
      <c r="K344" s="238"/>
      <c r="L344" s="15"/>
      <c r="M344" s="15"/>
      <c r="N344" s="15"/>
      <c r="O344" s="15"/>
      <c r="P344" s="15"/>
      <c r="Q344" s="15"/>
      <c r="R344" s="15"/>
      <c r="S344" s="15"/>
      <c r="T344" s="15"/>
      <c r="U344" s="15"/>
      <c r="V344" s="15"/>
      <c r="W344" s="15"/>
      <c r="X344" s="14"/>
      <c r="Y344" s="14"/>
      <c r="Z344" s="15"/>
      <c r="AA344" s="3"/>
      <c r="AB344" s="3"/>
      <c r="AC344" s="3"/>
      <c r="AD344" s="3"/>
      <c r="AE344" s="3"/>
      <c r="AF344" s="3"/>
    </row>
    <row r="345" ht="15.75" customHeight="1">
      <c r="J345" s="15"/>
      <c r="K345" s="238"/>
      <c r="L345" s="15"/>
      <c r="M345" s="15"/>
      <c r="N345" s="15"/>
      <c r="O345" s="15"/>
      <c r="P345" s="15"/>
      <c r="Q345" s="15"/>
      <c r="R345" s="15"/>
      <c r="S345" s="15"/>
      <c r="T345" s="15"/>
      <c r="U345" s="15"/>
      <c r="V345" s="15"/>
      <c r="W345" s="15"/>
      <c r="X345" s="14"/>
      <c r="Y345" s="14"/>
      <c r="Z345" s="15"/>
      <c r="AA345" s="3"/>
      <c r="AB345" s="3"/>
      <c r="AC345" s="3"/>
      <c r="AD345" s="3"/>
      <c r="AE345" s="3"/>
      <c r="AF345" s="3"/>
    </row>
    <row r="346" ht="15.75" customHeight="1">
      <c r="J346" s="15"/>
      <c r="K346" s="238"/>
      <c r="L346" s="15"/>
      <c r="M346" s="15"/>
      <c r="N346" s="15"/>
      <c r="O346" s="15"/>
      <c r="P346" s="15"/>
      <c r="Q346" s="15"/>
      <c r="R346" s="15"/>
      <c r="S346" s="15"/>
      <c r="T346" s="15"/>
      <c r="U346" s="15"/>
      <c r="V346" s="15"/>
      <c r="W346" s="15"/>
      <c r="X346" s="14"/>
      <c r="Y346" s="14"/>
      <c r="Z346" s="15"/>
      <c r="AA346" s="3"/>
      <c r="AB346" s="3"/>
      <c r="AC346" s="3"/>
      <c r="AD346" s="3"/>
      <c r="AE346" s="3"/>
      <c r="AF346" s="3"/>
    </row>
    <row r="347" ht="15.75" customHeight="1">
      <c r="J347" s="15"/>
      <c r="K347" s="238"/>
      <c r="L347" s="15"/>
      <c r="M347" s="15"/>
      <c r="N347" s="15"/>
      <c r="O347" s="15"/>
      <c r="P347" s="15"/>
      <c r="Q347" s="15"/>
      <c r="R347" s="15"/>
      <c r="S347" s="15"/>
      <c r="T347" s="15"/>
      <c r="U347" s="15"/>
      <c r="V347" s="15"/>
      <c r="W347" s="15"/>
      <c r="X347" s="14"/>
      <c r="Y347" s="14"/>
      <c r="Z347" s="15"/>
      <c r="AA347" s="3"/>
      <c r="AB347" s="3"/>
      <c r="AC347" s="3"/>
      <c r="AD347" s="3"/>
      <c r="AE347" s="3"/>
      <c r="AF347" s="3"/>
    </row>
    <row r="348" ht="15.75" customHeight="1">
      <c r="J348" s="15"/>
      <c r="K348" s="238"/>
      <c r="L348" s="15"/>
      <c r="M348" s="15"/>
      <c r="N348" s="15"/>
      <c r="O348" s="15"/>
      <c r="P348" s="15"/>
      <c r="Q348" s="15"/>
      <c r="R348" s="15"/>
      <c r="S348" s="15"/>
      <c r="T348" s="15"/>
      <c r="U348" s="15"/>
      <c r="V348" s="15"/>
      <c r="W348" s="15"/>
      <c r="X348" s="14"/>
      <c r="Y348" s="14"/>
      <c r="Z348" s="15"/>
      <c r="AA348" s="3"/>
      <c r="AB348" s="3"/>
      <c r="AC348" s="3"/>
      <c r="AD348" s="3"/>
      <c r="AE348" s="3"/>
      <c r="AF348" s="3"/>
    </row>
    <row r="349" ht="15.75" customHeight="1">
      <c r="J349" s="15"/>
      <c r="K349" s="238"/>
      <c r="L349" s="15"/>
      <c r="M349" s="15"/>
      <c r="N349" s="15"/>
      <c r="O349" s="15"/>
      <c r="P349" s="15"/>
      <c r="Q349" s="15"/>
      <c r="R349" s="15"/>
      <c r="S349" s="15"/>
      <c r="T349" s="15"/>
      <c r="U349" s="15"/>
      <c r="V349" s="15"/>
      <c r="W349" s="15"/>
      <c r="X349" s="14"/>
      <c r="Y349" s="14"/>
      <c r="Z349" s="15"/>
      <c r="AA349" s="3"/>
      <c r="AB349" s="3"/>
      <c r="AC349" s="3"/>
      <c r="AD349" s="3"/>
      <c r="AE349" s="3"/>
      <c r="AF349" s="3"/>
    </row>
    <row r="350" ht="15.75" customHeight="1">
      <c r="J350" s="15"/>
      <c r="K350" s="238"/>
      <c r="L350" s="15"/>
      <c r="M350" s="15"/>
      <c r="N350" s="15"/>
      <c r="O350" s="15"/>
      <c r="P350" s="15"/>
      <c r="Q350" s="15"/>
      <c r="R350" s="15"/>
      <c r="S350" s="15"/>
      <c r="T350" s="15"/>
      <c r="U350" s="15"/>
      <c r="V350" s="15"/>
      <c r="W350" s="15"/>
      <c r="X350" s="14"/>
      <c r="Y350" s="14"/>
      <c r="Z350" s="15"/>
      <c r="AA350" s="3"/>
      <c r="AB350" s="3"/>
      <c r="AC350" s="3"/>
      <c r="AD350" s="3"/>
      <c r="AE350" s="3"/>
      <c r="AF350" s="3"/>
    </row>
    <row r="351" ht="15.75" customHeight="1">
      <c r="J351" s="15"/>
      <c r="K351" s="238"/>
      <c r="L351" s="15"/>
      <c r="M351" s="15"/>
      <c r="N351" s="15"/>
      <c r="O351" s="15"/>
      <c r="P351" s="15"/>
      <c r="Q351" s="15"/>
      <c r="R351" s="15"/>
      <c r="S351" s="15"/>
      <c r="T351" s="15"/>
      <c r="U351" s="15"/>
      <c r="V351" s="15"/>
      <c r="W351" s="15"/>
      <c r="X351" s="14"/>
      <c r="Y351" s="14"/>
      <c r="Z351" s="15"/>
      <c r="AA351" s="3"/>
      <c r="AB351" s="3"/>
      <c r="AC351" s="3"/>
      <c r="AD351" s="3"/>
      <c r="AE351" s="3"/>
      <c r="AF351" s="3"/>
    </row>
    <row r="352" ht="15.75" customHeight="1">
      <c r="J352" s="15"/>
      <c r="K352" s="238"/>
      <c r="L352" s="15"/>
      <c r="M352" s="15"/>
      <c r="N352" s="15"/>
      <c r="O352" s="15"/>
      <c r="P352" s="15"/>
      <c r="Q352" s="15"/>
      <c r="R352" s="15"/>
      <c r="S352" s="15"/>
      <c r="T352" s="15"/>
      <c r="U352" s="15"/>
      <c r="V352" s="15"/>
      <c r="W352" s="15"/>
      <c r="X352" s="14"/>
      <c r="Y352" s="14"/>
      <c r="Z352" s="15"/>
      <c r="AA352" s="3"/>
      <c r="AB352" s="3"/>
      <c r="AC352" s="3"/>
      <c r="AD352" s="3"/>
      <c r="AE352" s="3"/>
      <c r="AF352" s="3"/>
    </row>
    <row r="353" ht="15.75" customHeight="1">
      <c r="J353" s="15"/>
      <c r="K353" s="238"/>
      <c r="L353" s="15"/>
      <c r="M353" s="15"/>
      <c r="N353" s="15"/>
      <c r="O353" s="15"/>
      <c r="P353" s="15"/>
      <c r="Q353" s="15"/>
      <c r="R353" s="15"/>
      <c r="S353" s="15"/>
      <c r="T353" s="15"/>
      <c r="U353" s="15"/>
      <c r="V353" s="15"/>
      <c r="W353" s="15"/>
      <c r="X353" s="14"/>
      <c r="Y353" s="14"/>
      <c r="Z353" s="15"/>
      <c r="AA353" s="3"/>
      <c r="AB353" s="3"/>
      <c r="AC353" s="3"/>
      <c r="AD353" s="3"/>
      <c r="AE353" s="3"/>
      <c r="AF353" s="3"/>
    </row>
    <row r="354" ht="15.75" customHeight="1">
      <c r="J354" s="15"/>
      <c r="K354" s="238"/>
      <c r="L354" s="15"/>
      <c r="M354" s="15"/>
      <c r="N354" s="15"/>
      <c r="O354" s="15"/>
      <c r="P354" s="15"/>
      <c r="Q354" s="15"/>
      <c r="R354" s="15"/>
      <c r="S354" s="15"/>
      <c r="T354" s="15"/>
      <c r="U354" s="15"/>
      <c r="V354" s="15"/>
      <c r="W354" s="15"/>
      <c r="X354" s="14"/>
      <c r="Y354" s="14"/>
      <c r="Z354" s="15"/>
      <c r="AA354" s="3"/>
      <c r="AB354" s="3"/>
      <c r="AC354" s="3"/>
      <c r="AD354" s="3"/>
      <c r="AE354" s="3"/>
      <c r="AF354" s="3"/>
    </row>
    <row r="355" ht="15.75" customHeight="1">
      <c r="J355" s="15"/>
      <c r="K355" s="238"/>
      <c r="L355" s="15"/>
      <c r="M355" s="15"/>
      <c r="N355" s="15"/>
      <c r="O355" s="15"/>
      <c r="P355" s="15"/>
      <c r="Q355" s="15"/>
      <c r="R355" s="15"/>
      <c r="S355" s="15"/>
      <c r="T355" s="15"/>
      <c r="U355" s="15"/>
      <c r="V355" s="15"/>
      <c r="W355" s="15"/>
      <c r="X355" s="14"/>
      <c r="Y355" s="14"/>
      <c r="Z355" s="15"/>
      <c r="AA355" s="3"/>
      <c r="AB355" s="3"/>
      <c r="AC355" s="3"/>
      <c r="AD355" s="3"/>
      <c r="AE355" s="3"/>
      <c r="AF355" s="3"/>
    </row>
    <row r="356" ht="15.75" customHeight="1">
      <c r="J356" s="15"/>
      <c r="K356" s="238"/>
      <c r="L356" s="15"/>
      <c r="M356" s="15"/>
      <c r="N356" s="15"/>
      <c r="O356" s="15"/>
      <c r="P356" s="15"/>
      <c r="Q356" s="15"/>
      <c r="R356" s="15"/>
      <c r="S356" s="15"/>
      <c r="T356" s="15"/>
      <c r="U356" s="15"/>
      <c r="V356" s="15"/>
      <c r="W356" s="15"/>
      <c r="X356" s="14"/>
      <c r="Y356" s="14"/>
      <c r="Z356" s="15"/>
      <c r="AA356" s="3"/>
      <c r="AB356" s="3"/>
      <c r="AC356" s="3"/>
      <c r="AD356" s="3"/>
      <c r="AE356" s="3"/>
      <c r="AF356" s="3"/>
    </row>
    <row r="357" ht="15.75" customHeight="1">
      <c r="J357" s="15"/>
      <c r="K357" s="238"/>
      <c r="L357" s="15"/>
      <c r="M357" s="15"/>
      <c r="N357" s="15"/>
      <c r="O357" s="15"/>
      <c r="P357" s="15"/>
      <c r="Q357" s="15"/>
      <c r="R357" s="15"/>
      <c r="S357" s="15"/>
      <c r="T357" s="15"/>
      <c r="U357" s="15"/>
      <c r="V357" s="15"/>
      <c r="W357" s="15"/>
      <c r="X357" s="14"/>
      <c r="Y357" s="14"/>
      <c r="Z357" s="15"/>
      <c r="AA357" s="3"/>
      <c r="AB357" s="3"/>
      <c r="AC357" s="3"/>
      <c r="AD357" s="3"/>
      <c r="AE357" s="3"/>
      <c r="AF357" s="3"/>
    </row>
    <row r="358" ht="15.75" customHeight="1">
      <c r="J358" s="15"/>
      <c r="K358" s="238"/>
      <c r="L358" s="15"/>
      <c r="M358" s="15"/>
      <c r="N358" s="15"/>
      <c r="O358" s="15"/>
      <c r="P358" s="15"/>
      <c r="Q358" s="15"/>
      <c r="R358" s="15"/>
      <c r="S358" s="15"/>
      <c r="T358" s="15"/>
      <c r="U358" s="15"/>
      <c r="V358" s="15"/>
      <c r="W358" s="15"/>
      <c r="X358" s="14"/>
      <c r="Y358" s="14"/>
      <c r="Z358" s="15"/>
      <c r="AA358" s="3"/>
      <c r="AB358" s="3"/>
      <c r="AC358" s="3"/>
      <c r="AD358" s="3"/>
      <c r="AE358" s="3"/>
      <c r="AF358" s="3"/>
    </row>
    <row r="359" ht="15.75" customHeight="1">
      <c r="J359" s="15"/>
      <c r="K359" s="238"/>
      <c r="L359" s="15"/>
      <c r="M359" s="15"/>
      <c r="N359" s="15"/>
      <c r="O359" s="15"/>
      <c r="P359" s="15"/>
      <c r="Q359" s="15"/>
      <c r="R359" s="15"/>
      <c r="S359" s="15"/>
      <c r="T359" s="15"/>
      <c r="U359" s="15"/>
      <c r="V359" s="15"/>
      <c r="W359" s="15"/>
      <c r="X359" s="14"/>
      <c r="Y359" s="14"/>
      <c r="Z359" s="15"/>
      <c r="AA359" s="3"/>
      <c r="AB359" s="3"/>
      <c r="AC359" s="3"/>
      <c r="AD359" s="3"/>
      <c r="AE359" s="3"/>
      <c r="AF359" s="3"/>
    </row>
    <row r="360" ht="15.75" customHeight="1">
      <c r="J360" s="15"/>
      <c r="K360" s="238"/>
      <c r="L360" s="15"/>
      <c r="M360" s="15"/>
      <c r="N360" s="15"/>
      <c r="O360" s="15"/>
      <c r="P360" s="15"/>
      <c r="Q360" s="15"/>
      <c r="R360" s="15"/>
      <c r="S360" s="15"/>
      <c r="T360" s="15"/>
      <c r="U360" s="15"/>
      <c r="V360" s="15"/>
      <c r="W360" s="15"/>
      <c r="X360" s="14"/>
      <c r="Y360" s="14"/>
      <c r="Z360" s="15"/>
      <c r="AA360" s="3"/>
      <c r="AB360" s="3"/>
      <c r="AC360" s="3"/>
      <c r="AD360" s="3"/>
      <c r="AE360" s="3"/>
      <c r="AF360" s="3"/>
    </row>
    <row r="361" ht="15.75" customHeight="1">
      <c r="J361" s="15"/>
      <c r="K361" s="238"/>
      <c r="L361" s="15"/>
      <c r="M361" s="15"/>
      <c r="N361" s="15"/>
      <c r="O361" s="15"/>
      <c r="P361" s="15"/>
      <c r="Q361" s="15"/>
      <c r="R361" s="15"/>
      <c r="S361" s="15"/>
      <c r="T361" s="15"/>
      <c r="U361" s="15"/>
      <c r="V361" s="15"/>
      <c r="W361" s="15"/>
      <c r="X361" s="14"/>
      <c r="Y361" s="14"/>
      <c r="Z361" s="15"/>
      <c r="AA361" s="3"/>
      <c r="AB361" s="3"/>
      <c r="AC361" s="3"/>
      <c r="AD361" s="3"/>
      <c r="AE361" s="3"/>
      <c r="AF361" s="3"/>
    </row>
    <row r="362" ht="15.75" customHeight="1">
      <c r="J362" s="15"/>
      <c r="K362" s="238"/>
      <c r="L362" s="15"/>
      <c r="M362" s="15"/>
      <c r="N362" s="15"/>
      <c r="O362" s="15"/>
      <c r="P362" s="15"/>
      <c r="Q362" s="15"/>
      <c r="R362" s="15"/>
      <c r="S362" s="15"/>
      <c r="T362" s="15"/>
      <c r="U362" s="15"/>
      <c r="V362" s="15"/>
      <c r="W362" s="15"/>
      <c r="X362" s="14"/>
      <c r="Y362" s="14"/>
      <c r="Z362" s="15"/>
      <c r="AA362" s="3"/>
      <c r="AB362" s="3"/>
      <c r="AC362" s="3"/>
      <c r="AD362" s="3"/>
      <c r="AE362" s="3"/>
      <c r="AF362" s="3"/>
    </row>
    <row r="363" ht="15.75" customHeight="1">
      <c r="J363" s="15"/>
      <c r="K363" s="238"/>
      <c r="L363" s="15"/>
      <c r="M363" s="15"/>
      <c r="N363" s="15"/>
      <c r="O363" s="15"/>
      <c r="P363" s="15"/>
      <c r="Q363" s="15"/>
      <c r="R363" s="15"/>
      <c r="S363" s="15"/>
      <c r="T363" s="15"/>
      <c r="U363" s="15"/>
      <c r="V363" s="15"/>
      <c r="W363" s="15"/>
      <c r="X363" s="14"/>
      <c r="Y363" s="14"/>
      <c r="Z363" s="15"/>
      <c r="AA363" s="3"/>
      <c r="AB363" s="3"/>
      <c r="AC363" s="3"/>
      <c r="AD363" s="3"/>
      <c r="AE363" s="3"/>
      <c r="AF363" s="3"/>
    </row>
    <row r="364" ht="15.75" customHeight="1">
      <c r="J364" s="15"/>
      <c r="K364" s="238"/>
      <c r="L364" s="15"/>
      <c r="M364" s="15"/>
      <c r="N364" s="15"/>
      <c r="O364" s="15"/>
      <c r="P364" s="15"/>
      <c r="Q364" s="15"/>
      <c r="R364" s="15"/>
      <c r="S364" s="15"/>
      <c r="T364" s="15"/>
      <c r="U364" s="15"/>
      <c r="V364" s="15"/>
      <c r="W364" s="15"/>
      <c r="X364" s="14"/>
      <c r="Y364" s="14"/>
      <c r="Z364" s="15"/>
      <c r="AA364" s="3"/>
      <c r="AB364" s="3"/>
      <c r="AC364" s="3"/>
      <c r="AD364" s="3"/>
      <c r="AE364" s="3"/>
      <c r="AF364" s="3"/>
    </row>
    <row r="365" ht="15.75" customHeight="1">
      <c r="J365" s="15"/>
      <c r="K365" s="238"/>
      <c r="L365" s="15"/>
      <c r="M365" s="15"/>
      <c r="N365" s="15"/>
      <c r="O365" s="15"/>
      <c r="P365" s="15"/>
      <c r="Q365" s="15"/>
      <c r="R365" s="15"/>
      <c r="S365" s="15"/>
      <c r="T365" s="15"/>
      <c r="U365" s="15"/>
      <c r="V365" s="15"/>
      <c r="W365" s="15"/>
      <c r="X365" s="14"/>
      <c r="Y365" s="14"/>
      <c r="Z365" s="15"/>
      <c r="AA365" s="3"/>
      <c r="AB365" s="3"/>
      <c r="AC365" s="3"/>
      <c r="AD365" s="3"/>
      <c r="AE365" s="3"/>
      <c r="AF365" s="3"/>
    </row>
    <row r="366" ht="15.75" customHeight="1">
      <c r="J366" s="15"/>
      <c r="K366" s="238"/>
      <c r="L366" s="15"/>
      <c r="M366" s="15"/>
      <c r="N366" s="15"/>
      <c r="O366" s="15"/>
      <c r="P366" s="15"/>
      <c r="Q366" s="15"/>
      <c r="R366" s="15"/>
      <c r="S366" s="15"/>
      <c r="T366" s="15"/>
      <c r="U366" s="15"/>
      <c r="V366" s="15"/>
      <c r="W366" s="15"/>
      <c r="X366" s="14"/>
      <c r="Y366" s="14"/>
      <c r="Z366" s="15"/>
      <c r="AA366" s="3"/>
      <c r="AB366" s="3"/>
      <c r="AC366" s="3"/>
      <c r="AD366" s="3"/>
      <c r="AE366" s="3"/>
      <c r="AF366" s="3"/>
    </row>
    <row r="367" ht="15.75" customHeight="1">
      <c r="J367" s="15"/>
      <c r="K367" s="238"/>
      <c r="L367" s="15"/>
      <c r="M367" s="15"/>
      <c r="N367" s="15"/>
      <c r="O367" s="15"/>
      <c r="P367" s="15"/>
      <c r="Q367" s="15"/>
      <c r="R367" s="15"/>
      <c r="S367" s="15"/>
      <c r="T367" s="15"/>
      <c r="U367" s="15"/>
      <c r="V367" s="15"/>
      <c r="W367" s="15"/>
      <c r="X367" s="14"/>
      <c r="Y367" s="14"/>
      <c r="Z367" s="15"/>
      <c r="AA367" s="3"/>
      <c r="AB367" s="3"/>
      <c r="AC367" s="3"/>
      <c r="AD367" s="3"/>
      <c r="AE367" s="3"/>
      <c r="AF367" s="3"/>
    </row>
    <row r="368" ht="15.75" customHeight="1">
      <c r="J368" s="15"/>
      <c r="K368" s="238"/>
      <c r="L368" s="15"/>
      <c r="M368" s="15"/>
      <c r="N368" s="15"/>
      <c r="O368" s="15"/>
      <c r="P368" s="15"/>
      <c r="Q368" s="15"/>
      <c r="R368" s="15"/>
      <c r="S368" s="15"/>
      <c r="T368" s="15"/>
      <c r="U368" s="15"/>
      <c r="V368" s="15"/>
      <c r="W368" s="15"/>
      <c r="X368" s="14"/>
      <c r="Y368" s="14"/>
      <c r="Z368" s="15"/>
      <c r="AA368" s="3"/>
      <c r="AB368" s="3"/>
      <c r="AC368" s="3"/>
      <c r="AD368" s="3"/>
      <c r="AE368" s="3"/>
      <c r="AF368" s="3"/>
    </row>
    <row r="369" ht="15.75" customHeight="1">
      <c r="J369" s="15"/>
      <c r="K369" s="238"/>
      <c r="L369" s="15"/>
      <c r="M369" s="15"/>
      <c r="N369" s="15"/>
      <c r="O369" s="15"/>
      <c r="P369" s="15"/>
      <c r="Q369" s="15"/>
      <c r="R369" s="15"/>
      <c r="S369" s="15"/>
      <c r="T369" s="15"/>
      <c r="U369" s="15"/>
      <c r="V369" s="15"/>
      <c r="W369" s="15"/>
      <c r="X369" s="14"/>
      <c r="Y369" s="14"/>
      <c r="Z369" s="15"/>
      <c r="AA369" s="3"/>
      <c r="AB369" s="3"/>
      <c r="AC369" s="3"/>
      <c r="AD369" s="3"/>
      <c r="AE369" s="3"/>
      <c r="AF369" s="3"/>
    </row>
    <row r="370" ht="15.75" customHeight="1">
      <c r="J370" s="15"/>
      <c r="K370" s="238"/>
      <c r="L370" s="15"/>
      <c r="M370" s="15"/>
      <c r="N370" s="15"/>
      <c r="O370" s="15"/>
      <c r="P370" s="15"/>
      <c r="Q370" s="15"/>
      <c r="R370" s="15"/>
      <c r="S370" s="15"/>
      <c r="T370" s="15"/>
      <c r="U370" s="15"/>
      <c r="V370" s="15"/>
      <c r="W370" s="15"/>
      <c r="X370" s="14"/>
      <c r="Y370" s="14"/>
      <c r="Z370" s="15"/>
      <c r="AA370" s="3"/>
      <c r="AB370" s="3"/>
      <c r="AC370" s="3"/>
      <c r="AD370" s="3"/>
      <c r="AE370" s="3"/>
      <c r="AF370" s="3"/>
    </row>
    <row r="371" ht="15.75" customHeight="1">
      <c r="J371" s="15"/>
      <c r="K371" s="238"/>
      <c r="L371" s="15"/>
      <c r="M371" s="15"/>
      <c r="N371" s="15"/>
      <c r="O371" s="15"/>
      <c r="P371" s="15"/>
      <c r="Q371" s="15"/>
      <c r="R371" s="15"/>
      <c r="S371" s="15"/>
      <c r="T371" s="15"/>
      <c r="U371" s="15"/>
      <c r="V371" s="15"/>
      <c r="W371" s="15"/>
      <c r="X371" s="14"/>
      <c r="Y371" s="14"/>
      <c r="Z371" s="15"/>
      <c r="AA371" s="3"/>
      <c r="AB371" s="3"/>
      <c r="AC371" s="3"/>
      <c r="AD371" s="3"/>
      <c r="AE371" s="3"/>
      <c r="AF371" s="3"/>
    </row>
    <row r="372" ht="15.75" customHeight="1">
      <c r="J372" s="15"/>
      <c r="K372" s="238"/>
      <c r="L372" s="15"/>
      <c r="M372" s="15"/>
      <c r="N372" s="15"/>
      <c r="O372" s="15"/>
      <c r="P372" s="15"/>
      <c r="Q372" s="15"/>
      <c r="R372" s="15"/>
      <c r="S372" s="15"/>
      <c r="T372" s="15"/>
      <c r="U372" s="15"/>
      <c r="V372" s="15"/>
      <c r="W372" s="15"/>
      <c r="X372" s="14"/>
      <c r="Y372" s="14"/>
      <c r="Z372" s="15"/>
      <c r="AA372" s="3"/>
      <c r="AB372" s="3"/>
      <c r="AC372" s="3"/>
      <c r="AD372" s="3"/>
      <c r="AE372" s="3"/>
      <c r="AF372" s="3"/>
    </row>
    <row r="373" ht="15.75" customHeight="1">
      <c r="J373" s="15"/>
      <c r="K373" s="238"/>
      <c r="L373" s="15"/>
      <c r="M373" s="15"/>
      <c r="N373" s="15"/>
      <c r="O373" s="15"/>
      <c r="P373" s="15"/>
      <c r="Q373" s="15"/>
      <c r="R373" s="15"/>
      <c r="S373" s="15"/>
      <c r="T373" s="15"/>
      <c r="U373" s="15"/>
      <c r="V373" s="15"/>
      <c r="W373" s="15"/>
      <c r="X373" s="14"/>
      <c r="Y373" s="14"/>
      <c r="Z373" s="15"/>
      <c r="AA373" s="3"/>
      <c r="AB373" s="3"/>
      <c r="AC373" s="3"/>
      <c r="AD373" s="3"/>
      <c r="AE373" s="3"/>
      <c r="AF373" s="3"/>
    </row>
    <row r="374" ht="15.75" customHeight="1">
      <c r="J374" s="15"/>
      <c r="K374" s="238"/>
      <c r="L374" s="15"/>
      <c r="M374" s="15"/>
      <c r="N374" s="15"/>
      <c r="O374" s="15"/>
      <c r="P374" s="15"/>
      <c r="Q374" s="15"/>
      <c r="R374" s="15"/>
      <c r="S374" s="15"/>
      <c r="T374" s="15"/>
      <c r="U374" s="15"/>
      <c r="V374" s="15"/>
      <c r="W374" s="15"/>
      <c r="X374" s="14"/>
      <c r="Y374" s="14"/>
      <c r="Z374" s="15"/>
      <c r="AA374" s="3"/>
      <c r="AB374" s="3"/>
      <c r="AC374" s="3"/>
      <c r="AD374" s="3"/>
      <c r="AE374" s="3"/>
      <c r="AF374" s="3"/>
    </row>
    <row r="375" ht="15.75" customHeight="1">
      <c r="J375" s="15"/>
      <c r="K375" s="238"/>
      <c r="L375" s="15"/>
      <c r="M375" s="15"/>
      <c r="N375" s="15"/>
      <c r="O375" s="15"/>
      <c r="P375" s="15"/>
      <c r="Q375" s="15"/>
      <c r="R375" s="15"/>
      <c r="S375" s="15"/>
      <c r="T375" s="15"/>
      <c r="U375" s="15"/>
      <c r="V375" s="15"/>
      <c r="W375" s="15"/>
      <c r="X375" s="14"/>
      <c r="Y375" s="14"/>
      <c r="Z375" s="15"/>
      <c r="AA375" s="3"/>
      <c r="AB375" s="3"/>
      <c r="AC375" s="3"/>
      <c r="AD375" s="3"/>
      <c r="AE375" s="3"/>
      <c r="AF375" s="3"/>
    </row>
    <row r="376" ht="15.75" customHeight="1">
      <c r="J376" s="15"/>
      <c r="K376" s="238"/>
      <c r="L376" s="15"/>
      <c r="M376" s="15"/>
      <c r="N376" s="15"/>
      <c r="O376" s="15"/>
      <c r="P376" s="15"/>
      <c r="Q376" s="15"/>
      <c r="R376" s="15"/>
      <c r="S376" s="15"/>
      <c r="T376" s="15"/>
      <c r="U376" s="15"/>
      <c r="V376" s="15"/>
      <c r="W376" s="15"/>
      <c r="X376" s="14"/>
      <c r="Y376" s="14"/>
      <c r="Z376" s="15"/>
      <c r="AA376" s="3"/>
      <c r="AB376" s="3"/>
      <c r="AC376" s="3"/>
      <c r="AD376" s="3"/>
      <c r="AE376" s="3"/>
      <c r="AF376" s="3"/>
    </row>
    <row r="377" ht="15.75" customHeight="1">
      <c r="J377" s="15"/>
      <c r="K377" s="238"/>
      <c r="L377" s="15"/>
      <c r="M377" s="15"/>
      <c r="N377" s="15"/>
      <c r="O377" s="15"/>
      <c r="P377" s="15"/>
      <c r="Q377" s="15"/>
      <c r="R377" s="15"/>
      <c r="S377" s="15"/>
      <c r="T377" s="15"/>
      <c r="U377" s="15"/>
      <c r="V377" s="15"/>
      <c r="W377" s="15"/>
      <c r="X377" s="14"/>
      <c r="Y377" s="14"/>
      <c r="Z377" s="15"/>
      <c r="AA377" s="3"/>
      <c r="AB377" s="3"/>
      <c r="AC377" s="3"/>
      <c r="AD377" s="3"/>
      <c r="AE377" s="3"/>
      <c r="AF377" s="3"/>
    </row>
    <row r="378" ht="15.75" customHeight="1">
      <c r="J378" s="15"/>
      <c r="K378" s="238"/>
      <c r="L378" s="15"/>
      <c r="M378" s="15"/>
      <c r="N378" s="15"/>
      <c r="O378" s="15"/>
      <c r="P378" s="15"/>
      <c r="Q378" s="15"/>
      <c r="R378" s="15"/>
      <c r="S378" s="15"/>
      <c r="T378" s="15"/>
      <c r="U378" s="15"/>
      <c r="V378" s="15"/>
      <c r="W378" s="15"/>
      <c r="X378" s="14"/>
      <c r="Y378" s="14"/>
      <c r="Z378" s="15"/>
      <c r="AA378" s="3"/>
      <c r="AB378" s="3"/>
      <c r="AC378" s="3"/>
      <c r="AD378" s="3"/>
      <c r="AE378" s="3"/>
      <c r="AF378" s="3"/>
    </row>
    <row r="379" ht="15.75" customHeight="1">
      <c r="J379" s="15"/>
      <c r="K379" s="238"/>
      <c r="L379" s="15"/>
      <c r="M379" s="15"/>
      <c r="N379" s="15"/>
      <c r="O379" s="15"/>
      <c r="P379" s="15"/>
      <c r="Q379" s="15"/>
      <c r="R379" s="15"/>
      <c r="S379" s="15"/>
      <c r="T379" s="15"/>
      <c r="U379" s="15"/>
      <c r="V379" s="15"/>
      <c r="W379" s="15"/>
      <c r="X379" s="14"/>
      <c r="Y379" s="14"/>
      <c r="Z379" s="15"/>
      <c r="AA379" s="3"/>
      <c r="AB379" s="3"/>
      <c r="AC379" s="3"/>
      <c r="AD379" s="3"/>
      <c r="AE379" s="3"/>
      <c r="AF379" s="3"/>
    </row>
    <row r="380" ht="15.75" customHeight="1">
      <c r="J380" s="15"/>
      <c r="K380" s="238"/>
      <c r="L380" s="15"/>
      <c r="M380" s="15"/>
      <c r="N380" s="15"/>
      <c r="O380" s="15"/>
      <c r="P380" s="15"/>
      <c r="Q380" s="15"/>
      <c r="R380" s="15"/>
      <c r="S380" s="15"/>
      <c r="T380" s="15"/>
      <c r="U380" s="15"/>
      <c r="V380" s="15"/>
      <c r="W380" s="15"/>
      <c r="X380" s="14"/>
      <c r="Y380" s="14"/>
      <c r="Z380" s="15"/>
      <c r="AA380" s="3"/>
      <c r="AB380" s="3"/>
      <c r="AC380" s="3"/>
      <c r="AD380" s="3"/>
      <c r="AE380" s="3"/>
      <c r="AF380" s="3"/>
    </row>
    <row r="381" ht="15.75" customHeight="1">
      <c r="J381" s="15"/>
      <c r="K381" s="238"/>
      <c r="L381" s="15"/>
      <c r="M381" s="15"/>
      <c r="N381" s="15"/>
      <c r="O381" s="15"/>
      <c r="P381" s="15"/>
      <c r="Q381" s="15"/>
      <c r="R381" s="15"/>
      <c r="S381" s="15"/>
      <c r="T381" s="15"/>
      <c r="U381" s="15"/>
      <c r="V381" s="15"/>
      <c r="W381" s="15"/>
      <c r="X381" s="14"/>
      <c r="Y381" s="14"/>
      <c r="Z381" s="15"/>
      <c r="AA381" s="3"/>
      <c r="AB381" s="3"/>
      <c r="AC381" s="3"/>
      <c r="AD381" s="3"/>
      <c r="AE381" s="3"/>
      <c r="AF381" s="3"/>
    </row>
    <row r="382" ht="15.75" customHeight="1">
      <c r="J382" s="15"/>
      <c r="K382" s="238"/>
      <c r="L382" s="15"/>
      <c r="M382" s="15"/>
      <c r="N382" s="15"/>
      <c r="O382" s="15"/>
      <c r="P382" s="15"/>
      <c r="Q382" s="15"/>
      <c r="R382" s="15"/>
      <c r="S382" s="15"/>
      <c r="T382" s="15"/>
      <c r="U382" s="15"/>
      <c r="V382" s="15"/>
      <c r="W382" s="15"/>
      <c r="X382" s="14"/>
      <c r="Y382" s="14"/>
      <c r="Z382" s="15"/>
      <c r="AA382" s="3"/>
      <c r="AB382" s="3"/>
      <c r="AC382" s="3"/>
      <c r="AD382" s="3"/>
      <c r="AE382" s="3"/>
      <c r="AF382" s="3"/>
    </row>
    <row r="383" ht="15.75" customHeight="1">
      <c r="J383" s="15"/>
      <c r="K383" s="238"/>
      <c r="L383" s="15"/>
      <c r="M383" s="15"/>
      <c r="N383" s="15"/>
      <c r="O383" s="15"/>
      <c r="P383" s="15"/>
      <c r="Q383" s="15"/>
      <c r="R383" s="15"/>
      <c r="S383" s="15"/>
      <c r="T383" s="15"/>
      <c r="U383" s="15"/>
      <c r="V383" s="15"/>
      <c r="W383" s="15"/>
      <c r="X383" s="14"/>
      <c r="Y383" s="14"/>
      <c r="Z383" s="15"/>
      <c r="AA383" s="3"/>
      <c r="AB383" s="3"/>
      <c r="AC383" s="3"/>
      <c r="AD383" s="3"/>
      <c r="AE383" s="3"/>
      <c r="AF383" s="3"/>
    </row>
    <row r="384" ht="15.75" customHeight="1">
      <c r="J384" s="15"/>
      <c r="K384" s="238"/>
      <c r="L384" s="15"/>
      <c r="M384" s="15"/>
      <c r="N384" s="15"/>
      <c r="O384" s="15"/>
      <c r="P384" s="15"/>
      <c r="Q384" s="15"/>
      <c r="R384" s="15"/>
      <c r="S384" s="15"/>
      <c r="T384" s="15"/>
      <c r="U384" s="15"/>
      <c r="V384" s="15"/>
      <c r="W384" s="15"/>
      <c r="X384" s="14"/>
      <c r="Y384" s="14"/>
      <c r="Z384" s="15"/>
      <c r="AA384" s="3"/>
      <c r="AB384" s="3"/>
      <c r="AC384" s="3"/>
      <c r="AD384" s="3"/>
      <c r="AE384" s="3"/>
      <c r="AF384" s="3"/>
    </row>
    <row r="385" ht="15.75" customHeight="1">
      <c r="J385" s="15"/>
      <c r="K385" s="238"/>
      <c r="L385" s="15"/>
      <c r="M385" s="15"/>
      <c r="N385" s="15"/>
      <c r="O385" s="15"/>
      <c r="P385" s="15"/>
      <c r="Q385" s="15"/>
      <c r="R385" s="15"/>
      <c r="S385" s="15"/>
      <c r="T385" s="15"/>
      <c r="U385" s="15"/>
      <c r="V385" s="15"/>
      <c r="W385" s="15"/>
      <c r="X385" s="14"/>
      <c r="Y385" s="14"/>
      <c r="Z385" s="15"/>
      <c r="AA385" s="3"/>
      <c r="AB385" s="3"/>
      <c r="AC385" s="3"/>
      <c r="AD385" s="3"/>
      <c r="AE385" s="3"/>
      <c r="AF385" s="3"/>
    </row>
    <row r="386" ht="15.75" customHeight="1">
      <c r="J386" s="15"/>
      <c r="K386" s="238"/>
      <c r="L386" s="15"/>
      <c r="M386" s="15"/>
      <c r="N386" s="15"/>
      <c r="O386" s="15"/>
      <c r="P386" s="15"/>
      <c r="Q386" s="15"/>
      <c r="R386" s="15"/>
      <c r="S386" s="15"/>
      <c r="T386" s="15"/>
      <c r="U386" s="15"/>
      <c r="V386" s="15"/>
      <c r="W386" s="15"/>
      <c r="X386" s="14"/>
      <c r="Y386" s="14"/>
      <c r="Z386" s="15"/>
      <c r="AA386" s="3"/>
      <c r="AB386" s="3"/>
      <c r="AC386" s="3"/>
      <c r="AD386" s="3"/>
      <c r="AE386" s="3"/>
      <c r="AF386" s="3"/>
    </row>
    <row r="387" ht="15.75" customHeight="1">
      <c r="J387" s="15"/>
      <c r="K387" s="238"/>
      <c r="L387" s="15"/>
      <c r="M387" s="15"/>
      <c r="N387" s="15"/>
      <c r="O387" s="15"/>
      <c r="P387" s="15"/>
      <c r="Q387" s="15"/>
      <c r="R387" s="15"/>
      <c r="S387" s="15"/>
      <c r="T387" s="15"/>
      <c r="U387" s="15"/>
      <c r="V387" s="15"/>
      <c r="W387" s="15"/>
      <c r="X387" s="14"/>
      <c r="Y387" s="14"/>
      <c r="Z387" s="15"/>
      <c r="AA387" s="3"/>
      <c r="AB387" s="3"/>
      <c r="AC387" s="3"/>
      <c r="AD387" s="3"/>
      <c r="AE387" s="3"/>
      <c r="AF387" s="3"/>
    </row>
    <row r="388" ht="15.75" customHeight="1">
      <c r="J388" s="15"/>
      <c r="K388" s="238"/>
      <c r="L388" s="15"/>
      <c r="M388" s="15"/>
      <c r="N388" s="15"/>
      <c r="O388" s="15"/>
      <c r="P388" s="15"/>
      <c r="Q388" s="15"/>
      <c r="R388" s="15"/>
      <c r="S388" s="15"/>
      <c r="T388" s="15"/>
      <c r="U388" s="15"/>
      <c r="V388" s="15"/>
      <c r="W388" s="15"/>
      <c r="X388" s="14"/>
      <c r="Y388" s="14"/>
      <c r="Z388" s="15"/>
      <c r="AA388" s="3"/>
      <c r="AB388" s="3"/>
      <c r="AC388" s="3"/>
      <c r="AD388" s="3"/>
      <c r="AE388" s="3"/>
      <c r="AF388" s="3"/>
    </row>
    <row r="389" ht="15.75" customHeight="1">
      <c r="J389" s="15"/>
      <c r="K389" s="238"/>
      <c r="L389" s="15"/>
      <c r="M389" s="15"/>
      <c r="N389" s="15"/>
      <c r="O389" s="15"/>
      <c r="P389" s="15"/>
      <c r="Q389" s="15"/>
      <c r="R389" s="15"/>
      <c r="S389" s="15"/>
      <c r="T389" s="15"/>
      <c r="U389" s="15"/>
      <c r="V389" s="15"/>
      <c r="W389" s="15"/>
      <c r="X389" s="14"/>
      <c r="Y389" s="14"/>
      <c r="Z389" s="15"/>
      <c r="AA389" s="3"/>
      <c r="AB389" s="3"/>
      <c r="AC389" s="3"/>
      <c r="AD389" s="3"/>
      <c r="AE389" s="3"/>
      <c r="AF389" s="3"/>
    </row>
    <row r="390" ht="15.75" customHeight="1">
      <c r="J390" s="15"/>
      <c r="K390" s="238"/>
      <c r="L390" s="15"/>
      <c r="M390" s="15"/>
      <c r="N390" s="15"/>
      <c r="O390" s="15"/>
      <c r="P390" s="15"/>
      <c r="Q390" s="15"/>
      <c r="R390" s="15"/>
      <c r="S390" s="15"/>
      <c r="T390" s="15"/>
      <c r="U390" s="15"/>
      <c r="V390" s="15"/>
      <c r="W390" s="15"/>
      <c r="X390" s="14"/>
      <c r="Y390" s="14"/>
      <c r="Z390" s="15"/>
      <c r="AA390" s="3"/>
      <c r="AB390" s="3"/>
      <c r="AC390" s="3"/>
      <c r="AD390" s="3"/>
      <c r="AE390" s="3"/>
      <c r="AF390" s="3"/>
    </row>
    <row r="391" ht="15.75" customHeight="1">
      <c r="J391" s="15"/>
      <c r="K391" s="238"/>
      <c r="L391" s="15"/>
      <c r="M391" s="15"/>
      <c r="N391" s="15"/>
      <c r="O391" s="15"/>
      <c r="P391" s="15"/>
      <c r="Q391" s="15"/>
      <c r="R391" s="15"/>
      <c r="S391" s="15"/>
      <c r="T391" s="15"/>
      <c r="U391" s="15"/>
      <c r="V391" s="15"/>
      <c r="W391" s="15"/>
      <c r="X391" s="14"/>
      <c r="Y391" s="14"/>
      <c r="Z391" s="15"/>
      <c r="AA391" s="3"/>
      <c r="AB391" s="3"/>
      <c r="AC391" s="3"/>
      <c r="AD391" s="3"/>
      <c r="AE391" s="3"/>
      <c r="AF391" s="3"/>
    </row>
    <row r="392" ht="15.75" customHeight="1">
      <c r="J392" s="15"/>
      <c r="K392" s="238"/>
      <c r="L392" s="15"/>
      <c r="M392" s="15"/>
      <c r="N392" s="15"/>
      <c r="O392" s="15"/>
      <c r="P392" s="15"/>
      <c r="Q392" s="15"/>
      <c r="R392" s="15"/>
      <c r="S392" s="15"/>
      <c r="T392" s="15"/>
      <c r="U392" s="15"/>
      <c r="V392" s="15"/>
      <c r="W392" s="15"/>
      <c r="X392" s="14"/>
      <c r="Y392" s="14"/>
      <c r="Z392" s="15"/>
      <c r="AA392" s="3"/>
      <c r="AB392" s="3"/>
      <c r="AC392" s="3"/>
      <c r="AD392" s="3"/>
      <c r="AE392" s="3"/>
      <c r="AF392" s="3"/>
    </row>
    <row r="393" ht="15.75" customHeight="1">
      <c r="J393" s="15"/>
      <c r="K393" s="238"/>
      <c r="L393" s="15"/>
      <c r="M393" s="15"/>
      <c r="N393" s="15"/>
      <c r="O393" s="15"/>
      <c r="P393" s="15"/>
      <c r="Q393" s="15"/>
      <c r="R393" s="15"/>
      <c r="S393" s="15"/>
      <c r="T393" s="15"/>
      <c r="U393" s="15"/>
      <c r="V393" s="15"/>
      <c r="W393" s="15"/>
      <c r="X393" s="14"/>
      <c r="Y393" s="14"/>
      <c r="Z393" s="15"/>
      <c r="AA393" s="3"/>
      <c r="AB393" s="3"/>
      <c r="AC393" s="3"/>
      <c r="AD393" s="3"/>
      <c r="AE393" s="3"/>
      <c r="AF393" s="3"/>
    </row>
    <row r="394" ht="15.75" customHeight="1">
      <c r="J394" s="15"/>
      <c r="K394" s="238"/>
      <c r="L394" s="15"/>
      <c r="M394" s="15"/>
      <c r="N394" s="15"/>
      <c r="O394" s="15"/>
      <c r="P394" s="15"/>
      <c r="Q394" s="15"/>
      <c r="R394" s="15"/>
      <c r="S394" s="15"/>
      <c r="T394" s="15"/>
      <c r="U394" s="15"/>
      <c r="V394" s="15"/>
      <c r="W394" s="15"/>
      <c r="X394" s="14"/>
      <c r="Y394" s="14"/>
      <c r="Z394" s="15"/>
      <c r="AA394" s="3"/>
      <c r="AB394" s="3"/>
      <c r="AC394" s="3"/>
      <c r="AD394" s="3"/>
      <c r="AE394" s="3"/>
      <c r="AF394" s="3"/>
    </row>
    <row r="395" ht="15.75" customHeight="1">
      <c r="J395" s="15"/>
      <c r="K395" s="238"/>
      <c r="L395" s="15"/>
      <c r="M395" s="15"/>
      <c r="N395" s="15"/>
      <c r="O395" s="15"/>
      <c r="P395" s="15"/>
      <c r="Q395" s="15"/>
      <c r="R395" s="15"/>
      <c r="S395" s="15"/>
      <c r="T395" s="15"/>
      <c r="U395" s="15"/>
      <c r="V395" s="15"/>
      <c r="W395" s="15"/>
      <c r="X395" s="14"/>
      <c r="Y395" s="14"/>
      <c r="Z395" s="15"/>
      <c r="AA395" s="3"/>
      <c r="AB395" s="3"/>
      <c r="AC395" s="3"/>
      <c r="AD395" s="3"/>
      <c r="AE395" s="3"/>
      <c r="AF395" s="3"/>
    </row>
    <row r="396" ht="15.75" customHeight="1">
      <c r="J396" s="15"/>
      <c r="K396" s="238"/>
      <c r="L396" s="15"/>
      <c r="M396" s="15"/>
      <c r="N396" s="15"/>
      <c r="O396" s="15"/>
      <c r="P396" s="15"/>
      <c r="Q396" s="15"/>
      <c r="R396" s="15"/>
      <c r="S396" s="15"/>
      <c r="T396" s="15"/>
      <c r="U396" s="15"/>
      <c r="V396" s="15"/>
      <c r="W396" s="15"/>
      <c r="X396" s="14"/>
      <c r="Y396" s="14"/>
      <c r="Z396" s="15"/>
      <c r="AA396" s="3"/>
      <c r="AB396" s="3"/>
      <c r="AC396" s="3"/>
      <c r="AD396" s="3"/>
      <c r="AE396" s="3"/>
      <c r="AF396" s="3"/>
    </row>
    <row r="397" ht="15.75" customHeight="1">
      <c r="J397" s="15"/>
      <c r="K397" s="238"/>
      <c r="L397" s="15"/>
      <c r="M397" s="15"/>
      <c r="N397" s="15"/>
      <c r="O397" s="15"/>
      <c r="P397" s="15"/>
      <c r="Q397" s="15"/>
      <c r="R397" s="15"/>
      <c r="S397" s="15"/>
      <c r="T397" s="15"/>
      <c r="U397" s="15"/>
      <c r="V397" s="15"/>
      <c r="W397" s="15"/>
      <c r="X397" s="14"/>
      <c r="Y397" s="14"/>
      <c r="Z397" s="15"/>
      <c r="AA397" s="3"/>
      <c r="AB397" s="3"/>
      <c r="AC397" s="3"/>
      <c r="AD397" s="3"/>
      <c r="AE397" s="3"/>
      <c r="AF397" s="3"/>
    </row>
    <row r="398" ht="15.75" customHeight="1">
      <c r="J398" s="15"/>
      <c r="K398" s="238"/>
      <c r="L398" s="15"/>
      <c r="M398" s="15"/>
      <c r="N398" s="15"/>
      <c r="O398" s="15"/>
      <c r="P398" s="15"/>
      <c r="Q398" s="15"/>
      <c r="R398" s="15"/>
      <c r="S398" s="15"/>
      <c r="T398" s="15"/>
      <c r="U398" s="15"/>
      <c r="V398" s="15"/>
      <c r="W398" s="15"/>
      <c r="X398" s="14"/>
      <c r="Y398" s="14"/>
      <c r="Z398" s="15"/>
      <c r="AA398" s="3"/>
      <c r="AB398" s="3"/>
      <c r="AC398" s="3"/>
      <c r="AD398" s="3"/>
      <c r="AE398" s="3"/>
      <c r="AF398" s="3"/>
    </row>
    <row r="399" ht="15.75" customHeight="1">
      <c r="J399" s="15"/>
      <c r="K399" s="238"/>
      <c r="L399" s="15"/>
      <c r="M399" s="15"/>
      <c r="N399" s="15"/>
      <c r="O399" s="15"/>
      <c r="P399" s="15"/>
      <c r="Q399" s="15"/>
      <c r="R399" s="15"/>
      <c r="S399" s="15"/>
      <c r="T399" s="15"/>
      <c r="U399" s="15"/>
      <c r="V399" s="15"/>
      <c r="W399" s="15"/>
      <c r="X399" s="14"/>
      <c r="Y399" s="14"/>
      <c r="Z399" s="15"/>
      <c r="AA399" s="3"/>
      <c r="AB399" s="3"/>
      <c r="AC399" s="3"/>
      <c r="AD399" s="3"/>
      <c r="AE399" s="3"/>
      <c r="AF399" s="3"/>
    </row>
    <row r="400" ht="15.75" customHeight="1">
      <c r="J400" s="15"/>
      <c r="K400" s="238"/>
      <c r="L400" s="15"/>
      <c r="M400" s="15"/>
      <c r="N400" s="15"/>
      <c r="O400" s="15"/>
      <c r="P400" s="15"/>
      <c r="Q400" s="15"/>
      <c r="R400" s="15"/>
      <c r="S400" s="15"/>
      <c r="T400" s="15"/>
      <c r="U400" s="15"/>
      <c r="V400" s="15"/>
      <c r="W400" s="15"/>
      <c r="X400" s="14"/>
      <c r="Y400" s="14"/>
      <c r="Z400" s="15"/>
      <c r="AA400" s="3"/>
      <c r="AB400" s="3"/>
      <c r="AC400" s="3"/>
      <c r="AD400" s="3"/>
      <c r="AE400" s="3"/>
      <c r="AF400" s="3"/>
    </row>
    <row r="401" ht="15.75" customHeight="1">
      <c r="J401" s="15"/>
      <c r="K401" s="238"/>
      <c r="L401" s="15"/>
      <c r="M401" s="15"/>
      <c r="N401" s="15"/>
      <c r="O401" s="15"/>
      <c r="P401" s="15"/>
      <c r="Q401" s="15"/>
      <c r="R401" s="15"/>
      <c r="S401" s="15"/>
      <c r="T401" s="15"/>
      <c r="U401" s="15"/>
      <c r="V401" s="15"/>
      <c r="W401" s="15"/>
      <c r="X401" s="14"/>
      <c r="Y401" s="14"/>
      <c r="Z401" s="15"/>
      <c r="AA401" s="3"/>
      <c r="AB401" s="3"/>
      <c r="AC401" s="3"/>
      <c r="AD401" s="3"/>
      <c r="AE401" s="3"/>
      <c r="AF401" s="3"/>
    </row>
    <row r="402" ht="15.75" customHeight="1">
      <c r="J402" s="15"/>
      <c r="K402" s="238"/>
      <c r="L402" s="15"/>
      <c r="M402" s="15"/>
      <c r="N402" s="15"/>
      <c r="O402" s="15"/>
      <c r="P402" s="15"/>
      <c r="Q402" s="15"/>
      <c r="R402" s="15"/>
      <c r="S402" s="15"/>
      <c r="T402" s="15"/>
      <c r="U402" s="15"/>
      <c r="V402" s="15"/>
      <c r="W402" s="15"/>
      <c r="X402" s="14"/>
      <c r="Y402" s="14"/>
      <c r="Z402" s="15"/>
      <c r="AA402" s="3"/>
      <c r="AB402" s="3"/>
      <c r="AC402" s="3"/>
      <c r="AD402" s="3"/>
      <c r="AE402" s="3"/>
      <c r="AF402" s="3"/>
    </row>
    <row r="403" ht="15.75" customHeight="1">
      <c r="J403" s="15"/>
      <c r="K403" s="238"/>
      <c r="L403" s="15"/>
      <c r="M403" s="15"/>
      <c r="N403" s="15"/>
      <c r="O403" s="15"/>
      <c r="P403" s="15"/>
      <c r="Q403" s="15"/>
      <c r="R403" s="15"/>
      <c r="S403" s="15"/>
      <c r="T403" s="15"/>
      <c r="U403" s="15"/>
      <c r="V403" s="15"/>
      <c r="W403" s="15"/>
      <c r="X403" s="14"/>
      <c r="Y403" s="14"/>
      <c r="Z403" s="15"/>
      <c r="AA403" s="3"/>
      <c r="AB403" s="3"/>
      <c r="AC403" s="3"/>
      <c r="AD403" s="3"/>
      <c r="AE403" s="3"/>
      <c r="AF403" s="3"/>
    </row>
    <row r="404" ht="15.75" customHeight="1">
      <c r="J404" s="15"/>
      <c r="K404" s="238"/>
      <c r="L404" s="15"/>
      <c r="M404" s="15"/>
      <c r="N404" s="15"/>
      <c r="O404" s="15"/>
      <c r="P404" s="15"/>
      <c r="Q404" s="15"/>
      <c r="R404" s="15"/>
      <c r="S404" s="15"/>
      <c r="T404" s="15"/>
      <c r="U404" s="15"/>
      <c r="V404" s="15"/>
      <c r="W404" s="15"/>
      <c r="X404" s="14"/>
      <c r="Y404" s="14"/>
      <c r="Z404" s="15"/>
      <c r="AA404" s="3"/>
      <c r="AB404" s="3"/>
      <c r="AC404" s="3"/>
      <c r="AD404" s="3"/>
      <c r="AE404" s="3"/>
      <c r="AF404" s="3"/>
    </row>
    <row r="405" ht="15.75" customHeight="1">
      <c r="J405" s="15"/>
      <c r="K405" s="238"/>
      <c r="L405" s="15"/>
      <c r="M405" s="15"/>
      <c r="N405" s="15"/>
      <c r="O405" s="15"/>
      <c r="P405" s="15"/>
      <c r="Q405" s="15"/>
      <c r="R405" s="15"/>
      <c r="S405" s="15"/>
      <c r="T405" s="15"/>
      <c r="U405" s="15"/>
      <c r="V405" s="15"/>
      <c r="W405" s="15"/>
      <c r="X405" s="14"/>
      <c r="Y405" s="14"/>
      <c r="Z405" s="15"/>
      <c r="AA405" s="3"/>
      <c r="AB405" s="3"/>
      <c r="AC405" s="3"/>
      <c r="AD405" s="3"/>
      <c r="AE405" s="3"/>
      <c r="AF405" s="3"/>
    </row>
    <row r="406" ht="15.75" customHeight="1">
      <c r="J406" s="15"/>
      <c r="K406" s="238"/>
      <c r="L406" s="15"/>
      <c r="M406" s="15"/>
      <c r="N406" s="15"/>
      <c r="O406" s="15"/>
      <c r="P406" s="15"/>
      <c r="Q406" s="15"/>
      <c r="R406" s="15"/>
      <c r="S406" s="15"/>
      <c r="T406" s="15"/>
      <c r="U406" s="15"/>
      <c r="V406" s="15"/>
      <c r="W406" s="15"/>
      <c r="X406" s="14"/>
      <c r="Y406" s="14"/>
      <c r="Z406" s="15"/>
      <c r="AA406" s="3"/>
      <c r="AB406" s="3"/>
      <c r="AC406" s="3"/>
      <c r="AD406" s="3"/>
      <c r="AE406" s="3"/>
      <c r="AF406" s="3"/>
    </row>
    <row r="407" ht="15.75" customHeight="1">
      <c r="J407" s="15"/>
      <c r="K407" s="238"/>
      <c r="L407" s="15"/>
      <c r="M407" s="15"/>
      <c r="N407" s="15"/>
      <c r="O407" s="15"/>
      <c r="P407" s="15"/>
      <c r="Q407" s="15"/>
      <c r="R407" s="15"/>
      <c r="S407" s="15"/>
      <c r="T407" s="15"/>
      <c r="U407" s="15"/>
      <c r="V407" s="15"/>
      <c r="W407" s="15"/>
      <c r="X407" s="14"/>
      <c r="Y407" s="14"/>
      <c r="Z407" s="15"/>
      <c r="AA407" s="3"/>
      <c r="AB407" s="3"/>
      <c r="AC407" s="3"/>
      <c r="AD407" s="3"/>
      <c r="AE407" s="3"/>
      <c r="AF407" s="3"/>
    </row>
    <row r="408" ht="15.75" customHeight="1">
      <c r="J408" s="15"/>
      <c r="K408" s="238"/>
      <c r="L408" s="15"/>
      <c r="M408" s="15"/>
      <c r="N408" s="15"/>
      <c r="O408" s="15"/>
      <c r="P408" s="15"/>
      <c r="Q408" s="15"/>
      <c r="R408" s="15"/>
      <c r="S408" s="15"/>
      <c r="T408" s="15"/>
      <c r="U408" s="15"/>
      <c r="V408" s="15"/>
      <c r="W408" s="15"/>
      <c r="X408" s="14"/>
      <c r="Y408" s="14"/>
      <c r="Z408" s="15"/>
      <c r="AA408" s="3"/>
      <c r="AB408" s="3"/>
      <c r="AC408" s="3"/>
      <c r="AD408" s="3"/>
      <c r="AE408" s="3"/>
      <c r="AF408" s="3"/>
    </row>
    <row r="409" ht="15.75" customHeight="1">
      <c r="J409" s="15"/>
      <c r="K409" s="238"/>
      <c r="L409" s="15"/>
      <c r="M409" s="15"/>
      <c r="N409" s="15"/>
      <c r="O409" s="15"/>
      <c r="P409" s="15"/>
      <c r="Q409" s="15"/>
      <c r="R409" s="15"/>
      <c r="S409" s="15"/>
      <c r="T409" s="15"/>
      <c r="U409" s="15"/>
      <c r="V409" s="15"/>
      <c r="W409" s="15"/>
      <c r="X409" s="14"/>
      <c r="Y409" s="14"/>
      <c r="Z409" s="15"/>
      <c r="AA409" s="3"/>
      <c r="AB409" s="3"/>
      <c r="AC409" s="3"/>
      <c r="AD409" s="3"/>
      <c r="AE409" s="3"/>
      <c r="AF409" s="3"/>
    </row>
    <row r="410" ht="15.75" customHeight="1">
      <c r="J410" s="15"/>
      <c r="K410" s="238"/>
      <c r="L410" s="15"/>
      <c r="M410" s="15"/>
      <c r="N410" s="15"/>
      <c r="O410" s="15"/>
      <c r="P410" s="15"/>
      <c r="Q410" s="15"/>
      <c r="R410" s="15"/>
      <c r="S410" s="15"/>
      <c r="T410" s="15"/>
      <c r="U410" s="15"/>
      <c r="V410" s="15"/>
      <c r="W410" s="15"/>
      <c r="X410" s="14"/>
      <c r="Y410" s="14"/>
      <c r="Z410" s="15"/>
      <c r="AA410" s="3"/>
      <c r="AB410" s="3"/>
      <c r="AC410" s="3"/>
      <c r="AD410" s="3"/>
      <c r="AE410" s="3"/>
      <c r="AF410" s="3"/>
    </row>
    <row r="411" ht="15.75" customHeight="1">
      <c r="J411" s="15"/>
      <c r="K411" s="238"/>
      <c r="L411" s="15"/>
      <c r="M411" s="15"/>
      <c r="N411" s="15"/>
      <c r="O411" s="15"/>
      <c r="P411" s="15"/>
      <c r="Q411" s="15"/>
      <c r="R411" s="15"/>
      <c r="S411" s="15"/>
      <c r="T411" s="15"/>
      <c r="U411" s="15"/>
      <c r="V411" s="15"/>
      <c r="W411" s="15"/>
      <c r="X411" s="14"/>
      <c r="Y411" s="14"/>
      <c r="Z411" s="15"/>
      <c r="AA411" s="3"/>
      <c r="AB411" s="3"/>
      <c r="AC411" s="3"/>
      <c r="AD411" s="3"/>
      <c r="AE411" s="3"/>
      <c r="AF411" s="3"/>
    </row>
    <row r="412" ht="15.75" customHeight="1">
      <c r="J412" s="15"/>
      <c r="K412" s="238"/>
      <c r="L412" s="15"/>
      <c r="M412" s="15"/>
      <c r="N412" s="15"/>
      <c r="O412" s="15"/>
      <c r="P412" s="15"/>
      <c r="Q412" s="15"/>
      <c r="R412" s="15"/>
      <c r="S412" s="15"/>
      <c r="T412" s="15"/>
      <c r="U412" s="15"/>
      <c r="V412" s="15"/>
      <c r="W412" s="15"/>
      <c r="X412" s="14"/>
      <c r="Y412" s="14"/>
      <c r="Z412" s="15"/>
      <c r="AA412" s="3"/>
      <c r="AB412" s="3"/>
      <c r="AC412" s="3"/>
      <c r="AD412" s="3"/>
      <c r="AE412" s="3"/>
      <c r="AF412" s="3"/>
    </row>
    <row r="413" ht="15.75" customHeight="1">
      <c r="J413" s="15"/>
      <c r="K413" s="238"/>
      <c r="L413" s="15"/>
      <c r="M413" s="15"/>
      <c r="N413" s="15"/>
      <c r="O413" s="15"/>
      <c r="P413" s="15"/>
      <c r="Q413" s="15"/>
      <c r="R413" s="15"/>
      <c r="S413" s="15"/>
      <c r="T413" s="15"/>
      <c r="U413" s="15"/>
      <c r="V413" s="15"/>
      <c r="W413" s="15"/>
      <c r="X413" s="14"/>
      <c r="Y413" s="14"/>
      <c r="Z413" s="15"/>
      <c r="AA413" s="3"/>
      <c r="AB413" s="3"/>
      <c r="AC413" s="3"/>
      <c r="AD413" s="3"/>
      <c r="AE413" s="3"/>
      <c r="AF413" s="3"/>
    </row>
    <row r="414" ht="15.75" customHeight="1">
      <c r="J414" s="15"/>
      <c r="K414" s="238"/>
      <c r="L414" s="15"/>
      <c r="M414" s="15"/>
      <c r="N414" s="15"/>
      <c r="O414" s="15"/>
      <c r="P414" s="15"/>
      <c r="Q414" s="15"/>
      <c r="R414" s="15"/>
      <c r="S414" s="15"/>
      <c r="T414" s="15"/>
      <c r="U414" s="15"/>
      <c r="V414" s="15"/>
      <c r="W414" s="15"/>
      <c r="X414" s="14"/>
      <c r="Y414" s="14"/>
      <c r="Z414" s="15"/>
      <c r="AA414" s="3"/>
      <c r="AB414" s="3"/>
      <c r="AC414" s="3"/>
      <c r="AD414" s="3"/>
      <c r="AE414" s="3"/>
      <c r="AF414" s="3"/>
    </row>
    <row r="415" ht="15.75" customHeight="1">
      <c r="J415" s="15"/>
      <c r="K415" s="238"/>
      <c r="L415" s="15"/>
      <c r="M415" s="15"/>
      <c r="N415" s="15"/>
      <c r="O415" s="15"/>
      <c r="P415" s="15"/>
      <c r="Q415" s="15"/>
      <c r="R415" s="15"/>
      <c r="S415" s="15"/>
      <c r="T415" s="15"/>
      <c r="U415" s="15"/>
      <c r="V415" s="15"/>
      <c r="W415" s="15"/>
      <c r="X415" s="14"/>
      <c r="Y415" s="14"/>
      <c r="Z415" s="15"/>
      <c r="AA415" s="3"/>
      <c r="AB415" s="3"/>
      <c r="AC415" s="3"/>
      <c r="AD415" s="3"/>
      <c r="AE415" s="3"/>
      <c r="AF415" s="3"/>
    </row>
    <row r="416" ht="15.75" customHeight="1">
      <c r="J416" s="15"/>
      <c r="K416" s="238"/>
      <c r="L416" s="15"/>
      <c r="M416" s="15"/>
      <c r="N416" s="15"/>
      <c r="O416" s="15"/>
      <c r="P416" s="15"/>
      <c r="Q416" s="15"/>
      <c r="R416" s="15"/>
      <c r="S416" s="15"/>
      <c r="T416" s="15"/>
      <c r="U416" s="15"/>
      <c r="V416" s="15"/>
      <c r="W416" s="15"/>
      <c r="X416" s="14"/>
      <c r="Y416" s="14"/>
      <c r="Z416" s="15"/>
      <c r="AA416" s="3"/>
      <c r="AB416" s="3"/>
      <c r="AC416" s="3"/>
      <c r="AD416" s="3"/>
      <c r="AE416" s="3"/>
      <c r="AF416" s="3"/>
    </row>
    <row r="417" ht="15.75" customHeight="1">
      <c r="J417" s="15"/>
      <c r="K417" s="238"/>
      <c r="L417" s="15"/>
      <c r="M417" s="15"/>
      <c r="N417" s="15"/>
      <c r="O417" s="15"/>
      <c r="P417" s="15"/>
      <c r="Q417" s="15"/>
      <c r="R417" s="15"/>
      <c r="S417" s="15"/>
      <c r="T417" s="15"/>
      <c r="U417" s="15"/>
      <c r="V417" s="15"/>
      <c r="W417" s="15"/>
      <c r="X417" s="14"/>
      <c r="Y417" s="14"/>
      <c r="Z417" s="15"/>
      <c r="AA417" s="3"/>
      <c r="AB417" s="3"/>
      <c r="AC417" s="3"/>
      <c r="AD417" s="3"/>
      <c r="AE417" s="3"/>
      <c r="AF417" s="3"/>
    </row>
    <row r="418" ht="15.75" customHeight="1">
      <c r="J418" s="15"/>
      <c r="K418" s="238"/>
      <c r="L418" s="15"/>
      <c r="M418" s="15"/>
      <c r="N418" s="15"/>
      <c r="O418" s="15"/>
      <c r="P418" s="15"/>
      <c r="Q418" s="15"/>
      <c r="R418" s="15"/>
      <c r="S418" s="15"/>
      <c r="T418" s="15"/>
      <c r="U418" s="15"/>
      <c r="V418" s="15"/>
      <c r="W418" s="15"/>
      <c r="X418" s="14"/>
      <c r="Y418" s="14"/>
      <c r="Z418" s="15"/>
      <c r="AA418" s="3"/>
      <c r="AB418" s="3"/>
      <c r="AC418" s="3"/>
      <c r="AD418" s="3"/>
      <c r="AE418" s="3"/>
      <c r="AF418" s="3"/>
    </row>
    <row r="419" ht="15.75" customHeight="1">
      <c r="J419" s="15"/>
      <c r="K419" s="238"/>
      <c r="L419" s="15"/>
      <c r="M419" s="15"/>
      <c r="N419" s="15"/>
      <c r="O419" s="15"/>
      <c r="P419" s="15"/>
      <c r="Q419" s="15"/>
      <c r="R419" s="15"/>
      <c r="S419" s="15"/>
      <c r="T419" s="15"/>
      <c r="U419" s="15"/>
      <c r="V419" s="15"/>
      <c r="W419" s="15"/>
      <c r="X419" s="14"/>
      <c r="Y419" s="14"/>
      <c r="Z419" s="15"/>
      <c r="AA419" s="3"/>
      <c r="AB419" s="3"/>
      <c r="AC419" s="3"/>
      <c r="AD419" s="3"/>
      <c r="AE419" s="3"/>
      <c r="AF419" s="3"/>
    </row>
    <row r="420" ht="15.75" customHeight="1">
      <c r="J420" s="15"/>
      <c r="K420" s="238"/>
      <c r="L420" s="15"/>
      <c r="M420" s="15"/>
      <c r="N420" s="15"/>
      <c r="O420" s="15"/>
      <c r="P420" s="15"/>
      <c r="Q420" s="15"/>
      <c r="R420" s="15"/>
      <c r="S420" s="15"/>
      <c r="T420" s="15"/>
      <c r="U420" s="15"/>
      <c r="V420" s="15"/>
      <c r="W420" s="15"/>
      <c r="X420" s="14"/>
      <c r="Y420" s="14"/>
      <c r="Z420" s="15"/>
      <c r="AA420" s="3"/>
      <c r="AB420" s="3"/>
      <c r="AC420" s="3"/>
      <c r="AD420" s="3"/>
      <c r="AE420" s="3"/>
      <c r="AF420" s="3"/>
    </row>
    <row r="421" ht="15.75" customHeight="1">
      <c r="J421" s="15"/>
      <c r="K421" s="238"/>
      <c r="L421" s="15"/>
      <c r="M421" s="15"/>
      <c r="N421" s="15"/>
      <c r="O421" s="15"/>
      <c r="P421" s="15"/>
      <c r="Q421" s="15"/>
      <c r="R421" s="15"/>
      <c r="S421" s="15"/>
      <c r="T421" s="15"/>
      <c r="U421" s="15"/>
      <c r="V421" s="15"/>
      <c r="W421" s="15"/>
      <c r="X421" s="14"/>
      <c r="Y421" s="14"/>
      <c r="Z421" s="15"/>
      <c r="AA421" s="3"/>
      <c r="AB421" s="3"/>
      <c r="AC421" s="3"/>
      <c r="AD421" s="3"/>
      <c r="AE421" s="3"/>
      <c r="AF421" s="3"/>
    </row>
    <row r="422" ht="15.75" customHeight="1">
      <c r="J422" s="15"/>
      <c r="K422" s="238"/>
      <c r="L422" s="15"/>
      <c r="M422" s="15"/>
      <c r="N422" s="15"/>
      <c r="O422" s="15"/>
      <c r="P422" s="15"/>
      <c r="Q422" s="15"/>
      <c r="R422" s="15"/>
      <c r="S422" s="15"/>
      <c r="T422" s="15"/>
      <c r="U422" s="15"/>
      <c r="V422" s="15"/>
      <c r="W422" s="15"/>
      <c r="X422" s="14"/>
      <c r="Y422" s="14"/>
      <c r="Z422" s="15"/>
      <c r="AA422" s="3"/>
      <c r="AB422" s="3"/>
      <c r="AC422" s="3"/>
      <c r="AD422" s="3"/>
      <c r="AE422" s="3"/>
      <c r="AF422" s="3"/>
    </row>
    <row r="423" ht="15.75" customHeight="1">
      <c r="J423" s="15"/>
      <c r="K423" s="238"/>
      <c r="L423" s="15"/>
      <c r="M423" s="15"/>
      <c r="N423" s="15"/>
      <c r="O423" s="15"/>
      <c r="P423" s="15"/>
      <c r="Q423" s="15"/>
      <c r="R423" s="15"/>
      <c r="S423" s="15"/>
      <c r="T423" s="15"/>
      <c r="U423" s="15"/>
      <c r="V423" s="15"/>
      <c r="W423" s="15"/>
      <c r="X423" s="14"/>
      <c r="Y423" s="14"/>
      <c r="Z423" s="15"/>
      <c r="AA423" s="3"/>
      <c r="AB423" s="3"/>
      <c r="AC423" s="3"/>
      <c r="AD423" s="3"/>
      <c r="AE423" s="3"/>
      <c r="AF423" s="3"/>
    </row>
    <row r="424" ht="15.75" customHeight="1">
      <c r="J424" s="15"/>
      <c r="K424" s="238"/>
      <c r="L424" s="15"/>
      <c r="M424" s="15"/>
      <c r="N424" s="15"/>
      <c r="O424" s="15"/>
      <c r="P424" s="15"/>
      <c r="Q424" s="15"/>
      <c r="R424" s="15"/>
      <c r="S424" s="15"/>
      <c r="T424" s="15"/>
      <c r="U424" s="15"/>
      <c r="V424" s="15"/>
      <c r="W424" s="15"/>
      <c r="X424" s="14"/>
      <c r="Y424" s="14"/>
      <c r="Z424" s="15"/>
      <c r="AA424" s="3"/>
      <c r="AB424" s="3"/>
      <c r="AC424" s="3"/>
      <c r="AD424" s="3"/>
      <c r="AE424" s="3"/>
      <c r="AF424" s="3"/>
    </row>
    <row r="425" ht="15.75" customHeight="1">
      <c r="J425" s="15"/>
      <c r="K425" s="238"/>
      <c r="L425" s="15"/>
      <c r="M425" s="15"/>
      <c r="N425" s="15"/>
      <c r="O425" s="15"/>
      <c r="P425" s="15"/>
      <c r="Q425" s="15"/>
      <c r="R425" s="15"/>
      <c r="S425" s="15"/>
      <c r="T425" s="15"/>
      <c r="U425" s="15"/>
      <c r="V425" s="15"/>
      <c r="W425" s="15"/>
      <c r="X425" s="14"/>
      <c r="Y425" s="14"/>
      <c r="Z425" s="15"/>
      <c r="AA425" s="3"/>
      <c r="AB425" s="3"/>
      <c r="AC425" s="3"/>
      <c r="AD425" s="3"/>
      <c r="AE425" s="3"/>
      <c r="AF425" s="3"/>
    </row>
    <row r="426" ht="15.75" customHeight="1">
      <c r="J426" s="15"/>
      <c r="K426" s="238"/>
      <c r="L426" s="15"/>
      <c r="M426" s="15"/>
      <c r="N426" s="15"/>
      <c r="O426" s="15"/>
      <c r="P426" s="15"/>
      <c r="Q426" s="15"/>
      <c r="R426" s="15"/>
      <c r="S426" s="15"/>
      <c r="T426" s="15"/>
      <c r="U426" s="15"/>
      <c r="V426" s="15"/>
      <c r="W426" s="15"/>
      <c r="X426" s="14"/>
      <c r="Y426" s="14"/>
      <c r="Z426" s="15"/>
      <c r="AA426" s="3"/>
      <c r="AB426" s="3"/>
      <c r="AC426" s="3"/>
      <c r="AD426" s="3"/>
      <c r="AE426" s="3"/>
      <c r="AF426" s="3"/>
    </row>
    <row r="427" ht="15.75" customHeight="1">
      <c r="J427" s="15"/>
      <c r="K427" s="238"/>
      <c r="L427" s="15"/>
      <c r="M427" s="15"/>
      <c r="N427" s="15"/>
      <c r="O427" s="15"/>
      <c r="P427" s="15"/>
      <c r="Q427" s="15"/>
      <c r="R427" s="15"/>
      <c r="S427" s="15"/>
      <c r="T427" s="15"/>
      <c r="U427" s="15"/>
      <c r="V427" s="15"/>
      <c r="W427" s="15"/>
      <c r="X427" s="14"/>
      <c r="Y427" s="14"/>
      <c r="Z427" s="15"/>
      <c r="AA427" s="3"/>
      <c r="AB427" s="3"/>
      <c r="AC427" s="3"/>
      <c r="AD427" s="3"/>
      <c r="AE427" s="3"/>
      <c r="AF427" s="3"/>
    </row>
    <row r="428" ht="15.75" customHeight="1">
      <c r="J428" s="15"/>
      <c r="K428" s="238"/>
      <c r="L428" s="15"/>
      <c r="M428" s="15"/>
      <c r="N428" s="15"/>
      <c r="O428" s="15"/>
      <c r="P428" s="15"/>
      <c r="Q428" s="15"/>
      <c r="R428" s="15"/>
      <c r="S428" s="15"/>
      <c r="T428" s="15"/>
      <c r="U428" s="15"/>
      <c r="V428" s="15"/>
      <c r="W428" s="15"/>
      <c r="X428" s="14"/>
      <c r="Y428" s="14"/>
      <c r="Z428" s="15"/>
      <c r="AA428" s="3"/>
      <c r="AB428" s="3"/>
      <c r="AC428" s="3"/>
      <c r="AD428" s="3"/>
      <c r="AE428" s="3"/>
      <c r="AF428" s="3"/>
    </row>
    <row r="429" ht="15.75" customHeight="1">
      <c r="J429" s="15"/>
      <c r="K429" s="238"/>
      <c r="L429" s="15"/>
      <c r="M429" s="15"/>
      <c r="N429" s="15"/>
      <c r="O429" s="15"/>
      <c r="P429" s="15"/>
      <c r="Q429" s="15"/>
      <c r="R429" s="15"/>
      <c r="S429" s="15"/>
      <c r="T429" s="15"/>
      <c r="U429" s="15"/>
      <c r="V429" s="15"/>
      <c r="W429" s="15"/>
      <c r="X429" s="14"/>
      <c r="Y429" s="14"/>
      <c r="Z429" s="15"/>
      <c r="AA429" s="3"/>
      <c r="AB429" s="3"/>
      <c r="AC429" s="3"/>
      <c r="AD429" s="3"/>
      <c r="AE429" s="3"/>
      <c r="AF429" s="3"/>
    </row>
    <row r="430" ht="15.75" customHeight="1">
      <c r="J430" s="15"/>
      <c r="K430" s="238"/>
      <c r="L430" s="15"/>
      <c r="M430" s="15"/>
      <c r="N430" s="15"/>
      <c r="O430" s="15"/>
      <c r="P430" s="15"/>
      <c r="Q430" s="15"/>
      <c r="R430" s="15"/>
      <c r="S430" s="15"/>
      <c r="T430" s="15"/>
      <c r="U430" s="15"/>
      <c r="V430" s="15"/>
      <c r="W430" s="15"/>
      <c r="X430" s="14"/>
      <c r="Y430" s="14"/>
      <c r="Z430" s="15"/>
      <c r="AA430" s="3"/>
      <c r="AB430" s="3"/>
      <c r="AC430" s="3"/>
      <c r="AD430" s="3"/>
      <c r="AE430" s="3"/>
      <c r="AF430" s="3"/>
    </row>
    <row r="431" ht="15.75" customHeight="1">
      <c r="J431" s="15"/>
      <c r="K431" s="238"/>
      <c r="L431" s="15"/>
      <c r="M431" s="15"/>
      <c r="N431" s="15"/>
      <c r="O431" s="15"/>
      <c r="P431" s="15"/>
      <c r="Q431" s="15"/>
      <c r="R431" s="15"/>
      <c r="S431" s="15"/>
      <c r="T431" s="15"/>
      <c r="U431" s="15"/>
      <c r="V431" s="15"/>
      <c r="W431" s="15"/>
      <c r="X431" s="14"/>
      <c r="Y431" s="14"/>
      <c r="Z431" s="15"/>
      <c r="AA431" s="3"/>
      <c r="AB431" s="3"/>
      <c r="AC431" s="3"/>
      <c r="AD431" s="3"/>
      <c r="AE431" s="3"/>
      <c r="AF431" s="3"/>
    </row>
    <row r="432" ht="15.75" customHeight="1">
      <c r="J432" s="15"/>
      <c r="K432" s="238"/>
      <c r="L432" s="15"/>
      <c r="M432" s="15"/>
      <c r="N432" s="15"/>
      <c r="O432" s="15"/>
      <c r="P432" s="15"/>
      <c r="Q432" s="15"/>
      <c r="R432" s="15"/>
      <c r="S432" s="15"/>
      <c r="T432" s="15"/>
      <c r="U432" s="15"/>
      <c r="V432" s="15"/>
      <c r="W432" s="15"/>
      <c r="X432" s="14"/>
      <c r="Y432" s="14"/>
      <c r="Z432" s="15"/>
      <c r="AA432" s="3"/>
      <c r="AB432" s="3"/>
      <c r="AC432" s="3"/>
      <c r="AD432" s="3"/>
      <c r="AE432" s="3"/>
      <c r="AF432" s="3"/>
    </row>
    <row r="433" ht="15.75" customHeight="1">
      <c r="J433" s="15"/>
      <c r="K433" s="238"/>
      <c r="L433" s="15"/>
      <c r="M433" s="15"/>
      <c r="N433" s="15"/>
      <c r="O433" s="15"/>
      <c r="P433" s="15"/>
      <c r="Q433" s="15"/>
      <c r="R433" s="15"/>
      <c r="S433" s="15"/>
      <c r="T433" s="15"/>
      <c r="U433" s="15"/>
      <c r="V433" s="15"/>
      <c r="W433" s="15"/>
      <c r="X433" s="14"/>
      <c r="Y433" s="14"/>
      <c r="Z433" s="15"/>
      <c r="AA433" s="3"/>
      <c r="AB433" s="3"/>
      <c r="AC433" s="3"/>
      <c r="AD433" s="3"/>
      <c r="AE433" s="3"/>
      <c r="AF433" s="3"/>
    </row>
    <row r="434" ht="15.75" customHeight="1">
      <c r="J434" s="15"/>
      <c r="K434" s="238"/>
      <c r="L434" s="15"/>
      <c r="M434" s="15"/>
      <c r="N434" s="15"/>
      <c r="O434" s="15"/>
      <c r="P434" s="15"/>
      <c r="Q434" s="15"/>
      <c r="R434" s="15"/>
      <c r="S434" s="15"/>
      <c r="T434" s="15"/>
      <c r="U434" s="15"/>
      <c r="V434" s="15"/>
      <c r="W434" s="15"/>
      <c r="X434" s="14"/>
      <c r="Y434" s="14"/>
      <c r="Z434" s="15"/>
      <c r="AA434" s="3"/>
      <c r="AB434" s="3"/>
      <c r="AC434" s="3"/>
      <c r="AD434" s="3"/>
      <c r="AE434" s="3"/>
      <c r="AF434" s="3"/>
    </row>
    <row r="435" ht="15.75" customHeight="1">
      <c r="J435" s="15"/>
      <c r="K435" s="238"/>
      <c r="L435" s="15"/>
      <c r="M435" s="15"/>
      <c r="N435" s="15"/>
      <c r="O435" s="15"/>
      <c r="P435" s="15"/>
      <c r="Q435" s="15"/>
      <c r="R435" s="15"/>
      <c r="S435" s="15"/>
      <c r="T435" s="15"/>
      <c r="U435" s="15"/>
      <c r="V435" s="15"/>
      <c r="W435" s="15"/>
      <c r="X435" s="14"/>
      <c r="Y435" s="14"/>
      <c r="Z435" s="15"/>
      <c r="AA435" s="3"/>
      <c r="AB435" s="3"/>
      <c r="AC435" s="3"/>
      <c r="AD435" s="3"/>
      <c r="AE435" s="3"/>
      <c r="AF435" s="3"/>
    </row>
    <row r="436" ht="15.75" customHeight="1">
      <c r="J436" s="15"/>
      <c r="K436" s="238"/>
      <c r="L436" s="15"/>
      <c r="M436" s="15"/>
      <c r="N436" s="15"/>
      <c r="O436" s="15"/>
      <c r="P436" s="15"/>
      <c r="Q436" s="15"/>
      <c r="R436" s="15"/>
      <c r="S436" s="15"/>
      <c r="T436" s="15"/>
      <c r="U436" s="15"/>
      <c r="V436" s="15"/>
      <c r="W436" s="15"/>
      <c r="X436" s="14"/>
      <c r="Y436" s="14"/>
      <c r="Z436" s="15"/>
      <c r="AA436" s="3"/>
      <c r="AB436" s="3"/>
      <c r="AC436" s="3"/>
      <c r="AD436" s="3"/>
      <c r="AE436" s="3"/>
      <c r="AF436" s="3"/>
    </row>
    <row r="437" ht="15.75" customHeight="1">
      <c r="J437" s="15"/>
      <c r="K437" s="238"/>
      <c r="L437" s="15"/>
      <c r="M437" s="15"/>
      <c r="N437" s="15"/>
      <c r="O437" s="15"/>
      <c r="P437" s="15"/>
      <c r="Q437" s="15"/>
      <c r="R437" s="15"/>
      <c r="S437" s="15"/>
      <c r="T437" s="15"/>
      <c r="U437" s="15"/>
      <c r="V437" s="15"/>
      <c r="W437" s="15"/>
      <c r="X437" s="14"/>
      <c r="Y437" s="14"/>
      <c r="Z437" s="15"/>
      <c r="AA437" s="3"/>
      <c r="AB437" s="3"/>
      <c r="AC437" s="3"/>
      <c r="AD437" s="3"/>
      <c r="AE437" s="3"/>
      <c r="AF437" s="3"/>
    </row>
    <row r="438" ht="15.75" customHeight="1">
      <c r="J438" s="15"/>
      <c r="K438" s="238"/>
      <c r="L438" s="15"/>
      <c r="M438" s="15"/>
      <c r="N438" s="15"/>
      <c r="O438" s="15"/>
      <c r="P438" s="15"/>
      <c r="Q438" s="15"/>
      <c r="R438" s="15"/>
      <c r="S438" s="15"/>
      <c r="T438" s="15"/>
      <c r="U438" s="15"/>
      <c r="V438" s="15"/>
      <c r="W438" s="15"/>
      <c r="X438" s="14"/>
      <c r="Y438" s="14"/>
      <c r="Z438" s="15"/>
      <c r="AA438" s="3"/>
      <c r="AB438" s="3"/>
      <c r="AC438" s="3"/>
      <c r="AD438" s="3"/>
      <c r="AE438" s="3"/>
      <c r="AF438" s="3"/>
    </row>
    <row r="439" ht="15.75" customHeight="1">
      <c r="J439" s="15"/>
      <c r="K439" s="238"/>
      <c r="L439" s="15"/>
      <c r="M439" s="15"/>
      <c r="N439" s="15"/>
      <c r="O439" s="15"/>
      <c r="P439" s="15"/>
      <c r="Q439" s="15"/>
      <c r="R439" s="15"/>
      <c r="S439" s="15"/>
      <c r="T439" s="15"/>
      <c r="U439" s="15"/>
      <c r="V439" s="15"/>
      <c r="W439" s="15"/>
      <c r="X439" s="14"/>
      <c r="Y439" s="14"/>
      <c r="Z439" s="15"/>
      <c r="AA439" s="3"/>
      <c r="AB439" s="3"/>
      <c r="AC439" s="3"/>
      <c r="AD439" s="3"/>
      <c r="AE439" s="3"/>
      <c r="AF439" s="3"/>
    </row>
    <row r="440" ht="15.75" customHeight="1">
      <c r="J440" s="15"/>
      <c r="K440" s="238"/>
      <c r="L440" s="15"/>
      <c r="M440" s="15"/>
      <c r="N440" s="15"/>
      <c r="O440" s="15"/>
      <c r="P440" s="15"/>
      <c r="Q440" s="15"/>
      <c r="R440" s="15"/>
      <c r="S440" s="15"/>
      <c r="T440" s="15"/>
      <c r="U440" s="15"/>
      <c r="V440" s="15"/>
      <c r="W440" s="15"/>
      <c r="X440" s="14"/>
      <c r="Y440" s="14"/>
      <c r="Z440" s="15"/>
      <c r="AA440" s="3"/>
      <c r="AB440" s="3"/>
      <c r="AC440" s="3"/>
      <c r="AD440" s="3"/>
      <c r="AE440" s="3"/>
      <c r="AF440" s="3"/>
    </row>
    <row r="441" ht="15.75" customHeight="1">
      <c r="J441" s="15"/>
      <c r="K441" s="238"/>
      <c r="L441" s="15"/>
      <c r="M441" s="15"/>
      <c r="N441" s="15"/>
      <c r="O441" s="15"/>
      <c r="P441" s="15"/>
      <c r="Q441" s="15"/>
      <c r="R441" s="15"/>
      <c r="S441" s="15"/>
      <c r="T441" s="15"/>
      <c r="U441" s="15"/>
      <c r="V441" s="15"/>
      <c r="W441" s="15"/>
      <c r="X441" s="14"/>
      <c r="Y441" s="14"/>
      <c r="Z441" s="15"/>
      <c r="AA441" s="3"/>
      <c r="AB441" s="3"/>
      <c r="AC441" s="3"/>
      <c r="AD441" s="3"/>
      <c r="AE441" s="3"/>
      <c r="AF441" s="3"/>
    </row>
    <row r="442" ht="15.75" customHeight="1">
      <c r="J442" s="15"/>
      <c r="K442" s="238"/>
      <c r="L442" s="15"/>
      <c r="M442" s="15"/>
      <c r="N442" s="15"/>
      <c r="O442" s="15"/>
      <c r="P442" s="15"/>
      <c r="Q442" s="15"/>
      <c r="R442" s="15"/>
      <c r="S442" s="15"/>
      <c r="T442" s="15"/>
      <c r="U442" s="15"/>
      <c r="V442" s="15"/>
      <c r="W442" s="15"/>
      <c r="X442" s="14"/>
      <c r="Y442" s="14"/>
      <c r="Z442" s="15"/>
      <c r="AA442" s="3"/>
      <c r="AB442" s="3"/>
      <c r="AC442" s="3"/>
      <c r="AD442" s="3"/>
      <c r="AE442" s="3"/>
      <c r="AF442" s="3"/>
    </row>
    <row r="443" ht="15.75" customHeight="1">
      <c r="J443" s="15"/>
      <c r="K443" s="238"/>
      <c r="L443" s="15"/>
      <c r="M443" s="15"/>
      <c r="N443" s="15"/>
      <c r="O443" s="15"/>
      <c r="P443" s="15"/>
      <c r="Q443" s="15"/>
      <c r="R443" s="15"/>
      <c r="S443" s="15"/>
      <c r="T443" s="15"/>
      <c r="U443" s="15"/>
      <c r="V443" s="15"/>
      <c r="W443" s="15"/>
      <c r="X443" s="14"/>
      <c r="Y443" s="14"/>
      <c r="Z443" s="15"/>
      <c r="AA443" s="3"/>
      <c r="AB443" s="3"/>
      <c r="AC443" s="3"/>
      <c r="AD443" s="3"/>
      <c r="AE443" s="3"/>
      <c r="AF443" s="3"/>
    </row>
    <row r="444" ht="15.75" customHeight="1">
      <c r="J444" s="15"/>
      <c r="K444" s="238"/>
      <c r="L444" s="15"/>
      <c r="M444" s="15"/>
      <c r="N444" s="15"/>
      <c r="O444" s="15"/>
      <c r="P444" s="15"/>
      <c r="Q444" s="15"/>
      <c r="R444" s="15"/>
      <c r="S444" s="15"/>
      <c r="T444" s="15"/>
      <c r="U444" s="15"/>
      <c r="V444" s="15"/>
      <c r="W444" s="15"/>
      <c r="X444" s="14"/>
      <c r="Y444" s="14"/>
      <c r="Z444" s="15"/>
      <c r="AA444" s="3"/>
      <c r="AB444" s="3"/>
      <c r="AC444" s="3"/>
      <c r="AD444" s="3"/>
      <c r="AE444" s="3"/>
      <c r="AF444" s="3"/>
    </row>
    <row r="445" ht="15.75" customHeight="1">
      <c r="J445" s="15"/>
      <c r="K445" s="238"/>
      <c r="L445" s="15"/>
      <c r="M445" s="15"/>
      <c r="N445" s="15"/>
      <c r="O445" s="15"/>
      <c r="P445" s="15"/>
      <c r="Q445" s="15"/>
      <c r="R445" s="15"/>
      <c r="S445" s="15"/>
      <c r="T445" s="15"/>
      <c r="U445" s="15"/>
      <c r="V445" s="15"/>
      <c r="W445" s="15"/>
      <c r="X445" s="14"/>
      <c r="Y445" s="14"/>
      <c r="Z445" s="15"/>
      <c r="AA445" s="3"/>
      <c r="AB445" s="3"/>
      <c r="AC445" s="3"/>
      <c r="AD445" s="3"/>
      <c r="AE445" s="3"/>
      <c r="AF445" s="3"/>
    </row>
    <row r="446" ht="15.75" customHeight="1">
      <c r="J446" s="15"/>
      <c r="K446" s="238"/>
      <c r="L446" s="15"/>
      <c r="M446" s="15"/>
      <c r="N446" s="15"/>
      <c r="O446" s="15"/>
      <c r="P446" s="15"/>
      <c r="Q446" s="15"/>
      <c r="R446" s="15"/>
      <c r="S446" s="15"/>
      <c r="T446" s="15"/>
      <c r="U446" s="15"/>
      <c r="V446" s="15"/>
      <c r="W446" s="15"/>
      <c r="X446" s="14"/>
      <c r="Y446" s="14"/>
      <c r="Z446" s="15"/>
      <c r="AA446" s="3"/>
      <c r="AB446" s="3"/>
      <c r="AC446" s="3"/>
      <c r="AD446" s="3"/>
      <c r="AE446" s="3"/>
      <c r="AF446" s="3"/>
    </row>
    <row r="447" ht="15.75" customHeight="1">
      <c r="J447" s="15"/>
      <c r="K447" s="238"/>
      <c r="L447" s="15"/>
      <c r="M447" s="15"/>
      <c r="N447" s="15"/>
      <c r="O447" s="15"/>
      <c r="P447" s="15"/>
      <c r="Q447" s="15"/>
      <c r="R447" s="15"/>
      <c r="S447" s="15"/>
      <c r="T447" s="15"/>
      <c r="U447" s="15"/>
      <c r="V447" s="15"/>
      <c r="W447" s="15"/>
      <c r="X447" s="14"/>
      <c r="Y447" s="14"/>
      <c r="Z447" s="15"/>
      <c r="AA447" s="3"/>
      <c r="AB447" s="3"/>
      <c r="AC447" s="3"/>
      <c r="AD447" s="3"/>
      <c r="AE447" s="3"/>
      <c r="AF447" s="3"/>
    </row>
    <row r="448" ht="15.75" customHeight="1">
      <c r="J448" s="15"/>
      <c r="K448" s="238"/>
      <c r="L448" s="15"/>
      <c r="M448" s="15"/>
      <c r="N448" s="15"/>
      <c r="O448" s="15"/>
      <c r="P448" s="15"/>
      <c r="Q448" s="15"/>
      <c r="R448" s="15"/>
      <c r="S448" s="15"/>
      <c r="T448" s="15"/>
      <c r="U448" s="15"/>
      <c r="V448" s="15"/>
      <c r="W448" s="15"/>
      <c r="X448" s="14"/>
      <c r="Y448" s="14"/>
      <c r="Z448" s="15"/>
      <c r="AA448" s="3"/>
      <c r="AB448" s="3"/>
      <c r="AC448" s="3"/>
      <c r="AD448" s="3"/>
      <c r="AE448" s="3"/>
      <c r="AF448" s="3"/>
    </row>
    <row r="449" ht="15.75" customHeight="1">
      <c r="J449" s="15"/>
      <c r="K449" s="238"/>
      <c r="L449" s="15"/>
      <c r="M449" s="15"/>
      <c r="N449" s="15"/>
      <c r="O449" s="15"/>
      <c r="P449" s="15"/>
      <c r="Q449" s="15"/>
      <c r="R449" s="15"/>
      <c r="S449" s="15"/>
      <c r="T449" s="15"/>
      <c r="U449" s="15"/>
      <c r="V449" s="15"/>
      <c r="W449" s="15"/>
      <c r="X449" s="14"/>
      <c r="Y449" s="14"/>
      <c r="Z449" s="15"/>
      <c r="AA449" s="3"/>
      <c r="AB449" s="3"/>
      <c r="AC449" s="3"/>
      <c r="AD449" s="3"/>
      <c r="AE449" s="3"/>
      <c r="AF449" s="3"/>
    </row>
    <row r="450" ht="15.75" customHeight="1">
      <c r="J450" s="15"/>
      <c r="K450" s="238"/>
      <c r="L450" s="15"/>
      <c r="M450" s="15"/>
      <c r="N450" s="15"/>
      <c r="O450" s="15"/>
      <c r="P450" s="15"/>
      <c r="Q450" s="15"/>
      <c r="R450" s="15"/>
      <c r="S450" s="15"/>
      <c r="T450" s="15"/>
      <c r="U450" s="15"/>
      <c r="V450" s="15"/>
      <c r="W450" s="15"/>
      <c r="X450" s="14"/>
      <c r="Y450" s="14"/>
      <c r="Z450" s="15"/>
      <c r="AA450" s="3"/>
      <c r="AB450" s="3"/>
      <c r="AC450" s="3"/>
      <c r="AD450" s="3"/>
      <c r="AE450" s="3"/>
      <c r="AF450" s="3"/>
    </row>
    <row r="451" ht="15.75" customHeight="1">
      <c r="J451" s="15"/>
      <c r="K451" s="238"/>
      <c r="L451" s="15"/>
      <c r="M451" s="15"/>
      <c r="N451" s="15"/>
      <c r="O451" s="15"/>
      <c r="P451" s="15"/>
      <c r="Q451" s="15"/>
      <c r="R451" s="15"/>
      <c r="S451" s="15"/>
      <c r="T451" s="15"/>
      <c r="U451" s="15"/>
      <c r="V451" s="15"/>
      <c r="W451" s="15"/>
      <c r="X451" s="14"/>
      <c r="Y451" s="14"/>
      <c r="Z451" s="15"/>
      <c r="AA451" s="3"/>
      <c r="AB451" s="3"/>
      <c r="AC451" s="3"/>
      <c r="AD451" s="3"/>
      <c r="AE451" s="3"/>
      <c r="AF451" s="3"/>
    </row>
    <row r="452" ht="15.75" customHeight="1">
      <c r="J452" s="15"/>
      <c r="K452" s="238"/>
      <c r="L452" s="15"/>
      <c r="M452" s="15"/>
      <c r="N452" s="15"/>
      <c r="O452" s="15"/>
      <c r="P452" s="15"/>
      <c r="Q452" s="15"/>
      <c r="R452" s="15"/>
      <c r="S452" s="15"/>
      <c r="T452" s="15"/>
      <c r="U452" s="15"/>
      <c r="V452" s="15"/>
      <c r="W452" s="15"/>
      <c r="X452" s="14"/>
      <c r="Y452" s="14"/>
      <c r="Z452" s="15"/>
      <c r="AA452" s="3"/>
      <c r="AB452" s="3"/>
      <c r="AC452" s="3"/>
      <c r="AD452" s="3"/>
      <c r="AE452" s="3"/>
      <c r="AF452" s="3"/>
    </row>
    <row r="453" ht="15.75" customHeight="1">
      <c r="J453" s="15"/>
      <c r="K453" s="238"/>
      <c r="L453" s="15"/>
      <c r="M453" s="15"/>
      <c r="N453" s="15"/>
      <c r="O453" s="15"/>
      <c r="P453" s="15"/>
      <c r="Q453" s="15"/>
      <c r="R453" s="15"/>
      <c r="S453" s="15"/>
      <c r="T453" s="15"/>
      <c r="U453" s="15"/>
      <c r="V453" s="15"/>
      <c r="W453" s="15"/>
      <c r="X453" s="14"/>
      <c r="Y453" s="14"/>
      <c r="Z453" s="15"/>
      <c r="AA453" s="3"/>
      <c r="AB453" s="3"/>
      <c r="AC453" s="3"/>
      <c r="AD453" s="3"/>
      <c r="AE453" s="3"/>
      <c r="AF453" s="3"/>
    </row>
    <row r="454" ht="15.75" customHeight="1">
      <c r="J454" s="15"/>
      <c r="K454" s="238"/>
      <c r="L454" s="15"/>
      <c r="M454" s="15"/>
      <c r="N454" s="15"/>
      <c r="O454" s="15"/>
      <c r="P454" s="15"/>
      <c r="Q454" s="15"/>
      <c r="R454" s="15"/>
      <c r="S454" s="15"/>
      <c r="T454" s="15"/>
      <c r="U454" s="15"/>
      <c r="V454" s="15"/>
      <c r="W454" s="15"/>
      <c r="X454" s="14"/>
      <c r="Y454" s="14"/>
      <c r="Z454" s="15"/>
      <c r="AA454" s="3"/>
      <c r="AB454" s="3"/>
      <c r="AC454" s="3"/>
      <c r="AD454" s="3"/>
      <c r="AE454" s="3"/>
      <c r="AF454" s="3"/>
    </row>
    <row r="455" ht="15.75" customHeight="1">
      <c r="J455" s="15"/>
      <c r="K455" s="238"/>
      <c r="L455" s="15"/>
      <c r="M455" s="15"/>
      <c r="N455" s="15"/>
      <c r="O455" s="15"/>
      <c r="P455" s="15"/>
      <c r="Q455" s="15"/>
      <c r="R455" s="15"/>
      <c r="S455" s="15"/>
      <c r="T455" s="15"/>
      <c r="U455" s="15"/>
      <c r="V455" s="15"/>
      <c r="W455" s="15"/>
      <c r="X455" s="14"/>
      <c r="Y455" s="14"/>
      <c r="Z455" s="15"/>
      <c r="AA455" s="3"/>
      <c r="AB455" s="3"/>
      <c r="AC455" s="3"/>
      <c r="AD455" s="3"/>
      <c r="AE455" s="3"/>
      <c r="AF455" s="3"/>
    </row>
    <row r="456" ht="15.75" customHeight="1">
      <c r="J456" s="15"/>
      <c r="K456" s="238"/>
      <c r="L456" s="15"/>
      <c r="M456" s="15"/>
      <c r="N456" s="15"/>
      <c r="O456" s="15"/>
      <c r="P456" s="15"/>
      <c r="Q456" s="15"/>
      <c r="R456" s="15"/>
      <c r="S456" s="15"/>
      <c r="T456" s="15"/>
      <c r="U456" s="15"/>
      <c r="V456" s="15"/>
      <c r="W456" s="15"/>
      <c r="X456" s="14"/>
      <c r="Y456" s="14"/>
      <c r="Z456" s="15"/>
      <c r="AA456" s="3"/>
      <c r="AB456" s="3"/>
      <c r="AC456" s="3"/>
      <c r="AD456" s="3"/>
      <c r="AE456" s="3"/>
      <c r="AF456" s="3"/>
    </row>
    <row r="457" ht="15.75" customHeight="1">
      <c r="J457" s="15"/>
      <c r="K457" s="238"/>
      <c r="L457" s="15"/>
      <c r="M457" s="15"/>
      <c r="N457" s="15"/>
      <c r="O457" s="15"/>
      <c r="P457" s="15"/>
      <c r="Q457" s="15"/>
      <c r="R457" s="15"/>
      <c r="S457" s="15"/>
      <c r="T457" s="15"/>
      <c r="U457" s="15"/>
      <c r="V457" s="15"/>
      <c r="W457" s="15"/>
      <c r="X457" s="14"/>
      <c r="Y457" s="14"/>
      <c r="Z457" s="15"/>
      <c r="AA457" s="3"/>
      <c r="AB457" s="3"/>
      <c r="AC457" s="3"/>
      <c r="AD457" s="3"/>
      <c r="AE457" s="3"/>
      <c r="AF457" s="3"/>
    </row>
    <row r="458" ht="15.75" customHeight="1">
      <c r="J458" s="15"/>
      <c r="K458" s="238"/>
      <c r="L458" s="15"/>
      <c r="M458" s="15"/>
      <c r="N458" s="15"/>
      <c r="O458" s="15"/>
      <c r="P458" s="15"/>
      <c r="Q458" s="15"/>
      <c r="R458" s="15"/>
      <c r="S458" s="15"/>
      <c r="T458" s="15"/>
      <c r="U458" s="15"/>
      <c r="V458" s="15"/>
      <c r="W458" s="15"/>
      <c r="X458" s="14"/>
      <c r="Y458" s="14"/>
      <c r="Z458" s="15"/>
      <c r="AA458" s="3"/>
      <c r="AB458" s="3"/>
      <c r="AC458" s="3"/>
      <c r="AD458" s="3"/>
      <c r="AE458" s="3"/>
      <c r="AF458" s="3"/>
    </row>
    <row r="459" ht="15.75" customHeight="1">
      <c r="J459" s="15"/>
      <c r="K459" s="238"/>
      <c r="L459" s="15"/>
      <c r="M459" s="15"/>
      <c r="N459" s="15"/>
      <c r="O459" s="15"/>
      <c r="P459" s="15"/>
      <c r="Q459" s="15"/>
      <c r="R459" s="15"/>
      <c r="S459" s="15"/>
      <c r="T459" s="15"/>
      <c r="U459" s="15"/>
      <c r="V459" s="15"/>
      <c r="W459" s="15"/>
      <c r="X459" s="14"/>
      <c r="Y459" s="14"/>
      <c r="Z459" s="15"/>
      <c r="AA459" s="3"/>
      <c r="AB459" s="3"/>
      <c r="AC459" s="3"/>
      <c r="AD459" s="3"/>
      <c r="AE459" s="3"/>
      <c r="AF459" s="3"/>
    </row>
    <row r="460" ht="15.75" customHeight="1">
      <c r="J460" s="15"/>
      <c r="K460" s="238"/>
      <c r="L460" s="15"/>
      <c r="M460" s="15"/>
      <c r="N460" s="15"/>
      <c r="O460" s="15"/>
      <c r="P460" s="15"/>
      <c r="Q460" s="15"/>
      <c r="R460" s="15"/>
      <c r="S460" s="15"/>
      <c r="T460" s="15"/>
      <c r="U460" s="15"/>
      <c r="V460" s="15"/>
      <c r="W460" s="15"/>
      <c r="X460" s="14"/>
      <c r="Y460" s="14"/>
      <c r="Z460" s="15"/>
      <c r="AA460" s="3"/>
      <c r="AB460" s="3"/>
      <c r="AC460" s="3"/>
      <c r="AD460" s="3"/>
      <c r="AE460" s="3"/>
      <c r="AF460" s="3"/>
    </row>
    <row r="461" ht="15.75" customHeight="1">
      <c r="J461" s="15"/>
      <c r="K461" s="238"/>
      <c r="L461" s="15"/>
      <c r="M461" s="15"/>
      <c r="N461" s="15"/>
      <c r="O461" s="15"/>
      <c r="P461" s="15"/>
      <c r="Q461" s="15"/>
      <c r="R461" s="15"/>
      <c r="S461" s="15"/>
      <c r="T461" s="15"/>
      <c r="U461" s="15"/>
      <c r="V461" s="15"/>
      <c r="W461" s="15"/>
      <c r="X461" s="14"/>
      <c r="Y461" s="14"/>
      <c r="Z461" s="15"/>
      <c r="AA461" s="3"/>
      <c r="AB461" s="3"/>
      <c r="AC461" s="3"/>
      <c r="AD461" s="3"/>
      <c r="AE461" s="3"/>
      <c r="AF461" s="3"/>
    </row>
    <row r="462" ht="15.75" customHeight="1">
      <c r="J462" s="15"/>
      <c r="K462" s="238"/>
      <c r="L462" s="15"/>
      <c r="M462" s="15"/>
      <c r="N462" s="15"/>
      <c r="O462" s="15"/>
      <c r="P462" s="15"/>
      <c r="Q462" s="15"/>
      <c r="R462" s="15"/>
      <c r="S462" s="15"/>
      <c r="T462" s="15"/>
      <c r="U462" s="15"/>
      <c r="V462" s="15"/>
      <c r="W462" s="15"/>
      <c r="X462" s="14"/>
      <c r="Y462" s="14"/>
      <c r="Z462" s="15"/>
      <c r="AA462" s="3"/>
      <c r="AB462" s="3"/>
      <c r="AC462" s="3"/>
      <c r="AD462" s="3"/>
      <c r="AE462" s="3"/>
      <c r="AF462" s="3"/>
    </row>
    <row r="463" ht="15.75" customHeight="1">
      <c r="J463" s="15"/>
      <c r="K463" s="238"/>
      <c r="L463" s="15"/>
      <c r="M463" s="15"/>
      <c r="N463" s="15"/>
      <c r="O463" s="15"/>
      <c r="P463" s="15"/>
      <c r="Q463" s="15"/>
      <c r="R463" s="15"/>
      <c r="S463" s="15"/>
      <c r="T463" s="15"/>
      <c r="U463" s="15"/>
      <c r="V463" s="15"/>
      <c r="W463" s="15"/>
      <c r="X463" s="14"/>
      <c r="Y463" s="14"/>
      <c r="Z463" s="15"/>
      <c r="AA463" s="3"/>
      <c r="AB463" s="3"/>
      <c r="AC463" s="3"/>
      <c r="AD463" s="3"/>
      <c r="AE463" s="3"/>
      <c r="AF463" s="3"/>
    </row>
    <row r="464" ht="15.75" customHeight="1">
      <c r="J464" s="15"/>
      <c r="K464" s="238"/>
      <c r="L464" s="15"/>
      <c r="M464" s="15"/>
      <c r="N464" s="15"/>
      <c r="O464" s="15"/>
      <c r="P464" s="15"/>
      <c r="Q464" s="15"/>
      <c r="R464" s="15"/>
      <c r="S464" s="15"/>
      <c r="T464" s="15"/>
      <c r="U464" s="15"/>
      <c r="V464" s="15"/>
      <c r="W464" s="15"/>
      <c r="X464" s="14"/>
      <c r="Y464" s="14"/>
      <c r="Z464" s="15"/>
      <c r="AA464" s="3"/>
      <c r="AB464" s="3"/>
      <c r="AC464" s="3"/>
      <c r="AD464" s="3"/>
      <c r="AE464" s="3"/>
      <c r="AF464" s="3"/>
    </row>
    <row r="465" ht="15.75" customHeight="1">
      <c r="J465" s="15"/>
      <c r="K465" s="238"/>
      <c r="L465" s="15"/>
      <c r="M465" s="15"/>
      <c r="N465" s="15"/>
      <c r="O465" s="15"/>
      <c r="P465" s="15"/>
      <c r="Q465" s="15"/>
      <c r="R465" s="15"/>
      <c r="S465" s="15"/>
      <c r="T465" s="15"/>
      <c r="U465" s="15"/>
      <c r="V465" s="15"/>
      <c r="W465" s="15"/>
      <c r="X465" s="14"/>
      <c r="Y465" s="14"/>
      <c r="Z465" s="15"/>
      <c r="AA465" s="3"/>
      <c r="AB465" s="3"/>
      <c r="AC465" s="3"/>
      <c r="AD465" s="3"/>
      <c r="AE465" s="3"/>
      <c r="AF465" s="3"/>
    </row>
    <row r="466" ht="15.75" customHeight="1">
      <c r="J466" s="15"/>
      <c r="K466" s="238"/>
      <c r="L466" s="15"/>
      <c r="M466" s="15"/>
      <c r="N466" s="15"/>
      <c r="O466" s="15"/>
      <c r="P466" s="15"/>
      <c r="Q466" s="15"/>
      <c r="R466" s="15"/>
      <c r="S466" s="15"/>
      <c r="T466" s="15"/>
      <c r="U466" s="15"/>
      <c r="V466" s="15"/>
      <c r="W466" s="15"/>
      <c r="X466" s="14"/>
      <c r="Y466" s="14"/>
      <c r="Z466" s="15"/>
      <c r="AA466" s="3"/>
      <c r="AB466" s="3"/>
      <c r="AC466" s="3"/>
      <c r="AD466" s="3"/>
      <c r="AE466" s="3"/>
      <c r="AF466" s="3"/>
    </row>
    <row r="467" ht="15.75" customHeight="1">
      <c r="J467" s="15"/>
      <c r="K467" s="238"/>
      <c r="L467" s="15"/>
      <c r="M467" s="15"/>
      <c r="N467" s="15"/>
      <c r="O467" s="15"/>
      <c r="P467" s="15"/>
      <c r="Q467" s="15"/>
      <c r="R467" s="15"/>
      <c r="S467" s="15"/>
      <c r="T467" s="15"/>
      <c r="U467" s="15"/>
      <c r="V467" s="15"/>
      <c r="W467" s="15"/>
      <c r="X467" s="14"/>
      <c r="Y467" s="14"/>
      <c r="Z467" s="15"/>
      <c r="AA467" s="3"/>
      <c r="AB467" s="3"/>
      <c r="AC467" s="3"/>
      <c r="AD467" s="3"/>
      <c r="AE467" s="3"/>
      <c r="AF467" s="3"/>
    </row>
    <row r="468" ht="15.75" customHeight="1">
      <c r="J468" s="15"/>
      <c r="K468" s="238"/>
      <c r="L468" s="15"/>
      <c r="M468" s="15"/>
      <c r="N468" s="15"/>
      <c r="O468" s="15"/>
      <c r="P468" s="15"/>
      <c r="Q468" s="15"/>
      <c r="R468" s="15"/>
      <c r="S468" s="15"/>
      <c r="T468" s="15"/>
      <c r="U468" s="15"/>
      <c r="V468" s="15"/>
      <c r="W468" s="15"/>
      <c r="X468" s="14"/>
      <c r="Y468" s="14"/>
      <c r="Z468" s="15"/>
      <c r="AA468" s="3"/>
      <c r="AB468" s="3"/>
      <c r="AC468" s="3"/>
      <c r="AD468" s="3"/>
      <c r="AE468" s="3"/>
      <c r="AF468" s="3"/>
    </row>
    <row r="469" ht="15.75" customHeight="1">
      <c r="J469" s="15"/>
      <c r="K469" s="238"/>
      <c r="L469" s="15"/>
      <c r="M469" s="15"/>
      <c r="N469" s="15"/>
      <c r="O469" s="15"/>
      <c r="P469" s="15"/>
      <c r="Q469" s="15"/>
      <c r="R469" s="15"/>
      <c r="S469" s="15"/>
      <c r="T469" s="15"/>
      <c r="U469" s="15"/>
      <c r="V469" s="15"/>
      <c r="W469" s="15"/>
      <c r="X469" s="14"/>
      <c r="Y469" s="14"/>
      <c r="Z469" s="15"/>
      <c r="AA469" s="3"/>
      <c r="AB469" s="3"/>
      <c r="AC469" s="3"/>
      <c r="AD469" s="3"/>
      <c r="AE469" s="3"/>
      <c r="AF469" s="3"/>
    </row>
    <row r="470" ht="15.75" customHeight="1">
      <c r="J470" s="15"/>
      <c r="K470" s="238"/>
      <c r="L470" s="15"/>
      <c r="M470" s="15"/>
      <c r="N470" s="15"/>
      <c r="O470" s="15"/>
      <c r="P470" s="15"/>
      <c r="Q470" s="15"/>
      <c r="R470" s="15"/>
      <c r="S470" s="15"/>
      <c r="T470" s="15"/>
      <c r="U470" s="15"/>
      <c r="V470" s="15"/>
      <c r="W470" s="15"/>
      <c r="X470" s="14"/>
      <c r="Y470" s="14"/>
      <c r="Z470" s="15"/>
      <c r="AA470" s="3"/>
      <c r="AB470" s="3"/>
      <c r="AC470" s="3"/>
      <c r="AD470" s="3"/>
      <c r="AE470" s="3"/>
      <c r="AF470" s="3"/>
    </row>
    <row r="471" ht="15.75" customHeight="1">
      <c r="J471" s="15"/>
      <c r="K471" s="238"/>
      <c r="L471" s="15"/>
      <c r="M471" s="15"/>
      <c r="N471" s="15"/>
      <c r="O471" s="15"/>
      <c r="P471" s="15"/>
      <c r="Q471" s="15"/>
      <c r="R471" s="15"/>
      <c r="S471" s="15"/>
      <c r="T471" s="15"/>
      <c r="U471" s="15"/>
      <c r="V471" s="15"/>
      <c r="W471" s="15"/>
      <c r="X471" s="14"/>
      <c r="Y471" s="14"/>
      <c r="Z471" s="15"/>
      <c r="AA471" s="3"/>
      <c r="AB471" s="3"/>
      <c r="AC471" s="3"/>
      <c r="AD471" s="3"/>
      <c r="AE471" s="3"/>
      <c r="AF471" s="3"/>
    </row>
    <row r="472" ht="15.75" customHeight="1">
      <c r="J472" s="15"/>
      <c r="K472" s="238"/>
      <c r="L472" s="15"/>
      <c r="M472" s="15"/>
      <c r="N472" s="15"/>
      <c r="O472" s="15"/>
      <c r="P472" s="15"/>
      <c r="Q472" s="15"/>
      <c r="R472" s="15"/>
      <c r="S472" s="15"/>
      <c r="T472" s="15"/>
      <c r="U472" s="15"/>
      <c r="V472" s="15"/>
      <c r="W472" s="15"/>
      <c r="X472" s="14"/>
      <c r="Y472" s="14"/>
      <c r="Z472" s="15"/>
      <c r="AA472" s="3"/>
      <c r="AB472" s="3"/>
      <c r="AC472" s="3"/>
      <c r="AD472" s="3"/>
      <c r="AE472" s="3"/>
      <c r="AF472" s="3"/>
    </row>
    <row r="473" ht="15.75" customHeight="1">
      <c r="J473" s="15"/>
      <c r="K473" s="238"/>
      <c r="L473" s="15"/>
      <c r="M473" s="15"/>
      <c r="N473" s="15"/>
      <c r="O473" s="15"/>
      <c r="P473" s="15"/>
      <c r="Q473" s="15"/>
      <c r="R473" s="15"/>
      <c r="S473" s="15"/>
      <c r="T473" s="15"/>
      <c r="U473" s="15"/>
      <c r="V473" s="15"/>
      <c r="W473" s="15"/>
      <c r="X473" s="14"/>
      <c r="Y473" s="14"/>
      <c r="Z473" s="15"/>
      <c r="AA473" s="3"/>
      <c r="AB473" s="3"/>
      <c r="AC473" s="3"/>
      <c r="AD473" s="3"/>
      <c r="AE473" s="3"/>
      <c r="AF473" s="3"/>
    </row>
    <row r="474" ht="15.75" customHeight="1">
      <c r="J474" s="15"/>
      <c r="K474" s="238"/>
      <c r="L474" s="15"/>
      <c r="M474" s="15"/>
      <c r="N474" s="15"/>
      <c r="O474" s="15"/>
      <c r="P474" s="15"/>
      <c r="Q474" s="15"/>
      <c r="R474" s="15"/>
      <c r="S474" s="15"/>
      <c r="T474" s="15"/>
      <c r="U474" s="15"/>
      <c r="V474" s="15"/>
      <c r="W474" s="15"/>
      <c r="X474" s="14"/>
      <c r="Y474" s="14"/>
      <c r="Z474" s="15"/>
      <c r="AA474" s="3"/>
      <c r="AB474" s="3"/>
      <c r="AC474" s="3"/>
      <c r="AD474" s="3"/>
      <c r="AE474" s="3"/>
      <c r="AF474" s="3"/>
    </row>
    <row r="475" ht="15.75" customHeight="1">
      <c r="J475" s="15"/>
      <c r="K475" s="238"/>
      <c r="L475" s="15"/>
      <c r="M475" s="15"/>
      <c r="N475" s="15"/>
      <c r="O475" s="15"/>
      <c r="P475" s="15"/>
      <c r="Q475" s="15"/>
      <c r="R475" s="15"/>
      <c r="S475" s="15"/>
      <c r="T475" s="15"/>
      <c r="U475" s="15"/>
      <c r="V475" s="15"/>
      <c r="W475" s="15"/>
      <c r="X475" s="14"/>
      <c r="Y475" s="14"/>
      <c r="Z475" s="15"/>
      <c r="AA475" s="3"/>
      <c r="AB475" s="3"/>
      <c r="AC475" s="3"/>
      <c r="AD475" s="3"/>
      <c r="AE475" s="3"/>
      <c r="AF475" s="3"/>
    </row>
    <row r="476" ht="15.75" customHeight="1">
      <c r="J476" s="15"/>
      <c r="K476" s="238"/>
      <c r="L476" s="15"/>
      <c r="M476" s="15"/>
      <c r="N476" s="15"/>
      <c r="O476" s="15"/>
      <c r="P476" s="15"/>
      <c r="Q476" s="15"/>
      <c r="R476" s="15"/>
      <c r="S476" s="15"/>
      <c r="T476" s="15"/>
      <c r="U476" s="15"/>
      <c r="V476" s="15"/>
      <c r="W476" s="15"/>
      <c r="X476" s="14"/>
      <c r="Y476" s="14"/>
      <c r="Z476" s="15"/>
      <c r="AA476" s="3"/>
      <c r="AB476" s="3"/>
      <c r="AC476" s="3"/>
      <c r="AD476" s="3"/>
      <c r="AE476" s="3"/>
      <c r="AF476" s="3"/>
    </row>
    <row r="477" ht="15.75" customHeight="1">
      <c r="J477" s="15"/>
      <c r="K477" s="238"/>
      <c r="L477" s="15"/>
      <c r="M477" s="15"/>
      <c r="N477" s="15"/>
      <c r="O477" s="15"/>
      <c r="P477" s="15"/>
      <c r="Q477" s="15"/>
      <c r="R477" s="15"/>
      <c r="S477" s="15"/>
      <c r="T477" s="15"/>
      <c r="U477" s="15"/>
      <c r="V477" s="15"/>
      <c r="W477" s="15"/>
      <c r="X477" s="14"/>
      <c r="Y477" s="14"/>
      <c r="Z477" s="15"/>
      <c r="AA477" s="3"/>
      <c r="AB477" s="3"/>
      <c r="AC477" s="3"/>
      <c r="AD477" s="3"/>
      <c r="AE477" s="3"/>
      <c r="AF477" s="3"/>
    </row>
    <row r="478" ht="15.75" customHeight="1">
      <c r="J478" s="15"/>
      <c r="K478" s="238"/>
      <c r="L478" s="15"/>
      <c r="M478" s="15"/>
      <c r="N478" s="15"/>
      <c r="O478" s="15"/>
      <c r="P478" s="15"/>
      <c r="Q478" s="15"/>
      <c r="R478" s="15"/>
      <c r="S478" s="15"/>
      <c r="T478" s="15"/>
      <c r="U478" s="15"/>
      <c r="V478" s="15"/>
      <c r="W478" s="15"/>
      <c r="X478" s="14"/>
      <c r="Y478" s="14"/>
      <c r="Z478" s="15"/>
      <c r="AA478" s="3"/>
      <c r="AB478" s="3"/>
      <c r="AC478" s="3"/>
      <c r="AD478" s="3"/>
      <c r="AE478" s="3"/>
      <c r="AF478" s="3"/>
    </row>
    <row r="479" ht="15.75" customHeight="1">
      <c r="J479" s="15"/>
      <c r="K479" s="238"/>
      <c r="L479" s="15"/>
      <c r="M479" s="15"/>
      <c r="N479" s="15"/>
      <c r="O479" s="15"/>
      <c r="P479" s="15"/>
      <c r="Q479" s="15"/>
      <c r="R479" s="15"/>
      <c r="S479" s="15"/>
      <c r="T479" s="15"/>
      <c r="U479" s="15"/>
      <c r="V479" s="15"/>
      <c r="W479" s="15"/>
      <c r="X479" s="14"/>
      <c r="Y479" s="14"/>
      <c r="Z479" s="15"/>
      <c r="AA479" s="3"/>
      <c r="AB479" s="3"/>
      <c r="AC479" s="3"/>
      <c r="AD479" s="3"/>
      <c r="AE479" s="3"/>
      <c r="AF479" s="3"/>
    </row>
    <row r="480" ht="15.75" customHeight="1">
      <c r="J480" s="15"/>
      <c r="K480" s="238"/>
      <c r="L480" s="15"/>
      <c r="M480" s="15"/>
      <c r="N480" s="15"/>
      <c r="O480" s="15"/>
      <c r="P480" s="15"/>
      <c r="Q480" s="15"/>
      <c r="R480" s="15"/>
      <c r="S480" s="15"/>
      <c r="T480" s="15"/>
      <c r="U480" s="15"/>
      <c r="V480" s="15"/>
      <c r="W480" s="15"/>
      <c r="X480" s="14"/>
      <c r="Y480" s="14"/>
      <c r="Z480" s="15"/>
      <c r="AA480" s="3"/>
      <c r="AB480" s="3"/>
      <c r="AC480" s="3"/>
      <c r="AD480" s="3"/>
      <c r="AE480" s="3"/>
      <c r="AF480" s="3"/>
    </row>
    <row r="481" ht="15.75" customHeight="1">
      <c r="J481" s="15"/>
      <c r="K481" s="238"/>
      <c r="L481" s="15"/>
      <c r="M481" s="15"/>
      <c r="N481" s="15"/>
      <c r="O481" s="15"/>
      <c r="P481" s="15"/>
      <c r="Q481" s="15"/>
      <c r="R481" s="15"/>
      <c r="S481" s="15"/>
      <c r="T481" s="15"/>
      <c r="U481" s="15"/>
      <c r="V481" s="15"/>
      <c r="W481" s="15"/>
      <c r="X481" s="14"/>
      <c r="Y481" s="14"/>
      <c r="Z481" s="15"/>
      <c r="AA481" s="3"/>
      <c r="AB481" s="3"/>
      <c r="AC481" s="3"/>
      <c r="AD481" s="3"/>
      <c r="AE481" s="3"/>
      <c r="AF481" s="3"/>
    </row>
    <row r="482" ht="15.75" customHeight="1">
      <c r="J482" s="15"/>
      <c r="K482" s="238"/>
      <c r="L482" s="15"/>
      <c r="M482" s="15"/>
      <c r="N482" s="15"/>
      <c r="O482" s="15"/>
      <c r="P482" s="15"/>
      <c r="Q482" s="15"/>
      <c r="R482" s="15"/>
      <c r="S482" s="15"/>
      <c r="T482" s="15"/>
      <c r="U482" s="15"/>
      <c r="V482" s="15"/>
      <c r="W482" s="15"/>
      <c r="X482" s="14"/>
      <c r="Y482" s="14"/>
      <c r="Z482" s="15"/>
      <c r="AA482" s="3"/>
      <c r="AB482" s="3"/>
      <c r="AC482" s="3"/>
      <c r="AD482" s="3"/>
      <c r="AE482" s="3"/>
      <c r="AF482" s="3"/>
    </row>
    <row r="483" ht="15.75" customHeight="1">
      <c r="J483" s="15"/>
      <c r="K483" s="238"/>
      <c r="L483" s="15"/>
      <c r="M483" s="15"/>
      <c r="N483" s="15"/>
      <c r="O483" s="15"/>
      <c r="P483" s="15"/>
      <c r="Q483" s="15"/>
      <c r="R483" s="15"/>
      <c r="S483" s="15"/>
      <c r="T483" s="15"/>
      <c r="U483" s="15"/>
      <c r="V483" s="15"/>
      <c r="W483" s="15"/>
      <c r="X483" s="14"/>
      <c r="Y483" s="14"/>
      <c r="Z483" s="15"/>
      <c r="AA483" s="3"/>
      <c r="AB483" s="3"/>
      <c r="AC483" s="3"/>
      <c r="AD483" s="3"/>
      <c r="AE483" s="3"/>
      <c r="AF483" s="3"/>
    </row>
    <row r="484" ht="15.75" customHeight="1">
      <c r="J484" s="15"/>
      <c r="K484" s="238"/>
      <c r="L484" s="15"/>
      <c r="M484" s="15"/>
      <c r="N484" s="15"/>
      <c r="O484" s="15"/>
      <c r="P484" s="15"/>
      <c r="Q484" s="15"/>
      <c r="R484" s="15"/>
      <c r="S484" s="15"/>
      <c r="T484" s="15"/>
      <c r="U484" s="15"/>
      <c r="V484" s="15"/>
      <c r="W484" s="15"/>
      <c r="X484" s="14"/>
      <c r="Y484" s="14"/>
      <c r="Z484" s="15"/>
      <c r="AA484" s="3"/>
      <c r="AB484" s="3"/>
      <c r="AC484" s="3"/>
      <c r="AD484" s="3"/>
      <c r="AE484" s="3"/>
      <c r="AF484" s="3"/>
    </row>
    <row r="485" ht="15.75" customHeight="1">
      <c r="J485" s="15"/>
      <c r="K485" s="238"/>
      <c r="L485" s="15"/>
      <c r="M485" s="15"/>
      <c r="N485" s="15"/>
      <c r="O485" s="15"/>
      <c r="P485" s="15"/>
      <c r="Q485" s="15"/>
      <c r="R485" s="15"/>
      <c r="S485" s="15"/>
      <c r="T485" s="15"/>
      <c r="U485" s="15"/>
      <c r="V485" s="15"/>
      <c r="W485" s="15"/>
      <c r="X485" s="14"/>
      <c r="Y485" s="14"/>
      <c r="Z485" s="15"/>
      <c r="AA485" s="3"/>
      <c r="AB485" s="3"/>
      <c r="AC485" s="3"/>
      <c r="AD485" s="3"/>
      <c r="AE485" s="3"/>
      <c r="AF485" s="3"/>
    </row>
    <row r="486" ht="15.75" customHeight="1">
      <c r="J486" s="15"/>
      <c r="K486" s="238"/>
      <c r="L486" s="15"/>
      <c r="M486" s="15"/>
      <c r="N486" s="15"/>
      <c r="O486" s="15"/>
      <c r="P486" s="15"/>
      <c r="Q486" s="15"/>
      <c r="R486" s="15"/>
      <c r="S486" s="15"/>
      <c r="T486" s="15"/>
      <c r="U486" s="15"/>
      <c r="V486" s="15"/>
      <c r="W486" s="15"/>
      <c r="X486" s="14"/>
      <c r="Y486" s="14"/>
      <c r="Z486" s="15"/>
      <c r="AA486" s="3"/>
      <c r="AB486" s="3"/>
      <c r="AC486" s="3"/>
      <c r="AD486" s="3"/>
      <c r="AE486" s="3"/>
      <c r="AF486" s="3"/>
    </row>
    <row r="487" ht="15.75" customHeight="1">
      <c r="J487" s="15"/>
      <c r="K487" s="238"/>
      <c r="L487" s="15"/>
      <c r="M487" s="15"/>
      <c r="N487" s="15"/>
      <c r="O487" s="15"/>
      <c r="P487" s="15"/>
      <c r="Q487" s="15"/>
      <c r="R487" s="15"/>
      <c r="S487" s="15"/>
      <c r="T487" s="15"/>
      <c r="U487" s="15"/>
      <c r="V487" s="15"/>
      <c r="W487" s="15"/>
      <c r="X487" s="14"/>
      <c r="Y487" s="14"/>
      <c r="Z487" s="15"/>
      <c r="AA487" s="3"/>
      <c r="AB487" s="3"/>
      <c r="AC487" s="3"/>
      <c r="AD487" s="3"/>
      <c r="AE487" s="3"/>
      <c r="AF487" s="3"/>
    </row>
    <row r="488" ht="15.75" customHeight="1">
      <c r="J488" s="15"/>
      <c r="K488" s="238"/>
      <c r="L488" s="15"/>
      <c r="M488" s="15"/>
      <c r="N488" s="15"/>
      <c r="O488" s="15"/>
      <c r="P488" s="15"/>
      <c r="Q488" s="15"/>
      <c r="R488" s="15"/>
      <c r="S488" s="15"/>
      <c r="T488" s="15"/>
      <c r="U488" s="15"/>
      <c r="V488" s="15"/>
      <c r="W488" s="15"/>
      <c r="X488" s="14"/>
      <c r="Y488" s="14"/>
      <c r="Z488" s="15"/>
      <c r="AA488" s="3"/>
      <c r="AB488" s="3"/>
      <c r="AC488" s="3"/>
      <c r="AD488" s="3"/>
      <c r="AE488" s="3"/>
      <c r="AF488" s="3"/>
    </row>
    <row r="489" ht="15.75" customHeight="1">
      <c r="J489" s="15"/>
      <c r="K489" s="238"/>
      <c r="L489" s="15"/>
      <c r="M489" s="15"/>
      <c r="N489" s="15"/>
      <c r="O489" s="15"/>
      <c r="P489" s="15"/>
      <c r="Q489" s="15"/>
      <c r="R489" s="15"/>
      <c r="S489" s="15"/>
      <c r="T489" s="15"/>
      <c r="U489" s="15"/>
      <c r="V489" s="15"/>
      <c r="W489" s="15"/>
      <c r="X489" s="14"/>
      <c r="Y489" s="14"/>
      <c r="Z489" s="15"/>
      <c r="AA489" s="3"/>
      <c r="AB489" s="3"/>
      <c r="AC489" s="3"/>
      <c r="AD489" s="3"/>
      <c r="AE489" s="3"/>
      <c r="AF489" s="3"/>
    </row>
    <row r="490" ht="15.75" customHeight="1">
      <c r="J490" s="15"/>
      <c r="K490" s="238"/>
      <c r="L490" s="15"/>
      <c r="M490" s="15"/>
      <c r="N490" s="15"/>
      <c r="O490" s="15"/>
      <c r="P490" s="15"/>
      <c r="Q490" s="15"/>
      <c r="R490" s="15"/>
      <c r="S490" s="15"/>
      <c r="T490" s="15"/>
      <c r="U490" s="15"/>
      <c r="V490" s="15"/>
      <c r="W490" s="15"/>
      <c r="X490" s="14"/>
      <c r="Y490" s="14"/>
      <c r="Z490" s="15"/>
      <c r="AA490" s="3"/>
      <c r="AB490" s="3"/>
      <c r="AC490" s="3"/>
      <c r="AD490" s="3"/>
      <c r="AE490" s="3"/>
      <c r="AF490" s="3"/>
    </row>
    <row r="491" ht="15.75" customHeight="1">
      <c r="J491" s="15"/>
      <c r="K491" s="238"/>
      <c r="L491" s="15"/>
      <c r="M491" s="15"/>
      <c r="N491" s="15"/>
      <c r="O491" s="15"/>
      <c r="P491" s="15"/>
      <c r="Q491" s="15"/>
      <c r="R491" s="15"/>
      <c r="S491" s="15"/>
      <c r="T491" s="15"/>
      <c r="U491" s="15"/>
      <c r="V491" s="15"/>
      <c r="W491" s="15"/>
      <c r="X491" s="14"/>
      <c r="Y491" s="14"/>
      <c r="Z491" s="15"/>
      <c r="AA491" s="3"/>
      <c r="AB491" s="3"/>
      <c r="AC491" s="3"/>
      <c r="AD491" s="3"/>
      <c r="AE491" s="3"/>
      <c r="AF491" s="3"/>
    </row>
    <row r="492" ht="15.75" customHeight="1">
      <c r="J492" s="15"/>
      <c r="K492" s="238"/>
      <c r="L492" s="15"/>
      <c r="M492" s="15"/>
      <c r="N492" s="15"/>
      <c r="O492" s="15"/>
      <c r="P492" s="15"/>
      <c r="Q492" s="15"/>
      <c r="R492" s="15"/>
      <c r="S492" s="15"/>
      <c r="T492" s="15"/>
      <c r="U492" s="15"/>
      <c r="V492" s="15"/>
      <c r="W492" s="15"/>
      <c r="X492" s="14"/>
      <c r="Y492" s="14"/>
      <c r="Z492" s="15"/>
      <c r="AA492" s="3"/>
      <c r="AB492" s="3"/>
      <c r="AC492" s="3"/>
      <c r="AD492" s="3"/>
      <c r="AE492" s="3"/>
      <c r="AF492" s="3"/>
    </row>
    <row r="493" ht="15.75" customHeight="1">
      <c r="J493" s="15"/>
      <c r="K493" s="238"/>
      <c r="L493" s="15"/>
      <c r="M493" s="15"/>
      <c r="N493" s="15"/>
      <c r="O493" s="15"/>
      <c r="P493" s="15"/>
      <c r="Q493" s="15"/>
      <c r="R493" s="15"/>
      <c r="S493" s="15"/>
      <c r="T493" s="15"/>
      <c r="U493" s="15"/>
      <c r="V493" s="15"/>
      <c r="W493" s="15"/>
      <c r="X493" s="14"/>
      <c r="Y493" s="14"/>
      <c r="Z493" s="15"/>
      <c r="AA493" s="3"/>
      <c r="AB493" s="3"/>
      <c r="AC493" s="3"/>
      <c r="AD493" s="3"/>
      <c r="AE493" s="3"/>
      <c r="AF493" s="3"/>
    </row>
    <row r="494" ht="15.75" customHeight="1">
      <c r="J494" s="15"/>
      <c r="K494" s="238"/>
      <c r="L494" s="15"/>
      <c r="M494" s="15"/>
      <c r="N494" s="15"/>
      <c r="O494" s="15"/>
      <c r="P494" s="15"/>
      <c r="Q494" s="15"/>
      <c r="R494" s="15"/>
      <c r="S494" s="15"/>
      <c r="T494" s="15"/>
      <c r="U494" s="15"/>
      <c r="V494" s="15"/>
      <c r="W494" s="15"/>
      <c r="X494" s="14"/>
      <c r="Y494" s="14"/>
      <c r="Z494" s="15"/>
      <c r="AA494" s="3"/>
      <c r="AB494" s="3"/>
      <c r="AC494" s="3"/>
      <c r="AD494" s="3"/>
      <c r="AE494" s="3"/>
      <c r="AF494" s="3"/>
    </row>
    <row r="495" ht="15.75" customHeight="1">
      <c r="J495" s="15"/>
      <c r="K495" s="238"/>
      <c r="L495" s="15"/>
      <c r="M495" s="15"/>
      <c r="N495" s="15"/>
      <c r="O495" s="15"/>
      <c r="P495" s="15"/>
      <c r="Q495" s="15"/>
      <c r="R495" s="15"/>
      <c r="S495" s="15"/>
      <c r="T495" s="15"/>
      <c r="U495" s="15"/>
      <c r="V495" s="15"/>
      <c r="W495" s="15"/>
      <c r="X495" s="14"/>
      <c r="Y495" s="14"/>
      <c r="Z495" s="15"/>
      <c r="AA495" s="3"/>
      <c r="AB495" s="3"/>
      <c r="AC495" s="3"/>
      <c r="AD495" s="3"/>
      <c r="AE495" s="3"/>
      <c r="AF495" s="3"/>
    </row>
    <row r="496" ht="15.75" customHeight="1">
      <c r="J496" s="15"/>
      <c r="K496" s="238"/>
      <c r="L496" s="15"/>
      <c r="M496" s="15"/>
      <c r="N496" s="15"/>
      <c r="O496" s="15"/>
      <c r="P496" s="15"/>
      <c r="Q496" s="15"/>
      <c r="R496" s="15"/>
      <c r="S496" s="15"/>
      <c r="T496" s="15"/>
      <c r="U496" s="15"/>
      <c r="V496" s="15"/>
      <c r="W496" s="15"/>
      <c r="X496" s="14"/>
      <c r="Y496" s="14"/>
      <c r="Z496" s="15"/>
      <c r="AA496" s="3"/>
      <c r="AB496" s="3"/>
      <c r="AC496" s="3"/>
      <c r="AD496" s="3"/>
      <c r="AE496" s="3"/>
      <c r="AF496" s="3"/>
    </row>
    <row r="497" ht="15.75" customHeight="1">
      <c r="J497" s="15"/>
      <c r="K497" s="238"/>
      <c r="L497" s="15"/>
      <c r="M497" s="15"/>
      <c r="N497" s="15"/>
      <c r="O497" s="15"/>
      <c r="P497" s="15"/>
      <c r="Q497" s="15"/>
      <c r="R497" s="15"/>
      <c r="S497" s="15"/>
      <c r="T497" s="15"/>
      <c r="U497" s="15"/>
      <c r="V497" s="15"/>
      <c r="W497" s="15"/>
      <c r="X497" s="14"/>
      <c r="Y497" s="14"/>
      <c r="Z497" s="15"/>
      <c r="AA497" s="3"/>
      <c r="AB497" s="3"/>
      <c r="AC497" s="3"/>
      <c r="AD497" s="3"/>
      <c r="AE497" s="3"/>
      <c r="AF497" s="3"/>
    </row>
    <row r="498" ht="15.75" customHeight="1">
      <c r="J498" s="15"/>
      <c r="K498" s="238"/>
      <c r="L498" s="15"/>
      <c r="M498" s="15"/>
      <c r="N498" s="15"/>
      <c r="O498" s="15"/>
      <c r="P498" s="15"/>
      <c r="Q498" s="15"/>
      <c r="R498" s="15"/>
      <c r="S498" s="15"/>
      <c r="T498" s="15"/>
      <c r="U498" s="15"/>
      <c r="V498" s="15"/>
      <c r="W498" s="15"/>
      <c r="X498" s="14"/>
      <c r="Y498" s="14"/>
      <c r="Z498" s="15"/>
      <c r="AA498" s="3"/>
      <c r="AB498" s="3"/>
      <c r="AC498" s="3"/>
      <c r="AD498" s="3"/>
      <c r="AE498" s="3"/>
      <c r="AF498" s="3"/>
    </row>
    <row r="499" ht="15.75" customHeight="1">
      <c r="J499" s="15"/>
      <c r="K499" s="238"/>
      <c r="L499" s="15"/>
      <c r="M499" s="15"/>
      <c r="N499" s="15"/>
      <c r="O499" s="15"/>
      <c r="P499" s="15"/>
      <c r="Q499" s="15"/>
      <c r="R499" s="15"/>
      <c r="S499" s="15"/>
      <c r="T499" s="15"/>
      <c r="U499" s="15"/>
      <c r="V499" s="15"/>
      <c r="W499" s="15"/>
      <c r="X499" s="14"/>
      <c r="Y499" s="14"/>
      <c r="Z499" s="15"/>
      <c r="AA499" s="3"/>
      <c r="AB499" s="3"/>
      <c r="AC499" s="3"/>
      <c r="AD499" s="3"/>
      <c r="AE499" s="3"/>
      <c r="AF499" s="3"/>
    </row>
    <row r="500" ht="15.75" customHeight="1">
      <c r="J500" s="15"/>
      <c r="K500" s="238"/>
      <c r="L500" s="15"/>
      <c r="M500" s="15"/>
      <c r="N500" s="15"/>
      <c r="O500" s="15"/>
      <c r="P500" s="15"/>
      <c r="Q500" s="15"/>
      <c r="R500" s="15"/>
      <c r="S500" s="15"/>
      <c r="T500" s="15"/>
      <c r="U500" s="15"/>
      <c r="V500" s="15"/>
      <c r="W500" s="15"/>
      <c r="X500" s="14"/>
      <c r="Y500" s="14"/>
      <c r="Z500" s="15"/>
      <c r="AA500" s="3"/>
      <c r="AB500" s="3"/>
      <c r="AC500" s="3"/>
      <c r="AD500" s="3"/>
      <c r="AE500" s="3"/>
      <c r="AF500" s="3"/>
    </row>
    <row r="501" ht="15.75" customHeight="1">
      <c r="J501" s="15"/>
      <c r="K501" s="238"/>
      <c r="L501" s="15"/>
      <c r="M501" s="15"/>
      <c r="N501" s="15"/>
      <c r="O501" s="15"/>
      <c r="P501" s="15"/>
      <c r="Q501" s="15"/>
      <c r="R501" s="15"/>
      <c r="S501" s="15"/>
      <c r="T501" s="15"/>
      <c r="U501" s="15"/>
      <c r="V501" s="15"/>
      <c r="W501" s="15"/>
      <c r="X501" s="14"/>
      <c r="Y501" s="14"/>
      <c r="Z501" s="15"/>
      <c r="AA501" s="3"/>
      <c r="AB501" s="3"/>
      <c r="AC501" s="3"/>
      <c r="AD501" s="3"/>
      <c r="AE501" s="3"/>
      <c r="AF501" s="3"/>
    </row>
    <row r="502" ht="15.75" customHeight="1">
      <c r="J502" s="15"/>
      <c r="K502" s="238"/>
      <c r="L502" s="15"/>
      <c r="M502" s="15"/>
      <c r="N502" s="15"/>
      <c r="O502" s="15"/>
      <c r="P502" s="15"/>
      <c r="Q502" s="15"/>
      <c r="R502" s="15"/>
      <c r="S502" s="15"/>
      <c r="T502" s="15"/>
      <c r="U502" s="15"/>
      <c r="V502" s="15"/>
      <c r="W502" s="15"/>
      <c r="X502" s="14"/>
      <c r="Y502" s="14"/>
      <c r="Z502" s="15"/>
      <c r="AA502" s="3"/>
      <c r="AB502" s="3"/>
      <c r="AC502" s="3"/>
      <c r="AD502" s="3"/>
      <c r="AE502" s="3"/>
      <c r="AF502" s="3"/>
    </row>
    <row r="503" ht="15.75" customHeight="1">
      <c r="J503" s="15"/>
      <c r="K503" s="238"/>
      <c r="L503" s="15"/>
      <c r="M503" s="15"/>
      <c r="N503" s="15"/>
      <c r="O503" s="15"/>
      <c r="P503" s="15"/>
      <c r="Q503" s="15"/>
      <c r="R503" s="15"/>
      <c r="S503" s="15"/>
      <c r="T503" s="15"/>
      <c r="U503" s="15"/>
      <c r="V503" s="15"/>
      <c r="W503" s="15"/>
      <c r="X503" s="14"/>
      <c r="Y503" s="14"/>
      <c r="Z503" s="15"/>
      <c r="AA503" s="3"/>
      <c r="AB503" s="3"/>
      <c r="AC503" s="3"/>
      <c r="AD503" s="3"/>
      <c r="AE503" s="3"/>
      <c r="AF503" s="3"/>
    </row>
    <row r="504" ht="15.75" customHeight="1">
      <c r="J504" s="15"/>
      <c r="K504" s="238"/>
      <c r="L504" s="15"/>
      <c r="M504" s="15"/>
      <c r="N504" s="15"/>
      <c r="O504" s="15"/>
      <c r="P504" s="15"/>
      <c r="Q504" s="15"/>
      <c r="R504" s="15"/>
      <c r="S504" s="15"/>
      <c r="T504" s="15"/>
      <c r="U504" s="15"/>
      <c r="V504" s="15"/>
      <c r="W504" s="15"/>
      <c r="X504" s="14"/>
      <c r="Y504" s="14"/>
      <c r="Z504" s="15"/>
      <c r="AA504" s="3"/>
      <c r="AB504" s="3"/>
      <c r="AC504" s="3"/>
      <c r="AD504" s="3"/>
      <c r="AE504" s="3"/>
      <c r="AF504" s="3"/>
    </row>
    <row r="505" ht="15.75" customHeight="1">
      <c r="J505" s="15"/>
      <c r="K505" s="238"/>
      <c r="L505" s="15"/>
      <c r="M505" s="15"/>
      <c r="N505" s="15"/>
      <c r="O505" s="15"/>
      <c r="P505" s="15"/>
      <c r="Q505" s="15"/>
      <c r="R505" s="15"/>
      <c r="S505" s="15"/>
      <c r="T505" s="15"/>
      <c r="U505" s="15"/>
      <c r="V505" s="15"/>
      <c r="W505" s="15"/>
      <c r="X505" s="14"/>
      <c r="Y505" s="14"/>
      <c r="Z505" s="15"/>
      <c r="AA505" s="3"/>
      <c r="AB505" s="3"/>
      <c r="AC505" s="3"/>
      <c r="AD505" s="3"/>
      <c r="AE505" s="3"/>
      <c r="AF505" s="3"/>
    </row>
    <row r="506" ht="15.75" customHeight="1">
      <c r="J506" s="15"/>
      <c r="K506" s="238"/>
      <c r="L506" s="15"/>
      <c r="M506" s="15"/>
      <c r="N506" s="15"/>
      <c r="O506" s="15"/>
      <c r="P506" s="15"/>
      <c r="Q506" s="15"/>
      <c r="R506" s="15"/>
      <c r="S506" s="15"/>
      <c r="T506" s="15"/>
      <c r="U506" s="15"/>
      <c r="V506" s="15"/>
      <c r="W506" s="15"/>
      <c r="X506" s="14"/>
      <c r="Y506" s="14"/>
      <c r="Z506" s="15"/>
      <c r="AA506" s="3"/>
      <c r="AB506" s="3"/>
      <c r="AC506" s="3"/>
      <c r="AD506" s="3"/>
      <c r="AE506" s="3"/>
      <c r="AF506" s="3"/>
    </row>
    <row r="507" ht="15.75" customHeight="1">
      <c r="J507" s="15"/>
      <c r="K507" s="238"/>
      <c r="L507" s="15"/>
      <c r="M507" s="15"/>
      <c r="N507" s="15"/>
      <c r="O507" s="15"/>
      <c r="P507" s="15"/>
      <c r="Q507" s="15"/>
      <c r="R507" s="15"/>
      <c r="S507" s="15"/>
      <c r="T507" s="15"/>
      <c r="U507" s="15"/>
      <c r="V507" s="15"/>
      <c r="W507" s="15"/>
      <c r="X507" s="14"/>
      <c r="Y507" s="14"/>
      <c r="Z507" s="15"/>
      <c r="AA507" s="3"/>
      <c r="AB507" s="3"/>
      <c r="AC507" s="3"/>
      <c r="AD507" s="3"/>
      <c r="AE507" s="3"/>
      <c r="AF507" s="3"/>
    </row>
    <row r="508" ht="15.75" customHeight="1">
      <c r="J508" s="15"/>
      <c r="K508" s="238"/>
      <c r="L508" s="15"/>
      <c r="M508" s="15"/>
      <c r="N508" s="15"/>
      <c r="O508" s="15"/>
      <c r="P508" s="15"/>
      <c r="Q508" s="15"/>
      <c r="R508" s="15"/>
      <c r="S508" s="15"/>
      <c r="T508" s="15"/>
      <c r="U508" s="15"/>
      <c r="V508" s="15"/>
      <c r="W508" s="15"/>
      <c r="X508" s="14"/>
      <c r="Y508" s="14"/>
      <c r="Z508" s="15"/>
      <c r="AA508" s="3"/>
      <c r="AB508" s="3"/>
      <c r="AC508" s="3"/>
      <c r="AD508" s="3"/>
      <c r="AE508" s="3"/>
      <c r="AF508" s="3"/>
    </row>
    <row r="509" ht="15.75" customHeight="1">
      <c r="J509" s="15"/>
      <c r="K509" s="238"/>
      <c r="L509" s="15"/>
      <c r="M509" s="15"/>
      <c r="N509" s="15"/>
      <c r="O509" s="15"/>
      <c r="P509" s="15"/>
      <c r="Q509" s="15"/>
      <c r="R509" s="15"/>
      <c r="S509" s="15"/>
      <c r="T509" s="15"/>
      <c r="U509" s="15"/>
      <c r="V509" s="15"/>
      <c r="W509" s="15"/>
      <c r="X509" s="14"/>
      <c r="Y509" s="14"/>
      <c r="Z509" s="15"/>
      <c r="AA509" s="3"/>
      <c r="AB509" s="3"/>
      <c r="AC509" s="3"/>
      <c r="AD509" s="3"/>
      <c r="AE509" s="3"/>
      <c r="AF509" s="3"/>
    </row>
    <row r="510" ht="15.75" customHeight="1">
      <c r="J510" s="15"/>
      <c r="K510" s="238"/>
      <c r="L510" s="15"/>
      <c r="M510" s="15"/>
      <c r="N510" s="15"/>
      <c r="O510" s="15"/>
      <c r="P510" s="15"/>
      <c r="Q510" s="15"/>
      <c r="R510" s="15"/>
      <c r="S510" s="15"/>
      <c r="T510" s="15"/>
      <c r="U510" s="15"/>
      <c r="V510" s="15"/>
      <c r="W510" s="15"/>
      <c r="X510" s="14"/>
      <c r="Y510" s="14"/>
      <c r="Z510" s="15"/>
      <c r="AA510" s="3"/>
      <c r="AB510" s="3"/>
      <c r="AC510" s="3"/>
      <c r="AD510" s="3"/>
      <c r="AE510" s="3"/>
      <c r="AF510" s="3"/>
    </row>
    <row r="511" ht="15.75" customHeight="1">
      <c r="J511" s="15"/>
      <c r="K511" s="238"/>
      <c r="L511" s="15"/>
      <c r="M511" s="15"/>
      <c r="N511" s="15"/>
      <c r="O511" s="15"/>
      <c r="P511" s="15"/>
      <c r="Q511" s="15"/>
      <c r="R511" s="15"/>
      <c r="S511" s="15"/>
      <c r="T511" s="15"/>
      <c r="U511" s="15"/>
      <c r="V511" s="15"/>
      <c r="W511" s="15"/>
      <c r="X511" s="14"/>
      <c r="Y511" s="14"/>
      <c r="Z511" s="15"/>
      <c r="AA511" s="3"/>
      <c r="AB511" s="3"/>
      <c r="AC511" s="3"/>
      <c r="AD511" s="3"/>
      <c r="AE511" s="3"/>
      <c r="AF511" s="3"/>
    </row>
    <row r="512" ht="15.75" customHeight="1">
      <c r="J512" s="15"/>
      <c r="K512" s="238"/>
      <c r="L512" s="15"/>
      <c r="M512" s="15"/>
      <c r="N512" s="15"/>
      <c r="O512" s="15"/>
      <c r="P512" s="15"/>
      <c r="Q512" s="15"/>
      <c r="R512" s="15"/>
      <c r="S512" s="15"/>
      <c r="T512" s="15"/>
      <c r="U512" s="15"/>
      <c r="V512" s="15"/>
      <c r="W512" s="15"/>
      <c r="X512" s="14"/>
      <c r="Y512" s="14"/>
      <c r="Z512" s="15"/>
      <c r="AA512" s="3"/>
      <c r="AB512" s="3"/>
      <c r="AC512" s="3"/>
      <c r="AD512" s="3"/>
      <c r="AE512" s="3"/>
      <c r="AF512" s="3"/>
    </row>
    <row r="513" ht="15.75" customHeight="1">
      <c r="J513" s="15"/>
      <c r="K513" s="238"/>
      <c r="L513" s="15"/>
      <c r="M513" s="15"/>
      <c r="N513" s="15"/>
      <c r="O513" s="15"/>
      <c r="P513" s="15"/>
      <c r="Q513" s="15"/>
      <c r="R513" s="15"/>
      <c r="S513" s="15"/>
      <c r="T513" s="15"/>
      <c r="U513" s="15"/>
      <c r="V513" s="15"/>
      <c r="W513" s="15"/>
      <c r="X513" s="14"/>
      <c r="Y513" s="14"/>
      <c r="Z513" s="15"/>
      <c r="AA513" s="3"/>
      <c r="AB513" s="3"/>
      <c r="AC513" s="3"/>
      <c r="AD513" s="3"/>
      <c r="AE513" s="3"/>
      <c r="AF513" s="3"/>
    </row>
    <row r="514" ht="15.75" customHeight="1">
      <c r="J514" s="15"/>
      <c r="K514" s="238"/>
      <c r="L514" s="15"/>
      <c r="M514" s="15"/>
      <c r="N514" s="15"/>
      <c r="O514" s="15"/>
      <c r="P514" s="15"/>
      <c r="Q514" s="15"/>
      <c r="R514" s="15"/>
      <c r="S514" s="15"/>
      <c r="T514" s="15"/>
      <c r="U514" s="15"/>
      <c r="V514" s="15"/>
      <c r="W514" s="15"/>
      <c r="X514" s="14"/>
      <c r="Y514" s="14"/>
      <c r="Z514" s="15"/>
      <c r="AA514" s="3"/>
      <c r="AB514" s="3"/>
      <c r="AC514" s="3"/>
      <c r="AD514" s="3"/>
      <c r="AE514" s="3"/>
      <c r="AF514" s="3"/>
    </row>
    <row r="515" ht="15.75" customHeight="1">
      <c r="J515" s="15"/>
      <c r="K515" s="238"/>
      <c r="L515" s="15"/>
      <c r="M515" s="15"/>
      <c r="N515" s="15"/>
      <c r="O515" s="15"/>
      <c r="P515" s="15"/>
      <c r="Q515" s="15"/>
      <c r="R515" s="15"/>
      <c r="S515" s="15"/>
      <c r="T515" s="15"/>
      <c r="U515" s="15"/>
      <c r="V515" s="15"/>
      <c r="W515" s="15"/>
      <c r="X515" s="14"/>
      <c r="Y515" s="14"/>
      <c r="Z515" s="15"/>
      <c r="AA515" s="3"/>
      <c r="AB515" s="3"/>
      <c r="AC515" s="3"/>
      <c r="AD515" s="3"/>
      <c r="AE515" s="3"/>
      <c r="AF515" s="3"/>
    </row>
    <row r="516" ht="15.75" customHeight="1">
      <c r="J516" s="15"/>
      <c r="K516" s="238"/>
      <c r="L516" s="15"/>
      <c r="M516" s="15"/>
      <c r="N516" s="15"/>
      <c r="O516" s="15"/>
      <c r="P516" s="15"/>
      <c r="Q516" s="15"/>
      <c r="R516" s="15"/>
      <c r="S516" s="15"/>
      <c r="T516" s="15"/>
      <c r="U516" s="15"/>
      <c r="V516" s="15"/>
      <c r="W516" s="15"/>
      <c r="X516" s="14"/>
      <c r="Y516" s="14"/>
      <c r="Z516" s="15"/>
      <c r="AA516" s="3"/>
      <c r="AB516" s="3"/>
      <c r="AC516" s="3"/>
      <c r="AD516" s="3"/>
      <c r="AE516" s="3"/>
      <c r="AF516" s="3"/>
    </row>
    <row r="517" ht="15.75" customHeight="1">
      <c r="J517" s="15"/>
      <c r="K517" s="238"/>
      <c r="L517" s="15"/>
      <c r="M517" s="15"/>
      <c r="N517" s="15"/>
      <c r="O517" s="15"/>
      <c r="P517" s="15"/>
      <c r="Q517" s="15"/>
      <c r="R517" s="15"/>
      <c r="S517" s="15"/>
      <c r="T517" s="15"/>
      <c r="U517" s="15"/>
      <c r="V517" s="15"/>
      <c r="W517" s="15"/>
      <c r="X517" s="14"/>
      <c r="Y517" s="14"/>
      <c r="Z517" s="15"/>
      <c r="AA517" s="3"/>
      <c r="AB517" s="3"/>
      <c r="AC517" s="3"/>
      <c r="AD517" s="3"/>
      <c r="AE517" s="3"/>
      <c r="AF517" s="3"/>
    </row>
    <row r="518" ht="15.75" customHeight="1">
      <c r="J518" s="15"/>
      <c r="K518" s="238"/>
      <c r="L518" s="15"/>
      <c r="M518" s="15"/>
      <c r="N518" s="15"/>
      <c r="O518" s="15"/>
      <c r="P518" s="15"/>
      <c r="Q518" s="15"/>
      <c r="R518" s="15"/>
      <c r="S518" s="15"/>
      <c r="T518" s="15"/>
      <c r="U518" s="15"/>
      <c r="V518" s="15"/>
      <c r="W518" s="15"/>
      <c r="X518" s="14"/>
      <c r="Y518" s="14"/>
      <c r="Z518" s="15"/>
      <c r="AA518" s="3"/>
      <c r="AB518" s="3"/>
      <c r="AC518" s="3"/>
      <c r="AD518" s="3"/>
      <c r="AE518" s="3"/>
      <c r="AF518" s="3"/>
    </row>
    <row r="519" ht="15.75" customHeight="1">
      <c r="J519" s="15"/>
      <c r="K519" s="238"/>
      <c r="L519" s="15"/>
      <c r="M519" s="15"/>
      <c r="N519" s="15"/>
      <c r="O519" s="15"/>
      <c r="P519" s="15"/>
      <c r="Q519" s="15"/>
      <c r="R519" s="15"/>
      <c r="S519" s="15"/>
      <c r="T519" s="15"/>
      <c r="U519" s="15"/>
      <c r="V519" s="15"/>
      <c r="W519" s="15"/>
      <c r="X519" s="14"/>
      <c r="Y519" s="14"/>
      <c r="Z519" s="15"/>
      <c r="AA519" s="3"/>
      <c r="AB519" s="3"/>
      <c r="AC519" s="3"/>
      <c r="AD519" s="3"/>
      <c r="AE519" s="3"/>
      <c r="AF519" s="3"/>
    </row>
    <row r="520" ht="15.75" customHeight="1">
      <c r="J520" s="15"/>
      <c r="K520" s="238"/>
      <c r="L520" s="15"/>
      <c r="M520" s="15"/>
      <c r="N520" s="15"/>
      <c r="O520" s="15"/>
      <c r="P520" s="15"/>
      <c r="Q520" s="15"/>
      <c r="R520" s="15"/>
      <c r="S520" s="15"/>
      <c r="T520" s="15"/>
      <c r="U520" s="15"/>
      <c r="V520" s="15"/>
      <c r="W520" s="15"/>
      <c r="X520" s="14"/>
      <c r="Y520" s="14"/>
      <c r="Z520" s="15"/>
      <c r="AA520" s="3"/>
      <c r="AB520" s="3"/>
      <c r="AC520" s="3"/>
      <c r="AD520" s="3"/>
      <c r="AE520" s="3"/>
      <c r="AF520" s="3"/>
    </row>
    <row r="521" ht="15.75" customHeight="1">
      <c r="J521" s="15"/>
      <c r="K521" s="238"/>
      <c r="L521" s="15"/>
      <c r="M521" s="15"/>
      <c r="N521" s="15"/>
      <c r="O521" s="15"/>
      <c r="P521" s="15"/>
      <c r="Q521" s="15"/>
      <c r="R521" s="15"/>
      <c r="S521" s="15"/>
      <c r="T521" s="15"/>
      <c r="U521" s="15"/>
      <c r="V521" s="15"/>
      <c r="W521" s="15"/>
      <c r="X521" s="14"/>
      <c r="Y521" s="14"/>
      <c r="Z521" s="15"/>
      <c r="AA521" s="3"/>
      <c r="AB521" s="3"/>
      <c r="AC521" s="3"/>
      <c r="AD521" s="3"/>
      <c r="AE521" s="3"/>
      <c r="AF521" s="3"/>
    </row>
    <row r="522" ht="15.75" customHeight="1">
      <c r="J522" s="15"/>
      <c r="K522" s="238"/>
      <c r="L522" s="15"/>
      <c r="M522" s="15"/>
      <c r="N522" s="15"/>
      <c r="O522" s="15"/>
      <c r="P522" s="15"/>
      <c r="Q522" s="15"/>
      <c r="R522" s="15"/>
      <c r="S522" s="15"/>
      <c r="T522" s="15"/>
      <c r="U522" s="15"/>
      <c r="V522" s="15"/>
      <c r="W522" s="15"/>
      <c r="X522" s="14"/>
      <c r="Y522" s="14"/>
      <c r="Z522" s="15"/>
      <c r="AA522" s="3"/>
      <c r="AB522" s="3"/>
      <c r="AC522" s="3"/>
      <c r="AD522" s="3"/>
      <c r="AE522" s="3"/>
      <c r="AF522" s="3"/>
    </row>
    <row r="523" ht="15.75" customHeight="1">
      <c r="J523" s="15"/>
      <c r="K523" s="238"/>
      <c r="L523" s="15"/>
      <c r="M523" s="15"/>
      <c r="N523" s="15"/>
      <c r="O523" s="15"/>
      <c r="P523" s="15"/>
      <c r="Q523" s="15"/>
      <c r="R523" s="15"/>
      <c r="S523" s="15"/>
      <c r="T523" s="15"/>
      <c r="U523" s="15"/>
      <c r="V523" s="15"/>
      <c r="W523" s="15"/>
      <c r="X523" s="14"/>
      <c r="Y523" s="14"/>
      <c r="Z523" s="15"/>
      <c r="AA523" s="3"/>
      <c r="AB523" s="3"/>
      <c r="AC523" s="3"/>
      <c r="AD523" s="3"/>
      <c r="AE523" s="3"/>
      <c r="AF523" s="3"/>
    </row>
    <row r="524" ht="15.75" customHeight="1">
      <c r="J524" s="15"/>
      <c r="K524" s="238"/>
      <c r="L524" s="15"/>
      <c r="M524" s="15"/>
      <c r="N524" s="15"/>
      <c r="O524" s="15"/>
      <c r="P524" s="15"/>
      <c r="Q524" s="15"/>
      <c r="R524" s="15"/>
      <c r="S524" s="15"/>
      <c r="T524" s="15"/>
      <c r="U524" s="15"/>
      <c r="V524" s="15"/>
      <c r="W524" s="15"/>
      <c r="X524" s="14"/>
      <c r="Y524" s="14"/>
      <c r="Z524" s="15"/>
      <c r="AA524" s="3"/>
      <c r="AB524" s="3"/>
      <c r="AC524" s="3"/>
      <c r="AD524" s="3"/>
      <c r="AE524" s="3"/>
      <c r="AF524" s="3"/>
    </row>
    <row r="525" ht="15.75" customHeight="1">
      <c r="J525" s="15"/>
      <c r="K525" s="238"/>
      <c r="L525" s="15"/>
      <c r="M525" s="15"/>
      <c r="N525" s="15"/>
      <c r="O525" s="15"/>
      <c r="P525" s="15"/>
      <c r="Q525" s="15"/>
      <c r="R525" s="15"/>
      <c r="S525" s="15"/>
      <c r="T525" s="15"/>
      <c r="U525" s="15"/>
      <c r="V525" s="15"/>
      <c r="W525" s="15"/>
      <c r="X525" s="14"/>
      <c r="Y525" s="14"/>
      <c r="Z525" s="15"/>
      <c r="AA525" s="3"/>
      <c r="AB525" s="3"/>
      <c r="AC525" s="3"/>
      <c r="AD525" s="3"/>
      <c r="AE525" s="3"/>
      <c r="AF525" s="3"/>
    </row>
    <row r="526" ht="15.75" customHeight="1">
      <c r="J526" s="15"/>
      <c r="K526" s="238"/>
      <c r="L526" s="15"/>
      <c r="M526" s="15"/>
      <c r="N526" s="15"/>
      <c r="O526" s="15"/>
      <c r="P526" s="15"/>
      <c r="Q526" s="15"/>
      <c r="R526" s="15"/>
      <c r="S526" s="15"/>
      <c r="T526" s="15"/>
      <c r="U526" s="15"/>
      <c r="V526" s="15"/>
      <c r="W526" s="15"/>
      <c r="X526" s="14"/>
      <c r="Y526" s="14"/>
      <c r="Z526" s="15"/>
      <c r="AA526" s="3"/>
      <c r="AB526" s="3"/>
      <c r="AC526" s="3"/>
      <c r="AD526" s="3"/>
      <c r="AE526" s="3"/>
      <c r="AF526" s="3"/>
    </row>
    <row r="527" ht="15.75" customHeight="1">
      <c r="J527" s="15"/>
      <c r="K527" s="238"/>
      <c r="L527" s="15"/>
      <c r="M527" s="15"/>
      <c r="N527" s="15"/>
      <c r="O527" s="15"/>
      <c r="P527" s="15"/>
      <c r="Q527" s="15"/>
      <c r="R527" s="15"/>
      <c r="S527" s="15"/>
      <c r="T527" s="15"/>
      <c r="U527" s="15"/>
      <c r="V527" s="15"/>
      <c r="W527" s="15"/>
      <c r="X527" s="14"/>
      <c r="Y527" s="14"/>
      <c r="Z527" s="15"/>
      <c r="AA527" s="3"/>
      <c r="AB527" s="3"/>
      <c r="AC527" s="3"/>
      <c r="AD527" s="3"/>
      <c r="AE527" s="3"/>
      <c r="AF527" s="3"/>
    </row>
    <row r="528" ht="15.75" customHeight="1">
      <c r="J528" s="15"/>
      <c r="K528" s="238"/>
      <c r="L528" s="15"/>
      <c r="M528" s="15"/>
      <c r="N528" s="15"/>
      <c r="O528" s="15"/>
      <c r="P528" s="15"/>
      <c r="Q528" s="15"/>
      <c r="R528" s="15"/>
      <c r="S528" s="15"/>
      <c r="T528" s="15"/>
      <c r="U528" s="15"/>
      <c r="V528" s="15"/>
      <c r="W528" s="15"/>
      <c r="X528" s="14"/>
      <c r="Y528" s="14"/>
      <c r="Z528" s="15"/>
      <c r="AA528" s="3"/>
      <c r="AB528" s="3"/>
      <c r="AC528" s="3"/>
      <c r="AD528" s="3"/>
      <c r="AE528" s="3"/>
      <c r="AF528" s="3"/>
    </row>
    <row r="529" ht="15.75" customHeight="1">
      <c r="J529" s="15"/>
      <c r="K529" s="238"/>
      <c r="L529" s="15"/>
      <c r="M529" s="15"/>
      <c r="N529" s="15"/>
      <c r="O529" s="15"/>
      <c r="P529" s="15"/>
      <c r="Q529" s="15"/>
      <c r="R529" s="15"/>
      <c r="S529" s="15"/>
      <c r="T529" s="15"/>
      <c r="U529" s="15"/>
      <c r="V529" s="15"/>
      <c r="W529" s="15"/>
      <c r="X529" s="14"/>
      <c r="Y529" s="14"/>
      <c r="Z529" s="15"/>
      <c r="AA529" s="3"/>
      <c r="AB529" s="3"/>
      <c r="AC529" s="3"/>
      <c r="AD529" s="3"/>
      <c r="AE529" s="3"/>
      <c r="AF529" s="3"/>
    </row>
    <row r="530" ht="15.75" customHeight="1">
      <c r="J530" s="15"/>
      <c r="K530" s="238"/>
      <c r="L530" s="15"/>
      <c r="M530" s="15"/>
      <c r="N530" s="15"/>
      <c r="O530" s="15"/>
      <c r="P530" s="15"/>
      <c r="Q530" s="15"/>
      <c r="R530" s="15"/>
      <c r="S530" s="15"/>
      <c r="T530" s="15"/>
      <c r="U530" s="15"/>
      <c r="V530" s="15"/>
      <c r="W530" s="15"/>
      <c r="X530" s="14"/>
      <c r="Y530" s="14"/>
      <c r="Z530" s="15"/>
      <c r="AA530" s="3"/>
      <c r="AB530" s="3"/>
      <c r="AC530" s="3"/>
      <c r="AD530" s="3"/>
      <c r="AE530" s="3"/>
      <c r="AF530" s="3"/>
    </row>
    <row r="531" ht="15.75" customHeight="1">
      <c r="J531" s="15"/>
      <c r="K531" s="238"/>
      <c r="L531" s="15"/>
      <c r="M531" s="15"/>
      <c r="N531" s="15"/>
      <c r="O531" s="15"/>
      <c r="P531" s="15"/>
      <c r="Q531" s="15"/>
      <c r="R531" s="15"/>
      <c r="S531" s="15"/>
      <c r="T531" s="15"/>
      <c r="U531" s="15"/>
      <c r="V531" s="15"/>
      <c r="W531" s="15"/>
      <c r="X531" s="14"/>
      <c r="Y531" s="14"/>
      <c r="Z531" s="15"/>
      <c r="AA531" s="3"/>
      <c r="AB531" s="3"/>
      <c r="AC531" s="3"/>
      <c r="AD531" s="3"/>
      <c r="AE531" s="3"/>
      <c r="AF531" s="3"/>
    </row>
    <row r="532" ht="15.75" customHeight="1">
      <c r="J532" s="15"/>
      <c r="K532" s="238"/>
      <c r="L532" s="15"/>
      <c r="M532" s="15"/>
      <c r="N532" s="15"/>
      <c r="O532" s="15"/>
      <c r="P532" s="15"/>
      <c r="Q532" s="15"/>
      <c r="R532" s="15"/>
      <c r="S532" s="15"/>
      <c r="T532" s="15"/>
      <c r="U532" s="15"/>
      <c r="V532" s="15"/>
      <c r="W532" s="15"/>
      <c r="X532" s="14"/>
      <c r="Y532" s="14"/>
      <c r="Z532" s="15"/>
      <c r="AA532" s="3"/>
      <c r="AB532" s="3"/>
      <c r="AC532" s="3"/>
      <c r="AD532" s="3"/>
      <c r="AE532" s="3"/>
      <c r="AF532" s="3"/>
    </row>
    <row r="533" ht="15.75" customHeight="1">
      <c r="J533" s="15"/>
      <c r="K533" s="238"/>
      <c r="L533" s="15"/>
      <c r="M533" s="15"/>
      <c r="N533" s="15"/>
      <c r="O533" s="15"/>
      <c r="P533" s="15"/>
      <c r="Q533" s="15"/>
      <c r="R533" s="15"/>
      <c r="S533" s="15"/>
      <c r="T533" s="15"/>
      <c r="U533" s="15"/>
      <c r="V533" s="15"/>
      <c r="W533" s="15"/>
      <c r="X533" s="14"/>
      <c r="Y533" s="14"/>
      <c r="Z533" s="15"/>
      <c r="AA533" s="3"/>
      <c r="AB533" s="3"/>
      <c r="AC533" s="3"/>
      <c r="AD533" s="3"/>
      <c r="AE533" s="3"/>
      <c r="AF533" s="3"/>
    </row>
    <row r="534" ht="15.75" customHeight="1">
      <c r="J534" s="15"/>
      <c r="K534" s="238"/>
      <c r="L534" s="15"/>
      <c r="M534" s="15"/>
      <c r="N534" s="15"/>
      <c r="O534" s="15"/>
      <c r="P534" s="15"/>
      <c r="Q534" s="15"/>
      <c r="R534" s="15"/>
      <c r="S534" s="15"/>
      <c r="T534" s="15"/>
      <c r="U534" s="15"/>
      <c r="V534" s="15"/>
      <c r="W534" s="15"/>
      <c r="X534" s="14"/>
      <c r="Y534" s="14"/>
      <c r="Z534" s="15"/>
      <c r="AA534" s="3"/>
      <c r="AB534" s="3"/>
      <c r="AC534" s="3"/>
      <c r="AD534" s="3"/>
      <c r="AE534" s="3"/>
      <c r="AF534" s="3"/>
    </row>
    <row r="535" ht="15.75" customHeight="1">
      <c r="J535" s="15"/>
      <c r="K535" s="238"/>
      <c r="L535" s="15"/>
      <c r="M535" s="15"/>
      <c r="N535" s="15"/>
      <c r="O535" s="15"/>
      <c r="P535" s="15"/>
      <c r="Q535" s="15"/>
      <c r="R535" s="15"/>
      <c r="S535" s="15"/>
      <c r="T535" s="15"/>
      <c r="U535" s="15"/>
      <c r="V535" s="15"/>
      <c r="W535" s="15"/>
      <c r="X535" s="14"/>
      <c r="Y535" s="14"/>
      <c r="Z535" s="15"/>
      <c r="AA535" s="3"/>
      <c r="AB535" s="3"/>
      <c r="AC535" s="3"/>
      <c r="AD535" s="3"/>
      <c r="AE535" s="3"/>
      <c r="AF535" s="3"/>
    </row>
    <row r="536" ht="15.75" customHeight="1">
      <c r="J536" s="15"/>
      <c r="K536" s="238"/>
      <c r="L536" s="15"/>
      <c r="M536" s="15"/>
      <c r="N536" s="15"/>
      <c r="O536" s="15"/>
      <c r="P536" s="15"/>
      <c r="Q536" s="15"/>
      <c r="R536" s="15"/>
      <c r="S536" s="15"/>
      <c r="T536" s="15"/>
      <c r="U536" s="15"/>
      <c r="V536" s="15"/>
      <c r="W536" s="15"/>
      <c r="X536" s="14"/>
      <c r="Y536" s="14"/>
      <c r="Z536" s="15"/>
      <c r="AA536" s="3"/>
      <c r="AB536" s="3"/>
      <c r="AC536" s="3"/>
      <c r="AD536" s="3"/>
      <c r="AE536" s="3"/>
      <c r="AF536" s="3"/>
    </row>
    <row r="537" ht="15.75" customHeight="1">
      <c r="J537" s="15"/>
      <c r="K537" s="238"/>
      <c r="L537" s="15"/>
      <c r="M537" s="15"/>
      <c r="N537" s="15"/>
      <c r="O537" s="15"/>
      <c r="P537" s="15"/>
      <c r="Q537" s="15"/>
      <c r="R537" s="15"/>
      <c r="S537" s="15"/>
      <c r="T537" s="15"/>
      <c r="U537" s="15"/>
      <c r="V537" s="15"/>
      <c r="W537" s="15"/>
      <c r="X537" s="14"/>
      <c r="Y537" s="14"/>
      <c r="Z537" s="15"/>
      <c r="AA537" s="3"/>
      <c r="AB537" s="3"/>
      <c r="AC537" s="3"/>
      <c r="AD537" s="3"/>
      <c r="AE537" s="3"/>
      <c r="AF537" s="3"/>
    </row>
    <row r="538" ht="15.75" customHeight="1">
      <c r="J538" s="15"/>
      <c r="K538" s="238"/>
      <c r="L538" s="15"/>
      <c r="M538" s="15"/>
      <c r="N538" s="15"/>
      <c r="O538" s="15"/>
      <c r="P538" s="15"/>
      <c r="Q538" s="15"/>
      <c r="R538" s="15"/>
      <c r="S538" s="15"/>
      <c r="T538" s="15"/>
      <c r="U538" s="15"/>
      <c r="V538" s="15"/>
      <c r="W538" s="15"/>
      <c r="X538" s="14"/>
      <c r="Y538" s="14"/>
      <c r="Z538" s="15"/>
      <c r="AA538" s="3"/>
      <c r="AB538" s="3"/>
      <c r="AC538" s="3"/>
      <c r="AD538" s="3"/>
      <c r="AE538" s="3"/>
      <c r="AF538" s="3"/>
    </row>
    <row r="539" ht="15.75" customHeight="1">
      <c r="J539" s="15"/>
      <c r="K539" s="238"/>
      <c r="L539" s="15"/>
      <c r="M539" s="15"/>
      <c r="N539" s="15"/>
      <c r="O539" s="15"/>
      <c r="P539" s="15"/>
      <c r="Q539" s="15"/>
      <c r="R539" s="15"/>
      <c r="S539" s="15"/>
      <c r="T539" s="15"/>
      <c r="U539" s="15"/>
      <c r="V539" s="15"/>
      <c r="W539" s="15"/>
      <c r="X539" s="14"/>
      <c r="Y539" s="14"/>
      <c r="Z539" s="15"/>
      <c r="AA539" s="3"/>
      <c r="AB539" s="3"/>
      <c r="AC539" s="3"/>
      <c r="AD539" s="3"/>
      <c r="AE539" s="3"/>
      <c r="AF539" s="3"/>
    </row>
    <row r="540" ht="15.75" customHeight="1">
      <c r="J540" s="15"/>
      <c r="K540" s="238"/>
      <c r="L540" s="15"/>
      <c r="M540" s="15"/>
      <c r="N540" s="15"/>
      <c r="O540" s="15"/>
      <c r="P540" s="15"/>
      <c r="Q540" s="15"/>
      <c r="R540" s="15"/>
      <c r="S540" s="15"/>
      <c r="T540" s="15"/>
      <c r="U540" s="15"/>
      <c r="V540" s="15"/>
      <c r="W540" s="15"/>
      <c r="X540" s="14"/>
      <c r="Y540" s="14"/>
      <c r="Z540" s="15"/>
      <c r="AA540" s="3"/>
      <c r="AB540" s="3"/>
      <c r="AC540" s="3"/>
      <c r="AD540" s="3"/>
      <c r="AE540" s="3"/>
      <c r="AF540" s="3"/>
    </row>
    <row r="541" ht="15.75" customHeight="1">
      <c r="J541" s="15"/>
      <c r="K541" s="238"/>
      <c r="L541" s="15"/>
      <c r="M541" s="15"/>
      <c r="N541" s="15"/>
      <c r="O541" s="15"/>
      <c r="P541" s="15"/>
      <c r="Q541" s="15"/>
      <c r="R541" s="15"/>
      <c r="S541" s="15"/>
      <c r="T541" s="15"/>
      <c r="U541" s="15"/>
      <c r="V541" s="15"/>
      <c r="W541" s="15"/>
      <c r="X541" s="14"/>
      <c r="Y541" s="14"/>
      <c r="Z541" s="15"/>
      <c r="AA541" s="3"/>
      <c r="AB541" s="3"/>
      <c r="AC541" s="3"/>
      <c r="AD541" s="3"/>
      <c r="AE541" s="3"/>
      <c r="AF541" s="3"/>
    </row>
    <row r="542" ht="15.75" customHeight="1">
      <c r="J542" s="15"/>
      <c r="K542" s="238"/>
      <c r="L542" s="15"/>
      <c r="M542" s="15"/>
      <c r="N542" s="15"/>
      <c r="O542" s="15"/>
      <c r="P542" s="15"/>
      <c r="Q542" s="15"/>
      <c r="R542" s="15"/>
      <c r="S542" s="15"/>
      <c r="T542" s="15"/>
      <c r="U542" s="15"/>
      <c r="V542" s="15"/>
      <c r="W542" s="15"/>
      <c r="X542" s="14"/>
      <c r="Y542" s="14"/>
      <c r="Z542" s="15"/>
      <c r="AA542" s="3"/>
      <c r="AB542" s="3"/>
      <c r="AC542" s="3"/>
      <c r="AD542" s="3"/>
      <c r="AE542" s="3"/>
      <c r="AF542" s="3"/>
    </row>
    <row r="543" ht="15.75" customHeight="1">
      <c r="J543" s="15"/>
      <c r="K543" s="238"/>
      <c r="L543" s="15"/>
      <c r="M543" s="15"/>
      <c r="N543" s="15"/>
      <c r="O543" s="15"/>
      <c r="P543" s="15"/>
      <c r="Q543" s="15"/>
      <c r="R543" s="15"/>
      <c r="S543" s="15"/>
      <c r="T543" s="15"/>
      <c r="U543" s="15"/>
      <c r="V543" s="15"/>
      <c r="W543" s="15"/>
      <c r="X543" s="14"/>
      <c r="Y543" s="14"/>
      <c r="Z543" s="15"/>
      <c r="AA543" s="3"/>
      <c r="AB543" s="3"/>
      <c r="AC543" s="3"/>
      <c r="AD543" s="3"/>
      <c r="AE543" s="3"/>
      <c r="AF543" s="3"/>
    </row>
    <row r="544" ht="15.75" customHeight="1">
      <c r="J544" s="15"/>
      <c r="K544" s="238"/>
      <c r="L544" s="15"/>
      <c r="M544" s="15"/>
      <c r="N544" s="15"/>
      <c r="O544" s="15"/>
      <c r="P544" s="15"/>
      <c r="Q544" s="15"/>
      <c r="R544" s="15"/>
      <c r="S544" s="15"/>
      <c r="T544" s="15"/>
      <c r="U544" s="15"/>
      <c r="V544" s="15"/>
      <c r="W544" s="15"/>
      <c r="X544" s="14"/>
      <c r="Y544" s="14"/>
      <c r="Z544" s="15"/>
      <c r="AA544" s="3"/>
      <c r="AB544" s="3"/>
      <c r="AC544" s="3"/>
      <c r="AD544" s="3"/>
      <c r="AE544" s="3"/>
      <c r="AF544" s="3"/>
    </row>
    <row r="545" ht="15.75" customHeight="1">
      <c r="J545" s="15"/>
      <c r="K545" s="238"/>
      <c r="L545" s="15"/>
      <c r="M545" s="15"/>
      <c r="N545" s="15"/>
      <c r="O545" s="15"/>
      <c r="P545" s="15"/>
      <c r="Q545" s="15"/>
      <c r="R545" s="15"/>
      <c r="S545" s="15"/>
      <c r="T545" s="15"/>
      <c r="U545" s="15"/>
      <c r="V545" s="15"/>
      <c r="W545" s="15"/>
      <c r="X545" s="14"/>
      <c r="Y545" s="14"/>
      <c r="Z545" s="15"/>
      <c r="AA545" s="3"/>
      <c r="AB545" s="3"/>
      <c r="AC545" s="3"/>
      <c r="AD545" s="3"/>
      <c r="AE545" s="3"/>
      <c r="AF545" s="3"/>
    </row>
    <row r="546" ht="15.75" customHeight="1">
      <c r="J546" s="15"/>
      <c r="K546" s="238"/>
      <c r="L546" s="15"/>
      <c r="M546" s="15"/>
      <c r="N546" s="15"/>
      <c r="O546" s="15"/>
      <c r="P546" s="15"/>
      <c r="Q546" s="15"/>
      <c r="R546" s="15"/>
      <c r="S546" s="15"/>
      <c r="T546" s="15"/>
      <c r="U546" s="15"/>
      <c r="V546" s="15"/>
      <c r="W546" s="15"/>
      <c r="X546" s="14"/>
      <c r="Y546" s="14"/>
      <c r="Z546" s="15"/>
      <c r="AA546" s="3"/>
      <c r="AB546" s="3"/>
      <c r="AC546" s="3"/>
      <c r="AD546" s="3"/>
      <c r="AE546" s="3"/>
      <c r="AF546" s="3"/>
    </row>
    <row r="547" ht="15.75" customHeight="1">
      <c r="J547" s="15"/>
      <c r="K547" s="238"/>
      <c r="L547" s="15"/>
      <c r="M547" s="15"/>
      <c r="N547" s="15"/>
      <c r="O547" s="15"/>
      <c r="P547" s="15"/>
      <c r="Q547" s="15"/>
      <c r="R547" s="15"/>
      <c r="S547" s="15"/>
      <c r="T547" s="15"/>
      <c r="U547" s="15"/>
      <c r="V547" s="15"/>
      <c r="W547" s="15"/>
      <c r="X547" s="14"/>
      <c r="Y547" s="14"/>
      <c r="Z547" s="15"/>
      <c r="AA547" s="3"/>
      <c r="AB547" s="3"/>
      <c r="AC547" s="3"/>
      <c r="AD547" s="3"/>
      <c r="AE547" s="3"/>
      <c r="AF547" s="3"/>
    </row>
    <row r="548" ht="15.75" customHeight="1">
      <c r="J548" s="15"/>
      <c r="K548" s="238"/>
      <c r="L548" s="15"/>
      <c r="M548" s="15"/>
      <c r="N548" s="15"/>
      <c r="O548" s="15"/>
      <c r="P548" s="15"/>
      <c r="Q548" s="15"/>
      <c r="R548" s="15"/>
      <c r="S548" s="15"/>
      <c r="T548" s="15"/>
      <c r="U548" s="15"/>
      <c r="V548" s="15"/>
      <c r="W548" s="15"/>
      <c r="X548" s="14"/>
      <c r="Y548" s="14"/>
      <c r="Z548" s="15"/>
      <c r="AA548" s="3"/>
      <c r="AB548" s="3"/>
      <c r="AC548" s="3"/>
      <c r="AD548" s="3"/>
      <c r="AE548" s="3"/>
      <c r="AF548" s="3"/>
    </row>
    <row r="549" ht="15.75" customHeight="1">
      <c r="J549" s="15"/>
      <c r="K549" s="238"/>
      <c r="L549" s="15"/>
      <c r="M549" s="15"/>
      <c r="N549" s="15"/>
      <c r="O549" s="15"/>
      <c r="P549" s="15"/>
      <c r="Q549" s="15"/>
      <c r="R549" s="15"/>
      <c r="S549" s="15"/>
      <c r="T549" s="15"/>
      <c r="U549" s="15"/>
      <c r="V549" s="15"/>
      <c r="W549" s="15"/>
      <c r="X549" s="14"/>
      <c r="Y549" s="14"/>
      <c r="Z549" s="15"/>
      <c r="AA549" s="3"/>
      <c r="AB549" s="3"/>
      <c r="AC549" s="3"/>
      <c r="AD549" s="3"/>
      <c r="AE549" s="3"/>
      <c r="AF549" s="3"/>
    </row>
    <row r="550" ht="15.75" customHeight="1">
      <c r="J550" s="15"/>
      <c r="K550" s="238"/>
      <c r="L550" s="15"/>
      <c r="M550" s="15"/>
      <c r="N550" s="15"/>
      <c r="O550" s="15"/>
      <c r="P550" s="15"/>
      <c r="Q550" s="15"/>
      <c r="R550" s="15"/>
      <c r="S550" s="15"/>
      <c r="T550" s="15"/>
      <c r="U550" s="15"/>
      <c r="V550" s="15"/>
      <c r="W550" s="15"/>
      <c r="X550" s="14"/>
      <c r="Y550" s="14"/>
      <c r="Z550" s="15"/>
      <c r="AA550" s="3"/>
      <c r="AB550" s="3"/>
      <c r="AC550" s="3"/>
      <c r="AD550" s="3"/>
      <c r="AE550" s="3"/>
      <c r="AF550" s="3"/>
    </row>
    <row r="551" ht="15.75" customHeight="1">
      <c r="J551" s="15"/>
      <c r="K551" s="238"/>
      <c r="L551" s="15"/>
      <c r="M551" s="15"/>
      <c r="N551" s="15"/>
      <c r="O551" s="15"/>
      <c r="P551" s="15"/>
      <c r="Q551" s="15"/>
      <c r="R551" s="15"/>
      <c r="S551" s="15"/>
      <c r="T551" s="15"/>
      <c r="U551" s="15"/>
      <c r="V551" s="15"/>
      <c r="W551" s="15"/>
      <c r="X551" s="14"/>
      <c r="Y551" s="14"/>
      <c r="Z551" s="15"/>
      <c r="AA551" s="3"/>
      <c r="AB551" s="3"/>
      <c r="AC551" s="3"/>
      <c r="AD551" s="3"/>
      <c r="AE551" s="3"/>
      <c r="AF551" s="3"/>
    </row>
    <row r="552" ht="15.75" customHeight="1">
      <c r="J552" s="15"/>
      <c r="K552" s="238"/>
      <c r="L552" s="15"/>
      <c r="M552" s="15"/>
      <c r="N552" s="15"/>
      <c r="O552" s="15"/>
      <c r="P552" s="15"/>
      <c r="Q552" s="15"/>
      <c r="R552" s="15"/>
      <c r="S552" s="15"/>
      <c r="T552" s="15"/>
      <c r="U552" s="15"/>
      <c r="V552" s="15"/>
      <c r="W552" s="15"/>
      <c r="X552" s="14"/>
      <c r="Y552" s="14"/>
      <c r="Z552" s="15"/>
      <c r="AA552" s="3"/>
      <c r="AB552" s="3"/>
      <c r="AC552" s="3"/>
      <c r="AD552" s="3"/>
      <c r="AE552" s="3"/>
      <c r="AF552" s="3"/>
    </row>
    <row r="553" ht="15.75" customHeight="1">
      <c r="J553" s="15"/>
      <c r="K553" s="238"/>
      <c r="L553" s="15"/>
      <c r="M553" s="15"/>
      <c r="N553" s="15"/>
      <c r="O553" s="15"/>
      <c r="P553" s="15"/>
      <c r="Q553" s="15"/>
      <c r="R553" s="15"/>
      <c r="S553" s="15"/>
      <c r="T553" s="15"/>
      <c r="U553" s="15"/>
      <c r="V553" s="15"/>
      <c r="W553" s="15"/>
      <c r="X553" s="14"/>
      <c r="Y553" s="14"/>
      <c r="Z553" s="15"/>
      <c r="AA553" s="3"/>
      <c r="AB553" s="3"/>
      <c r="AC553" s="3"/>
      <c r="AD553" s="3"/>
      <c r="AE553" s="3"/>
      <c r="AF553" s="3"/>
    </row>
    <row r="554" ht="15.75" customHeight="1">
      <c r="J554" s="15"/>
      <c r="K554" s="238"/>
      <c r="L554" s="15"/>
      <c r="M554" s="15"/>
      <c r="N554" s="15"/>
      <c r="O554" s="15"/>
      <c r="P554" s="15"/>
      <c r="Q554" s="15"/>
      <c r="R554" s="15"/>
      <c r="S554" s="15"/>
      <c r="T554" s="15"/>
      <c r="U554" s="15"/>
      <c r="V554" s="15"/>
      <c r="W554" s="15"/>
      <c r="X554" s="14"/>
      <c r="Y554" s="14"/>
      <c r="Z554" s="15"/>
      <c r="AA554" s="3"/>
      <c r="AB554" s="3"/>
      <c r="AC554" s="3"/>
      <c r="AD554" s="3"/>
      <c r="AE554" s="3"/>
      <c r="AF554" s="3"/>
    </row>
    <row r="555" ht="15.75" customHeight="1">
      <c r="J555" s="15"/>
      <c r="K555" s="238"/>
      <c r="L555" s="15"/>
      <c r="M555" s="15"/>
      <c r="N555" s="15"/>
      <c r="O555" s="15"/>
      <c r="P555" s="15"/>
      <c r="Q555" s="15"/>
      <c r="R555" s="15"/>
      <c r="S555" s="15"/>
      <c r="T555" s="15"/>
      <c r="U555" s="15"/>
      <c r="V555" s="15"/>
      <c r="W555" s="15"/>
      <c r="X555" s="14"/>
      <c r="Y555" s="14"/>
      <c r="Z555" s="15"/>
      <c r="AA555" s="3"/>
      <c r="AB555" s="3"/>
      <c r="AC555" s="3"/>
      <c r="AD555" s="3"/>
      <c r="AE555" s="3"/>
      <c r="AF555" s="3"/>
    </row>
    <row r="556" ht="15.75" customHeight="1">
      <c r="J556" s="15"/>
      <c r="K556" s="238"/>
      <c r="L556" s="15"/>
      <c r="M556" s="15"/>
      <c r="N556" s="15"/>
      <c r="O556" s="15"/>
      <c r="P556" s="15"/>
      <c r="Q556" s="15"/>
      <c r="R556" s="15"/>
      <c r="S556" s="15"/>
      <c r="T556" s="15"/>
      <c r="U556" s="15"/>
      <c r="V556" s="15"/>
      <c r="W556" s="15"/>
      <c r="X556" s="14"/>
      <c r="Y556" s="14"/>
      <c r="Z556" s="15"/>
      <c r="AA556" s="3"/>
      <c r="AB556" s="3"/>
      <c r="AC556" s="3"/>
      <c r="AD556" s="3"/>
      <c r="AE556" s="3"/>
      <c r="AF556" s="3"/>
    </row>
    <row r="557" ht="15.75" customHeight="1">
      <c r="J557" s="15"/>
      <c r="K557" s="238"/>
      <c r="L557" s="15"/>
      <c r="M557" s="15"/>
      <c r="N557" s="15"/>
      <c r="O557" s="15"/>
      <c r="P557" s="15"/>
      <c r="Q557" s="15"/>
      <c r="R557" s="15"/>
      <c r="S557" s="15"/>
      <c r="T557" s="15"/>
      <c r="U557" s="15"/>
      <c r="V557" s="15"/>
      <c r="W557" s="15"/>
      <c r="X557" s="14"/>
      <c r="Y557" s="14"/>
      <c r="Z557" s="15"/>
      <c r="AA557" s="3"/>
      <c r="AB557" s="3"/>
      <c r="AC557" s="3"/>
      <c r="AD557" s="3"/>
      <c r="AE557" s="3"/>
      <c r="AF557" s="3"/>
    </row>
    <row r="558" ht="15.75" customHeight="1">
      <c r="J558" s="15"/>
      <c r="K558" s="238"/>
      <c r="L558" s="15"/>
      <c r="M558" s="15"/>
      <c r="N558" s="15"/>
      <c r="O558" s="15"/>
      <c r="P558" s="15"/>
      <c r="Q558" s="15"/>
      <c r="R558" s="15"/>
      <c r="S558" s="15"/>
      <c r="T558" s="15"/>
      <c r="U558" s="15"/>
      <c r="V558" s="15"/>
      <c r="W558" s="15"/>
      <c r="X558" s="14"/>
      <c r="Y558" s="14"/>
      <c r="Z558" s="15"/>
      <c r="AA558" s="3"/>
      <c r="AB558" s="3"/>
      <c r="AC558" s="3"/>
      <c r="AD558" s="3"/>
      <c r="AE558" s="3"/>
      <c r="AF558" s="3"/>
    </row>
    <row r="559" ht="15.75" customHeight="1">
      <c r="J559" s="15"/>
      <c r="K559" s="238"/>
      <c r="L559" s="15"/>
      <c r="M559" s="15"/>
      <c r="N559" s="15"/>
      <c r="O559" s="15"/>
      <c r="P559" s="15"/>
      <c r="Q559" s="15"/>
      <c r="R559" s="15"/>
      <c r="S559" s="15"/>
      <c r="T559" s="15"/>
      <c r="U559" s="15"/>
      <c r="V559" s="15"/>
      <c r="W559" s="15"/>
      <c r="X559" s="14"/>
      <c r="Y559" s="14"/>
      <c r="Z559" s="15"/>
      <c r="AA559" s="3"/>
      <c r="AB559" s="3"/>
      <c r="AC559" s="3"/>
      <c r="AD559" s="3"/>
      <c r="AE559" s="3"/>
      <c r="AF559" s="3"/>
    </row>
    <row r="560" ht="15.75" customHeight="1">
      <c r="J560" s="15"/>
      <c r="K560" s="238"/>
      <c r="L560" s="15"/>
      <c r="M560" s="15"/>
      <c r="N560" s="15"/>
      <c r="O560" s="15"/>
      <c r="P560" s="15"/>
      <c r="Q560" s="15"/>
      <c r="R560" s="15"/>
      <c r="S560" s="15"/>
      <c r="T560" s="15"/>
      <c r="U560" s="15"/>
      <c r="V560" s="15"/>
      <c r="W560" s="15"/>
      <c r="X560" s="14"/>
      <c r="Y560" s="14"/>
      <c r="Z560" s="15"/>
      <c r="AA560" s="3"/>
      <c r="AB560" s="3"/>
      <c r="AC560" s="3"/>
      <c r="AD560" s="3"/>
      <c r="AE560" s="3"/>
      <c r="AF560" s="3"/>
    </row>
    <row r="561" ht="15.75" customHeight="1">
      <c r="J561" s="15"/>
      <c r="K561" s="238"/>
      <c r="L561" s="15"/>
      <c r="M561" s="15"/>
      <c r="N561" s="15"/>
      <c r="O561" s="15"/>
      <c r="P561" s="15"/>
      <c r="Q561" s="15"/>
      <c r="R561" s="15"/>
      <c r="S561" s="15"/>
      <c r="T561" s="15"/>
      <c r="U561" s="15"/>
      <c r="V561" s="15"/>
      <c r="W561" s="15"/>
      <c r="X561" s="14"/>
      <c r="Y561" s="14"/>
      <c r="Z561" s="15"/>
      <c r="AA561" s="3"/>
      <c r="AB561" s="3"/>
      <c r="AC561" s="3"/>
      <c r="AD561" s="3"/>
      <c r="AE561" s="3"/>
      <c r="AF561" s="3"/>
    </row>
    <row r="562" ht="15.75" customHeight="1">
      <c r="J562" s="15"/>
      <c r="K562" s="238"/>
      <c r="L562" s="15"/>
      <c r="M562" s="15"/>
      <c r="N562" s="15"/>
      <c r="O562" s="15"/>
      <c r="P562" s="15"/>
      <c r="Q562" s="15"/>
      <c r="R562" s="15"/>
      <c r="S562" s="15"/>
      <c r="T562" s="15"/>
      <c r="U562" s="15"/>
      <c r="V562" s="15"/>
      <c r="W562" s="15"/>
      <c r="X562" s="14"/>
      <c r="Y562" s="14"/>
      <c r="Z562" s="15"/>
      <c r="AA562" s="3"/>
      <c r="AB562" s="3"/>
      <c r="AC562" s="3"/>
      <c r="AD562" s="3"/>
      <c r="AE562" s="3"/>
      <c r="AF562" s="3"/>
    </row>
    <row r="563" ht="15.75" customHeight="1">
      <c r="J563" s="15"/>
      <c r="K563" s="238"/>
      <c r="L563" s="15"/>
      <c r="M563" s="15"/>
      <c r="N563" s="15"/>
      <c r="O563" s="15"/>
      <c r="P563" s="15"/>
      <c r="Q563" s="15"/>
      <c r="R563" s="15"/>
      <c r="S563" s="15"/>
      <c r="T563" s="15"/>
      <c r="U563" s="15"/>
      <c r="V563" s="15"/>
      <c r="W563" s="15"/>
      <c r="X563" s="14"/>
      <c r="Y563" s="14"/>
      <c r="Z563" s="15"/>
      <c r="AA563" s="3"/>
      <c r="AB563" s="3"/>
      <c r="AC563" s="3"/>
      <c r="AD563" s="3"/>
      <c r="AE563" s="3"/>
      <c r="AF563" s="3"/>
    </row>
    <row r="564" ht="15.75" customHeight="1">
      <c r="J564" s="15"/>
      <c r="K564" s="238"/>
      <c r="L564" s="15"/>
      <c r="M564" s="15"/>
      <c r="N564" s="15"/>
      <c r="O564" s="15"/>
      <c r="P564" s="15"/>
      <c r="Q564" s="15"/>
      <c r="R564" s="15"/>
      <c r="S564" s="15"/>
      <c r="T564" s="15"/>
      <c r="U564" s="15"/>
      <c r="V564" s="15"/>
      <c r="W564" s="15"/>
      <c r="X564" s="14"/>
      <c r="Y564" s="14"/>
      <c r="Z564" s="15"/>
      <c r="AA564" s="3"/>
      <c r="AB564" s="3"/>
      <c r="AC564" s="3"/>
      <c r="AD564" s="3"/>
      <c r="AE564" s="3"/>
      <c r="AF564" s="3"/>
    </row>
    <row r="565" ht="15.75" customHeight="1">
      <c r="J565" s="15"/>
      <c r="K565" s="238"/>
      <c r="L565" s="15"/>
      <c r="M565" s="15"/>
      <c r="N565" s="15"/>
      <c r="O565" s="15"/>
      <c r="P565" s="15"/>
      <c r="Q565" s="15"/>
      <c r="R565" s="15"/>
      <c r="S565" s="15"/>
      <c r="T565" s="15"/>
      <c r="U565" s="15"/>
      <c r="V565" s="15"/>
      <c r="W565" s="15"/>
      <c r="X565" s="14"/>
      <c r="Y565" s="14"/>
      <c r="Z565" s="15"/>
      <c r="AA565" s="3"/>
      <c r="AB565" s="3"/>
      <c r="AC565" s="3"/>
      <c r="AD565" s="3"/>
      <c r="AE565" s="3"/>
      <c r="AF565" s="3"/>
    </row>
    <row r="566" ht="15.75" customHeight="1">
      <c r="J566" s="15"/>
      <c r="K566" s="238"/>
      <c r="L566" s="15"/>
      <c r="M566" s="15"/>
      <c r="N566" s="15"/>
      <c r="O566" s="15"/>
      <c r="P566" s="15"/>
      <c r="Q566" s="15"/>
      <c r="R566" s="15"/>
      <c r="S566" s="15"/>
      <c r="T566" s="15"/>
      <c r="U566" s="15"/>
      <c r="V566" s="15"/>
      <c r="W566" s="15"/>
      <c r="X566" s="14"/>
      <c r="Y566" s="14"/>
      <c r="Z566" s="15"/>
      <c r="AA566" s="3"/>
      <c r="AB566" s="3"/>
      <c r="AC566" s="3"/>
      <c r="AD566" s="3"/>
      <c r="AE566" s="3"/>
      <c r="AF566" s="3"/>
    </row>
    <row r="567" ht="15.75" customHeight="1">
      <c r="J567" s="15"/>
      <c r="K567" s="238"/>
      <c r="L567" s="15"/>
      <c r="M567" s="15"/>
      <c r="N567" s="15"/>
      <c r="O567" s="15"/>
      <c r="P567" s="15"/>
      <c r="Q567" s="15"/>
      <c r="R567" s="15"/>
      <c r="S567" s="15"/>
      <c r="T567" s="15"/>
      <c r="U567" s="15"/>
      <c r="V567" s="15"/>
      <c r="W567" s="15"/>
      <c r="X567" s="14"/>
      <c r="Y567" s="14"/>
      <c r="Z567" s="15"/>
      <c r="AA567" s="3"/>
      <c r="AB567" s="3"/>
      <c r="AC567" s="3"/>
      <c r="AD567" s="3"/>
      <c r="AE567" s="3"/>
      <c r="AF567" s="3"/>
    </row>
    <row r="568" ht="15.75" customHeight="1">
      <c r="J568" s="15"/>
      <c r="K568" s="238"/>
      <c r="L568" s="15"/>
      <c r="M568" s="15"/>
      <c r="N568" s="15"/>
      <c r="O568" s="15"/>
      <c r="P568" s="15"/>
      <c r="Q568" s="15"/>
      <c r="R568" s="15"/>
      <c r="S568" s="15"/>
      <c r="T568" s="15"/>
      <c r="U568" s="15"/>
      <c r="V568" s="15"/>
      <c r="W568" s="15"/>
      <c r="X568" s="14"/>
      <c r="Y568" s="14"/>
      <c r="Z568" s="15"/>
      <c r="AA568" s="3"/>
      <c r="AB568" s="3"/>
      <c r="AC568" s="3"/>
      <c r="AD568" s="3"/>
      <c r="AE568" s="3"/>
      <c r="AF568" s="3"/>
    </row>
    <row r="569" ht="15.75" customHeight="1">
      <c r="J569" s="15"/>
      <c r="K569" s="238"/>
      <c r="L569" s="15"/>
      <c r="M569" s="15"/>
      <c r="N569" s="15"/>
      <c r="O569" s="15"/>
      <c r="P569" s="15"/>
      <c r="Q569" s="15"/>
      <c r="R569" s="15"/>
      <c r="S569" s="15"/>
      <c r="T569" s="15"/>
      <c r="U569" s="15"/>
      <c r="V569" s="15"/>
      <c r="W569" s="15"/>
      <c r="X569" s="14"/>
      <c r="Y569" s="14"/>
      <c r="Z569" s="15"/>
      <c r="AA569" s="3"/>
      <c r="AB569" s="3"/>
      <c r="AC569" s="3"/>
      <c r="AD569" s="3"/>
      <c r="AE569" s="3"/>
      <c r="AF569" s="3"/>
    </row>
    <row r="570" ht="15.75" customHeight="1">
      <c r="J570" s="15"/>
      <c r="K570" s="238"/>
      <c r="L570" s="15"/>
      <c r="M570" s="15"/>
      <c r="N570" s="15"/>
      <c r="O570" s="15"/>
      <c r="P570" s="15"/>
      <c r="Q570" s="15"/>
      <c r="R570" s="15"/>
      <c r="S570" s="15"/>
      <c r="T570" s="15"/>
      <c r="U570" s="15"/>
      <c r="V570" s="15"/>
      <c r="W570" s="15"/>
      <c r="X570" s="14"/>
      <c r="Y570" s="14"/>
      <c r="Z570" s="15"/>
      <c r="AA570" s="3"/>
      <c r="AB570" s="3"/>
      <c r="AC570" s="3"/>
      <c r="AD570" s="3"/>
      <c r="AE570" s="3"/>
      <c r="AF570" s="3"/>
    </row>
    <row r="571" ht="15.75" customHeight="1">
      <c r="J571" s="15"/>
      <c r="K571" s="238"/>
      <c r="L571" s="15"/>
      <c r="M571" s="15"/>
      <c r="N571" s="15"/>
      <c r="O571" s="15"/>
      <c r="P571" s="15"/>
      <c r="Q571" s="15"/>
      <c r="R571" s="15"/>
      <c r="S571" s="15"/>
      <c r="T571" s="15"/>
      <c r="U571" s="15"/>
      <c r="V571" s="15"/>
      <c r="W571" s="15"/>
      <c r="X571" s="14"/>
      <c r="Y571" s="14"/>
      <c r="Z571" s="15"/>
      <c r="AA571" s="3"/>
      <c r="AB571" s="3"/>
      <c r="AC571" s="3"/>
      <c r="AD571" s="3"/>
      <c r="AE571" s="3"/>
      <c r="AF571" s="3"/>
    </row>
    <row r="572" ht="15.75" customHeight="1">
      <c r="J572" s="15"/>
      <c r="K572" s="238"/>
      <c r="L572" s="15"/>
      <c r="M572" s="15"/>
      <c r="N572" s="15"/>
      <c r="O572" s="15"/>
      <c r="P572" s="15"/>
      <c r="Q572" s="15"/>
      <c r="R572" s="15"/>
      <c r="S572" s="15"/>
      <c r="T572" s="15"/>
      <c r="U572" s="15"/>
      <c r="V572" s="15"/>
      <c r="W572" s="15"/>
      <c r="X572" s="14"/>
      <c r="Y572" s="14"/>
      <c r="Z572" s="15"/>
      <c r="AA572" s="3"/>
      <c r="AB572" s="3"/>
      <c r="AC572" s="3"/>
      <c r="AD572" s="3"/>
      <c r="AE572" s="3"/>
      <c r="AF572" s="3"/>
    </row>
    <row r="573" ht="15.75" customHeight="1">
      <c r="J573" s="15"/>
      <c r="K573" s="238"/>
      <c r="L573" s="15"/>
      <c r="M573" s="15"/>
      <c r="N573" s="15"/>
      <c r="O573" s="15"/>
      <c r="P573" s="15"/>
      <c r="Q573" s="15"/>
      <c r="R573" s="15"/>
      <c r="S573" s="15"/>
      <c r="T573" s="15"/>
      <c r="U573" s="15"/>
      <c r="V573" s="15"/>
      <c r="W573" s="15"/>
      <c r="X573" s="14"/>
      <c r="Y573" s="14"/>
      <c r="Z573" s="15"/>
      <c r="AA573" s="3"/>
      <c r="AB573" s="3"/>
      <c r="AC573" s="3"/>
      <c r="AD573" s="3"/>
      <c r="AE573" s="3"/>
      <c r="AF573" s="3"/>
    </row>
    <row r="574" ht="15.75" customHeight="1">
      <c r="J574" s="15"/>
      <c r="K574" s="238"/>
      <c r="L574" s="15"/>
      <c r="M574" s="15"/>
      <c r="N574" s="15"/>
      <c r="O574" s="15"/>
      <c r="P574" s="15"/>
      <c r="Q574" s="15"/>
      <c r="R574" s="15"/>
      <c r="S574" s="15"/>
      <c r="T574" s="15"/>
      <c r="U574" s="15"/>
      <c r="V574" s="15"/>
      <c r="W574" s="15"/>
      <c r="X574" s="14"/>
      <c r="Y574" s="14"/>
      <c r="Z574" s="15"/>
      <c r="AA574" s="3"/>
      <c r="AB574" s="3"/>
      <c r="AC574" s="3"/>
      <c r="AD574" s="3"/>
      <c r="AE574" s="3"/>
      <c r="AF574" s="3"/>
    </row>
    <row r="575" ht="15.75" customHeight="1">
      <c r="J575" s="15"/>
      <c r="K575" s="238"/>
      <c r="L575" s="15"/>
      <c r="M575" s="15"/>
      <c r="N575" s="15"/>
      <c r="O575" s="15"/>
      <c r="P575" s="15"/>
      <c r="Q575" s="15"/>
      <c r="R575" s="15"/>
      <c r="S575" s="15"/>
      <c r="T575" s="15"/>
      <c r="U575" s="15"/>
      <c r="V575" s="15"/>
      <c r="W575" s="15"/>
      <c r="X575" s="14"/>
      <c r="Y575" s="14"/>
      <c r="Z575" s="15"/>
      <c r="AA575" s="3"/>
      <c r="AB575" s="3"/>
      <c r="AC575" s="3"/>
      <c r="AD575" s="3"/>
      <c r="AE575" s="3"/>
      <c r="AF575" s="3"/>
    </row>
    <row r="576" ht="15.75" customHeight="1">
      <c r="J576" s="15"/>
      <c r="K576" s="238"/>
      <c r="L576" s="15"/>
      <c r="M576" s="15"/>
      <c r="N576" s="15"/>
      <c r="O576" s="15"/>
      <c r="P576" s="15"/>
      <c r="Q576" s="15"/>
      <c r="R576" s="15"/>
      <c r="S576" s="15"/>
      <c r="T576" s="15"/>
      <c r="U576" s="15"/>
      <c r="V576" s="15"/>
      <c r="W576" s="15"/>
      <c r="X576" s="14"/>
      <c r="Y576" s="14"/>
      <c r="Z576" s="15"/>
      <c r="AA576" s="3"/>
      <c r="AB576" s="3"/>
      <c r="AC576" s="3"/>
      <c r="AD576" s="3"/>
      <c r="AE576" s="3"/>
      <c r="AF576" s="3"/>
    </row>
    <row r="577" ht="15.75" customHeight="1">
      <c r="J577" s="15"/>
      <c r="K577" s="238"/>
      <c r="L577" s="15"/>
      <c r="M577" s="15"/>
      <c r="N577" s="15"/>
      <c r="O577" s="15"/>
      <c r="P577" s="15"/>
      <c r="Q577" s="15"/>
      <c r="R577" s="15"/>
      <c r="S577" s="15"/>
      <c r="T577" s="15"/>
      <c r="U577" s="15"/>
      <c r="V577" s="15"/>
      <c r="W577" s="15"/>
      <c r="X577" s="14"/>
      <c r="Y577" s="14"/>
      <c r="Z577" s="15"/>
      <c r="AA577" s="3"/>
      <c r="AB577" s="3"/>
      <c r="AC577" s="3"/>
      <c r="AD577" s="3"/>
      <c r="AE577" s="3"/>
      <c r="AF577" s="3"/>
    </row>
    <row r="578" ht="15.75" customHeight="1">
      <c r="J578" s="15"/>
      <c r="K578" s="238"/>
      <c r="L578" s="15"/>
      <c r="M578" s="15"/>
      <c r="N578" s="15"/>
      <c r="O578" s="15"/>
      <c r="P578" s="15"/>
      <c r="Q578" s="15"/>
      <c r="R578" s="15"/>
      <c r="S578" s="15"/>
      <c r="T578" s="15"/>
      <c r="U578" s="15"/>
      <c r="V578" s="15"/>
      <c r="W578" s="15"/>
      <c r="X578" s="14"/>
      <c r="Y578" s="14"/>
      <c r="Z578" s="15"/>
      <c r="AA578" s="3"/>
      <c r="AB578" s="3"/>
      <c r="AC578" s="3"/>
      <c r="AD578" s="3"/>
      <c r="AE578" s="3"/>
      <c r="AF578" s="3"/>
    </row>
    <row r="579" ht="15.75" customHeight="1">
      <c r="J579" s="15"/>
      <c r="K579" s="238"/>
      <c r="L579" s="15"/>
      <c r="M579" s="15"/>
      <c r="N579" s="15"/>
      <c r="O579" s="15"/>
      <c r="P579" s="15"/>
      <c r="Q579" s="15"/>
      <c r="R579" s="15"/>
      <c r="S579" s="15"/>
      <c r="T579" s="15"/>
      <c r="U579" s="15"/>
      <c r="V579" s="15"/>
      <c r="W579" s="15"/>
      <c r="X579" s="14"/>
      <c r="Y579" s="14"/>
      <c r="Z579" s="15"/>
      <c r="AA579" s="3"/>
      <c r="AB579" s="3"/>
      <c r="AC579" s="3"/>
      <c r="AD579" s="3"/>
      <c r="AE579" s="3"/>
      <c r="AF579" s="3"/>
    </row>
    <row r="580" ht="15.75" customHeight="1">
      <c r="J580" s="15"/>
      <c r="K580" s="238"/>
      <c r="L580" s="15"/>
      <c r="M580" s="15"/>
      <c r="N580" s="15"/>
      <c r="O580" s="15"/>
      <c r="P580" s="15"/>
      <c r="Q580" s="15"/>
      <c r="R580" s="15"/>
      <c r="S580" s="15"/>
      <c r="T580" s="15"/>
      <c r="U580" s="15"/>
      <c r="V580" s="15"/>
      <c r="W580" s="15"/>
      <c r="X580" s="14"/>
      <c r="Y580" s="14"/>
      <c r="Z580" s="15"/>
      <c r="AA580" s="3"/>
      <c r="AB580" s="3"/>
      <c r="AC580" s="3"/>
      <c r="AD580" s="3"/>
      <c r="AE580" s="3"/>
      <c r="AF580" s="3"/>
    </row>
    <row r="581" ht="15.75" customHeight="1">
      <c r="J581" s="15"/>
      <c r="K581" s="238"/>
      <c r="L581" s="15"/>
      <c r="M581" s="15"/>
      <c r="N581" s="15"/>
      <c r="O581" s="15"/>
      <c r="P581" s="15"/>
      <c r="Q581" s="15"/>
      <c r="R581" s="15"/>
      <c r="S581" s="15"/>
      <c r="T581" s="15"/>
      <c r="U581" s="15"/>
      <c r="V581" s="15"/>
      <c r="W581" s="15"/>
      <c r="X581" s="14"/>
      <c r="Y581" s="14"/>
      <c r="Z581" s="15"/>
      <c r="AA581" s="3"/>
      <c r="AB581" s="3"/>
      <c r="AC581" s="3"/>
      <c r="AD581" s="3"/>
      <c r="AE581" s="3"/>
      <c r="AF581" s="3"/>
    </row>
    <row r="582" ht="15.75" customHeight="1">
      <c r="J582" s="15"/>
      <c r="K582" s="238"/>
      <c r="L582" s="15"/>
      <c r="M582" s="15"/>
      <c r="N582" s="15"/>
      <c r="O582" s="15"/>
      <c r="P582" s="15"/>
      <c r="Q582" s="15"/>
      <c r="R582" s="15"/>
      <c r="S582" s="15"/>
      <c r="T582" s="15"/>
      <c r="U582" s="15"/>
      <c r="V582" s="15"/>
      <c r="W582" s="15"/>
      <c r="X582" s="14"/>
      <c r="Y582" s="14"/>
      <c r="Z582" s="15"/>
      <c r="AA582" s="3"/>
      <c r="AB582" s="3"/>
      <c r="AC582" s="3"/>
      <c r="AD582" s="3"/>
      <c r="AE582" s="3"/>
      <c r="AF582" s="3"/>
    </row>
    <row r="583" ht="15.75" customHeight="1">
      <c r="J583" s="15"/>
      <c r="K583" s="238"/>
      <c r="L583" s="15"/>
      <c r="M583" s="15"/>
      <c r="N583" s="15"/>
      <c r="O583" s="15"/>
      <c r="P583" s="15"/>
      <c r="Q583" s="15"/>
      <c r="R583" s="15"/>
      <c r="S583" s="15"/>
      <c r="T583" s="15"/>
      <c r="U583" s="15"/>
      <c r="V583" s="15"/>
      <c r="W583" s="15"/>
      <c r="X583" s="14"/>
      <c r="Y583" s="14"/>
      <c r="Z583" s="15"/>
      <c r="AA583" s="3"/>
      <c r="AB583" s="3"/>
      <c r="AC583" s="3"/>
      <c r="AD583" s="3"/>
      <c r="AE583" s="3"/>
      <c r="AF583" s="3"/>
    </row>
    <row r="584" ht="15.75" customHeight="1">
      <c r="J584" s="15"/>
      <c r="K584" s="238"/>
      <c r="L584" s="15"/>
      <c r="M584" s="15"/>
      <c r="N584" s="15"/>
      <c r="O584" s="15"/>
      <c r="P584" s="15"/>
      <c r="Q584" s="15"/>
      <c r="R584" s="15"/>
      <c r="S584" s="15"/>
      <c r="T584" s="15"/>
      <c r="U584" s="15"/>
      <c r="V584" s="15"/>
      <c r="W584" s="15"/>
      <c r="X584" s="14"/>
      <c r="Y584" s="14"/>
      <c r="Z584" s="15"/>
      <c r="AA584" s="3"/>
      <c r="AB584" s="3"/>
      <c r="AC584" s="3"/>
      <c r="AD584" s="3"/>
      <c r="AE584" s="3"/>
      <c r="AF584" s="3"/>
    </row>
    <row r="585" ht="15.75" customHeight="1">
      <c r="J585" s="15"/>
      <c r="K585" s="238"/>
      <c r="L585" s="15"/>
      <c r="M585" s="15"/>
      <c r="N585" s="15"/>
      <c r="O585" s="15"/>
      <c r="P585" s="15"/>
      <c r="Q585" s="15"/>
      <c r="R585" s="15"/>
      <c r="S585" s="15"/>
      <c r="T585" s="15"/>
      <c r="U585" s="15"/>
      <c r="V585" s="15"/>
      <c r="W585" s="15"/>
      <c r="X585" s="14"/>
      <c r="Y585" s="14"/>
      <c r="Z585" s="15"/>
      <c r="AA585" s="3"/>
      <c r="AB585" s="3"/>
      <c r="AC585" s="3"/>
      <c r="AD585" s="3"/>
      <c r="AE585" s="3"/>
      <c r="AF585" s="3"/>
    </row>
    <row r="586" ht="15.75" customHeight="1">
      <c r="J586" s="15"/>
      <c r="K586" s="238"/>
      <c r="L586" s="15"/>
      <c r="M586" s="15"/>
      <c r="N586" s="15"/>
      <c r="O586" s="15"/>
      <c r="P586" s="15"/>
      <c r="Q586" s="15"/>
      <c r="R586" s="15"/>
      <c r="S586" s="15"/>
      <c r="T586" s="15"/>
      <c r="U586" s="15"/>
      <c r="V586" s="15"/>
      <c r="W586" s="15"/>
      <c r="X586" s="14"/>
      <c r="Y586" s="14"/>
      <c r="Z586" s="15"/>
      <c r="AA586" s="3"/>
      <c r="AB586" s="3"/>
      <c r="AC586" s="3"/>
      <c r="AD586" s="3"/>
      <c r="AE586" s="3"/>
      <c r="AF586" s="3"/>
    </row>
    <row r="587" ht="15.75" customHeight="1">
      <c r="J587" s="15"/>
      <c r="K587" s="238"/>
      <c r="L587" s="15"/>
      <c r="M587" s="15"/>
      <c r="N587" s="15"/>
      <c r="O587" s="15"/>
      <c r="P587" s="15"/>
      <c r="Q587" s="15"/>
      <c r="R587" s="15"/>
      <c r="S587" s="15"/>
      <c r="T587" s="15"/>
      <c r="U587" s="15"/>
      <c r="V587" s="15"/>
      <c r="W587" s="15"/>
      <c r="X587" s="14"/>
      <c r="Y587" s="14"/>
      <c r="Z587" s="15"/>
      <c r="AA587" s="3"/>
      <c r="AB587" s="3"/>
      <c r="AC587" s="3"/>
      <c r="AD587" s="3"/>
      <c r="AE587" s="3"/>
      <c r="AF587" s="3"/>
    </row>
    <row r="588" ht="15.75" customHeight="1">
      <c r="J588" s="15"/>
      <c r="K588" s="238"/>
      <c r="L588" s="15"/>
      <c r="M588" s="15"/>
      <c r="N588" s="15"/>
      <c r="O588" s="15"/>
      <c r="P588" s="15"/>
      <c r="Q588" s="15"/>
      <c r="R588" s="15"/>
      <c r="S588" s="15"/>
      <c r="T588" s="15"/>
      <c r="U588" s="15"/>
      <c r="V588" s="15"/>
      <c r="W588" s="15"/>
      <c r="X588" s="14"/>
      <c r="Y588" s="14"/>
      <c r="Z588" s="15"/>
      <c r="AA588" s="3"/>
      <c r="AB588" s="3"/>
      <c r="AC588" s="3"/>
      <c r="AD588" s="3"/>
      <c r="AE588" s="3"/>
      <c r="AF588" s="3"/>
    </row>
    <row r="589" ht="15.75" customHeight="1">
      <c r="J589" s="15"/>
      <c r="K589" s="238"/>
      <c r="L589" s="15"/>
      <c r="M589" s="15"/>
      <c r="N589" s="15"/>
      <c r="O589" s="15"/>
      <c r="P589" s="15"/>
      <c r="Q589" s="15"/>
      <c r="R589" s="15"/>
      <c r="S589" s="15"/>
      <c r="T589" s="15"/>
      <c r="U589" s="15"/>
      <c r="V589" s="15"/>
      <c r="W589" s="15"/>
      <c r="X589" s="14"/>
      <c r="Y589" s="14"/>
      <c r="Z589" s="15"/>
      <c r="AA589" s="3"/>
      <c r="AB589" s="3"/>
      <c r="AC589" s="3"/>
      <c r="AD589" s="3"/>
      <c r="AE589" s="3"/>
      <c r="AF589" s="3"/>
    </row>
    <row r="590" ht="15.75" customHeight="1">
      <c r="J590" s="15"/>
      <c r="K590" s="238"/>
      <c r="L590" s="15"/>
      <c r="M590" s="15"/>
      <c r="N590" s="15"/>
      <c r="O590" s="15"/>
      <c r="P590" s="15"/>
      <c r="Q590" s="15"/>
      <c r="R590" s="15"/>
      <c r="S590" s="15"/>
      <c r="T590" s="15"/>
      <c r="U590" s="15"/>
      <c r="V590" s="15"/>
      <c r="W590" s="15"/>
      <c r="X590" s="14"/>
      <c r="Y590" s="14"/>
      <c r="Z590" s="15"/>
      <c r="AA590" s="3"/>
      <c r="AB590" s="3"/>
      <c r="AC590" s="3"/>
      <c r="AD590" s="3"/>
      <c r="AE590" s="3"/>
      <c r="AF590" s="3"/>
    </row>
    <row r="591" ht="15.75" customHeight="1">
      <c r="J591" s="15"/>
      <c r="K591" s="238"/>
      <c r="L591" s="15"/>
      <c r="M591" s="15"/>
      <c r="N591" s="15"/>
      <c r="O591" s="15"/>
      <c r="P591" s="15"/>
      <c r="Q591" s="15"/>
      <c r="R591" s="15"/>
      <c r="S591" s="15"/>
      <c r="T591" s="15"/>
      <c r="U591" s="15"/>
      <c r="V591" s="15"/>
      <c r="W591" s="15"/>
      <c r="X591" s="14"/>
      <c r="Y591" s="14"/>
      <c r="Z591" s="15"/>
      <c r="AA591" s="3"/>
      <c r="AB591" s="3"/>
      <c r="AC591" s="3"/>
      <c r="AD591" s="3"/>
      <c r="AE591" s="3"/>
      <c r="AF591" s="3"/>
    </row>
    <row r="592" ht="15.75" customHeight="1">
      <c r="J592" s="15"/>
      <c r="K592" s="238"/>
      <c r="L592" s="15"/>
      <c r="M592" s="15"/>
      <c r="N592" s="15"/>
      <c r="O592" s="15"/>
      <c r="P592" s="15"/>
      <c r="Q592" s="15"/>
      <c r="R592" s="15"/>
      <c r="S592" s="15"/>
      <c r="T592" s="15"/>
      <c r="U592" s="15"/>
      <c r="V592" s="15"/>
      <c r="W592" s="15"/>
      <c r="X592" s="14"/>
      <c r="Y592" s="14"/>
      <c r="Z592" s="15"/>
      <c r="AA592" s="3"/>
      <c r="AB592" s="3"/>
      <c r="AC592" s="3"/>
      <c r="AD592" s="3"/>
      <c r="AE592" s="3"/>
      <c r="AF592" s="3"/>
    </row>
    <row r="593" ht="15.75" customHeight="1">
      <c r="J593" s="15"/>
      <c r="K593" s="238"/>
      <c r="L593" s="15"/>
      <c r="M593" s="15"/>
      <c r="N593" s="15"/>
      <c r="O593" s="15"/>
      <c r="P593" s="15"/>
      <c r="Q593" s="15"/>
      <c r="R593" s="15"/>
      <c r="S593" s="15"/>
      <c r="T593" s="15"/>
      <c r="U593" s="15"/>
      <c r="V593" s="15"/>
      <c r="W593" s="15"/>
      <c r="X593" s="14"/>
      <c r="Y593" s="14"/>
      <c r="Z593" s="15"/>
      <c r="AA593" s="3"/>
      <c r="AB593" s="3"/>
      <c r="AC593" s="3"/>
      <c r="AD593" s="3"/>
      <c r="AE593" s="3"/>
      <c r="AF593" s="3"/>
    </row>
    <row r="594" ht="15.75" customHeight="1">
      <c r="J594" s="15"/>
      <c r="K594" s="238"/>
      <c r="L594" s="15"/>
      <c r="M594" s="15"/>
      <c r="N594" s="15"/>
      <c r="O594" s="15"/>
      <c r="P594" s="15"/>
      <c r="Q594" s="15"/>
      <c r="R594" s="15"/>
      <c r="S594" s="15"/>
      <c r="T594" s="15"/>
      <c r="U594" s="15"/>
      <c r="V594" s="15"/>
      <c r="W594" s="15"/>
      <c r="X594" s="14"/>
      <c r="Y594" s="14"/>
      <c r="Z594" s="15"/>
      <c r="AA594" s="3"/>
      <c r="AB594" s="3"/>
      <c r="AC594" s="3"/>
      <c r="AD594" s="3"/>
      <c r="AE594" s="3"/>
      <c r="AF594" s="3"/>
    </row>
    <row r="595" ht="15.75" customHeight="1">
      <c r="J595" s="15"/>
      <c r="K595" s="238"/>
      <c r="L595" s="15"/>
      <c r="M595" s="15"/>
      <c r="N595" s="15"/>
      <c r="O595" s="15"/>
      <c r="P595" s="15"/>
      <c r="Q595" s="15"/>
      <c r="R595" s="15"/>
      <c r="S595" s="15"/>
      <c r="T595" s="15"/>
      <c r="U595" s="15"/>
      <c r="V595" s="15"/>
      <c r="W595" s="15"/>
      <c r="X595" s="14"/>
      <c r="Y595" s="14"/>
      <c r="Z595" s="15"/>
      <c r="AA595" s="3"/>
      <c r="AB595" s="3"/>
      <c r="AC595" s="3"/>
      <c r="AD595" s="3"/>
      <c r="AE595" s="3"/>
      <c r="AF595" s="3"/>
    </row>
    <row r="596" ht="15.75" customHeight="1">
      <c r="J596" s="15"/>
      <c r="K596" s="238"/>
      <c r="L596" s="15"/>
      <c r="M596" s="15"/>
      <c r="N596" s="15"/>
      <c r="O596" s="15"/>
      <c r="P596" s="15"/>
      <c r="Q596" s="15"/>
      <c r="R596" s="15"/>
      <c r="S596" s="15"/>
      <c r="T596" s="15"/>
      <c r="U596" s="15"/>
      <c r="V596" s="15"/>
      <c r="W596" s="15"/>
      <c r="X596" s="14"/>
      <c r="Y596" s="14"/>
      <c r="Z596" s="15"/>
      <c r="AA596" s="3"/>
      <c r="AB596" s="3"/>
      <c r="AC596" s="3"/>
      <c r="AD596" s="3"/>
      <c r="AE596" s="3"/>
      <c r="AF596" s="3"/>
    </row>
    <row r="597" ht="15.75" customHeight="1">
      <c r="J597" s="15"/>
      <c r="K597" s="238"/>
      <c r="L597" s="15"/>
      <c r="M597" s="15"/>
      <c r="N597" s="15"/>
      <c r="O597" s="15"/>
      <c r="P597" s="15"/>
      <c r="Q597" s="15"/>
      <c r="R597" s="15"/>
      <c r="S597" s="15"/>
      <c r="T597" s="15"/>
      <c r="U597" s="15"/>
      <c r="V597" s="15"/>
      <c r="W597" s="15"/>
      <c r="X597" s="14"/>
      <c r="Y597" s="14"/>
      <c r="Z597" s="15"/>
      <c r="AA597" s="3"/>
      <c r="AB597" s="3"/>
      <c r="AC597" s="3"/>
      <c r="AD597" s="3"/>
      <c r="AE597" s="3"/>
      <c r="AF597" s="3"/>
    </row>
    <row r="598" ht="15.75" customHeight="1">
      <c r="J598" s="15"/>
      <c r="K598" s="238"/>
      <c r="L598" s="15"/>
      <c r="M598" s="15"/>
      <c r="N598" s="15"/>
      <c r="O598" s="15"/>
      <c r="P598" s="15"/>
      <c r="Q598" s="15"/>
      <c r="R598" s="15"/>
      <c r="S598" s="15"/>
      <c r="T598" s="15"/>
      <c r="U598" s="15"/>
      <c r="V598" s="15"/>
      <c r="W598" s="15"/>
      <c r="X598" s="14"/>
      <c r="Y598" s="14"/>
      <c r="Z598" s="15"/>
      <c r="AA598" s="3"/>
      <c r="AB598" s="3"/>
      <c r="AC598" s="3"/>
      <c r="AD598" s="3"/>
      <c r="AE598" s="3"/>
      <c r="AF598" s="3"/>
    </row>
    <row r="599" ht="15.75" customHeight="1">
      <c r="J599" s="15"/>
      <c r="K599" s="238"/>
      <c r="L599" s="15"/>
      <c r="M599" s="15"/>
      <c r="N599" s="15"/>
      <c r="O599" s="15"/>
      <c r="P599" s="15"/>
      <c r="Q599" s="15"/>
      <c r="R599" s="15"/>
      <c r="S599" s="15"/>
      <c r="T599" s="15"/>
      <c r="U599" s="15"/>
      <c r="V599" s="15"/>
      <c r="W599" s="15"/>
      <c r="X599" s="14"/>
      <c r="Y599" s="14"/>
      <c r="Z599" s="15"/>
      <c r="AA599" s="3"/>
      <c r="AB599" s="3"/>
      <c r="AC599" s="3"/>
      <c r="AD599" s="3"/>
      <c r="AE599" s="3"/>
      <c r="AF599" s="3"/>
    </row>
    <row r="600" ht="15.75" customHeight="1">
      <c r="J600" s="15"/>
      <c r="K600" s="238"/>
      <c r="L600" s="15"/>
      <c r="M600" s="15"/>
      <c r="N600" s="15"/>
      <c r="O600" s="15"/>
      <c r="P600" s="15"/>
      <c r="Q600" s="15"/>
      <c r="R600" s="15"/>
      <c r="S600" s="15"/>
      <c r="T600" s="15"/>
      <c r="U600" s="15"/>
      <c r="V600" s="15"/>
      <c r="W600" s="15"/>
      <c r="X600" s="14"/>
      <c r="Y600" s="14"/>
      <c r="Z600" s="15"/>
      <c r="AA600" s="3"/>
      <c r="AB600" s="3"/>
      <c r="AC600" s="3"/>
      <c r="AD600" s="3"/>
      <c r="AE600" s="3"/>
      <c r="AF600" s="3"/>
    </row>
    <row r="601" ht="15.75" customHeight="1">
      <c r="J601" s="15"/>
      <c r="K601" s="238"/>
      <c r="L601" s="15"/>
      <c r="M601" s="15"/>
      <c r="N601" s="15"/>
      <c r="O601" s="15"/>
      <c r="P601" s="15"/>
      <c r="Q601" s="15"/>
      <c r="R601" s="15"/>
      <c r="S601" s="15"/>
      <c r="T601" s="15"/>
      <c r="U601" s="15"/>
      <c r="V601" s="15"/>
      <c r="W601" s="15"/>
      <c r="X601" s="14"/>
      <c r="Y601" s="14"/>
      <c r="Z601" s="15"/>
      <c r="AA601" s="3"/>
      <c r="AB601" s="3"/>
      <c r="AC601" s="3"/>
      <c r="AD601" s="3"/>
      <c r="AE601" s="3"/>
      <c r="AF601" s="3"/>
    </row>
    <row r="602" ht="15.75" customHeight="1">
      <c r="J602" s="15"/>
      <c r="K602" s="238"/>
      <c r="L602" s="15"/>
      <c r="M602" s="15"/>
      <c r="N602" s="15"/>
      <c r="O602" s="15"/>
      <c r="P602" s="15"/>
      <c r="Q602" s="15"/>
      <c r="R602" s="15"/>
      <c r="S602" s="15"/>
      <c r="T602" s="15"/>
      <c r="U602" s="15"/>
      <c r="V602" s="15"/>
      <c r="W602" s="15"/>
      <c r="X602" s="14"/>
      <c r="Y602" s="14"/>
      <c r="Z602" s="15"/>
      <c r="AA602" s="3"/>
      <c r="AB602" s="3"/>
      <c r="AC602" s="3"/>
      <c r="AD602" s="3"/>
      <c r="AE602" s="3"/>
      <c r="AF602" s="3"/>
    </row>
    <row r="603" ht="15.75" customHeight="1">
      <c r="J603" s="15"/>
      <c r="K603" s="238"/>
      <c r="L603" s="15"/>
      <c r="M603" s="15"/>
      <c r="N603" s="15"/>
      <c r="O603" s="15"/>
      <c r="P603" s="15"/>
      <c r="Q603" s="15"/>
      <c r="R603" s="15"/>
      <c r="S603" s="15"/>
      <c r="T603" s="15"/>
      <c r="U603" s="15"/>
      <c r="V603" s="15"/>
      <c r="W603" s="15"/>
      <c r="X603" s="14"/>
      <c r="Y603" s="14"/>
      <c r="Z603" s="15"/>
      <c r="AA603" s="3"/>
      <c r="AB603" s="3"/>
      <c r="AC603" s="3"/>
      <c r="AD603" s="3"/>
      <c r="AE603" s="3"/>
      <c r="AF603" s="3"/>
    </row>
    <row r="604" ht="15.75" customHeight="1">
      <c r="J604" s="15"/>
      <c r="K604" s="238"/>
      <c r="L604" s="15"/>
      <c r="M604" s="15"/>
      <c r="N604" s="15"/>
      <c r="O604" s="15"/>
      <c r="P604" s="15"/>
      <c r="Q604" s="15"/>
      <c r="R604" s="15"/>
      <c r="S604" s="15"/>
      <c r="T604" s="15"/>
      <c r="U604" s="15"/>
      <c r="V604" s="15"/>
      <c r="W604" s="15"/>
      <c r="X604" s="14"/>
      <c r="Y604" s="14"/>
      <c r="Z604" s="15"/>
      <c r="AA604" s="3"/>
      <c r="AB604" s="3"/>
      <c r="AC604" s="3"/>
      <c r="AD604" s="3"/>
      <c r="AE604" s="3"/>
      <c r="AF604" s="3"/>
    </row>
    <row r="605" ht="15.75" customHeight="1">
      <c r="J605" s="15"/>
      <c r="K605" s="238"/>
      <c r="L605" s="15"/>
      <c r="M605" s="15"/>
      <c r="N605" s="15"/>
      <c r="O605" s="15"/>
      <c r="P605" s="15"/>
      <c r="Q605" s="15"/>
      <c r="R605" s="15"/>
      <c r="S605" s="15"/>
      <c r="T605" s="15"/>
      <c r="U605" s="15"/>
      <c r="V605" s="15"/>
      <c r="W605" s="15"/>
      <c r="X605" s="14"/>
      <c r="Y605" s="14"/>
      <c r="Z605" s="15"/>
      <c r="AA605" s="3"/>
      <c r="AB605" s="3"/>
      <c r="AC605" s="3"/>
      <c r="AD605" s="3"/>
      <c r="AE605" s="3"/>
      <c r="AF605" s="3"/>
    </row>
    <row r="606" ht="15.75" customHeight="1">
      <c r="J606" s="15"/>
      <c r="K606" s="238"/>
      <c r="L606" s="15"/>
      <c r="M606" s="15"/>
      <c r="N606" s="15"/>
      <c r="O606" s="15"/>
      <c r="P606" s="15"/>
      <c r="Q606" s="15"/>
      <c r="R606" s="15"/>
      <c r="S606" s="15"/>
      <c r="T606" s="15"/>
      <c r="U606" s="15"/>
      <c r="V606" s="15"/>
      <c r="W606" s="15"/>
      <c r="X606" s="14"/>
      <c r="Y606" s="14"/>
      <c r="Z606" s="15"/>
      <c r="AA606" s="3"/>
      <c r="AB606" s="3"/>
      <c r="AC606" s="3"/>
      <c r="AD606" s="3"/>
      <c r="AE606" s="3"/>
      <c r="AF606" s="3"/>
    </row>
    <row r="607" ht="15.75" customHeight="1">
      <c r="J607" s="15"/>
      <c r="K607" s="238"/>
      <c r="L607" s="15"/>
      <c r="M607" s="15"/>
      <c r="N607" s="15"/>
      <c r="O607" s="15"/>
      <c r="P607" s="15"/>
      <c r="Q607" s="15"/>
      <c r="R607" s="15"/>
      <c r="S607" s="15"/>
      <c r="T607" s="15"/>
      <c r="U607" s="15"/>
      <c r="V607" s="15"/>
      <c r="W607" s="15"/>
      <c r="X607" s="14"/>
      <c r="Y607" s="14"/>
      <c r="Z607" s="15"/>
      <c r="AA607" s="3"/>
      <c r="AB607" s="3"/>
      <c r="AC607" s="3"/>
      <c r="AD607" s="3"/>
      <c r="AE607" s="3"/>
      <c r="AF607" s="3"/>
    </row>
    <row r="608" ht="15.75" customHeight="1">
      <c r="J608" s="15"/>
      <c r="K608" s="238"/>
      <c r="L608" s="15"/>
      <c r="M608" s="15"/>
      <c r="N608" s="15"/>
      <c r="O608" s="15"/>
      <c r="P608" s="15"/>
      <c r="Q608" s="15"/>
      <c r="R608" s="15"/>
      <c r="S608" s="15"/>
      <c r="T608" s="15"/>
      <c r="U608" s="15"/>
      <c r="V608" s="15"/>
      <c r="W608" s="15"/>
      <c r="X608" s="14"/>
      <c r="Y608" s="14"/>
      <c r="Z608" s="15"/>
      <c r="AA608" s="3"/>
      <c r="AB608" s="3"/>
      <c r="AC608" s="3"/>
      <c r="AD608" s="3"/>
      <c r="AE608" s="3"/>
      <c r="AF608" s="3"/>
    </row>
    <row r="609" ht="15.75" customHeight="1">
      <c r="J609" s="15"/>
      <c r="K609" s="238"/>
      <c r="L609" s="15"/>
      <c r="M609" s="15"/>
      <c r="N609" s="15"/>
      <c r="O609" s="15"/>
      <c r="P609" s="15"/>
      <c r="Q609" s="15"/>
      <c r="R609" s="15"/>
      <c r="S609" s="15"/>
      <c r="T609" s="15"/>
      <c r="U609" s="15"/>
      <c r="V609" s="15"/>
      <c r="W609" s="15"/>
      <c r="X609" s="14"/>
      <c r="Y609" s="14"/>
      <c r="Z609" s="15"/>
      <c r="AA609" s="3"/>
      <c r="AB609" s="3"/>
      <c r="AC609" s="3"/>
      <c r="AD609" s="3"/>
      <c r="AE609" s="3"/>
      <c r="AF609" s="3"/>
    </row>
    <row r="610" ht="15.75" customHeight="1">
      <c r="J610" s="15"/>
      <c r="K610" s="238"/>
      <c r="L610" s="15"/>
      <c r="M610" s="15"/>
      <c r="N610" s="15"/>
      <c r="O610" s="15"/>
      <c r="P610" s="15"/>
      <c r="Q610" s="15"/>
      <c r="R610" s="15"/>
      <c r="S610" s="15"/>
      <c r="T610" s="15"/>
      <c r="U610" s="15"/>
      <c r="V610" s="15"/>
      <c r="W610" s="15"/>
      <c r="X610" s="14"/>
      <c r="Y610" s="14"/>
      <c r="Z610" s="15"/>
      <c r="AA610" s="3"/>
      <c r="AB610" s="3"/>
      <c r="AC610" s="3"/>
      <c r="AD610" s="3"/>
      <c r="AE610" s="3"/>
      <c r="AF610" s="3"/>
    </row>
    <row r="611" ht="15.75" customHeight="1">
      <c r="J611" s="15"/>
      <c r="K611" s="238"/>
      <c r="L611" s="15"/>
      <c r="M611" s="15"/>
      <c r="N611" s="15"/>
      <c r="O611" s="15"/>
      <c r="P611" s="15"/>
      <c r="Q611" s="15"/>
      <c r="R611" s="15"/>
      <c r="S611" s="15"/>
      <c r="T611" s="15"/>
      <c r="U611" s="15"/>
      <c r="V611" s="15"/>
      <c r="W611" s="15"/>
      <c r="X611" s="14"/>
      <c r="Y611" s="14"/>
      <c r="Z611" s="15"/>
      <c r="AA611" s="3"/>
      <c r="AB611" s="3"/>
      <c r="AC611" s="3"/>
      <c r="AD611" s="3"/>
      <c r="AE611" s="3"/>
      <c r="AF611" s="3"/>
    </row>
    <row r="612" ht="15.75" customHeight="1">
      <c r="J612" s="15"/>
      <c r="K612" s="238"/>
      <c r="L612" s="15"/>
      <c r="M612" s="15"/>
      <c r="N612" s="15"/>
      <c r="O612" s="15"/>
      <c r="P612" s="15"/>
      <c r="Q612" s="15"/>
      <c r="R612" s="15"/>
      <c r="S612" s="15"/>
      <c r="T612" s="15"/>
      <c r="U612" s="15"/>
      <c r="V612" s="15"/>
      <c r="W612" s="15"/>
      <c r="X612" s="14"/>
      <c r="Y612" s="14"/>
      <c r="Z612" s="15"/>
      <c r="AA612" s="3"/>
      <c r="AB612" s="3"/>
      <c r="AC612" s="3"/>
      <c r="AD612" s="3"/>
      <c r="AE612" s="3"/>
      <c r="AF612" s="3"/>
    </row>
    <row r="613" ht="15.75" customHeight="1">
      <c r="J613" s="15"/>
      <c r="K613" s="238"/>
      <c r="L613" s="15"/>
      <c r="M613" s="15"/>
      <c r="N613" s="15"/>
      <c r="O613" s="15"/>
      <c r="P613" s="15"/>
      <c r="Q613" s="15"/>
      <c r="R613" s="15"/>
      <c r="S613" s="15"/>
      <c r="T613" s="15"/>
      <c r="U613" s="15"/>
      <c r="V613" s="15"/>
      <c r="W613" s="15"/>
      <c r="X613" s="14"/>
      <c r="Y613" s="14"/>
      <c r="Z613" s="15"/>
      <c r="AA613" s="3"/>
      <c r="AB613" s="3"/>
      <c r="AC613" s="3"/>
      <c r="AD613" s="3"/>
      <c r="AE613" s="3"/>
      <c r="AF613" s="3"/>
    </row>
    <row r="614" ht="15.75" customHeight="1">
      <c r="J614" s="15"/>
      <c r="K614" s="238"/>
      <c r="L614" s="15"/>
      <c r="M614" s="15"/>
      <c r="N614" s="15"/>
      <c r="O614" s="15"/>
      <c r="P614" s="15"/>
      <c r="Q614" s="15"/>
      <c r="R614" s="15"/>
      <c r="S614" s="15"/>
      <c r="T614" s="15"/>
      <c r="U614" s="15"/>
      <c r="V614" s="15"/>
      <c r="W614" s="15"/>
      <c r="X614" s="14"/>
      <c r="Y614" s="14"/>
      <c r="Z614" s="15"/>
      <c r="AA614" s="3"/>
      <c r="AB614" s="3"/>
      <c r="AC614" s="3"/>
      <c r="AD614" s="3"/>
      <c r="AE614" s="3"/>
      <c r="AF614" s="3"/>
    </row>
    <row r="615" ht="15.75" customHeight="1">
      <c r="J615" s="15"/>
      <c r="K615" s="238"/>
      <c r="L615" s="15"/>
      <c r="M615" s="15"/>
      <c r="N615" s="15"/>
      <c r="O615" s="15"/>
      <c r="P615" s="15"/>
      <c r="Q615" s="15"/>
      <c r="R615" s="15"/>
      <c r="S615" s="15"/>
      <c r="T615" s="15"/>
      <c r="U615" s="15"/>
      <c r="V615" s="15"/>
      <c r="W615" s="15"/>
      <c r="X615" s="14"/>
      <c r="Y615" s="14"/>
      <c r="Z615" s="15"/>
      <c r="AA615" s="3"/>
      <c r="AB615" s="3"/>
      <c r="AC615" s="3"/>
      <c r="AD615" s="3"/>
      <c r="AE615" s="3"/>
      <c r="AF615" s="3"/>
    </row>
    <row r="616" ht="15.75" customHeight="1">
      <c r="J616" s="15"/>
      <c r="K616" s="238"/>
      <c r="L616" s="15"/>
      <c r="M616" s="15"/>
      <c r="N616" s="15"/>
      <c r="O616" s="15"/>
      <c r="P616" s="15"/>
      <c r="Q616" s="15"/>
      <c r="R616" s="15"/>
      <c r="S616" s="15"/>
      <c r="T616" s="15"/>
      <c r="U616" s="15"/>
      <c r="V616" s="15"/>
      <c r="W616" s="15"/>
      <c r="X616" s="14"/>
      <c r="Y616" s="14"/>
      <c r="Z616" s="15"/>
      <c r="AA616" s="3"/>
      <c r="AB616" s="3"/>
      <c r="AC616" s="3"/>
      <c r="AD616" s="3"/>
      <c r="AE616" s="3"/>
      <c r="AF616" s="3"/>
    </row>
    <row r="617" ht="15.75" customHeight="1">
      <c r="J617" s="15"/>
      <c r="K617" s="238"/>
      <c r="L617" s="15"/>
      <c r="M617" s="15"/>
      <c r="N617" s="15"/>
      <c r="O617" s="15"/>
      <c r="P617" s="15"/>
      <c r="Q617" s="15"/>
      <c r="R617" s="15"/>
      <c r="S617" s="15"/>
      <c r="T617" s="15"/>
      <c r="U617" s="15"/>
      <c r="V617" s="15"/>
      <c r="W617" s="15"/>
      <c r="X617" s="14"/>
      <c r="Y617" s="14"/>
      <c r="Z617" s="15"/>
      <c r="AA617" s="3"/>
      <c r="AB617" s="3"/>
      <c r="AC617" s="3"/>
      <c r="AD617" s="3"/>
      <c r="AE617" s="3"/>
      <c r="AF617" s="3"/>
    </row>
    <row r="618" ht="15.75" customHeight="1">
      <c r="J618" s="15"/>
      <c r="K618" s="238"/>
      <c r="L618" s="15"/>
      <c r="M618" s="15"/>
      <c r="N618" s="15"/>
      <c r="O618" s="15"/>
      <c r="P618" s="15"/>
      <c r="Q618" s="15"/>
      <c r="R618" s="15"/>
      <c r="S618" s="15"/>
      <c r="T618" s="15"/>
      <c r="U618" s="15"/>
      <c r="V618" s="15"/>
      <c r="W618" s="15"/>
      <c r="X618" s="14"/>
      <c r="Y618" s="14"/>
      <c r="Z618" s="15"/>
      <c r="AA618" s="3"/>
      <c r="AB618" s="3"/>
      <c r="AC618" s="3"/>
      <c r="AD618" s="3"/>
      <c r="AE618" s="3"/>
      <c r="AF618" s="3"/>
    </row>
    <row r="619" ht="15.75" customHeight="1">
      <c r="J619" s="15"/>
      <c r="K619" s="238"/>
      <c r="L619" s="15"/>
      <c r="M619" s="15"/>
      <c r="N619" s="15"/>
      <c r="O619" s="15"/>
      <c r="P619" s="15"/>
      <c r="Q619" s="15"/>
      <c r="R619" s="15"/>
      <c r="S619" s="15"/>
      <c r="T619" s="15"/>
      <c r="U619" s="15"/>
      <c r="V619" s="15"/>
      <c r="W619" s="15"/>
      <c r="X619" s="14"/>
      <c r="Y619" s="14"/>
      <c r="Z619" s="15"/>
      <c r="AA619" s="3"/>
      <c r="AB619" s="3"/>
      <c r="AC619" s="3"/>
      <c r="AD619" s="3"/>
      <c r="AE619" s="3"/>
      <c r="AF619" s="3"/>
    </row>
    <row r="620" ht="15.75" customHeight="1">
      <c r="J620" s="15"/>
      <c r="K620" s="238"/>
      <c r="L620" s="15"/>
      <c r="M620" s="15"/>
      <c r="N620" s="15"/>
      <c r="O620" s="15"/>
      <c r="P620" s="15"/>
      <c r="Q620" s="15"/>
      <c r="R620" s="15"/>
      <c r="S620" s="15"/>
      <c r="T620" s="15"/>
      <c r="U620" s="15"/>
      <c r="V620" s="15"/>
      <c r="W620" s="15"/>
      <c r="X620" s="14"/>
      <c r="Y620" s="14"/>
      <c r="Z620" s="15"/>
      <c r="AA620" s="3"/>
      <c r="AB620" s="3"/>
      <c r="AC620" s="3"/>
      <c r="AD620" s="3"/>
      <c r="AE620" s="3"/>
      <c r="AF620" s="3"/>
    </row>
    <row r="621" ht="15.75" customHeight="1">
      <c r="J621" s="15"/>
      <c r="K621" s="238"/>
      <c r="L621" s="15"/>
      <c r="M621" s="15"/>
      <c r="N621" s="15"/>
      <c r="O621" s="15"/>
      <c r="P621" s="15"/>
      <c r="Q621" s="15"/>
      <c r="R621" s="15"/>
      <c r="S621" s="15"/>
      <c r="T621" s="15"/>
      <c r="U621" s="15"/>
      <c r="V621" s="15"/>
      <c r="W621" s="15"/>
      <c r="X621" s="14"/>
      <c r="Y621" s="14"/>
      <c r="Z621" s="15"/>
      <c r="AA621" s="3"/>
      <c r="AB621" s="3"/>
      <c r="AC621" s="3"/>
      <c r="AD621" s="3"/>
      <c r="AE621" s="3"/>
      <c r="AF621" s="3"/>
    </row>
    <row r="622" ht="15.75" customHeight="1">
      <c r="J622" s="15"/>
      <c r="K622" s="238"/>
      <c r="L622" s="15"/>
      <c r="M622" s="15"/>
      <c r="N622" s="15"/>
      <c r="O622" s="15"/>
      <c r="P622" s="15"/>
      <c r="Q622" s="15"/>
      <c r="R622" s="15"/>
      <c r="S622" s="15"/>
      <c r="T622" s="15"/>
      <c r="U622" s="15"/>
      <c r="V622" s="15"/>
      <c r="W622" s="15"/>
      <c r="X622" s="14"/>
      <c r="Y622" s="14"/>
      <c r="Z622" s="15"/>
      <c r="AA622" s="3"/>
      <c r="AB622" s="3"/>
      <c r="AC622" s="3"/>
      <c r="AD622" s="3"/>
      <c r="AE622" s="3"/>
      <c r="AF622" s="3"/>
    </row>
    <row r="623" ht="15.75" customHeight="1">
      <c r="J623" s="15"/>
      <c r="K623" s="238"/>
      <c r="L623" s="15"/>
      <c r="M623" s="15"/>
      <c r="N623" s="15"/>
      <c r="O623" s="15"/>
      <c r="P623" s="15"/>
      <c r="Q623" s="15"/>
      <c r="R623" s="15"/>
      <c r="S623" s="15"/>
      <c r="T623" s="15"/>
      <c r="U623" s="15"/>
      <c r="V623" s="15"/>
      <c r="W623" s="15"/>
      <c r="X623" s="14"/>
      <c r="Y623" s="14"/>
      <c r="Z623" s="15"/>
      <c r="AA623" s="3"/>
      <c r="AB623" s="3"/>
      <c r="AC623" s="3"/>
      <c r="AD623" s="3"/>
      <c r="AE623" s="3"/>
      <c r="AF623" s="3"/>
    </row>
    <row r="624" ht="15.75" customHeight="1">
      <c r="J624" s="15"/>
      <c r="K624" s="238"/>
      <c r="L624" s="15"/>
      <c r="M624" s="15"/>
      <c r="N624" s="15"/>
      <c r="O624" s="15"/>
      <c r="P624" s="15"/>
      <c r="Q624" s="15"/>
      <c r="R624" s="15"/>
      <c r="S624" s="15"/>
      <c r="T624" s="15"/>
      <c r="U624" s="15"/>
      <c r="V624" s="15"/>
      <c r="W624" s="15"/>
      <c r="X624" s="14"/>
      <c r="Y624" s="14"/>
      <c r="Z624" s="15"/>
      <c r="AA624" s="3"/>
      <c r="AB624" s="3"/>
      <c r="AC624" s="3"/>
      <c r="AD624" s="3"/>
      <c r="AE624" s="3"/>
      <c r="AF624" s="3"/>
    </row>
    <row r="625" ht="15.75" customHeight="1">
      <c r="J625" s="15"/>
      <c r="K625" s="238"/>
      <c r="L625" s="15"/>
      <c r="M625" s="15"/>
      <c r="N625" s="15"/>
      <c r="O625" s="15"/>
      <c r="P625" s="15"/>
      <c r="Q625" s="15"/>
      <c r="R625" s="15"/>
      <c r="S625" s="15"/>
      <c r="T625" s="15"/>
      <c r="U625" s="15"/>
      <c r="V625" s="15"/>
      <c r="W625" s="15"/>
      <c r="X625" s="14"/>
      <c r="Y625" s="14"/>
      <c r="Z625" s="15"/>
      <c r="AA625" s="3"/>
      <c r="AB625" s="3"/>
      <c r="AC625" s="3"/>
      <c r="AD625" s="3"/>
      <c r="AE625" s="3"/>
      <c r="AF625" s="3"/>
    </row>
    <row r="626" ht="15.75" customHeight="1">
      <c r="J626" s="15"/>
      <c r="K626" s="238"/>
      <c r="L626" s="15"/>
      <c r="M626" s="15"/>
      <c r="N626" s="15"/>
      <c r="O626" s="15"/>
      <c r="P626" s="15"/>
      <c r="Q626" s="15"/>
      <c r="R626" s="15"/>
      <c r="S626" s="15"/>
      <c r="T626" s="15"/>
      <c r="U626" s="15"/>
      <c r="V626" s="15"/>
      <c r="W626" s="15"/>
      <c r="X626" s="14"/>
      <c r="Y626" s="14"/>
      <c r="Z626" s="15"/>
      <c r="AA626" s="3"/>
      <c r="AB626" s="3"/>
      <c r="AC626" s="3"/>
      <c r="AD626" s="3"/>
      <c r="AE626" s="3"/>
      <c r="AF626" s="3"/>
    </row>
    <row r="627" ht="15.75" customHeight="1">
      <c r="J627" s="15"/>
      <c r="K627" s="238"/>
      <c r="L627" s="15"/>
      <c r="M627" s="15"/>
      <c r="N627" s="15"/>
      <c r="O627" s="15"/>
      <c r="P627" s="15"/>
      <c r="Q627" s="15"/>
      <c r="R627" s="15"/>
      <c r="S627" s="15"/>
      <c r="T627" s="15"/>
      <c r="U627" s="15"/>
      <c r="V627" s="15"/>
      <c r="W627" s="15"/>
      <c r="X627" s="14"/>
      <c r="Y627" s="14"/>
      <c r="Z627" s="15"/>
      <c r="AA627" s="3"/>
      <c r="AB627" s="3"/>
      <c r="AC627" s="3"/>
      <c r="AD627" s="3"/>
      <c r="AE627" s="3"/>
      <c r="AF627" s="3"/>
    </row>
    <row r="628" ht="15.75" customHeight="1">
      <c r="J628" s="15"/>
      <c r="K628" s="238"/>
      <c r="L628" s="15"/>
      <c r="M628" s="15"/>
      <c r="N628" s="15"/>
      <c r="O628" s="15"/>
      <c r="P628" s="15"/>
      <c r="Q628" s="15"/>
      <c r="R628" s="15"/>
      <c r="S628" s="15"/>
      <c r="T628" s="15"/>
      <c r="U628" s="15"/>
      <c r="V628" s="15"/>
      <c r="W628" s="15"/>
      <c r="X628" s="14"/>
      <c r="Y628" s="14"/>
      <c r="Z628" s="15"/>
      <c r="AA628" s="3"/>
      <c r="AB628" s="3"/>
      <c r="AC628" s="3"/>
      <c r="AD628" s="3"/>
      <c r="AE628" s="3"/>
      <c r="AF628" s="3"/>
    </row>
    <row r="629" ht="15.75" customHeight="1">
      <c r="J629" s="15"/>
      <c r="K629" s="238"/>
      <c r="L629" s="15"/>
      <c r="M629" s="15"/>
      <c r="N629" s="15"/>
      <c r="O629" s="15"/>
      <c r="P629" s="15"/>
      <c r="Q629" s="15"/>
      <c r="R629" s="15"/>
      <c r="S629" s="15"/>
      <c r="T629" s="15"/>
      <c r="U629" s="15"/>
      <c r="V629" s="15"/>
      <c r="W629" s="15"/>
      <c r="X629" s="14"/>
      <c r="Y629" s="14"/>
      <c r="Z629" s="15"/>
      <c r="AA629" s="3"/>
      <c r="AB629" s="3"/>
      <c r="AC629" s="3"/>
      <c r="AD629" s="3"/>
      <c r="AE629" s="3"/>
      <c r="AF629" s="3"/>
    </row>
    <row r="630" ht="15.75" customHeight="1">
      <c r="J630" s="15"/>
      <c r="K630" s="238"/>
      <c r="L630" s="15"/>
      <c r="M630" s="15"/>
      <c r="N630" s="15"/>
      <c r="O630" s="15"/>
      <c r="P630" s="15"/>
      <c r="Q630" s="15"/>
      <c r="R630" s="15"/>
      <c r="S630" s="15"/>
      <c r="T630" s="15"/>
      <c r="U630" s="15"/>
      <c r="V630" s="15"/>
      <c r="W630" s="15"/>
      <c r="X630" s="14"/>
      <c r="Y630" s="14"/>
      <c r="Z630" s="15"/>
      <c r="AA630" s="3"/>
      <c r="AB630" s="3"/>
      <c r="AC630" s="3"/>
      <c r="AD630" s="3"/>
      <c r="AE630" s="3"/>
      <c r="AF630" s="3"/>
    </row>
    <row r="631" ht="15.75" customHeight="1">
      <c r="J631" s="15"/>
      <c r="K631" s="238"/>
      <c r="L631" s="15"/>
      <c r="M631" s="15"/>
      <c r="N631" s="15"/>
      <c r="O631" s="15"/>
      <c r="P631" s="15"/>
      <c r="Q631" s="15"/>
      <c r="R631" s="15"/>
      <c r="S631" s="15"/>
      <c r="T631" s="15"/>
      <c r="U631" s="15"/>
      <c r="V631" s="15"/>
      <c r="W631" s="15"/>
      <c r="X631" s="14"/>
      <c r="Y631" s="14"/>
      <c r="Z631" s="15"/>
      <c r="AA631" s="3"/>
      <c r="AB631" s="3"/>
      <c r="AC631" s="3"/>
      <c r="AD631" s="3"/>
      <c r="AE631" s="3"/>
      <c r="AF631" s="3"/>
    </row>
    <row r="632" ht="15.75" customHeight="1">
      <c r="J632" s="15"/>
      <c r="K632" s="238"/>
      <c r="L632" s="15"/>
      <c r="M632" s="15"/>
      <c r="N632" s="15"/>
      <c r="O632" s="15"/>
      <c r="P632" s="15"/>
      <c r="Q632" s="15"/>
      <c r="R632" s="15"/>
      <c r="S632" s="15"/>
      <c r="T632" s="15"/>
      <c r="U632" s="15"/>
      <c r="V632" s="15"/>
      <c r="W632" s="15"/>
      <c r="X632" s="14"/>
      <c r="Y632" s="14"/>
      <c r="Z632" s="15"/>
      <c r="AA632" s="3"/>
      <c r="AB632" s="3"/>
      <c r="AC632" s="3"/>
      <c r="AD632" s="3"/>
      <c r="AE632" s="3"/>
      <c r="AF632" s="3"/>
    </row>
    <row r="633" ht="15.75" customHeight="1">
      <c r="J633" s="15"/>
      <c r="K633" s="238"/>
      <c r="L633" s="15"/>
      <c r="M633" s="15"/>
      <c r="N633" s="15"/>
      <c r="O633" s="15"/>
      <c r="P633" s="15"/>
      <c r="Q633" s="15"/>
      <c r="R633" s="15"/>
      <c r="S633" s="15"/>
      <c r="T633" s="15"/>
      <c r="U633" s="15"/>
      <c r="V633" s="15"/>
      <c r="W633" s="15"/>
      <c r="X633" s="14"/>
      <c r="Y633" s="14"/>
      <c r="Z633" s="15"/>
      <c r="AA633" s="3"/>
      <c r="AB633" s="3"/>
      <c r="AC633" s="3"/>
      <c r="AD633" s="3"/>
      <c r="AE633" s="3"/>
      <c r="AF633" s="3"/>
    </row>
    <row r="634" ht="15.75" customHeight="1">
      <c r="J634" s="15"/>
      <c r="K634" s="238"/>
      <c r="L634" s="15"/>
      <c r="M634" s="15"/>
      <c r="N634" s="15"/>
      <c r="O634" s="15"/>
      <c r="P634" s="15"/>
      <c r="Q634" s="15"/>
      <c r="R634" s="15"/>
      <c r="S634" s="15"/>
      <c r="T634" s="15"/>
      <c r="U634" s="15"/>
      <c r="V634" s="15"/>
      <c r="W634" s="15"/>
      <c r="X634" s="14"/>
      <c r="Y634" s="14"/>
      <c r="Z634" s="15"/>
      <c r="AA634" s="3"/>
      <c r="AB634" s="3"/>
      <c r="AC634" s="3"/>
      <c r="AD634" s="3"/>
      <c r="AE634" s="3"/>
      <c r="AF634" s="3"/>
    </row>
    <row r="635" ht="15.75" customHeight="1">
      <c r="J635" s="15"/>
      <c r="K635" s="238"/>
      <c r="L635" s="15"/>
      <c r="M635" s="15"/>
      <c r="N635" s="15"/>
      <c r="O635" s="15"/>
      <c r="P635" s="15"/>
      <c r="Q635" s="15"/>
      <c r="R635" s="15"/>
      <c r="S635" s="15"/>
      <c r="T635" s="15"/>
      <c r="U635" s="15"/>
      <c r="V635" s="15"/>
      <c r="W635" s="15"/>
      <c r="X635" s="14"/>
      <c r="Y635" s="14"/>
      <c r="Z635" s="15"/>
      <c r="AA635" s="3"/>
      <c r="AB635" s="3"/>
      <c r="AC635" s="3"/>
      <c r="AD635" s="3"/>
      <c r="AE635" s="3"/>
      <c r="AF635" s="3"/>
    </row>
    <row r="636" ht="15.75" customHeight="1">
      <c r="J636" s="15"/>
      <c r="K636" s="238"/>
      <c r="L636" s="15"/>
      <c r="M636" s="15"/>
      <c r="N636" s="15"/>
      <c r="O636" s="15"/>
      <c r="P636" s="15"/>
      <c r="Q636" s="15"/>
      <c r="R636" s="15"/>
      <c r="S636" s="15"/>
      <c r="T636" s="15"/>
      <c r="U636" s="15"/>
      <c r="V636" s="15"/>
      <c r="W636" s="15"/>
      <c r="X636" s="14"/>
      <c r="Y636" s="14"/>
      <c r="Z636" s="15"/>
      <c r="AA636" s="3"/>
      <c r="AB636" s="3"/>
      <c r="AC636" s="3"/>
      <c r="AD636" s="3"/>
      <c r="AE636" s="3"/>
      <c r="AF636" s="3"/>
    </row>
    <row r="637" ht="15.75" customHeight="1">
      <c r="J637" s="15"/>
      <c r="K637" s="238"/>
      <c r="L637" s="15"/>
      <c r="M637" s="15"/>
      <c r="N637" s="15"/>
      <c r="O637" s="15"/>
      <c r="P637" s="15"/>
      <c r="Q637" s="15"/>
      <c r="R637" s="15"/>
      <c r="S637" s="15"/>
      <c r="T637" s="15"/>
      <c r="U637" s="15"/>
      <c r="V637" s="15"/>
      <c r="W637" s="15"/>
      <c r="X637" s="14"/>
      <c r="Y637" s="14"/>
      <c r="Z637" s="15"/>
      <c r="AA637" s="3"/>
      <c r="AB637" s="3"/>
      <c r="AC637" s="3"/>
      <c r="AD637" s="3"/>
      <c r="AE637" s="3"/>
      <c r="AF637" s="3"/>
    </row>
    <row r="638" ht="15.75" customHeight="1">
      <c r="J638" s="15"/>
      <c r="K638" s="238"/>
      <c r="L638" s="15"/>
      <c r="M638" s="15"/>
      <c r="N638" s="15"/>
      <c r="O638" s="15"/>
      <c r="P638" s="15"/>
      <c r="Q638" s="15"/>
      <c r="R638" s="15"/>
      <c r="S638" s="15"/>
      <c r="T638" s="15"/>
      <c r="U638" s="15"/>
      <c r="V638" s="15"/>
      <c r="W638" s="15"/>
      <c r="X638" s="14"/>
      <c r="Y638" s="14"/>
      <c r="Z638" s="15"/>
      <c r="AA638" s="3"/>
      <c r="AB638" s="3"/>
      <c r="AC638" s="3"/>
      <c r="AD638" s="3"/>
      <c r="AE638" s="3"/>
      <c r="AF638" s="3"/>
    </row>
    <row r="639" ht="15.75" customHeight="1">
      <c r="J639" s="15"/>
      <c r="K639" s="238"/>
      <c r="L639" s="15"/>
      <c r="M639" s="15"/>
      <c r="N639" s="15"/>
      <c r="O639" s="15"/>
      <c r="P639" s="15"/>
      <c r="Q639" s="15"/>
      <c r="R639" s="15"/>
      <c r="S639" s="15"/>
      <c r="T639" s="15"/>
      <c r="U639" s="15"/>
      <c r="V639" s="15"/>
      <c r="W639" s="15"/>
      <c r="X639" s="14"/>
      <c r="Y639" s="14"/>
      <c r="Z639" s="15"/>
      <c r="AA639" s="3"/>
      <c r="AB639" s="3"/>
      <c r="AC639" s="3"/>
      <c r="AD639" s="3"/>
      <c r="AE639" s="3"/>
      <c r="AF639" s="3"/>
    </row>
    <row r="640" ht="15.75" customHeight="1">
      <c r="J640" s="15"/>
      <c r="K640" s="238"/>
      <c r="L640" s="15"/>
      <c r="M640" s="15"/>
      <c r="N640" s="15"/>
      <c r="O640" s="15"/>
      <c r="P640" s="15"/>
      <c r="Q640" s="15"/>
      <c r="R640" s="15"/>
      <c r="S640" s="15"/>
      <c r="T640" s="15"/>
      <c r="U640" s="15"/>
      <c r="V640" s="15"/>
      <c r="W640" s="15"/>
      <c r="X640" s="14"/>
      <c r="Y640" s="14"/>
      <c r="Z640" s="15"/>
      <c r="AA640" s="3"/>
      <c r="AB640" s="3"/>
      <c r="AC640" s="3"/>
      <c r="AD640" s="3"/>
      <c r="AE640" s="3"/>
      <c r="AF640" s="3"/>
    </row>
    <row r="641" ht="15.75" customHeight="1">
      <c r="J641" s="15"/>
      <c r="K641" s="238"/>
      <c r="L641" s="15"/>
      <c r="M641" s="15"/>
      <c r="N641" s="15"/>
      <c r="O641" s="15"/>
      <c r="P641" s="15"/>
      <c r="Q641" s="15"/>
      <c r="R641" s="15"/>
      <c r="S641" s="15"/>
      <c r="T641" s="15"/>
      <c r="U641" s="15"/>
      <c r="V641" s="15"/>
      <c r="W641" s="15"/>
      <c r="X641" s="14"/>
      <c r="Y641" s="14"/>
      <c r="Z641" s="15"/>
      <c r="AA641" s="3"/>
      <c r="AB641" s="3"/>
      <c r="AC641" s="3"/>
      <c r="AD641" s="3"/>
      <c r="AE641" s="3"/>
      <c r="AF641" s="3"/>
    </row>
    <row r="642" ht="15.75" customHeight="1">
      <c r="J642" s="15"/>
      <c r="K642" s="238"/>
      <c r="L642" s="15"/>
      <c r="M642" s="15"/>
      <c r="N642" s="15"/>
      <c r="O642" s="15"/>
      <c r="P642" s="15"/>
      <c r="Q642" s="15"/>
      <c r="R642" s="15"/>
      <c r="S642" s="15"/>
      <c r="T642" s="15"/>
      <c r="U642" s="15"/>
      <c r="V642" s="15"/>
      <c r="W642" s="15"/>
      <c r="X642" s="14"/>
      <c r="Y642" s="14"/>
      <c r="Z642" s="15"/>
      <c r="AA642" s="3"/>
      <c r="AB642" s="3"/>
      <c r="AC642" s="3"/>
      <c r="AD642" s="3"/>
      <c r="AE642" s="3"/>
      <c r="AF642" s="3"/>
    </row>
    <row r="643" ht="15.75" customHeight="1">
      <c r="J643" s="15"/>
      <c r="K643" s="238"/>
      <c r="L643" s="15"/>
      <c r="M643" s="15"/>
      <c r="N643" s="15"/>
      <c r="O643" s="15"/>
      <c r="P643" s="15"/>
      <c r="Q643" s="15"/>
      <c r="R643" s="15"/>
      <c r="S643" s="15"/>
      <c r="T643" s="15"/>
      <c r="U643" s="15"/>
      <c r="V643" s="15"/>
      <c r="W643" s="15"/>
      <c r="X643" s="14"/>
      <c r="Y643" s="14"/>
      <c r="Z643" s="15"/>
      <c r="AA643" s="3"/>
      <c r="AB643" s="3"/>
      <c r="AC643" s="3"/>
      <c r="AD643" s="3"/>
      <c r="AE643" s="3"/>
      <c r="AF643" s="3"/>
    </row>
    <row r="644" ht="15.75" customHeight="1">
      <c r="J644" s="15"/>
      <c r="K644" s="238"/>
      <c r="L644" s="15"/>
      <c r="M644" s="15"/>
      <c r="N644" s="15"/>
      <c r="O644" s="15"/>
      <c r="P644" s="15"/>
      <c r="Q644" s="15"/>
      <c r="R644" s="15"/>
      <c r="S644" s="15"/>
      <c r="T644" s="15"/>
      <c r="U644" s="15"/>
      <c r="V644" s="15"/>
      <c r="W644" s="15"/>
      <c r="X644" s="14"/>
      <c r="Y644" s="14"/>
      <c r="Z644" s="15"/>
      <c r="AA644" s="3"/>
      <c r="AB644" s="3"/>
      <c r="AC644" s="3"/>
      <c r="AD644" s="3"/>
      <c r="AE644" s="3"/>
      <c r="AF644" s="3"/>
    </row>
    <row r="645" ht="15.75" customHeight="1">
      <c r="J645" s="15"/>
      <c r="K645" s="238"/>
      <c r="L645" s="15"/>
      <c r="M645" s="15"/>
      <c r="N645" s="15"/>
      <c r="O645" s="15"/>
      <c r="P645" s="15"/>
      <c r="Q645" s="15"/>
      <c r="R645" s="15"/>
      <c r="S645" s="15"/>
      <c r="T645" s="15"/>
      <c r="U645" s="15"/>
      <c r="V645" s="15"/>
      <c r="W645" s="15"/>
      <c r="X645" s="14"/>
      <c r="Y645" s="14"/>
      <c r="Z645" s="15"/>
      <c r="AA645" s="3"/>
      <c r="AB645" s="3"/>
      <c r="AC645" s="3"/>
      <c r="AD645" s="3"/>
      <c r="AE645" s="3"/>
      <c r="AF645" s="3"/>
    </row>
    <row r="646" ht="15.75" customHeight="1">
      <c r="J646" s="15"/>
      <c r="K646" s="238"/>
      <c r="L646" s="15"/>
      <c r="M646" s="15"/>
      <c r="N646" s="15"/>
      <c r="O646" s="15"/>
      <c r="P646" s="15"/>
      <c r="Q646" s="15"/>
      <c r="R646" s="15"/>
      <c r="S646" s="15"/>
      <c r="T646" s="15"/>
      <c r="U646" s="15"/>
      <c r="V646" s="15"/>
      <c r="W646" s="15"/>
      <c r="X646" s="14"/>
      <c r="Y646" s="14"/>
      <c r="Z646" s="15"/>
      <c r="AA646" s="3"/>
      <c r="AB646" s="3"/>
      <c r="AC646" s="3"/>
      <c r="AD646" s="3"/>
      <c r="AE646" s="3"/>
      <c r="AF646" s="3"/>
    </row>
    <row r="647" ht="15.75" customHeight="1">
      <c r="J647" s="15"/>
      <c r="K647" s="238"/>
      <c r="L647" s="15"/>
      <c r="M647" s="15"/>
      <c r="N647" s="15"/>
      <c r="O647" s="15"/>
      <c r="P647" s="15"/>
      <c r="Q647" s="15"/>
      <c r="R647" s="15"/>
      <c r="S647" s="15"/>
      <c r="T647" s="15"/>
      <c r="U647" s="15"/>
      <c r="V647" s="15"/>
      <c r="W647" s="15"/>
      <c r="X647" s="14"/>
      <c r="Y647" s="14"/>
      <c r="Z647" s="15"/>
      <c r="AA647" s="3"/>
      <c r="AB647" s="3"/>
      <c r="AC647" s="3"/>
      <c r="AD647" s="3"/>
      <c r="AE647" s="3"/>
      <c r="AF647" s="3"/>
    </row>
    <row r="648" ht="15.75" customHeight="1">
      <c r="J648" s="15"/>
      <c r="K648" s="238"/>
      <c r="L648" s="15"/>
      <c r="M648" s="15"/>
      <c r="N648" s="15"/>
      <c r="O648" s="15"/>
      <c r="P648" s="15"/>
      <c r="Q648" s="15"/>
      <c r="R648" s="15"/>
      <c r="S648" s="15"/>
      <c r="T648" s="15"/>
      <c r="U648" s="15"/>
      <c r="V648" s="15"/>
      <c r="W648" s="15"/>
      <c r="X648" s="14"/>
      <c r="Y648" s="14"/>
      <c r="Z648" s="15"/>
      <c r="AA648" s="3"/>
      <c r="AB648" s="3"/>
      <c r="AC648" s="3"/>
      <c r="AD648" s="3"/>
      <c r="AE648" s="3"/>
      <c r="AF648" s="3"/>
    </row>
    <row r="649" ht="15.75" customHeight="1">
      <c r="J649" s="15"/>
      <c r="K649" s="238"/>
      <c r="L649" s="15"/>
      <c r="M649" s="15"/>
      <c r="N649" s="15"/>
      <c r="O649" s="15"/>
      <c r="P649" s="15"/>
      <c r="Q649" s="15"/>
      <c r="R649" s="15"/>
      <c r="S649" s="15"/>
      <c r="T649" s="15"/>
      <c r="U649" s="15"/>
      <c r="V649" s="15"/>
      <c r="W649" s="15"/>
      <c r="X649" s="14"/>
      <c r="Y649" s="14"/>
      <c r="Z649" s="15"/>
      <c r="AA649" s="3"/>
      <c r="AB649" s="3"/>
      <c r="AC649" s="3"/>
      <c r="AD649" s="3"/>
      <c r="AE649" s="3"/>
      <c r="AF649" s="3"/>
    </row>
    <row r="650" ht="15.75" customHeight="1">
      <c r="J650" s="15"/>
      <c r="K650" s="238"/>
      <c r="L650" s="15"/>
      <c r="M650" s="15"/>
      <c r="N650" s="15"/>
      <c r="O650" s="15"/>
      <c r="P650" s="15"/>
      <c r="Q650" s="15"/>
      <c r="R650" s="15"/>
      <c r="S650" s="15"/>
      <c r="T650" s="15"/>
      <c r="U650" s="15"/>
      <c r="V650" s="15"/>
      <c r="W650" s="15"/>
      <c r="X650" s="14"/>
      <c r="Y650" s="14"/>
      <c r="Z650" s="15"/>
      <c r="AA650" s="3"/>
      <c r="AB650" s="3"/>
      <c r="AC650" s="3"/>
      <c r="AD650" s="3"/>
      <c r="AE650" s="3"/>
      <c r="AF650" s="3"/>
    </row>
    <row r="651" ht="15.75" customHeight="1">
      <c r="J651" s="15"/>
      <c r="K651" s="238"/>
      <c r="L651" s="15"/>
      <c r="M651" s="15"/>
      <c r="N651" s="15"/>
      <c r="O651" s="15"/>
      <c r="P651" s="15"/>
      <c r="Q651" s="15"/>
      <c r="R651" s="15"/>
      <c r="S651" s="15"/>
      <c r="T651" s="15"/>
      <c r="U651" s="15"/>
      <c r="V651" s="15"/>
      <c r="W651" s="15"/>
      <c r="X651" s="14"/>
      <c r="Y651" s="14"/>
      <c r="Z651" s="15"/>
      <c r="AA651" s="3"/>
      <c r="AB651" s="3"/>
      <c r="AC651" s="3"/>
      <c r="AD651" s="3"/>
      <c r="AE651" s="3"/>
      <c r="AF651" s="3"/>
    </row>
    <row r="652" ht="15.75" customHeight="1">
      <c r="J652" s="15"/>
      <c r="K652" s="238"/>
      <c r="L652" s="15"/>
      <c r="M652" s="15"/>
      <c r="N652" s="15"/>
      <c r="O652" s="15"/>
      <c r="P652" s="15"/>
      <c r="Q652" s="15"/>
      <c r="R652" s="15"/>
      <c r="S652" s="15"/>
      <c r="T652" s="15"/>
      <c r="U652" s="15"/>
      <c r="V652" s="15"/>
      <c r="W652" s="15"/>
      <c r="X652" s="14"/>
      <c r="Y652" s="14"/>
      <c r="Z652" s="15"/>
      <c r="AA652" s="3"/>
      <c r="AB652" s="3"/>
      <c r="AC652" s="3"/>
      <c r="AD652" s="3"/>
      <c r="AE652" s="3"/>
      <c r="AF652" s="3"/>
    </row>
    <row r="653" ht="15.75" customHeight="1">
      <c r="J653" s="15"/>
      <c r="K653" s="238"/>
      <c r="L653" s="15"/>
      <c r="M653" s="15"/>
      <c r="N653" s="15"/>
      <c r="O653" s="15"/>
      <c r="P653" s="15"/>
      <c r="Q653" s="15"/>
      <c r="R653" s="15"/>
      <c r="S653" s="15"/>
      <c r="T653" s="15"/>
      <c r="U653" s="15"/>
      <c r="V653" s="15"/>
      <c r="W653" s="15"/>
      <c r="X653" s="14"/>
      <c r="Y653" s="14"/>
      <c r="Z653" s="15"/>
      <c r="AA653" s="3"/>
      <c r="AB653" s="3"/>
      <c r="AC653" s="3"/>
      <c r="AD653" s="3"/>
      <c r="AE653" s="3"/>
      <c r="AF653" s="3"/>
    </row>
    <row r="654" ht="15.75" customHeight="1">
      <c r="J654" s="15"/>
      <c r="K654" s="238"/>
      <c r="L654" s="15"/>
      <c r="M654" s="15"/>
      <c r="N654" s="15"/>
      <c r="O654" s="15"/>
      <c r="P654" s="15"/>
      <c r="Q654" s="15"/>
      <c r="R654" s="15"/>
      <c r="S654" s="15"/>
      <c r="T654" s="15"/>
      <c r="U654" s="15"/>
      <c r="V654" s="15"/>
      <c r="W654" s="15"/>
      <c r="X654" s="14"/>
      <c r="Y654" s="14"/>
      <c r="Z654" s="15"/>
      <c r="AA654" s="3"/>
      <c r="AB654" s="3"/>
      <c r="AC654" s="3"/>
      <c r="AD654" s="3"/>
      <c r="AE654" s="3"/>
      <c r="AF654" s="3"/>
    </row>
    <row r="655" ht="15.75" customHeight="1">
      <c r="J655" s="15"/>
      <c r="K655" s="238"/>
      <c r="L655" s="15"/>
      <c r="M655" s="15"/>
      <c r="N655" s="15"/>
      <c r="O655" s="15"/>
      <c r="P655" s="15"/>
      <c r="Q655" s="15"/>
      <c r="R655" s="15"/>
      <c r="S655" s="15"/>
      <c r="T655" s="15"/>
      <c r="U655" s="15"/>
      <c r="V655" s="15"/>
      <c r="W655" s="15"/>
      <c r="X655" s="14"/>
      <c r="Y655" s="14"/>
      <c r="Z655" s="15"/>
      <c r="AA655" s="3"/>
      <c r="AB655" s="3"/>
      <c r="AC655" s="3"/>
      <c r="AD655" s="3"/>
      <c r="AE655" s="3"/>
      <c r="AF655" s="3"/>
    </row>
    <row r="656" ht="15.75" customHeight="1">
      <c r="J656" s="15"/>
      <c r="K656" s="238"/>
      <c r="L656" s="15"/>
      <c r="M656" s="15"/>
      <c r="N656" s="15"/>
      <c r="O656" s="15"/>
      <c r="P656" s="15"/>
      <c r="Q656" s="15"/>
      <c r="R656" s="15"/>
      <c r="S656" s="15"/>
      <c r="T656" s="15"/>
      <c r="U656" s="15"/>
      <c r="V656" s="15"/>
      <c r="W656" s="15"/>
      <c r="X656" s="14"/>
      <c r="Y656" s="14"/>
      <c r="Z656" s="15"/>
      <c r="AA656" s="3"/>
      <c r="AB656" s="3"/>
      <c r="AC656" s="3"/>
      <c r="AD656" s="3"/>
      <c r="AE656" s="3"/>
      <c r="AF656" s="3"/>
    </row>
    <row r="657" ht="15.75" customHeight="1">
      <c r="J657" s="15"/>
      <c r="K657" s="238"/>
      <c r="L657" s="15"/>
      <c r="M657" s="15"/>
      <c r="N657" s="15"/>
      <c r="O657" s="15"/>
      <c r="P657" s="15"/>
      <c r="Q657" s="15"/>
      <c r="R657" s="15"/>
      <c r="S657" s="15"/>
      <c r="T657" s="15"/>
      <c r="U657" s="15"/>
      <c r="V657" s="15"/>
      <c r="W657" s="15"/>
      <c r="X657" s="14"/>
      <c r="Y657" s="14"/>
      <c r="Z657" s="15"/>
      <c r="AA657" s="3"/>
      <c r="AB657" s="3"/>
      <c r="AC657" s="3"/>
      <c r="AD657" s="3"/>
      <c r="AE657" s="3"/>
      <c r="AF657" s="3"/>
    </row>
    <row r="658" ht="15.75" customHeight="1">
      <c r="J658" s="15"/>
      <c r="K658" s="238"/>
      <c r="L658" s="15"/>
      <c r="M658" s="15"/>
      <c r="N658" s="15"/>
      <c r="O658" s="15"/>
      <c r="P658" s="15"/>
      <c r="Q658" s="15"/>
      <c r="R658" s="15"/>
      <c r="S658" s="15"/>
      <c r="T658" s="15"/>
      <c r="U658" s="15"/>
      <c r="V658" s="15"/>
      <c r="W658" s="15"/>
      <c r="X658" s="14"/>
      <c r="Y658" s="14"/>
      <c r="Z658" s="15"/>
      <c r="AA658" s="3"/>
      <c r="AB658" s="3"/>
      <c r="AC658" s="3"/>
      <c r="AD658" s="3"/>
      <c r="AE658" s="3"/>
      <c r="AF658" s="3"/>
    </row>
    <row r="659" ht="15.75" customHeight="1">
      <c r="J659" s="15"/>
      <c r="K659" s="238"/>
      <c r="L659" s="15"/>
      <c r="M659" s="15"/>
      <c r="N659" s="15"/>
      <c r="O659" s="15"/>
      <c r="P659" s="15"/>
      <c r="Q659" s="15"/>
      <c r="R659" s="15"/>
      <c r="S659" s="15"/>
      <c r="T659" s="15"/>
      <c r="U659" s="15"/>
      <c r="V659" s="15"/>
      <c r="W659" s="15"/>
      <c r="X659" s="14"/>
      <c r="Y659" s="14"/>
      <c r="Z659" s="15"/>
      <c r="AA659" s="3"/>
      <c r="AB659" s="3"/>
      <c r="AC659" s="3"/>
      <c r="AD659" s="3"/>
      <c r="AE659" s="3"/>
      <c r="AF659" s="3"/>
    </row>
    <row r="660" ht="15.75" customHeight="1">
      <c r="J660" s="15"/>
      <c r="K660" s="238"/>
      <c r="L660" s="15"/>
      <c r="M660" s="15"/>
      <c r="N660" s="15"/>
      <c r="O660" s="15"/>
      <c r="P660" s="15"/>
      <c r="Q660" s="15"/>
      <c r="R660" s="15"/>
      <c r="S660" s="15"/>
      <c r="T660" s="15"/>
      <c r="U660" s="15"/>
      <c r="V660" s="15"/>
      <c r="W660" s="15"/>
      <c r="X660" s="14"/>
      <c r="Y660" s="14"/>
      <c r="Z660" s="15"/>
      <c r="AA660" s="3"/>
      <c r="AB660" s="3"/>
      <c r="AC660" s="3"/>
      <c r="AD660" s="3"/>
      <c r="AE660" s="3"/>
      <c r="AF660" s="3"/>
    </row>
    <row r="661" ht="15.75" customHeight="1">
      <c r="J661" s="15"/>
      <c r="K661" s="238"/>
      <c r="L661" s="15"/>
      <c r="M661" s="15"/>
      <c r="N661" s="15"/>
      <c r="O661" s="15"/>
      <c r="P661" s="15"/>
      <c r="Q661" s="15"/>
      <c r="R661" s="15"/>
      <c r="S661" s="15"/>
      <c r="T661" s="15"/>
      <c r="U661" s="15"/>
      <c r="V661" s="15"/>
      <c r="W661" s="15"/>
      <c r="X661" s="14"/>
      <c r="Y661" s="14"/>
      <c r="Z661" s="15"/>
      <c r="AA661" s="3"/>
      <c r="AB661" s="3"/>
      <c r="AC661" s="3"/>
      <c r="AD661" s="3"/>
      <c r="AE661" s="3"/>
      <c r="AF661" s="3"/>
    </row>
    <row r="662" ht="15.75" customHeight="1">
      <c r="J662" s="15"/>
      <c r="K662" s="238"/>
      <c r="L662" s="15"/>
      <c r="M662" s="15"/>
      <c r="N662" s="15"/>
      <c r="O662" s="15"/>
      <c r="P662" s="15"/>
      <c r="Q662" s="15"/>
      <c r="R662" s="15"/>
      <c r="S662" s="15"/>
      <c r="T662" s="15"/>
      <c r="U662" s="15"/>
      <c r="V662" s="15"/>
      <c r="W662" s="15"/>
      <c r="X662" s="14"/>
      <c r="Y662" s="14"/>
      <c r="Z662" s="15"/>
      <c r="AA662" s="3"/>
      <c r="AB662" s="3"/>
      <c r="AC662" s="3"/>
      <c r="AD662" s="3"/>
      <c r="AE662" s="3"/>
      <c r="AF662" s="3"/>
    </row>
    <row r="663" ht="15.75" customHeight="1">
      <c r="J663" s="15"/>
      <c r="K663" s="238"/>
      <c r="L663" s="15"/>
      <c r="M663" s="15"/>
      <c r="N663" s="15"/>
      <c r="O663" s="15"/>
      <c r="P663" s="15"/>
      <c r="Q663" s="15"/>
      <c r="R663" s="15"/>
      <c r="S663" s="15"/>
      <c r="T663" s="15"/>
      <c r="U663" s="15"/>
      <c r="V663" s="15"/>
      <c r="W663" s="15"/>
      <c r="X663" s="14"/>
      <c r="Y663" s="14"/>
      <c r="Z663" s="15"/>
      <c r="AA663" s="3"/>
      <c r="AB663" s="3"/>
      <c r="AC663" s="3"/>
      <c r="AD663" s="3"/>
      <c r="AE663" s="3"/>
      <c r="AF663" s="3"/>
    </row>
    <row r="664" ht="15.75" customHeight="1">
      <c r="J664" s="15"/>
      <c r="K664" s="238"/>
      <c r="L664" s="15"/>
      <c r="M664" s="15"/>
      <c r="N664" s="15"/>
      <c r="O664" s="15"/>
      <c r="P664" s="15"/>
      <c r="Q664" s="15"/>
      <c r="R664" s="15"/>
      <c r="S664" s="15"/>
      <c r="T664" s="15"/>
      <c r="U664" s="15"/>
      <c r="V664" s="15"/>
      <c r="W664" s="15"/>
      <c r="X664" s="14"/>
      <c r="Y664" s="14"/>
      <c r="Z664" s="15"/>
      <c r="AA664" s="3"/>
      <c r="AB664" s="3"/>
      <c r="AC664" s="3"/>
      <c r="AD664" s="3"/>
      <c r="AE664" s="3"/>
      <c r="AF664" s="3"/>
    </row>
    <row r="665" ht="15.75" customHeight="1">
      <c r="J665" s="15"/>
      <c r="K665" s="238"/>
      <c r="L665" s="15"/>
      <c r="M665" s="15"/>
      <c r="N665" s="15"/>
      <c r="O665" s="15"/>
      <c r="P665" s="15"/>
      <c r="Q665" s="15"/>
      <c r="R665" s="15"/>
      <c r="S665" s="15"/>
      <c r="T665" s="15"/>
      <c r="U665" s="15"/>
      <c r="V665" s="15"/>
      <c r="W665" s="15"/>
      <c r="X665" s="14"/>
      <c r="Y665" s="14"/>
      <c r="Z665" s="15"/>
      <c r="AA665" s="3"/>
      <c r="AB665" s="3"/>
      <c r="AC665" s="3"/>
      <c r="AD665" s="3"/>
      <c r="AE665" s="3"/>
      <c r="AF665" s="3"/>
    </row>
    <row r="666" ht="15.75" customHeight="1">
      <c r="J666" s="15"/>
      <c r="K666" s="238"/>
      <c r="L666" s="15"/>
      <c r="M666" s="15"/>
      <c r="N666" s="15"/>
      <c r="O666" s="15"/>
      <c r="P666" s="15"/>
      <c r="Q666" s="15"/>
      <c r="R666" s="15"/>
      <c r="S666" s="15"/>
      <c r="T666" s="15"/>
      <c r="U666" s="15"/>
      <c r="V666" s="15"/>
      <c r="W666" s="15"/>
      <c r="X666" s="14"/>
      <c r="Y666" s="14"/>
      <c r="Z666" s="15"/>
      <c r="AA666" s="3"/>
      <c r="AB666" s="3"/>
      <c r="AC666" s="3"/>
      <c r="AD666" s="3"/>
      <c r="AE666" s="3"/>
      <c r="AF666" s="3"/>
    </row>
    <row r="667" ht="15.75" customHeight="1">
      <c r="J667" s="15"/>
      <c r="K667" s="238"/>
      <c r="L667" s="15"/>
      <c r="M667" s="15"/>
      <c r="N667" s="15"/>
      <c r="O667" s="15"/>
      <c r="P667" s="15"/>
      <c r="Q667" s="15"/>
      <c r="R667" s="15"/>
      <c r="S667" s="15"/>
      <c r="T667" s="15"/>
      <c r="U667" s="15"/>
      <c r="V667" s="15"/>
      <c r="W667" s="15"/>
      <c r="X667" s="14"/>
      <c r="Y667" s="14"/>
      <c r="Z667" s="15"/>
      <c r="AA667" s="3"/>
      <c r="AB667" s="3"/>
      <c r="AC667" s="3"/>
      <c r="AD667" s="3"/>
      <c r="AE667" s="3"/>
      <c r="AF667" s="3"/>
    </row>
    <row r="668" ht="15.75" customHeight="1">
      <c r="J668" s="15"/>
      <c r="K668" s="238"/>
      <c r="L668" s="15"/>
      <c r="M668" s="15"/>
      <c r="N668" s="15"/>
      <c r="O668" s="15"/>
      <c r="P668" s="15"/>
      <c r="Q668" s="15"/>
      <c r="R668" s="15"/>
      <c r="S668" s="15"/>
      <c r="T668" s="15"/>
      <c r="U668" s="15"/>
      <c r="V668" s="15"/>
      <c r="W668" s="15"/>
      <c r="X668" s="14"/>
      <c r="Y668" s="14"/>
      <c r="Z668" s="15"/>
      <c r="AA668" s="3"/>
      <c r="AB668" s="3"/>
      <c r="AC668" s="3"/>
      <c r="AD668" s="3"/>
      <c r="AE668" s="3"/>
      <c r="AF668" s="3"/>
    </row>
    <row r="669" ht="15.75" customHeight="1">
      <c r="J669" s="15"/>
      <c r="K669" s="238"/>
      <c r="L669" s="15"/>
      <c r="M669" s="15"/>
      <c r="N669" s="15"/>
      <c r="O669" s="15"/>
      <c r="P669" s="15"/>
      <c r="Q669" s="15"/>
      <c r="R669" s="15"/>
      <c r="S669" s="15"/>
      <c r="T669" s="15"/>
      <c r="U669" s="15"/>
      <c r="V669" s="15"/>
      <c r="W669" s="15"/>
      <c r="X669" s="14"/>
      <c r="Y669" s="14"/>
      <c r="Z669" s="15"/>
      <c r="AA669" s="3"/>
      <c r="AB669" s="3"/>
      <c r="AC669" s="3"/>
      <c r="AD669" s="3"/>
      <c r="AE669" s="3"/>
      <c r="AF669" s="3"/>
    </row>
    <row r="670" ht="15.75" customHeight="1">
      <c r="J670" s="15"/>
      <c r="K670" s="238"/>
      <c r="L670" s="15"/>
      <c r="M670" s="15"/>
      <c r="N670" s="15"/>
      <c r="O670" s="15"/>
      <c r="P670" s="15"/>
      <c r="Q670" s="15"/>
      <c r="R670" s="15"/>
      <c r="S670" s="15"/>
      <c r="T670" s="15"/>
      <c r="U670" s="15"/>
      <c r="V670" s="15"/>
      <c r="W670" s="15"/>
      <c r="X670" s="14"/>
      <c r="Y670" s="14"/>
      <c r="Z670" s="15"/>
      <c r="AA670" s="3"/>
      <c r="AB670" s="3"/>
      <c r="AC670" s="3"/>
      <c r="AD670" s="3"/>
      <c r="AE670" s="3"/>
      <c r="AF670" s="3"/>
    </row>
    <row r="671" ht="15.75" customHeight="1">
      <c r="J671" s="15"/>
      <c r="K671" s="238"/>
      <c r="L671" s="15"/>
      <c r="M671" s="15"/>
      <c r="N671" s="15"/>
      <c r="O671" s="15"/>
      <c r="P671" s="15"/>
      <c r="Q671" s="15"/>
      <c r="R671" s="15"/>
      <c r="S671" s="15"/>
      <c r="T671" s="15"/>
      <c r="U671" s="15"/>
      <c r="V671" s="15"/>
      <c r="W671" s="15"/>
      <c r="X671" s="14"/>
      <c r="Y671" s="14"/>
      <c r="Z671" s="15"/>
      <c r="AA671" s="3"/>
      <c r="AB671" s="3"/>
      <c r="AC671" s="3"/>
      <c r="AD671" s="3"/>
      <c r="AE671" s="3"/>
      <c r="AF671" s="3"/>
    </row>
    <row r="672" ht="15.75" customHeight="1">
      <c r="J672" s="15"/>
      <c r="K672" s="238"/>
      <c r="L672" s="15"/>
      <c r="M672" s="15"/>
      <c r="N672" s="15"/>
      <c r="O672" s="15"/>
      <c r="P672" s="15"/>
      <c r="Q672" s="15"/>
      <c r="R672" s="15"/>
      <c r="S672" s="15"/>
      <c r="T672" s="15"/>
      <c r="U672" s="15"/>
      <c r="V672" s="15"/>
      <c r="W672" s="15"/>
      <c r="X672" s="14"/>
      <c r="Y672" s="14"/>
      <c r="Z672" s="15"/>
      <c r="AA672" s="3"/>
      <c r="AB672" s="3"/>
      <c r="AC672" s="3"/>
      <c r="AD672" s="3"/>
      <c r="AE672" s="3"/>
      <c r="AF672" s="3"/>
    </row>
    <row r="673" ht="15.75" customHeight="1">
      <c r="J673" s="15"/>
      <c r="K673" s="238"/>
      <c r="L673" s="15"/>
      <c r="M673" s="15"/>
      <c r="N673" s="15"/>
      <c r="O673" s="15"/>
      <c r="P673" s="15"/>
      <c r="Q673" s="15"/>
      <c r="R673" s="15"/>
      <c r="S673" s="15"/>
      <c r="T673" s="15"/>
      <c r="U673" s="15"/>
      <c r="V673" s="15"/>
      <c r="W673" s="15"/>
      <c r="X673" s="14"/>
      <c r="Y673" s="14"/>
      <c r="Z673" s="15"/>
      <c r="AA673" s="3"/>
      <c r="AB673" s="3"/>
      <c r="AC673" s="3"/>
      <c r="AD673" s="3"/>
      <c r="AE673" s="3"/>
      <c r="AF673" s="3"/>
    </row>
    <row r="674" ht="15.75" customHeight="1">
      <c r="J674" s="15"/>
      <c r="K674" s="238"/>
      <c r="L674" s="15"/>
      <c r="M674" s="15"/>
      <c r="N674" s="15"/>
      <c r="O674" s="15"/>
      <c r="P674" s="15"/>
      <c r="Q674" s="15"/>
      <c r="R674" s="15"/>
      <c r="S674" s="15"/>
      <c r="T674" s="15"/>
      <c r="U674" s="15"/>
      <c r="V674" s="15"/>
      <c r="W674" s="15"/>
      <c r="X674" s="14"/>
      <c r="Y674" s="14"/>
      <c r="Z674" s="15"/>
      <c r="AA674" s="3"/>
      <c r="AB674" s="3"/>
      <c r="AC674" s="3"/>
      <c r="AD674" s="3"/>
      <c r="AE674" s="3"/>
      <c r="AF674" s="3"/>
    </row>
    <row r="675" ht="15.75" customHeight="1">
      <c r="J675" s="15"/>
      <c r="K675" s="238"/>
      <c r="L675" s="15"/>
      <c r="M675" s="15"/>
      <c r="N675" s="15"/>
      <c r="O675" s="15"/>
      <c r="P675" s="15"/>
      <c r="Q675" s="15"/>
      <c r="R675" s="15"/>
      <c r="S675" s="15"/>
      <c r="T675" s="15"/>
      <c r="U675" s="15"/>
      <c r="V675" s="15"/>
      <c r="W675" s="15"/>
      <c r="X675" s="14"/>
      <c r="Y675" s="14"/>
      <c r="Z675" s="15"/>
      <c r="AA675" s="3"/>
      <c r="AB675" s="3"/>
      <c r="AC675" s="3"/>
      <c r="AD675" s="3"/>
      <c r="AE675" s="3"/>
      <c r="AF675" s="3"/>
    </row>
    <row r="676" ht="15.75" customHeight="1">
      <c r="J676" s="15"/>
      <c r="K676" s="238"/>
      <c r="L676" s="15"/>
      <c r="M676" s="15"/>
      <c r="N676" s="15"/>
      <c r="O676" s="15"/>
      <c r="P676" s="15"/>
      <c r="Q676" s="15"/>
      <c r="R676" s="15"/>
      <c r="S676" s="15"/>
      <c r="T676" s="15"/>
      <c r="U676" s="15"/>
      <c r="V676" s="15"/>
      <c r="W676" s="15"/>
      <c r="X676" s="14"/>
      <c r="Y676" s="14"/>
      <c r="Z676" s="15"/>
      <c r="AA676" s="3"/>
      <c r="AB676" s="3"/>
      <c r="AC676" s="3"/>
      <c r="AD676" s="3"/>
      <c r="AE676" s="3"/>
      <c r="AF676" s="3"/>
    </row>
    <row r="677" ht="15.75" customHeight="1">
      <c r="J677" s="15"/>
      <c r="K677" s="238"/>
      <c r="L677" s="15"/>
      <c r="M677" s="15"/>
      <c r="N677" s="15"/>
      <c r="O677" s="15"/>
      <c r="P677" s="15"/>
      <c r="Q677" s="15"/>
      <c r="R677" s="15"/>
      <c r="S677" s="15"/>
      <c r="T677" s="15"/>
      <c r="U677" s="15"/>
      <c r="V677" s="15"/>
      <c r="W677" s="15"/>
      <c r="X677" s="14"/>
      <c r="Y677" s="14"/>
      <c r="Z677" s="15"/>
      <c r="AA677" s="3"/>
      <c r="AB677" s="3"/>
      <c r="AC677" s="3"/>
      <c r="AD677" s="3"/>
      <c r="AE677" s="3"/>
      <c r="AF677" s="3"/>
    </row>
    <row r="678" ht="15.75" customHeight="1">
      <c r="J678" s="15"/>
      <c r="K678" s="238"/>
      <c r="L678" s="15"/>
      <c r="M678" s="15"/>
      <c r="N678" s="15"/>
      <c r="O678" s="15"/>
      <c r="P678" s="15"/>
      <c r="Q678" s="15"/>
      <c r="R678" s="15"/>
      <c r="S678" s="15"/>
      <c r="T678" s="15"/>
      <c r="U678" s="15"/>
      <c r="V678" s="15"/>
      <c r="W678" s="15"/>
      <c r="X678" s="14"/>
      <c r="Y678" s="14"/>
      <c r="Z678" s="15"/>
      <c r="AA678" s="3"/>
      <c r="AB678" s="3"/>
      <c r="AC678" s="3"/>
      <c r="AD678" s="3"/>
      <c r="AE678" s="3"/>
      <c r="AF678" s="3"/>
    </row>
    <row r="679" ht="15.75" customHeight="1">
      <c r="J679" s="15"/>
      <c r="K679" s="238"/>
      <c r="L679" s="15"/>
      <c r="M679" s="15"/>
      <c r="N679" s="15"/>
      <c r="O679" s="15"/>
      <c r="P679" s="15"/>
      <c r="Q679" s="15"/>
      <c r="R679" s="15"/>
      <c r="S679" s="15"/>
      <c r="T679" s="15"/>
      <c r="U679" s="15"/>
      <c r="V679" s="15"/>
      <c r="W679" s="15"/>
      <c r="X679" s="14"/>
      <c r="Y679" s="14"/>
      <c r="Z679" s="15"/>
      <c r="AA679" s="3"/>
      <c r="AB679" s="3"/>
      <c r="AC679" s="3"/>
      <c r="AD679" s="3"/>
      <c r="AE679" s="3"/>
      <c r="AF679" s="3"/>
    </row>
    <row r="680" ht="15.75" customHeight="1">
      <c r="J680" s="15"/>
      <c r="K680" s="238"/>
      <c r="L680" s="15"/>
      <c r="M680" s="15"/>
      <c r="N680" s="15"/>
      <c r="O680" s="15"/>
      <c r="P680" s="15"/>
      <c r="Q680" s="15"/>
      <c r="R680" s="15"/>
      <c r="S680" s="15"/>
      <c r="T680" s="15"/>
      <c r="U680" s="15"/>
      <c r="V680" s="15"/>
      <c r="W680" s="15"/>
      <c r="X680" s="14"/>
      <c r="Y680" s="14"/>
      <c r="Z680" s="15"/>
      <c r="AA680" s="3"/>
      <c r="AB680" s="3"/>
      <c r="AC680" s="3"/>
      <c r="AD680" s="3"/>
      <c r="AE680" s="3"/>
      <c r="AF680" s="3"/>
    </row>
    <row r="681" ht="15.75" customHeight="1">
      <c r="J681" s="15"/>
      <c r="K681" s="238"/>
      <c r="L681" s="15"/>
      <c r="M681" s="15"/>
      <c r="N681" s="15"/>
      <c r="O681" s="15"/>
      <c r="P681" s="15"/>
      <c r="Q681" s="15"/>
      <c r="R681" s="15"/>
      <c r="S681" s="15"/>
      <c r="T681" s="15"/>
      <c r="U681" s="15"/>
      <c r="V681" s="15"/>
      <c r="W681" s="15"/>
      <c r="X681" s="14"/>
      <c r="Y681" s="14"/>
      <c r="Z681" s="15"/>
      <c r="AA681" s="3"/>
      <c r="AB681" s="3"/>
      <c r="AC681" s="3"/>
      <c r="AD681" s="3"/>
      <c r="AE681" s="3"/>
      <c r="AF681" s="3"/>
    </row>
    <row r="682" ht="15.75" customHeight="1">
      <c r="J682" s="15"/>
      <c r="K682" s="238"/>
      <c r="L682" s="15"/>
      <c r="M682" s="15"/>
      <c r="N682" s="15"/>
      <c r="O682" s="15"/>
      <c r="P682" s="15"/>
      <c r="Q682" s="15"/>
      <c r="R682" s="15"/>
      <c r="S682" s="15"/>
      <c r="T682" s="15"/>
      <c r="U682" s="15"/>
      <c r="V682" s="15"/>
      <c r="W682" s="15"/>
      <c r="X682" s="14"/>
      <c r="Y682" s="14"/>
      <c r="Z682" s="15"/>
      <c r="AA682" s="3"/>
      <c r="AB682" s="3"/>
      <c r="AC682" s="3"/>
      <c r="AD682" s="3"/>
      <c r="AE682" s="3"/>
      <c r="AF682" s="3"/>
    </row>
    <row r="683" ht="15.75" customHeight="1">
      <c r="J683" s="15"/>
      <c r="K683" s="238"/>
      <c r="L683" s="15"/>
      <c r="M683" s="15"/>
      <c r="N683" s="15"/>
      <c r="O683" s="15"/>
      <c r="P683" s="15"/>
      <c r="Q683" s="15"/>
      <c r="R683" s="15"/>
      <c r="S683" s="15"/>
      <c r="T683" s="15"/>
      <c r="U683" s="15"/>
      <c r="V683" s="15"/>
      <c r="W683" s="15"/>
      <c r="X683" s="14"/>
      <c r="Y683" s="14"/>
      <c r="Z683" s="15"/>
      <c r="AA683" s="3"/>
      <c r="AB683" s="3"/>
      <c r="AC683" s="3"/>
      <c r="AD683" s="3"/>
      <c r="AE683" s="3"/>
      <c r="AF683" s="3"/>
    </row>
    <row r="684" ht="15.75" customHeight="1">
      <c r="J684" s="15"/>
      <c r="K684" s="238"/>
      <c r="L684" s="15"/>
      <c r="M684" s="15"/>
      <c r="N684" s="15"/>
      <c r="O684" s="15"/>
      <c r="P684" s="15"/>
      <c r="Q684" s="15"/>
      <c r="R684" s="15"/>
      <c r="S684" s="15"/>
      <c r="T684" s="15"/>
      <c r="U684" s="15"/>
      <c r="V684" s="15"/>
      <c r="W684" s="15"/>
      <c r="X684" s="14"/>
      <c r="Y684" s="14"/>
      <c r="Z684" s="15"/>
      <c r="AA684" s="3"/>
      <c r="AB684" s="3"/>
      <c r="AC684" s="3"/>
      <c r="AD684" s="3"/>
      <c r="AE684" s="3"/>
      <c r="AF684" s="3"/>
    </row>
    <row r="685" ht="15.75" customHeight="1">
      <c r="J685" s="15"/>
      <c r="K685" s="238"/>
      <c r="L685" s="15"/>
      <c r="M685" s="15"/>
      <c r="N685" s="15"/>
      <c r="O685" s="15"/>
      <c r="P685" s="15"/>
      <c r="Q685" s="15"/>
      <c r="R685" s="15"/>
      <c r="S685" s="15"/>
      <c r="T685" s="15"/>
      <c r="U685" s="15"/>
      <c r="V685" s="15"/>
      <c r="W685" s="15"/>
      <c r="X685" s="14"/>
      <c r="Y685" s="14"/>
      <c r="Z685" s="15"/>
      <c r="AA685" s="3"/>
      <c r="AB685" s="3"/>
      <c r="AC685" s="3"/>
      <c r="AD685" s="3"/>
      <c r="AE685" s="3"/>
      <c r="AF685" s="3"/>
    </row>
    <row r="686" ht="15.75" customHeight="1">
      <c r="J686" s="15"/>
      <c r="K686" s="238"/>
      <c r="L686" s="15"/>
      <c r="M686" s="15"/>
      <c r="N686" s="15"/>
      <c r="O686" s="15"/>
      <c r="P686" s="15"/>
      <c r="Q686" s="15"/>
      <c r="R686" s="15"/>
      <c r="S686" s="15"/>
      <c r="T686" s="15"/>
      <c r="U686" s="15"/>
      <c r="V686" s="15"/>
      <c r="W686" s="15"/>
      <c r="X686" s="14"/>
      <c r="Y686" s="14"/>
      <c r="Z686" s="15"/>
      <c r="AA686" s="3"/>
      <c r="AB686" s="3"/>
      <c r="AC686" s="3"/>
      <c r="AD686" s="3"/>
      <c r="AE686" s="3"/>
      <c r="AF686" s="3"/>
    </row>
    <row r="687" ht="15.75" customHeight="1">
      <c r="J687" s="15"/>
      <c r="K687" s="238"/>
      <c r="L687" s="15"/>
      <c r="M687" s="15"/>
      <c r="N687" s="15"/>
      <c r="O687" s="15"/>
      <c r="P687" s="15"/>
      <c r="Q687" s="15"/>
      <c r="R687" s="15"/>
      <c r="S687" s="15"/>
      <c r="T687" s="15"/>
      <c r="U687" s="15"/>
      <c r="V687" s="15"/>
      <c r="W687" s="15"/>
      <c r="X687" s="14"/>
      <c r="Y687" s="14"/>
      <c r="Z687" s="15"/>
      <c r="AA687" s="3"/>
      <c r="AB687" s="3"/>
      <c r="AC687" s="3"/>
      <c r="AD687" s="3"/>
      <c r="AE687" s="3"/>
      <c r="AF687" s="3"/>
    </row>
    <row r="688" ht="15.75" customHeight="1">
      <c r="J688" s="15"/>
      <c r="K688" s="238"/>
      <c r="L688" s="15"/>
      <c r="M688" s="15"/>
      <c r="N688" s="15"/>
      <c r="O688" s="15"/>
      <c r="P688" s="15"/>
      <c r="Q688" s="15"/>
      <c r="R688" s="15"/>
      <c r="S688" s="15"/>
      <c r="T688" s="15"/>
      <c r="U688" s="15"/>
      <c r="V688" s="15"/>
      <c r="W688" s="15"/>
      <c r="X688" s="14"/>
      <c r="Y688" s="14"/>
      <c r="Z688" s="15"/>
      <c r="AA688" s="3"/>
      <c r="AB688" s="3"/>
      <c r="AC688" s="3"/>
      <c r="AD688" s="3"/>
      <c r="AE688" s="3"/>
      <c r="AF688" s="3"/>
    </row>
    <row r="689" ht="15.75" customHeight="1">
      <c r="J689" s="15"/>
      <c r="K689" s="238"/>
      <c r="L689" s="15"/>
      <c r="M689" s="15"/>
      <c r="N689" s="15"/>
      <c r="O689" s="15"/>
      <c r="P689" s="15"/>
      <c r="Q689" s="15"/>
      <c r="R689" s="15"/>
      <c r="S689" s="15"/>
      <c r="T689" s="15"/>
      <c r="U689" s="15"/>
      <c r="V689" s="15"/>
      <c r="W689" s="15"/>
      <c r="X689" s="14"/>
      <c r="Y689" s="14"/>
      <c r="Z689" s="15"/>
      <c r="AA689" s="3"/>
      <c r="AB689" s="3"/>
      <c r="AC689" s="3"/>
      <c r="AD689" s="3"/>
      <c r="AE689" s="3"/>
      <c r="AF689" s="3"/>
    </row>
    <row r="690" ht="15.75" customHeight="1">
      <c r="J690" s="15"/>
      <c r="K690" s="238"/>
      <c r="L690" s="15"/>
      <c r="M690" s="15"/>
      <c r="N690" s="15"/>
      <c r="O690" s="15"/>
      <c r="P690" s="15"/>
      <c r="Q690" s="15"/>
      <c r="R690" s="15"/>
      <c r="S690" s="15"/>
      <c r="T690" s="15"/>
      <c r="U690" s="15"/>
      <c r="V690" s="15"/>
      <c r="W690" s="15"/>
      <c r="X690" s="14"/>
      <c r="Y690" s="14"/>
      <c r="Z690" s="15"/>
      <c r="AA690" s="3"/>
      <c r="AB690" s="3"/>
      <c r="AC690" s="3"/>
      <c r="AD690" s="3"/>
      <c r="AE690" s="3"/>
      <c r="AF690" s="3"/>
    </row>
    <row r="691" ht="15.75" customHeight="1">
      <c r="J691" s="15"/>
      <c r="K691" s="238"/>
      <c r="L691" s="15"/>
      <c r="M691" s="15"/>
      <c r="N691" s="15"/>
      <c r="O691" s="15"/>
      <c r="P691" s="15"/>
      <c r="Q691" s="15"/>
      <c r="R691" s="15"/>
      <c r="S691" s="15"/>
      <c r="T691" s="15"/>
      <c r="U691" s="15"/>
      <c r="V691" s="15"/>
      <c r="W691" s="15"/>
      <c r="X691" s="14"/>
      <c r="Y691" s="14"/>
      <c r="Z691" s="15"/>
      <c r="AA691" s="3"/>
      <c r="AB691" s="3"/>
      <c r="AC691" s="3"/>
      <c r="AD691" s="3"/>
      <c r="AE691" s="3"/>
      <c r="AF691" s="3"/>
    </row>
    <row r="692" ht="15.75" customHeight="1">
      <c r="J692" s="15"/>
      <c r="K692" s="238"/>
      <c r="L692" s="15"/>
      <c r="M692" s="15"/>
      <c r="N692" s="15"/>
      <c r="O692" s="15"/>
      <c r="P692" s="15"/>
      <c r="Q692" s="15"/>
      <c r="R692" s="15"/>
      <c r="S692" s="15"/>
      <c r="T692" s="15"/>
      <c r="U692" s="15"/>
      <c r="V692" s="15"/>
      <c r="W692" s="15"/>
      <c r="X692" s="14"/>
      <c r="Y692" s="14"/>
      <c r="Z692" s="15"/>
      <c r="AA692" s="3"/>
      <c r="AB692" s="3"/>
      <c r="AC692" s="3"/>
      <c r="AD692" s="3"/>
      <c r="AE692" s="3"/>
      <c r="AF692" s="3"/>
    </row>
    <row r="693" ht="15.75" customHeight="1">
      <c r="J693" s="15"/>
      <c r="K693" s="238"/>
      <c r="L693" s="15"/>
      <c r="M693" s="15"/>
      <c r="N693" s="15"/>
      <c r="O693" s="15"/>
      <c r="P693" s="15"/>
      <c r="Q693" s="15"/>
      <c r="R693" s="15"/>
      <c r="S693" s="15"/>
      <c r="T693" s="15"/>
      <c r="U693" s="15"/>
      <c r="V693" s="15"/>
      <c r="W693" s="15"/>
      <c r="X693" s="14"/>
      <c r="Y693" s="14"/>
      <c r="Z693" s="15"/>
      <c r="AA693" s="3"/>
      <c r="AB693" s="3"/>
      <c r="AC693" s="3"/>
      <c r="AD693" s="3"/>
      <c r="AE693" s="3"/>
      <c r="AF693" s="3"/>
    </row>
    <row r="694" ht="15.75" customHeight="1">
      <c r="J694" s="15"/>
      <c r="K694" s="238"/>
      <c r="L694" s="15"/>
      <c r="M694" s="15"/>
      <c r="N694" s="15"/>
      <c r="O694" s="15"/>
      <c r="P694" s="15"/>
      <c r="Q694" s="15"/>
      <c r="R694" s="15"/>
      <c r="S694" s="15"/>
      <c r="T694" s="15"/>
      <c r="U694" s="15"/>
      <c r="V694" s="15"/>
      <c r="W694" s="15"/>
      <c r="X694" s="14"/>
      <c r="Y694" s="14"/>
      <c r="Z694" s="15"/>
      <c r="AA694" s="3"/>
      <c r="AB694" s="3"/>
      <c r="AC694" s="3"/>
      <c r="AD694" s="3"/>
      <c r="AE694" s="3"/>
      <c r="AF694" s="3"/>
    </row>
    <row r="695" ht="15.75" customHeight="1">
      <c r="J695" s="15"/>
      <c r="K695" s="238"/>
      <c r="L695" s="15"/>
      <c r="M695" s="15"/>
      <c r="N695" s="15"/>
      <c r="O695" s="15"/>
      <c r="P695" s="15"/>
      <c r="Q695" s="15"/>
      <c r="R695" s="15"/>
      <c r="S695" s="15"/>
      <c r="T695" s="15"/>
      <c r="U695" s="15"/>
      <c r="V695" s="15"/>
      <c r="W695" s="15"/>
      <c r="X695" s="14"/>
      <c r="Y695" s="14"/>
      <c r="Z695" s="15"/>
      <c r="AA695" s="3"/>
      <c r="AB695" s="3"/>
      <c r="AC695" s="3"/>
      <c r="AD695" s="3"/>
      <c r="AE695" s="3"/>
      <c r="AF695" s="3"/>
    </row>
    <row r="696" ht="15.75" customHeight="1">
      <c r="J696" s="15"/>
      <c r="K696" s="238"/>
      <c r="L696" s="15"/>
      <c r="M696" s="15"/>
      <c r="N696" s="15"/>
      <c r="O696" s="15"/>
      <c r="P696" s="15"/>
      <c r="Q696" s="15"/>
      <c r="R696" s="15"/>
      <c r="S696" s="15"/>
      <c r="T696" s="15"/>
      <c r="U696" s="15"/>
      <c r="V696" s="15"/>
      <c r="W696" s="15"/>
      <c r="X696" s="14"/>
      <c r="Y696" s="14"/>
      <c r="Z696" s="15"/>
      <c r="AA696" s="3"/>
      <c r="AB696" s="3"/>
      <c r="AC696" s="3"/>
      <c r="AD696" s="3"/>
      <c r="AE696" s="3"/>
      <c r="AF696" s="3"/>
    </row>
    <row r="697" ht="15.75" customHeight="1">
      <c r="J697" s="15"/>
      <c r="K697" s="238"/>
      <c r="L697" s="15"/>
      <c r="M697" s="15"/>
      <c r="N697" s="15"/>
      <c r="O697" s="15"/>
      <c r="P697" s="15"/>
      <c r="Q697" s="15"/>
      <c r="R697" s="15"/>
      <c r="S697" s="15"/>
      <c r="T697" s="15"/>
      <c r="U697" s="15"/>
      <c r="V697" s="15"/>
      <c r="W697" s="15"/>
      <c r="X697" s="14"/>
      <c r="Y697" s="14"/>
      <c r="Z697" s="15"/>
      <c r="AA697" s="3"/>
      <c r="AB697" s="3"/>
      <c r="AC697" s="3"/>
      <c r="AD697" s="3"/>
      <c r="AE697" s="3"/>
      <c r="AF697" s="3"/>
    </row>
    <row r="698" ht="15.75" customHeight="1">
      <c r="J698" s="15"/>
      <c r="K698" s="238"/>
      <c r="L698" s="15"/>
      <c r="M698" s="15"/>
      <c r="N698" s="15"/>
      <c r="O698" s="15"/>
      <c r="P698" s="15"/>
      <c r="Q698" s="15"/>
      <c r="R698" s="15"/>
      <c r="S698" s="15"/>
      <c r="T698" s="15"/>
      <c r="U698" s="15"/>
      <c r="V698" s="15"/>
      <c r="W698" s="15"/>
      <c r="X698" s="14"/>
      <c r="Y698" s="14"/>
      <c r="Z698" s="15"/>
      <c r="AA698" s="3"/>
      <c r="AB698" s="3"/>
      <c r="AC698" s="3"/>
      <c r="AD698" s="3"/>
      <c r="AE698" s="3"/>
      <c r="AF698" s="3"/>
    </row>
    <row r="699" ht="15.75" customHeight="1">
      <c r="J699" s="15"/>
      <c r="K699" s="238"/>
      <c r="L699" s="15"/>
      <c r="M699" s="15"/>
      <c r="N699" s="15"/>
      <c r="O699" s="15"/>
      <c r="P699" s="15"/>
      <c r="Q699" s="15"/>
      <c r="R699" s="15"/>
      <c r="S699" s="15"/>
      <c r="T699" s="15"/>
      <c r="U699" s="15"/>
      <c r="V699" s="15"/>
      <c r="W699" s="15"/>
      <c r="X699" s="14"/>
      <c r="Y699" s="14"/>
      <c r="Z699" s="15"/>
      <c r="AA699" s="3"/>
      <c r="AB699" s="3"/>
      <c r="AC699" s="3"/>
      <c r="AD699" s="3"/>
      <c r="AE699" s="3"/>
      <c r="AF699" s="3"/>
    </row>
    <row r="700" ht="15.75" customHeight="1">
      <c r="J700" s="15"/>
      <c r="K700" s="238"/>
      <c r="L700" s="15"/>
      <c r="M700" s="15"/>
      <c r="N700" s="15"/>
      <c r="O700" s="15"/>
      <c r="P700" s="15"/>
      <c r="Q700" s="15"/>
      <c r="R700" s="15"/>
      <c r="S700" s="15"/>
      <c r="T700" s="15"/>
      <c r="U700" s="15"/>
      <c r="V700" s="15"/>
      <c r="W700" s="15"/>
      <c r="X700" s="14"/>
      <c r="Y700" s="14"/>
      <c r="Z700" s="15"/>
      <c r="AA700" s="3"/>
      <c r="AB700" s="3"/>
      <c r="AC700" s="3"/>
      <c r="AD700" s="3"/>
      <c r="AE700" s="3"/>
      <c r="AF700" s="3"/>
    </row>
    <row r="701" ht="15.75" customHeight="1">
      <c r="J701" s="15"/>
      <c r="K701" s="238"/>
      <c r="L701" s="15"/>
      <c r="M701" s="15"/>
      <c r="N701" s="15"/>
      <c r="O701" s="15"/>
      <c r="P701" s="15"/>
      <c r="Q701" s="15"/>
      <c r="R701" s="15"/>
      <c r="S701" s="15"/>
      <c r="T701" s="15"/>
      <c r="U701" s="15"/>
      <c r="V701" s="15"/>
      <c r="W701" s="15"/>
      <c r="X701" s="14"/>
      <c r="Y701" s="14"/>
      <c r="Z701" s="15"/>
      <c r="AA701" s="3"/>
      <c r="AB701" s="3"/>
      <c r="AC701" s="3"/>
      <c r="AD701" s="3"/>
      <c r="AE701" s="3"/>
      <c r="AF701" s="3"/>
    </row>
    <row r="702" ht="15.75" customHeight="1">
      <c r="J702" s="15"/>
      <c r="K702" s="238"/>
      <c r="L702" s="15"/>
      <c r="M702" s="15"/>
      <c r="N702" s="15"/>
      <c r="O702" s="15"/>
      <c r="P702" s="15"/>
      <c r="Q702" s="15"/>
      <c r="R702" s="15"/>
      <c r="S702" s="15"/>
      <c r="T702" s="15"/>
      <c r="U702" s="15"/>
      <c r="V702" s="15"/>
      <c r="W702" s="15"/>
      <c r="X702" s="14"/>
      <c r="Y702" s="14"/>
      <c r="Z702" s="15"/>
      <c r="AA702" s="3"/>
      <c r="AB702" s="3"/>
      <c r="AC702" s="3"/>
      <c r="AD702" s="3"/>
      <c r="AE702" s="3"/>
      <c r="AF702" s="3"/>
    </row>
    <row r="703" ht="15.75" customHeight="1">
      <c r="J703" s="15"/>
      <c r="K703" s="238"/>
      <c r="L703" s="15"/>
      <c r="M703" s="15"/>
      <c r="N703" s="15"/>
      <c r="O703" s="15"/>
      <c r="P703" s="15"/>
      <c r="Q703" s="15"/>
      <c r="R703" s="15"/>
      <c r="S703" s="15"/>
      <c r="T703" s="15"/>
      <c r="U703" s="15"/>
      <c r="V703" s="15"/>
      <c r="W703" s="15"/>
      <c r="X703" s="14"/>
      <c r="Y703" s="14"/>
      <c r="Z703" s="15"/>
      <c r="AA703" s="3"/>
      <c r="AB703" s="3"/>
      <c r="AC703" s="3"/>
      <c r="AD703" s="3"/>
      <c r="AE703" s="3"/>
      <c r="AF703" s="3"/>
    </row>
    <row r="704" ht="15.75" customHeight="1">
      <c r="J704" s="15"/>
      <c r="K704" s="238"/>
      <c r="L704" s="15"/>
      <c r="M704" s="15"/>
      <c r="N704" s="15"/>
      <c r="O704" s="15"/>
      <c r="P704" s="15"/>
      <c r="Q704" s="15"/>
      <c r="R704" s="15"/>
      <c r="S704" s="15"/>
      <c r="T704" s="15"/>
      <c r="U704" s="15"/>
      <c r="V704" s="15"/>
      <c r="W704" s="15"/>
      <c r="X704" s="14"/>
      <c r="Y704" s="14"/>
      <c r="Z704" s="15"/>
      <c r="AA704" s="3"/>
      <c r="AB704" s="3"/>
      <c r="AC704" s="3"/>
      <c r="AD704" s="3"/>
      <c r="AE704" s="3"/>
      <c r="AF704" s="3"/>
    </row>
    <row r="705" ht="15.75" customHeight="1">
      <c r="J705" s="15"/>
      <c r="K705" s="238"/>
      <c r="L705" s="15"/>
      <c r="M705" s="15"/>
      <c r="N705" s="15"/>
      <c r="O705" s="15"/>
      <c r="P705" s="15"/>
      <c r="Q705" s="15"/>
      <c r="R705" s="15"/>
      <c r="S705" s="15"/>
      <c r="T705" s="15"/>
      <c r="U705" s="15"/>
      <c r="V705" s="15"/>
      <c r="W705" s="15"/>
      <c r="X705" s="14"/>
      <c r="Y705" s="14"/>
      <c r="Z705" s="15"/>
      <c r="AA705" s="3"/>
      <c r="AB705" s="3"/>
      <c r="AC705" s="3"/>
      <c r="AD705" s="3"/>
      <c r="AE705" s="3"/>
      <c r="AF705" s="3"/>
    </row>
    <row r="706" ht="15.75" customHeight="1">
      <c r="J706" s="15"/>
      <c r="K706" s="238"/>
      <c r="L706" s="15"/>
      <c r="M706" s="15"/>
      <c r="N706" s="15"/>
      <c r="O706" s="15"/>
      <c r="P706" s="15"/>
      <c r="Q706" s="15"/>
      <c r="R706" s="15"/>
      <c r="S706" s="15"/>
      <c r="T706" s="15"/>
      <c r="U706" s="15"/>
      <c r="V706" s="15"/>
      <c r="W706" s="15"/>
      <c r="X706" s="14"/>
      <c r="Y706" s="14"/>
      <c r="Z706" s="15"/>
      <c r="AA706" s="3"/>
      <c r="AB706" s="3"/>
      <c r="AC706" s="3"/>
      <c r="AD706" s="3"/>
      <c r="AE706" s="3"/>
      <c r="AF706" s="3"/>
    </row>
    <row r="707" ht="15.75" customHeight="1">
      <c r="J707" s="15"/>
      <c r="K707" s="238"/>
      <c r="L707" s="15"/>
      <c r="M707" s="15"/>
      <c r="N707" s="15"/>
      <c r="O707" s="15"/>
      <c r="P707" s="15"/>
      <c r="Q707" s="15"/>
      <c r="R707" s="15"/>
      <c r="S707" s="15"/>
      <c r="T707" s="15"/>
      <c r="U707" s="15"/>
      <c r="V707" s="15"/>
      <c r="W707" s="15"/>
      <c r="X707" s="14"/>
      <c r="Y707" s="14"/>
      <c r="Z707" s="15"/>
      <c r="AA707" s="3"/>
      <c r="AB707" s="3"/>
      <c r="AC707" s="3"/>
      <c r="AD707" s="3"/>
      <c r="AE707" s="3"/>
      <c r="AF707" s="3"/>
    </row>
    <row r="708" ht="15.75" customHeight="1">
      <c r="J708" s="15"/>
      <c r="K708" s="238"/>
      <c r="L708" s="15"/>
      <c r="M708" s="15"/>
      <c r="N708" s="15"/>
      <c r="O708" s="15"/>
      <c r="P708" s="15"/>
      <c r="Q708" s="15"/>
      <c r="R708" s="15"/>
      <c r="S708" s="15"/>
      <c r="T708" s="15"/>
      <c r="U708" s="15"/>
      <c r="V708" s="15"/>
      <c r="W708" s="15"/>
      <c r="X708" s="14"/>
      <c r="Y708" s="14"/>
      <c r="Z708" s="15"/>
      <c r="AA708" s="3"/>
      <c r="AB708" s="3"/>
      <c r="AC708" s="3"/>
      <c r="AD708" s="3"/>
      <c r="AE708" s="3"/>
      <c r="AF708" s="3"/>
    </row>
    <row r="709" ht="15.75" customHeight="1">
      <c r="J709" s="15"/>
      <c r="K709" s="238"/>
      <c r="L709" s="15"/>
      <c r="M709" s="15"/>
      <c r="N709" s="15"/>
      <c r="O709" s="15"/>
      <c r="P709" s="15"/>
      <c r="Q709" s="15"/>
      <c r="R709" s="15"/>
      <c r="S709" s="15"/>
      <c r="T709" s="15"/>
      <c r="U709" s="15"/>
      <c r="V709" s="15"/>
      <c r="W709" s="15"/>
      <c r="X709" s="14"/>
      <c r="Y709" s="14"/>
      <c r="Z709" s="15"/>
      <c r="AA709" s="3"/>
      <c r="AB709" s="3"/>
      <c r="AC709" s="3"/>
      <c r="AD709" s="3"/>
      <c r="AE709" s="3"/>
      <c r="AF709" s="3"/>
    </row>
    <row r="710" ht="15.75" customHeight="1">
      <c r="J710" s="15"/>
      <c r="K710" s="238"/>
      <c r="L710" s="15"/>
      <c r="M710" s="15"/>
      <c r="N710" s="15"/>
      <c r="O710" s="15"/>
      <c r="P710" s="15"/>
      <c r="Q710" s="15"/>
      <c r="R710" s="15"/>
      <c r="S710" s="15"/>
      <c r="T710" s="15"/>
      <c r="U710" s="15"/>
      <c r="V710" s="15"/>
      <c r="W710" s="15"/>
      <c r="X710" s="14"/>
      <c r="Y710" s="14"/>
      <c r="Z710" s="15"/>
      <c r="AA710" s="3"/>
      <c r="AB710" s="3"/>
      <c r="AC710" s="3"/>
      <c r="AD710" s="3"/>
      <c r="AE710" s="3"/>
      <c r="AF710" s="3"/>
    </row>
    <row r="711" ht="15.75" customHeight="1">
      <c r="J711" s="15"/>
      <c r="K711" s="238"/>
      <c r="L711" s="15"/>
      <c r="M711" s="15"/>
      <c r="N711" s="15"/>
      <c r="O711" s="15"/>
      <c r="P711" s="15"/>
      <c r="Q711" s="15"/>
      <c r="R711" s="15"/>
      <c r="S711" s="15"/>
      <c r="T711" s="15"/>
      <c r="U711" s="15"/>
      <c r="V711" s="15"/>
      <c r="W711" s="15"/>
      <c r="X711" s="14"/>
      <c r="Y711" s="14"/>
      <c r="Z711" s="15"/>
      <c r="AA711" s="3"/>
      <c r="AB711" s="3"/>
      <c r="AC711" s="3"/>
      <c r="AD711" s="3"/>
      <c r="AE711" s="3"/>
      <c r="AF711" s="3"/>
    </row>
    <row r="712" ht="15.75" customHeight="1">
      <c r="J712" s="15"/>
      <c r="K712" s="238"/>
      <c r="L712" s="15"/>
      <c r="M712" s="15"/>
      <c r="N712" s="15"/>
      <c r="O712" s="15"/>
      <c r="P712" s="15"/>
      <c r="Q712" s="15"/>
      <c r="R712" s="15"/>
      <c r="S712" s="15"/>
      <c r="T712" s="15"/>
      <c r="U712" s="15"/>
      <c r="V712" s="15"/>
      <c r="W712" s="15"/>
      <c r="X712" s="14"/>
      <c r="Y712" s="14"/>
      <c r="Z712" s="15"/>
      <c r="AA712" s="3"/>
      <c r="AB712" s="3"/>
      <c r="AC712" s="3"/>
      <c r="AD712" s="3"/>
      <c r="AE712" s="3"/>
      <c r="AF712" s="3"/>
    </row>
    <row r="713" ht="15.75" customHeight="1">
      <c r="J713" s="15"/>
      <c r="K713" s="238"/>
      <c r="L713" s="15"/>
      <c r="M713" s="15"/>
      <c r="N713" s="15"/>
      <c r="O713" s="15"/>
      <c r="P713" s="15"/>
      <c r="Q713" s="15"/>
      <c r="R713" s="15"/>
      <c r="S713" s="15"/>
      <c r="T713" s="15"/>
      <c r="U713" s="15"/>
      <c r="V713" s="15"/>
      <c r="W713" s="15"/>
      <c r="X713" s="14"/>
      <c r="Y713" s="14"/>
      <c r="Z713" s="15"/>
      <c r="AA713" s="3"/>
      <c r="AB713" s="3"/>
      <c r="AC713" s="3"/>
      <c r="AD713" s="3"/>
      <c r="AE713" s="3"/>
      <c r="AF713" s="3"/>
    </row>
    <row r="714" ht="15.75" customHeight="1">
      <c r="J714" s="15"/>
      <c r="K714" s="238"/>
      <c r="L714" s="15"/>
      <c r="M714" s="15"/>
      <c r="N714" s="15"/>
      <c r="O714" s="15"/>
      <c r="P714" s="15"/>
      <c r="Q714" s="15"/>
      <c r="R714" s="15"/>
      <c r="S714" s="15"/>
      <c r="T714" s="15"/>
      <c r="U714" s="15"/>
      <c r="V714" s="15"/>
      <c r="W714" s="15"/>
      <c r="X714" s="14"/>
      <c r="Y714" s="14"/>
      <c r="Z714" s="15"/>
      <c r="AA714" s="3"/>
      <c r="AB714" s="3"/>
      <c r="AC714" s="3"/>
      <c r="AD714" s="3"/>
      <c r="AE714" s="3"/>
      <c r="AF714" s="3"/>
    </row>
    <row r="715" ht="15.75" customHeight="1">
      <c r="J715" s="15"/>
      <c r="K715" s="238"/>
      <c r="L715" s="15"/>
      <c r="M715" s="15"/>
      <c r="N715" s="15"/>
      <c r="O715" s="15"/>
      <c r="P715" s="15"/>
      <c r="Q715" s="15"/>
      <c r="R715" s="15"/>
      <c r="S715" s="15"/>
      <c r="T715" s="15"/>
      <c r="U715" s="15"/>
      <c r="V715" s="15"/>
      <c r="W715" s="15"/>
      <c r="X715" s="14"/>
      <c r="Y715" s="14"/>
      <c r="Z715" s="15"/>
      <c r="AA715" s="3"/>
      <c r="AB715" s="3"/>
      <c r="AC715" s="3"/>
      <c r="AD715" s="3"/>
      <c r="AE715" s="3"/>
      <c r="AF715" s="3"/>
    </row>
    <row r="716" ht="15.75" customHeight="1">
      <c r="J716" s="15"/>
      <c r="K716" s="238"/>
      <c r="L716" s="15"/>
      <c r="M716" s="15"/>
      <c r="N716" s="15"/>
      <c r="O716" s="15"/>
      <c r="P716" s="15"/>
      <c r="Q716" s="15"/>
      <c r="R716" s="15"/>
      <c r="S716" s="15"/>
      <c r="T716" s="15"/>
      <c r="U716" s="15"/>
      <c r="V716" s="15"/>
      <c r="W716" s="15"/>
      <c r="X716" s="14"/>
      <c r="Y716" s="14"/>
      <c r="Z716" s="15"/>
      <c r="AA716" s="3"/>
      <c r="AB716" s="3"/>
      <c r="AC716" s="3"/>
      <c r="AD716" s="3"/>
      <c r="AE716" s="3"/>
      <c r="AF716" s="3"/>
    </row>
    <row r="717" ht="15.75" customHeight="1">
      <c r="J717" s="15"/>
      <c r="K717" s="238"/>
      <c r="L717" s="15"/>
      <c r="M717" s="15"/>
      <c r="N717" s="15"/>
      <c r="O717" s="15"/>
      <c r="P717" s="15"/>
      <c r="Q717" s="15"/>
      <c r="R717" s="15"/>
      <c r="S717" s="15"/>
      <c r="T717" s="15"/>
      <c r="U717" s="15"/>
      <c r="V717" s="15"/>
      <c r="W717" s="15"/>
      <c r="X717" s="14"/>
      <c r="Y717" s="14"/>
      <c r="Z717" s="15"/>
      <c r="AA717" s="3"/>
      <c r="AB717" s="3"/>
      <c r="AC717" s="3"/>
      <c r="AD717" s="3"/>
      <c r="AE717" s="3"/>
      <c r="AF717" s="3"/>
    </row>
    <row r="718" ht="15.75" customHeight="1">
      <c r="J718" s="15"/>
      <c r="K718" s="238"/>
      <c r="L718" s="15"/>
      <c r="M718" s="15"/>
      <c r="N718" s="15"/>
      <c r="O718" s="15"/>
      <c r="P718" s="15"/>
      <c r="Q718" s="15"/>
      <c r="R718" s="15"/>
      <c r="S718" s="15"/>
      <c r="T718" s="15"/>
      <c r="U718" s="15"/>
      <c r="V718" s="15"/>
      <c r="W718" s="15"/>
      <c r="X718" s="14"/>
      <c r="Y718" s="14"/>
      <c r="Z718" s="15"/>
      <c r="AA718" s="3"/>
      <c r="AB718" s="3"/>
      <c r="AC718" s="3"/>
      <c r="AD718" s="3"/>
      <c r="AE718" s="3"/>
      <c r="AF718" s="3"/>
    </row>
    <row r="719" ht="15.75" customHeight="1">
      <c r="J719" s="15"/>
      <c r="K719" s="238"/>
      <c r="L719" s="15"/>
      <c r="M719" s="15"/>
      <c r="N719" s="15"/>
      <c r="O719" s="15"/>
      <c r="P719" s="15"/>
      <c r="Q719" s="15"/>
      <c r="R719" s="15"/>
      <c r="S719" s="15"/>
      <c r="T719" s="15"/>
      <c r="U719" s="15"/>
      <c r="V719" s="15"/>
      <c r="W719" s="15"/>
      <c r="X719" s="14"/>
      <c r="Y719" s="14"/>
      <c r="Z719" s="15"/>
      <c r="AA719" s="3"/>
      <c r="AB719" s="3"/>
      <c r="AC719" s="3"/>
      <c r="AD719" s="3"/>
      <c r="AE719" s="3"/>
      <c r="AF719" s="3"/>
    </row>
    <row r="720" ht="15.75" customHeight="1">
      <c r="J720" s="15"/>
      <c r="K720" s="238"/>
      <c r="L720" s="15"/>
      <c r="M720" s="15"/>
      <c r="N720" s="15"/>
      <c r="O720" s="15"/>
      <c r="P720" s="15"/>
      <c r="Q720" s="15"/>
      <c r="R720" s="15"/>
      <c r="S720" s="15"/>
      <c r="T720" s="15"/>
      <c r="U720" s="15"/>
      <c r="V720" s="15"/>
      <c r="W720" s="15"/>
      <c r="X720" s="14"/>
      <c r="Y720" s="14"/>
      <c r="Z720" s="15"/>
      <c r="AA720" s="3"/>
      <c r="AB720" s="3"/>
      <c r="AC720" s="3"/>
      <c r="AD720" s="3"/>
      <c r="AE720" s="3"/>
      <c r="AF720" s="3"/>
    </row>
    <row r="721" ht="15.75" customHeight="1">
      <c r="J721" s="15"/>
      <c r="K721" s="238"/>
      <c r="L721" s="15"/>
      <c r="M721" s="15"/>
      <c r="N721" s="15"/>
      <c r="O721" s="15"/>
      <c r="P721" s="15"/>
      <c r="Q721" s="15"/>
      <c r="R721" s="15"/>
      <c r="S721" s="15"/>
      <c r="T721" s="15"/>
      <c r="U721" s="15"/>
      <c r="V721" s="15"/>
      <c r="W721" s="15"/>
      <c r="X721" s="14"/>
      <c r="Y721" s="14"/>
      <c r="Z721" s="15"/>
      <c r="AA721" s="3"/>
      <c r="AB721" s="3"/>
      <c r="AC721" s="3"/>
      <c r="AD721" s="3"/>
      <c r="AE721" s="3"/>
      <c r="AF721" s="3"/>
    </row>
    <row r="722" ht="15.75" customHeight="1">
      <c r="J722" s="15"/>
      <c r="K722" s="238"/>
      <c r="L722" s="15"/>
      <c r="M722" s="15"/>
      <c r="N722" s="15"/>
      <c r="O722" s="15"/>
      <c r="P722" s="15"/>
      <c r="Q722" s="15"/>
      <c r="R722" s="15"/>
      <c r="S722" s="15"/>
      <c r="T722" s="15"/>
      <c r="U722" s="15"/>
      <c r="V722" s="15"/>
      <c r="W722" s="15"/>
      <c r="X722" s="14"/>
      <c r="Y722" s="14"/>
      <c r="Z722" s="15"/>
      <c r="AA722" s="3"/>
      <c r="AB722" s="3"/>
      <c r="AC722" s="3"/>
      <c r="AD722" s="3"/>
      <c r="AE722" s="3"/>
      <c r="AF722" s="3"/>
    </row>
    <row r="723" ht="15.75" customHeight="1">
      <c r="J723" s="15"/>
      <c r="K723" s="238"/>
      <c r="L723" s="15"/>
      <c r="M723" s="15"/>
      <c r="N723" s="15"/>
      <c r="O723" s="15"/>
      <c r="P723" s="15"/>
      <c r="Q723" s="15"/>
      <c r="R723" s="15"/>
      <c r="S723" s="15"/>
      <c r="T723" s="15"/>
      <c r="U723" s="15"/>
      <c r="V723" s="15"/>
      <c r="W723" s="15"/>
      <c r="X723" s="14"/>
      <c r="Y723" s="14"/>
      <c r="Z723" s="15"/>
      <c r="AA723" s="3"/>
      <c r="AB723" s="3"/>
      <c r="AC723" s="3"/>
      <c r="AD723" s="3"/>
      <c r="AE723" s="3"/>
      <c r="AF723" s="3"/>
    </row>
    <row r="724" ht="15.75" customHeight="1">
      <c r="J724" s="15"/>
      <c r="K724" s="238"/>
      <c r="L724" s="15"/>
      <c r="M724" s="15"/>
      <c r="N724" s="15"/>
      <c r="O724" s="15"/>
      <c r="P724" s="15"/>
      <c r="Q724" s="15"/>
      <c r="R724" s="15"/>
      <c r="S724" s="15"/>
      <c r="T724" s="15"/>
      <c r="U724" s="15"/>
      <c r="V724" s="15"/>
      <c r="W724" s="15"/>
      <c r="X724" s="14"/>
      <c r="Y724" s="14"/>
      <c r="Z724" s="15"/>
      <c r="AA724" s="3"/>
      <c r="AB724" s="3"/>
      <c r="AC724" s="3"/>
      <c r="AD724" s="3"/>
      <c r="AE724" s="3"/>
      <c r="AF724" s="3"/>
    </row>
    <row r="725" ht="15.75" customHeight="1">
      <c r="J725" s="15"/>
      <c r="K725" s="238"/>
      <c r="L725" s="15"/>
      <c r="M725" s="15"/>
      <c r="N725" s="15"/>
      <c r="O725" s="15"/>
      <c r="P725" s="15"/>
      <c r="Q725" s="15"/>
      <c r="R725" s="15"/>
      <c r="S725" s="15"/>
      <c r="T725" s="15"/>
      <c r="U725" s="15"/>
      <c r="V725" s="15"/>
      <c r="W725" s="15"/>
      <c r="X725" s="14"/>
      <c r="Y725" s="14"/>
      <c r="Z725" s="15"/>
      <c r="AA725" s="3"/>
      <c r="AB725" s="3"/>
      <c r="AC725" s="3"/>
      <c r="AD725" s="3"/>
      <c r="AE725" s="3"/>
      <c r="AF725" s="3"/>
    </row>
    <row r="726" ht="15.75" customHeight="1">
      <c r="J726" s="15"/>
      <c r="K726" s="238"/>
      <c r="L726" s="15"/>
      <c r="M726" s="15"/>
      <c r="N726" s="15"/>
      <c r="O726" s="15"/>
      <c r="P726" s="15"/>
      <c r="Q726" s="15"/>
      <c r="R726" s="15"/>
      <c r="S726" s="15"/>
      <c r="T726" s="15"/>
      <c r="U726" s="15"/>
      <c r="V726" s="15"/>
      <c r="W726" s="15"/>
      <c r="X726" s="14"/>
      <c r="Y726" s="14"/>
      <c r="Z726" s="15"/>
      <c r="AA726" s="3"/>
      <c r="AB726" s="3"/>
      <c r="AC726" s="3"/>
      <c r="AD726" s="3"/>
      <c r="AE726" s="3"/>
      <c r="AF726" s="3"/>
    </row>
    <row r="727" ht="15.75" customHeight="1">
      <c r="J727" s="15"/>
      <c r="K727" s="238"/>
      <c r="L727" s="15"/>
      <c r="M727" s="15"/>
      <c r="N727" s="15"/>
      <c r="O727" s="15"/>
      <c r="P727" s="15"/>
      <c r="Q727" s="15"/>
      <c r="R727" s="15"/>
      <c r="S727" s="15"/>
      <c r="T727" s="15"/>
      <c r="U727" s="15"/>
      <c r="V727" s="15"/>
      <c r="W727" s="15"/>
      <c r="X727" s="14"/>
      <c r="Y727" s="14"/>
      <c r="Z727" s="15"/>
      <c r="AA727" s="3"/>
      <c r="AB727" s="3"/>
      <c r="AC727" s="3"/>
      <c r="AD727" s="3"/>
      <c r="AE727" s="3"/>
      <c r="AF727" s="3"/>
    </row>
    <row r="728" ht="15.75" customHeight="1">
      <c r="J728" s="15"/>
      <c r="K728" s="238"/>
      <c r="L728" s="15"/>
      <c r="M728" s="15"/>
      <c r="N728" s="15"/>
      <c r="O728" s="15"/>
      <c r="P728" s="15"/>
      <c r="Q728" s="15"/>
      <c r="R728" s="15"/>
      <c r="S728" s="15"/>
      <c r="T728" s="15"/>
      <c r="U728" s="15"/>
      <c r="V728" s="15"/>
      <c r="W728" s="15"/>
      <c r="X728" s="14"/>
      <c r="Y728" s="14"/>
      <c r="Z728" s="15"/>
      <c r="AA728" s="3"/>
      <c r="AB728" s="3"/>
      <c r="AC728" s="3"/>
      <c r="AD728" s="3"/>
      <c r="AE728" s="3"/>
      <c r="AF728" s="3"/>
    </row>
    <row r="729" ht="15.75" customHeight="1">
      <c r="J729" s="15"/>
      <c r="K729" s="238"/>
      <c r="L729" s="15"/>
      <c r="M729" s="15"/>
      <c r="N729" s="15"/>
      <c r="O729" s="15"/>
      <c r="P729" s="15"/>
      <c r="Q729" s="15"/>
      <c r="R729" s="15"/>
      <c r="S729" s="15"/>
      <c r="T729" s="15"/>
      <c r="U729" s="15"/>
      <c r="V729" s="15"/>
      <c r="W729" s="15"/>
      <c r="X729" s="14"/>
      <c r="Y729" s="14"/>
      <c r="Z729" s="15"/>
      <c r="AA729" s="3"/>
      <c r="AB729" s="3"/>
      <c r="AC729" s="3"/>
      <c r="AD729" s="3"/>
      <c r="AE729" s="3"/>
      <c r="AF729" s="3"/>
    </row>
    <row r="730" ht="15.75" customHeight="1">
      <c r="J730" s="15"/>
      <c r="K730" s="238"/>
      <c r="L730" s="15"/>
      <c r="M730" s="15"/>
      <c r="N730" s="15"/>
      <c r="O730" s="15"/>
      <c r="P730" s="15"/>
      <c r="Q730" s="15"/>
      <c r="R730" s="15"/>
      <c r="S730" s="15"/>
      <c r="T730" s="15"/>
      <c r="U730" s="15"/>
      <c r="V730" s="15"/>
      <c r="W730" s="15"/>
      <c r="X730" s="14"/>
      <c r="Y730" s="14"/>
      <c r="Z730" s="15"/>
      <c r="AA730" s="3"/>
      <c r="AB730" s="3"/>
      <c r="AC730" s="3"/>
      <c r="AD730" s="3"/>
      <c r="AE730" s="3"/>
      <c r="AF730" s="3"/>
    </row>
    <row r="731" ht="15.75" customHeight="1">
      <c r="J731" s="15"/>
      <c r="K731" s="238"/>
      <c r="L731" s="15"/>
      <c r="M731" s="15"/>
      <c r="N731" s="15"/>
      <c r="O731" s="15"/>
      <c r="P731" s="15"/>
      <c r="Q731" s="15"/>
      <c r="R731" s="15"/>
      <c r="S731" s="15"/>
      <c r="T731" s="15"/>
      <c r="U731" s="15"/>
      <c r="V731" s="15"/>
      <c r="W731" s="15"/>
      <c r="X731" s="14"/>
      <c r="Y731" s="14"/>
      <c r="Z731" s="15"/>
      <c r="AA731" s="3"/>
      <c r="AB731" s="3"/>
      <c r="AC731" s="3"/>
      <c r="AD731" s="3"/>
      <c r="AE731" s="3"/>
      <c r="AF731" s="3"/>
    </row>
    <row r="732" ht="15.75" customHeight="1">
      <c r="J732" s="15"/>
      <c r="K732" s="238"/>
      <c r="L732" s="15"/>
      <c r="M732" s="15"/>
      <c r="N732" s="15"/>
      <c r="O732" s="15"/>
      <c r="P732" s="15"/>
      <c r="Q732" s="15"/>
      <c r="R732" s="15"/>
      <c r="S732" s="15"/>
      <c r="T732" s="15"/>
      <c r="U732" s="15"/>
      <c r="V732" s="15"/>
      <c r="W732" s="15"/>
      <c r="X732" s="14"/>
      <c r="Y732" s="14"/>
      <c r="Z732" s="15"/>
      <c r="AA732" s="3"/>
      <c r="AB732" s="3"/>
      <c r="AC732" s="3"/>
      <c r="AD732" s="3"/>
      <c r="AE732" s="3"/>
      <c r="AF732" s="3"/>
    </row>
    <row r="733" ht="15.75" customHeight="1">
      <c r="J733" s="15"/>
      <c r="K733" s="238"/>
      <c r="L733" s="15"/>
      <c r="M733" s="15"/>
      <c r="N733" s="15"/>
      <c r="O733" s="15"/>
      <c r="P733" s="15"/>
      <c r="Q733" s="15"/>
      <c r="R733" s="15"/>
      <c r="S733" s="15"/>
      <c r="T733" s="15"/>
      <c r="U733" s="15"/>
      <c r="V733" s="15"/>
      <c r="W733" s="15"/>
      <c r="X733" s="14"/>
      <c r="Y733" s="14"/>
      <c r="Z733" s="15"/>
      <c r="AA733" s="3"/>
      <c r="AB733" s="3"/>
      <c r="AC733" s="3"/>
      <c r="AD733" s="3"/>
      <c r="AE733" s="3"/>
      <c r="AF733" s="3"/>
    </row>
    <row r="734" ht="15.75" customHeight="1">
      <c r="J734" s="15"/>
      <c r="K734" s="238"/>
      <c r="L734" s="15"/>
      <c r="M734" s="15"/>
      <c r="N734" s="15"/>
      <c r="O734" s="15"/>
      <c r="P734" s="15"/>
      <c r="Q734" s="15"/>
      <c r="R734" s="15"/>
      <c r="S734" s="15"/>
      <c r="T734" s="15"/>
      <c r="U734" s="15"/>
      <c r="V734" s="15"/>
      <c r="W734" s="15"/>
      <c r="X734" s="14"/>
      <c r="Y734" s="14"/>
      <c r="Z734" s="15"/>
      <c r="AA734" s="3"/>
      <c r="AB734" s="3"/>
      <c r="AC734" s="3"/>
      <c r="AD734" s="3"/>
      <c r="AE734" s="3"/>
      <c r="AF734" s="3"/>
    </row>
    <row r="735" ht="15.75" customHeight="1">
      <c r="J735" s="15"/>
      <c r="K735" s="238"/>
      <c r="L735" s="15"/>
      <c r="M735" s="15"/>
      <c r="N735" s="15"/>
      <c r="O735" s="15"/>
      <c r="P735" s="15"/>
      <c r="Q735" s="15"/>
      <c r="R735" s="15"/>
      <c r="S735" s="15"/>
      <c r="T735" s="15"/>
      <c r="U735" s="15"/>
      <c r="V735" s="15"/>
      <c r="W735" s="15"/>
      <c r="X735" s="14"/>
      <c r="Y735" s="14"/>
      <c r="Z735" s="15"/>
      <c r="AA735" s="3"/>
      <c r="AB735" s="3"/>
      <c r="AC735" s="3"/>
      <c r="AD735" s="3"/>
      <c r="AE735" s="3"/>
      <c r="AF735" s="3"/>
    </row>
    <row r="736" ht="15.75" customHeight="1">
      <c r="J736" s="15"/>
      <c r="K736" s="238"/>
      <c r="L736" s="15"/>
      <c r="M736" s="15"/>
      <c r="N736" s="15"/>
      <c r="O736" s="15"/>
      <c r="P736" s="15"/>
      <c r="Q736" s="15"/>
      <c r="R736" s="15"/>
      <c r="S736" s="15"/>
      <c r="T736" s="15"/>
      <c r="U736" s="15"/>
      <c r="V736" s="15"/>
      <c r="W736" s="15"/>
      <c r="X736" s="14"/>
      <c r="Y736" s="14"/>
      <c r="Z736" s="15"/>
      <c r="AA736" s="3"/>
      <c r="AB736" s="3"/>
      <c r="AC736" s="3"/>
      <c r="AD736" s="3"/>
      <c r="AE736" s="3"/>
      <c r="AF736" s="3"/>
    </row>
    <row r="737" ht="15.75" customHeight="1">
      <c r="J737" s="15"/>
      <c r="K737" s="238"/>
      <c r="L737" s="15"/>
      <c r="M737" s="15"/>
      <c r="N737" s="15"/>
      <c r="O737" s="15"/>
      <c r="P737" s="15"/>
      <c r="Q737" s="15"/>
      <c r="R737" s="15"/>
      <c r="S737" s="15"/>
      <c r="T737" s="15"/>
      <c r="U737" s="15"/>
      <c r="V737" s="15"/>
      <c r="W737" s="15"/>
      <c r="X737" s="14"/>
      <c r="Y737" s="14"/>
      <c r="Z737" s="15"/>
      <c r="AA737" s="3"/>
      <c r="AB737" s="3"/>
      <c r="AC737" s="3"/>
      <c r="AD737" s="3"/>
      <c r="AE737" s="3"/>
      <c r="AF737" s="3"/>
    </row>
    <row r="738" ht="15.75" customHeight="1">
      <c r="J738" s="15"/>
      <c r="K738" s="238"/>
      <c r="L738" s="15"/>
      <c r="M738" s="15"/>
      <c r="N738" s="15"/>
      <c r="O738" s="15"/>
      <c r="P738" s="15"/>
      <c r="Q738" s="15"/>
      <c r="R738" s="15"/>
      <c r="S738" s="15"/>
      <c r="T738" s="15"/>
      <c r="U738" s="15"/>
      <c r="V738" s="15"/>
      <c r="W738" s="15"/>
      <c r="X738" s="14"/>
      <c r="Y738" s="14"/>
      <c r="Z738" s="15"/>
      <c r="AA738" s="3"/>
      <c r="AB738" s="3"/>
      <c r="AC738" s="3"/>
      <c r="AD738" s="3"/>
      <c r="AE738" s="3"/>
      <c r="AF738" s="3"/>
    </row>
    <row r="739" ht="15.75" customHeight="1">
      <c r="J739" s="15"/>
      <c r="K739" s="238"/>
      <c r="L739" s="15"/>
      <c r="M739" s="15"/>
      <c r="N739" s="15"/>
      <c r="O739" s="15"/>
      <c r="P739" s="15"/>
      <c r="Q739" s="15"/>
      <c r="R739" s="15"/>
      <c r="S739" s="15"/>
      <c r="T739" s="15"/>
      <c r="U739" s="15"/>
      <c r="V739" s="15"/>
      <c r="W739" s="15"/>
      <c r="X739" s="14"/>
      <c r="Y739" s="14"/>
      <c r="Z739" s="15"/>
      <c r="AA739" s="3"/>
      <c r="AB739" s="3"/>
      <c r="AC739" s="3"/>
      <c r="AD739" s="3"/>
      <c r="AE739" s="3"/>
      <c r="AF739" s="3"/>
    </row>
    <row r="740" ht="15.75" customHeight="1">
      <c r="J740" s="15"/>
      <c r="K740" s="238"/>
      <c r="L740" s="15"/>
      <c r="M740" s="15"/>
      <c r="N740" s="15"/>
      <c r="O740" s="15"/>
      <c r="P740" s="15"/>
      <c r="Q740" s="15"/>
      <c r="R740" s="15"/>
      <c r="S740" s="15"/>
      <c r="T740" s="15"/>
      <c r="U740" s="15"/>
      <c r="V740" s="15"/>
      <c r="W740" s="15"/>
      <c r="X740" s="14"/>
      <c r="Y740" s="14"/>
      <c r="Z740" s="15"/>
      <c r="AA740" s="3"/>
      <c r="AB740" s="3"/>
      <c r="AC740" s="3"/>
      <c r="AD740" s="3"/>
      <c r="AE740" s="3"/>
      <c r="AF740" s="3"/>
    </row>
    <row r="741" ht="15.75" customHeight="1">
      <c r="J741" s="15"/>
      <c r="K741" s="238"/>
      <c r="L741" s="15"/>
      <c r="M741" s="15"/>
      <c r="N741" s="15"/>
      <c r="O741" s="15"/>
      <c r="P741" s="15"/>
      <c r="Q741" s="15"/>
      <c r="R741" s="15"/>
      <c r="S741" s="15"/>
      <c r="T741" s="15"/>
      <c r="U741" s="15"/>
      <c r="V741" s="15"/>
      <c r="W741" s="15"/>
      <c r="X741" s="14"/>
      <c r="Y741" s="14"/>
      <c r="Z741" s="15"/>
      <c r="AA741" s="3"/>
      <c r="AB741" s="3"/>
      <c r="AC741" s="3"/>
      <c r="AD741" s="3"/>
      <c r="AE741" s="3"/>
      <c r="AF741" s="3"/>
    </row>
    <row r="742" ht="15.75" customHeight="1">
      <c r="J742" s="15"/>
      <c r="K742" s="238"/>
      <c r="L742" s="15"/>
      <c r="M742" s="15"/>
      <c r="N742" s="15"/>
      <c r="O742" s="15"/>
      <c r="P742" s="15"/>
      <c r="Q742" s="15"/>
      <c r="R742" s="15"/>
      <c r="S742" s="15"/>
      <c r="T742" s="15"/>
      <c r="U742" s="15"/>
      <c r="V742" s="15"/>
      <c r="W742" s="15"/>
      <c r="X742" s="14"/>
      <c r="Y742" s="14"/>
      <c r="Z742" s="15"/>
      <c r="AA742" s="3"/>
      <c r="AB742" s="3"/>
      <c r="AC742" s="3"/>
      <c r="AD742" s="3"/>
      <c r="AE742" s="3"/>
      <c r="AF742" s="3"/>
    </row>
    <row r="743" ht="15.75" customHeight="1">
      <c r="J743" s="15"/>
      <c r="K743" s="238"/>
      <c r="L743" s="15"/>
      <c r="M743" s="15"/>
      <c r="N743" s="15"/>
      <c r="O743" s="15"/>
      <c r="P743" s="15"/>
      <c r="Q743" s="15"/>
      <c r="R743" s="15"/>
      <c r="S743" s="15"/>
      <c r="T743" s="15"/>
      <c r="U743" s="15"/>
      <c r="V743" s="15"/>
      <c r="W743" s="15"/>
      <c r="X743" s="14"/>
      <c r="Y743" s="14"/>
      <c r="Z743" s="15"/>
      <c r="AA743" s="3"/>
      <c r="AB743" s="3"/>
      <c r="AC743" s="3"/>
      <c r="AD743" s="3"/>
      <c r="AE743" s="3"/>
      <c r="AF743" s="3"/>
    </row>
    <row r="744" ht="15.75" customHeight="1">
      <c r="J744" s="15"/>
      <c r="K744" s="238"/>
      <c r="L744" s="15"/>
      <c r="M744" s="15"/>
      <c r="N744" s="15"/>
      <c r="O744" s="15"/>
      <c r="P744" s="15"/>
      <c r="Q744" s="15"/>
      <c r="R744" s="15"/>
      <c r="S744" s="15"/>
      <c r="T744" s="15"/>
      <c r="U744" s="15"/>
      <c r="V744" s="15"/>
      <c r="W744" s="15"/>
      <c r="X744" s="14"/>
      <c r="Y744" s="14"/>
      <c r="Z744" s="15"/>
      <c r="AA744" s="3"/>
      <c r="AB744" s="3"/>
      <c r="AC744" s="3"/>
      <c r="AD744" s="3"/>
      <c r="AE744" s="3"/>
      <c r="AF744" s="3"/>
    </row>
    <row r="745" ht="15.75" customHeight="1">
      <c r="J745" s="15"/>
      <c r="K745" s="238"/>
      <c r="L745" s="15"/>
      <c r="M745" s="15"/>
      <c r="N745" s="15"/>
      <c r="O745" s="15"/>
      <c r="P745" s="15"/>
      <c r="Q745" s="15"/>
      <c r="R745" s="15"/>
      <c r="S745" s="15"/>
      <c r="T745" s="15"/>
      <c r="U745" s="15"/>
      <c r="V745" s="15"/>
      <c r="W745" s="15"/>
      <c r="X745" s="14"/>
      <c r="Y745" s="14"/>
      <c r="Z745" s="15"/>
      <c r="AA745" s="3"/>
      <c r="AB745" s="3"/>
      <c r="AC745" s="3"/>
      <c r="AD745" s="3"/>
      <c r="AE745" s="3"/>
      <c r="AF745" s="3"/>
    </row>
    <row r="746" ht="15.75" customHeight="1">
      <c r="J746" s="15"/>
      <c r="K746" s="238"/>
      <c r="L746" s="15"/>
      <c r="M746" s="15"/>
      <c r="N746" s="15"/>
      <c r="O746" s="15"/>
      <c r="P746" s="15"/>
      <c r="Q746" s="15"/>
      <c r="R746" s="15"/>
      <c r="S746" s="15"/>
      <c r="T746" s="15"/>
      <c r="U746" s="15"/>
      <c r="V746" s="15"/>
      <c r="W746" s="15"/>
      <c r="X746" s="14"/>
      <c r="Y746" s="14"/>
      <c r="Z746" s="15"/>
      <c r="AA746" s="3"/>
      <c r="AB746" s="3"/>
      <c r="AC746" s="3"/>
      <c r="AD746" s="3"/>
      <c r="AE746" s="3"/>
      <c r="AF746" s="3"/>
    </row>
    <row r="747" ht="15.75" customHeight="1">
      <c r="J747" s="15"/>
      <c r="K747" s="238"/>
      <c r="L747" s="15"/>
      <c r="M747" s="15"/>
      <c r="N747" s="15"/>
      <c r="O747" s="15"/>
      <c r="P747" s="15"/>
      <c r="Q747" s="15"/>
      <c r="R747" s="15"/>
      <c r="S747" s="15"/>
      <c r="T747" s="15"/>
      <c r="U747" s="15"/>
      <c r="V747" s="15"/>
      <c r="W747" s="15"/>
      <c r="X747" s="14"/>
      <c r="Y747" s="14"/>
      <c r="Z747" s="15"/>
      <c r="AA747" s="3"/>
      <c r="AB747" s="3"/>
      <c r="AC747" s="3"/>
      <c r="AD747" s="3"/>
      <c r="AE747" s="3"/>
      <c r="AF747" s="3"/>
    </row>
    <row r="748" ht="15.75" customHeight="1">
      <c r="J748" s="15"/>
      <c r="K748" s="238"/>
      <c r="L748" s="15"/>
      <c r="M748" s="15"/>
      <c r="N748" s="15"/>
      <c r="O748" s="15"/>
      <c r="P748" s="15"/>
      <c r="Q748" s="15"/>
      <c r="R748" s="15"/>
      <c r="S748" s="15"/>
      <c r="T748" s="15"/>
      <c r="U748" s="15"/>
      <c r="V748" s="15"/>
      <c r="W748" s="15"/>
      <c r="X748" s="14"/>
      <c r="Y748" s="14"/>
      <c r="Z748" s="15"/>
      <c r="AA748" s="3"/>
      <c r="AB748" s="3"/>
      <c r="AC748" s="3"/>
      <c r="AD748" s="3"/>
      <c r="AE748" s="3"/>
      <c r="AF748" s="3"/>
    </row>
    <row r="749" ht="15.75" customHeight="1">
      <c r="J749" s="15"/>
      <c r="K749" s="238"/>
      <c r="L749" s="15"/>
      <c r="M749" s="15"/>
      <c r="N749" s="15"/>
      <c r="O749" s="15"/>
      <c r="P749" s="15"/>
      <c r="Q749" s="15"/>
      <c r="R749" s="15"/>
      <c r="S749" s="15"/>
      <c r="T749" s="15"/>
      <c r="U749" s="15"/>
      <c r="V749" s="15"/>
      <c r="W749" s="15"/>
      <c r="X749" s="14"/>
      <c r="Y749" s="14"/>
      <c r="Z749" s="15"/>
      <c r="AA749" s="3"/>
      <c r="AB749" s="3"/>
      <c r="AC749" s="3"/>
      <c r="AD749" s="3"/>
      <c r="AE749" s="3"/>
      <c r="AF749" s="3"/>
    </row>
    <row r="750" ht="15.75" customHeight="1">
      <c r="J750" s="15"/>
      <c r="K750" s="238"/>
      <c r="L750" s="15"/>
      <c r="M750" s="15"/>
      <c r="N750" s="15"/>
      <c r="O750" s="15"/>
      <c r="P750" s="15"/>
      <c r="Q750" s="15"/>
      <c r="R750" s="15"/>
      <c r="S750" s="15"/>
      <c r="T750" s="15"/>
      <c r="U750" s="15"/>
      <c r="V750" s="15"/>
      <c r="W750" s="15"/>
      <c r="X750" s="14"/>
      <c r="Y750" s="14"/>
      <c r="Z750" s="15"/>
      <c r="AA750" s="3"/>
      <c r="AB750" s="3"/>
      <c r="AC750" s="3"/>
      <c r="AD750" s="3"/>
      <c r="AE750" s="3"/>
      <c r="AF750" s="3"/>
    </row>
    <row r="751" ht="15.75" customHeight="1">
      <c r="J751" s="15"/>
      <c r="K751" s="238"/>
      <c r="L751" s="15"/>
      <c r="M751" s="15"/>
      <c r="N751" s="15"/>
      <c r="O751" s="15"/>
      <c r="P751" s="15"/>
      <c r="Q751" s="15"/>
      <c r="R751" s="15"/>
      <c r="S751" s="15"/>
      <c r="T751" s="15"/>
      <c r="U751" s="15"/>
      <c r="V751" s="15"/>
      <c r="W751" s="15"/>
      <c r="X751" s="14"/>
      <c r="Y751" s="14"/>
      <c r="Z751" s="15"/>
      <c r="AA751" s="3"/>
      <c r="AB751" s="3"/>
      <c r="AC751" s="3"/>
      <c r="AD751" s="3"/>
      <c r="AE751" s="3"/>
      <c r="AF751" s="3"/>
    </row>
    <row r="752" ht="15.75" customHeight="1">
      <c r="J752" s="15"/>
      <c r="K752" s="238"/>
      <c r="L752" s="15"/>
      <c r="M752" s="15"/>
      <c r="N752" s="15"/>
      <c r="O752" s="15"/>
      <c r="P752" s="15"/>
      <c r="Q752" s="15"/>
      <c r="R752" s="15"/>
      <c r="S752" s="15"/>
      <c r="T752" s="15"/>
      <c r="U752" s="15"/>
      <c r="V752" s="15"/>
      <c r="W752" s="15"/>
      <c r="X752" s="14"/>
      <c r="Y752" s="14"/>
      <c r="Z752" s="15"/>
      <c r="AA752" s="3"/>
      <c r="AB752" s="3"/>
      <c r="AC752" s="3"/>
      <c r="AD752" s="3"/>
      <c r="AE752" s="3"/>
      <c r="AF752" s="3"/>
    </row>
    <row r="753" ht="15.75" customHeight="1">
      <c r="J753" s="15"/>
      <c r="K753" s="238"/>
      <c r="L753" s="15"/>
      <c r="M753" s="15"/>
      <c r="N753" s="15"/>
      <c r="O753" s="15"/>
      <c r="P753" s="15"/>
      <c r="Q753" s="15"/>
      <c r="R753" s="15"/>
      <c r="S753" s="15"/>
      <c r="T753" s="15"/>
      <c r="U753" s="15"/>
      <c r="V753" s="15"/>
      <c r="W753" s="15"/>
      <c r="X753" s="14"/>
      <c r="Y753" s="14"/>
      <c r="Z753" s="15"/>
      <c r="AA753" s="3"/>
      <c r="AB753" s="3"/>
      <c r="AC753" s="3"/>
      <c r="AD753" s="3"/>
      <c r="AE753" s="3"/>
      <c r="AF753" s="3"/>
    </row>
    <row r="754" ht="15.75" customHeight="1">
      <c r="J754" s="15"/>
      <c r="K754" s="238"/>
      <c r="L754" s="15"/>
      <c r="M754" s="15"/>
      <c r="N754" s="15"/>
      <c r="O754" s="15"/>
      <c r="P754" s="15"/>
      <c r="Q754" s="15"/>
      <c r="R754" s="15"/>
      <c r="S754" s="15"/>
      <c r="T754" s="15"/>
      <c r="U754" s="15"/>
      <c r="V754" s="15"/>
      <c r="W754" s="15"/>
      <c r="X754" s="14"/>
      <c r="Y754" s="14"/>
      <c r="Z754" s="15"/>
      <c r="AA754" s="3"/>
      <c r="AB754" s="3"/>
      <c r="AC754" s="3"/>
      <c r="AD754" s="3"/>
      <c r="AE754" s="3"/>
      <c r="AF754" s="3"/>
    </row>
    <row r="755" ht="15.75" customHeight="1">
      <c r="J755" s="15"/>
      <c r="K755" s="238"/>
      <c r="L755" s="15"/>
      <c r="M755" s="15"/>
      <c r="N755" s="15"/>
      <c r="O755" s="15"/>
      <c r="P755" s="15"/>
      <c r="Q755" s="15"/>
      <c r="R755" s="15"/>
      <c r="S755" s="15"/>
      <c r="T755" s="15"/>
      <c r="U755" s="15"/>
      <c r="V755" s="15"/>
      <c r="W755" s="15"/>
      <c r="X755" s="14"/>
      <c r="Y755" s="14"/>
      <c r="Z755" s="15"/>
      <c r="AA755" s="3"/>
      <c r="AB755" s="3"/>
      <c r="AC755" s="3"/>
      <c r="AD755" s="3"/>
      <c r="AE755" s="3"/>
      <c r="AF755" s="3"/>
    </row>
    <row r="756" ht="15.75" customHeight="1">
      <c r="J756" s="15"/>
      <c r="K756" s="238"/>
      <c r="L756" s="15"/>
      <c r="M756" s="15"/>
      <c r="N756" s="15"/>
      <c r="O756" s="15"/>
      <c r="P756" s="15"/>
      <c r="Q756" s="15"/>
      <c r="R756" s="15"/>
      <c r="S756" s="15"/>
      <c r="T756" s="15"/>
      <c r="U756" s="15"/>
      <c r="V756" s="15"/>
      <c r="W756" s="15"/>
      <c r="X756" s="14"/>
      <c r="Y756" s="14"/>
      <c r="Z756" s="15"/>
      <c r="AA756" s="3"/>
      <c r="AB756" s="3"/>
      <c r="AC756" s="3"/>
      <c r="AD756" s="3"/>
      <c r="AE756" s="3"/>
      <c r="AF756" s="3"/>
    </row>
    <row r="757" ht="15.75" customHeight="1">
      <c r="J757" s="15"/>
      <c r="K757" s="238"/>
      <c r="L757" s="15"/>
      <c r="M757" s="15"/>
      <c r="N757" s="15"/>
      <c r="O757" s="15"/>
      <c r="P757" s="15"/>
      <c r="Q757" s="15"/>
      <c r="R757" s="15"/>
      <c r="S757" s="15"/>
      <c r="T757" s="15"/>
      <c r="U757" s="15"/>
      <c r="V757" s="15"/>
      <c r="W757" s="15"/>
      <c r="X757" s="14"/>
      <c r="Y757" s="14"/>
      <c r="Z757" s="15"/>
      <c r="AA757" s="3"/>
      <c r="AB757" s="3"/>
      <c r="AC757" s="3"/>
      <c r="AD757" s="3"/>
      <c r="AE757" s="3"/>
      <c r="AF757" s="3"/>
    </row>
    <row r="758" ht="15.75" customHeight="1">
      <c r="J758" s="15"/>
      <c r="K758" s="238"/>
      <c r="L758" s="15"/>
      <c r="M758" s="15"/>
      <c r="N758" s="15"/>
      <c r="O758" s="15"/>
      <c r="P758" s="15"/>
      <c r="Q758" s="15"/>
      <c r="R758" s="15"/>
      <c r="S758" s="15"/>
      <c r="T758" s="15"/>
      <c r="U758" s="15"/>
      <c r="V758" s="15"/>
      <c r="W758" s="15"/>
      <c r="X758" s="14"/>
      <c r="Y758" s="14"/>
      <c r="Z758" s="15"/>
      <c r="AA758" s="3"/>
      <c r="AB758" s="3"/>
      <c r="AC758" s="3"/>
      <c r="AD758" s="3"/>
      <c r="AE758" s="3"/>
      <c r="AF758" s="3"/>
    </row>
    <row r="759" ht="15.75" customHeight="1">
      <c r="J759" s="15"/>
      <c r="K759" s="238"/>
      <c r="L759" s="15"/>
      <c r="M759" s="15"/>
      <c r="N759" s="15"/>
      <c r="O759" s="15"/>
      <c r="P759" s="15"/>
      <c r="Q759" s="15"/>
      <c r="R759" s="15"/>
      <c r="S759" s="15"/>
      <c r="T759" s="15"/>
      <c r="U759" s="15"/>
      <c r="V759" s="15"/>
      <c r="W759" s="15"/>
      <c r="X759" s="14"/>
      <c r="Y759" s="14"/>
      <c r="Z759" s="15"/>
      <c r="AA759" s="3"/>
      <c r="AB759" s="3"/>
      <c r="AC759" s="3"/>
      <c r="AD759" s="3"/>
      <c r="AE759" s="3"/>
      <c r="AF759" s="3"/>
    </row>
    <row r="760" ht="15.75" customHeight="1">
      <c r="J760" s="15"/>
      <c r="K760" s="238"/>
      <c r="L760" s="15"/>
      <c r="M760" s="15"/>
      <c r="N760" s="15"/>
      <c r="O760" s="15"/>
      <c r="P760" s="15"/>
      <c r="Q760" s="15"/>
      <c r="R760" s="15"/>
      <c r="S760" s="15"/>
      <c r="T760" s="15"/>
      <c r="U760" s="15"/>
      <c r="V760" s="15"/>
      <c r="W760" s="15"/>
      <c r="X760" s="14"/>
      <c r="Y760" s="14"/>
      <c r="Z760" s="15"/>
      <c r="AA760" s="3"/>
      <c r="AB760" s="3"/>
      <c r="AC760" s="3"/>
      <c r="AD760" s="3"/>
      <c r="AE760" s="3"/>
      <c r="AF760" s="3"/>
    </row>
    <row r="761" ht="15.75" customHeight="1">
      <c r="J761" s="15"/>
      <c r="K761" s="238"/>
      <c r="L761" s="15"/>
      <c r="M761" s="15"/>
      <c r="N761" s="15"/>
      <c r="O761" s="15"/>
      <c r="P761" s="15"/>
      <c r="Q761" s="15"/>
      <c r="R761" s="15"/>
      <c r="S761" s="15"/>
      <c r="T761" s="15"/>
      <c r="U761" s="15"/>
      <c r="V761" s="15"/>
      <c r="W761" s="15"/>
      <c r="X761" s="14"/>
      <c r="Y761" s="14"/>
      <c r="Z761" s="15"/>
      <c r="AA761" s="3"/>
      <c r="AB761" s="3"/>
      <c r="AC761" s="3"/>
      <c r="AD761" s="3"/>
      <c r="AE761" s="3"/>
      <c r="AF761" s="3"/>
    </row>
    <row r="762" ht="15.75" customHeight="1">
      <c r="J762" s="15"/>
      <c r="K762" s="238"/>
      <c r="L762" s="15"/>
      <c r="M762" s="15"/>
      <c r="N762" s="15"/>
      <c r="O762" s="15"/>
      <c r="P762" s="15"/>
      <c r="Q762" s="15"/>
      <c r="R762" s="15"/>
      <c r="S762" s="15"/>
      <c r="T762" s="15"/>
      <c r="U762" s="15"/>
      <c r="V762" s="15"/>
      <c r="W762" s="15"/>
      <c r="X762" s="14"/>
      <c r="Y762" s="14"/>
      <c r="Z762" s="15"/>
      <c r="AA762" s="3"/>
      <c r="AB762" s="3"/>
      <c r="AC762" s="3"/>
      <c r="AD762" s="3"/>
      <c r="AE762" s="3"/>
      <c r="AF762" s="3"/>
    </row>
    <row r="763" ht="15.75" customHeight="1">
      <c r="J763" s="15"/>
      <c r="K763" s="238"/>
      <c r="L763" s="15"/>
      <c r="M763" s="15"/>
      <c r="N763" s="15"/>
      <c r="O763" s="15"/>
      <c r="P763" s="15"/>
      <c r="Q763" s="15"/>
      <c r="R763" s="15"/>
      <c r="S763" s="15"/>
      <c r="T763" s="15"/>
      <c r="U763" s="15"/>
      <c r="V763" s="15"/>
      <c r="W763" s="15"/>
      <c r="X763" s="14"/>
      <c r="Y763" s="14"/>
      <c r="Z763" s="15"/>
      <c r="AA763" s="3"/>
      <c r="AB763" s="3"/>
      <c r="AC763" s="3"/>
      <c r="AD763" s="3"/>
      <c r="AE763" s="3"/>
      <c r="AF763" s="3"/>
    </row>
    <row r="764" ht="15.75" customHeight="1">
      <c r="J764" s="15"/>
      <c r="K764" s="238"/>
      <c r="L764" s="15"/>
      <c r="M764" s="15"/>
      <c r="N764" s="15"/>
      <c r="O764" s="15"/>
      <c r="P764" s="15"/>
      <c r="Q764" s="15"/>
      <c r="R764" s="15"/>
      <c r="S764" s="15"/>
      <c r="T764" s="15"/>
      <c r="U764" s="15"/>
      <c r="V764" s="15"/>
      <c r="W764" s="15"/>
      <c r="X764" s="14"/>
      <c r="Y764" s="14"/>
      <c r="Z764" s="15"/>
      <c r="AA764" s="3"/>
      <c r="AB764" s="3"/>
      <c r="AC764" s="3"/>
      <c r="AD764" s="3"/>
      <c r="AE764" s="3"/>
      <c r="AF764" s="3"/>
    </row>
    <row r="765" ht="15.75" customHeight="1">
      <c r="J765" s="15"/>
      <c r="K765" s="238"/>
      <c r="L765" s="15"/>
      <c r="M765" s="15"/>
      <c r="N765" s="15"/>
      <c r="O765" s="15"/>
      <c r="P765" s="15"/>
      <c r="Q765" s="15"/>
      <c r="R765" s="15"/>
      <c r="S765" s="15"/>
      <c r="T765" s="15"/>
      <c r="U765" s="15"/>
      <c r="V765" s="15"/>
      <c r="W765" s="15"/>
      <c r="X765" s="14"/>
      <c r="Y765" s="14"/>
      <c r="Z765" s="15"/>
      <c r="AA765" s="3"/>
      <c r="AB765" s="3"/>
      <c r="AC765" s="3"/>
      <c r="AD765" s="3"/>
      <c r="AE765" s="3"/>
      <c r="AF765" s="3"/>
    </row>
    <row r="766" ht="15.75" customHeight="1">
      <c r="J766" s="15"/>
      <c r="K766" s="238"/>
      <c r="L766" s="15"/>
      <c r="M766" s="15"/>
      <c r="N766" s="15"/>
      <c r="O766" s="15"/>
      <c r="P766" s="15"/>
      <c r="Q766" s="15"/>
      <c r="R766" s="15"/>
      <c r="S766" s="15"/>
      <c r="T766" s="15"/>
      <c r="U766" s="15"/>
      <c r="V766" s="15"/>
      <c r="W766" s="15"/>
      <c r="X766" s="14"/>
      <c r="Y766" s="14"/>
      <c r="Z766" s="15"/>
      <c r="AA766" s="3"/>
      <c r="AB766" s="3"/>
      <c r="AC766" s="3"/>
      <c r="AD766" s="3"/>
      <c r="AE766" s="3"/>
      <c r="AF766" s="3"/>
    </row>
    <row r="767" ht="15.75" customHeight="1">
      <c r="J767" s="15"/>
      <c r="K767" s="238"/>
      <c r="L767" s="15"/>
      <c r="M767" s="15"/>
      <c r="N767" s="15"/>
      <c r="O767" s="15"/>
      <c r="P767" s="15"/>
      <c r="Q767" s="15"/>
      <c r="R767" s="15"/>
      <c r="S767" s="15"/>
      <c r="T767" s="15"/>
      <c r="U767" s="15"/>
      <c r="V767" s="15"/>
      <c r="W767" s="15"/>
      <c r="X767" s="14"/>
      <c r="Y767" s="14"/>
      <c r="Z767" s="15"/>
      <c r="AA767" s="3"/>
      <c r="AB767" s="3"/>
      <c r="AC767" s="3"/>
      <c r="AD767" s="3"/>
      <c r="AE767" s="3"/>
      <c r="AF767" s="3"/>
    </row>
    <row r="768" ht="15.75" customHeight="1">
      <c r="J768" s="15"/>
      <c r="K768" s="238"/>
      <c r="L768" s="15"/>
      <c r="M768" s="15"/>
      <c r="N768" s="15"/>
      <c r="O768" s="15"/>
      <c r="P768" s="15"/>
      <c r="Q768" s="15"/>
      <c r="R768" s="15"/>
      <c r="S768" s="15"/>
      <c r="T768" s="15"/>
      <c r="U768" s="15"/>
      <c r="V768" s="15"/>
      <c r="W768" s="15"/>
      <c r="X768" s="14"/>
      <c r="Y768" s="14"/>
      <c r="Z768" s="15"/>
      <c r="AA768" s="3"/>
      <c r="AB768" s="3"/>
      <c r="AC768" s="3"/>
      <c r="AD768" s="3"/>
      <c r="AE768" s="3"/>
      <c r="AF768" s="3"/>
    </row>
    <row r="769" ht="15.75" customHeight="1">
      <c r="J769" s="15"/>
      <c r="K769" s="238"/>
      <c r="L769" s="15"/>
      <c r="M769" s="15"/>
      <c r="N769" s="15"/>
      <c r="O769" s="15"/>
      <c r="P769" s="15"/>
      <c r="Q769" s="15"/>
      <c r="R769" s="15"/>
      <c r="S769" s="15"/>
      <c r="T769" s="15"/>
      <c r="U769" s="15"/>
      <c r="V769" s="15"/>
      <c r="W769" s="15"/>
      <c r="X769" s="14"/>
      <c r="Y769" s="14"/>
      <c r="Z769" s="15"/>
      <c r="AA769" s="3"/>
      <c r="AB769" s="3"/>
      <c r="AC769" s="3"/>
      <c r="AD769" s="3"/>
      <c r="AE769" s="3"/>
      <c r="AF769" s="3"/>
    </row>
    <row r="770" ht="15.75" customHeight="1">
      <c r="J770" s="15"/>
      <c r="K770" s="238"/>
      <c r="L770" s="15"/>
      <c r="M770" s="15"/>
      <c r="N770" s="15"/>
      <c r="O770" s="15"/>
      <c r="P770" s="15"/>
      <c r="Q770" s="15"/>
      <c r="R770" s="15"/>
      <c r="S770" s="15"/>
      <c r="T770" s="15"/>
      <c r="U770" s="15"/>
      <c r="V770" s="15"/>
      <c r="W770" s="15"/>
      <c r="X770" s="14"/>
      <c r="Y770" s="14"/>
      <c r="Z770" s="15"/>
      <c r="AA770" s="3"/>
      <c r="AB770" s="3"/>
      <c r="AC770" s="3"/>
      <c r="AD770" s="3"/>
      <c r="AE770" s="3"/>
      <c r="AF770" s="3"/>
    </row>
    <row r="771" ht="15.75" customHeight="1">
      <c r="J771" s="15"/>
      <c r="K771" s="238"/>
      <c r="L771" s="15"/>
      <c r="M771" s="15"/>
      <c r="N771" s="15"/>
      <c r="O771" s="15"/>
      <c r="P771" s="15"/>
      <c r="Q771" s="15"/>
      <c r="R771" s="15"/>
      <c r="S771" s="15"/>
      <c r="T771" s="15"/>
      <c r="U771" s="15"/>
      <c r="V771" s="15"/>
      <c r="W771" s="15"/>
      <c r="X771" s="14"/>
      <c r="Y771" s="14"/>
      <c r="Z771" s="15"/>
      <c r="AA771" s="3"/>
      <c r="AB771" s="3"/>
      <c r="AC771" s="3"/>
      <c r="AD771" s="3"/>
      <c r="AE771" s="3"/>
      <c r="AF771" s="3"/>
    </row>
    <row r="772" ht="15.75" customHeight="1">
      <c r="J772" s="15"/>
      <c r="K772" s="238"/>
      <c r="L772" s="15"/>
      <c r="M772" s="15"/>
      <c r="N772" s="15"/>
      <c r="O772" s="15"/>
      <c r="P772" s="15"/>
      <c r="Q772" s="15"/>
      <c r="R772" s="15"/>
      <c r="S772" s="15"/>
      <c r="T772" s="15"/>
      <c r="U772" s="15"/>
      <c r="V772" s="15"/>
      <c r="W772" s="15"/>
      <c r="X772" s="14"/>
      <c r="Y772" s="14"/>
      <c r="Z772" s="15"/>
      <c r="AA772" s="3"/>
      <c r="AB772" s="3"/>
      <c r="AC772" s="3"/>
      <c r="AD772" s="3"/>
      <c r="AE772" s="3"/>
      <c r="AF772" s="3"/>
    </row>
    <row r="773" ht="15.75" customHeight="1">
      <c r="J773" s="15"/>
      <c r="K773" s="238"/>
      <c r="L773" s="15"/>
      <c r="M773" s="15"/>
      <c r="N773" s="15"/>
      <c r="O773" s="15"/>
      <c r="P773" s="15"/>
      <c r="Q773" s="15"/>
      <c r="R773" s="15"/>
      <c r="S773" s="15"/>
      <c r="T773" s="15"/>
      <c r="U773" s="15"/>
      <c r="V773" s="15"/>
      <c r="W773" s="15"/>
      <c r="X773" s="14"/>
      <c r="Y773" s="14"/>
      <c r="Z773" s="15"/>
      <c r="AA773" s="3"/>
      <c r="AB773" s="3"/>
      <c r="AC773" s="3"/>
      <c r="AD773" s="3"/>
      <c r="AE773" s="3"/>
      <c r="AF773" s="3"/>
    </row>
    <row r="774" ht="15.75" customHeight="1">
      <c r="J774" s="15"/>
      <c r="K774" s="238"/>
      <c r="L774" s="15"/>
      <c r="M774" s="15"/>
      <c r="N774" s="15"/>
      <c r="O774" s="15"/>
      <c r="P774" s="15"/>
      <c r="Q774" s="15"/>
      <c r="R774" s="15"/>
      <c r="S774" s="15"/>
      <c r="T774" s="15"/>
      <c r="U774" s="15"/>
      <c r="V774" s="15"/>
      <c r="W774" s="15"/>
      <c r="X774" s="14"/>
      <c r="Y774" s="14"/>
      <c r="Z774" s="15"/>
      <c r="AA774" s="3"/>
      <c r="AB774" s="3"/>
      <c r="AC774" s="3"/>
      <c r="AD774" s="3"/>
      <c r="AE774" s="3"/>
      <c r="AF774" s="3"/>
    </row>
    <row r="775" ht="15.75" customHeight="1">
      <c r="J775" s="15"/>
      <c r="K775" s="238"/>
      <c r="L775" s="15"/>
      <c r="M775" s="15"/>
      <c r="N775" s="15"/>
      <c r="O775" s="15"/>
      <c r="P775" s="15"/>
      <c r="Q775" s="15"/>
      <c r="R775" s="15"/>
      <c r="S775" s="15"/>
      <c r="T775" s="15"/>
      <c r="U775" s="15"/>
      <c r="V775" s="15"/>
      <c r="W775" s="15"/>
      <c r="X775" s="14"/>
      <c r="Y775" s="14"/>
      <c r="Z775" s="15"/>
      <c r="AA775" s="3"/>
      <c r="AB775" s="3"/>
      <c r="AC775" s="3"/>
      <c r="AD775" s="3"/>
      <c r="AE775" s="3"/>
      <c r="AF775" s="3"/>
    </row>
    <row r="776" ht="15.75" customHeight="1">
      <c r="J776" s="15"/>
      <c r="K776" s="238"/>
      <c r="L776" s="15"/>
      <c r="M776" s="15"/>
      <c r="N776" s="15"/>
      <c r="O776" s="15"/>
      <c r="P776" s="15"/>
      <c r="Q776" s="15"/>
      <c r="R776" s="15"/>
      <c r="S776" s="15"/>
      <c r="T776" s="15"/>
      <c r="U776" s="15"/>
      <c r="V776" s="15"/>
      <c r="W776" s="15"/>
      <c r="X776" s="14"/>
      <c r="Y776" s="14"/>
      <c r="Z776" s="15"/>
      <c r="AA776" s="3"/>
      <c r="AB776" s="3"/>
      <c r="AC776" s="3"/>
      <c r="AD776" s="3"/>
      <c r="AE776" s="3"/>
      <c r="AF776" s="3"/>
    </row>
    <row r="777" ht="15.75" customHeight="1">
      <c r="J777" s="15"/>
      <c r="K777" s="238"/>
      <c r="L777" s="15"/>
      <c r="M777" s="15"/>
      <c r="N777" s="15"/>
      <c r="O777" s="15"/>
      <c r="P777" s="15"/>
      <c r="Q777" s="15"/>
      <c r="R777" s="15"/>
      <c r="S777" s="15"/>
      <c r="T777" s="15"/>
      <c r="U777" s="15"/>
      <c r="V777" s="15"/>
      <c r="W777" s="15"/>
      <c r="X777" s="14"/>
      <c r="Y777" s="14"/>
      <c r="Z777" s="15"/>
      <c r="AA777" s="3"/>
      <c r="AB777" s="3"/>
      <c r="AC777" s="3"/>
      <c r="AD777" s="3"/>
      <c r="AE777" s="3"/>
      <c r="AF777" s="3"/>
    </row>
    <row r="778" ht="15.75" customHeight="1">
      <c r="J778" s="15"/>
      <c r="K778" s="238"/>
      <c r="L778" s="15"/>
      <c r="M778" s="15"/>
      <c r="N778" s="15"/>
      <c r="O778" s="15"/>
      <c r="P778" s="15"/>
      <c r="Q778" s="15"/>
      <c r="R778" s="15"/>
      <c r="S778" s="15"/>
      <c r="T778" s="15"/>
      <c r="U778" s="15"/>
      <c r="V778" s="15"/>
      <c r="W778" s="15"/>
      <c r="X778" s="14"/>
      <c r="Y778" s="14"/>
      <c r="Z778" s="15"/>
      <c r="AA778" s="3"/>
      <c r="AB778" s="3"/>
      <c r="AC778" s="3"/>
      <c r="AD778" s="3"/>
      <c r="AE778" s="3"/>
      <c r="AF778" s="3"/>
    </row>
    <row r="779" ht="15.75" customHeight="1">
      <c r="J779" s="15"/>
      <c r="K779" s="238"/>
      <c r="L779" s="15"/>
      <c r="M779" s="15"/>
      <c r="N779" s="15"/>
      <c r="O779" s="15"/>
      <c r="P779" s="15"/>
      <c r="Q779" s="15"/>
      <c r="R779" s="15"/>
      <c r="S779" s="15"/>
      <c r="T779" s="15"/>
      <c r="U779" s="15"/>
      <c r="V779" s="15"/>
      <c r="W779" s="15"/>
      <c r="X779" s="14"/>
      <c r="Y779" s="14"/>
      <c r="Z779" s="15"/>
      <c r="AA779" s="3"/>
      <c r="AB779" s="3"/>
      <c r="AC779" s="3"/>
      <c r="AD779" s="3"/>
      <c r="AE779" s="3"/>
      <c r="AF779" s="3"/>
    </row>
    <row r="780" ht="15.75" customHeight="1">
      <c r="J780" s="15"/>
      <c r="K780" s="238"/>
      <c r="L780" s="15"/>
      <c r="M780" s="15"/>
      <c r="N780" s="15"/>
      <c r="O780" s="15"/>
      <c r="P780" s="15"/>
      <c r="Q780" s="15"/>
      <c r="R780" s="15"/>
      <c r="S780" s="15"/>
      <c r="T780" s="15"/>
      <c r="U780" s="15"/>
      <c r="V780" s="15"/>
      <c r="W780" s="15"/>
      <c r="X780" s="14"/>
      <c r="Y780" s="14"/>
      <c r="Z780" s="15"/>
      <c r="AA780" s="3"/>
      <c r="AB780" s="3"/>
      <c r="AC780" s="3"/>
      <c r="AD780" s="3"/>
      <c r="AE780" s="3"/>
      <c r="AF780" s="3"/>
    </row>
    <row r="781" ht="15.75" customHeight="1">
      <c r="J781" s="15"/>
      <c r="K781" s="238"/>
      <c r="L781" s="15"/>
      <c r="M781" s="15"/>
      <c r="N781" s="15"/>
      <c r="O781" s="15"/>
      <c r="P781" s="15"/>
      <c r="Q781" s="15"/>
      <c r="R781" s="15"/>
      <c r="S781" s="15"/>
      <c r="T781" s="15"/>
      <c r="U781" s="15"/>
      <c r="V781" s="15"/>
      <c r="W781" s="15"/>
      <c r="X781" s="14"/>
      <c r="Y781" s="14"/>
      <c r="Z781" s="15"/>
      <c r="AA781" s="3"/>
      <c r="AB781" s="3"/>
      <c r="AC781" s="3"/>
      <c r="AD781" s="3"/>
      <c r="AE781" s="3"/>
      <c r="AF781" s="3"/>
    </row>
    <row r="782" ht="15.75" customHeight="1">
      <c r="J782" s="15"/>
      <c r="K782" s="238"/>
      <c r="L782" s="15"/>
      <c r="M782" s="15"/>
      <c r="N782" s="15"/>
      <c r="O782" s="15"/>
      <c r="P782" s="15"/>
      <c r="Q782" s="15"/>
      <c r="R782" s="15"/>
      <c r="S782" s="15"/>
      <c r="T782" s="15"/>
      <c r="U782" s="15"/>
      <c r="V782" s="15"/>
      <c r="W782" s="15"/>
      <c r="X782" s="14"/>
      <c r="Y782" s="14"/>
      <c r="Z782" s="15"/>
      <c r="AA782" s="3"/>
      <c r="AB782" s="3"/>
      <c r="AC782" s="3"/>
      <c r="AD782" s="3"/>
      <c r="AE782" s="3"/>
      <c r="AF782" s="3"/>
    </row>
    <row r="783" ht="15.75" customHeight="1">
      <c r="J783" s="15"/>
      <c r="K783" s="238"/>
      <c r="L783" s="15"/>
      <c r="M783" s="15"/>
      <c r="N783" s="15"/>
      <c r="O783" s="15"/>
      <c r="P783" s="15"/>
      <c r="Q783" s="15"/>
      <c r="R783" s="15"/>
      <c r="S783" s="15"/>
      <c r="T783" s="15"/>
      <c r="U783" s="15"/>
      <c r="V783" s="15"/>
      <c r="W783" s="15"/>
      <c r="X783" s="14"/>
      <c r="Y783" s="14"/>
      <c r="Z783" s="15"/>
      <c r="AA783" s="3"/>
      <c r="AB783" s="3"/>
      <c r="AC783" s="3"/>
      <c r="AD783" s="3"/>
      <c r="AE783" s="3"/>
      <c r="AF783" s="3"/>
    </row>
    <row r="784" ht="15.75" customHeight="1">
      <c r="J784" s="15"/>
      <c r="K784" s="238"/>
      <c r="L784" s="15"/>
      <c r="M784" s="15"/>
      <c r="N784" s="15"/>
      <c r="O784" s="15"/>
      <c r="P784" s="15"/>
      <c r="Q784" s="15"/>
      <c r="R784" s="15"/>
      <c r="S784" s="15"/>
      <c r="T784" s="15"/>
      <c r="U784" s="15"/>
      <c r="V784" s="15"/>
      <c r="W784" s="15"/>
      <c r="X784" s="14"/>
      <c r="Y784" s="14"/>
      <c r="Z784" s="15"/>
      <c r="AA784" s="3"/>
      <c r="AB784" s="3"/>
      <c r="AC784" s="3"/>
      <c r="AD784" s="3"/>
      <c r="AE784" s="3"/>
      <c r="AF784" s="3"/>
    </row>
    <row r="785" ht="15.75" customHeight="1">
      <c r="J785" s="15"/>
      <c r="K785" s="238"/>
      <c r="L785" s="15"/>
      <c r="M785" s="15"/>
      <c r="N785" s="15"/>
      <c r="O785" s="15"/>
      <c r="P785" s="15"/>
      <c r="Q785" s="15"/>
      <c r="R785" s="15"/>
      <c r="S785" s="15"/>
      <c r="T785" s="15"/>
      <c r="U785" s="15"/>
      <c r="V785" s="15"/>
      <c r="W785" s="15"/>
      <c r="X785" s="14"/>
      <c r="Y785" s="14"/>
      <c r="Z785" s="15"/>
      <c r="AA785" s="3"/>
      <c r="AB785" s="3"/>
      <c r="AC785" s="3"/>
      <c r="AD785" s="3"/>
      <c r="AE785" s="3"/>
      <c r="AF785" s="3"/>
    </row>
    <row r="786" ht="15.75" customHeight="1">
      <c r="J786" s="15"/>
      <c r="K786" s="238"/>
      <c r="L786" s="15"/>
      <c r="M786" s="15"/>
      <c r="N786" s="15"/>
      <c r="O786" s="15"/>
      <c r="P786" s="15"/>
      <c r="Q786" s="15"/>
      <c r="R786" s="15"/>
      <c r="S786" s="15"/>
      <c r="T786" s="15"/>
      <c r="U786" s="15"/>
      <c r="V786" s="15"/>
      <c r="W786" s="15"/>
      <c r="X786" s="14"/>
      <c r="Y786" s="14"/>
      <c r="Z786" s="15"/>
      <c r="AA786" s="3"/>
      <c r="AB786" s="3"/>
      <c r="AC786" s="3"/>
      <c r="AD786" s="3"/>
      <c r="AE786" s="3"/>
      <c r="AF786" s="3"/>
    </row>
    <row r="787" ht="15.75" customHeight="1">
      <c r="J787" s="15"/>
      <c r="K787" s="238"/>
      <c r="L787" s="15"/>
      <c r="M787" s="15"/>
      <c r="N787" s="15"/>
      <c r="O787" s="15"/>
      <c r="P787" s="15"/>
      <c r="Q787" s="15"/>
      <c r="R787" s="15"/>
      <c r="S787" s="15"/>
      <c r="T787" s="15"/>
      <c r="U787" s="15"/>
      <c r="V787" s="15"/>
      <c r="W787" s="15"/>
      <c r="X787" s="14"/>
      <c r="Y787" s="14"/>
      <c r="Z787" s="15"/>
      <c r="AA787" s="3"/>
      <c r="AB787" s="3"/>
      <c r="AC787" s="3"/>
      <c r="AD787" s="3"/>
      <c r="AE787" s="3"/>
      <c r="AF787" s="3"/>
    </row>
    <row r="788" ht="15.75" customHeight="1">
      <c r="J788" s="15"/>
      <c r="K788" s="238"/>
      <c r="L788" s="15"/>
      <c r="M788" s="15"/>
      <c r="N788" s="15"/>
      <c r="O788" s="15"/>
      <c r="P788" s="15"/>
      <c r="Q788" s="15"/>
      <c r="R788" s="15"/>
      <c r="S788" s="15"/>
      <c r="T788" s="15"/>
      <c r="U788" s="15"/>
      <c r="V788" s="15"/>
      <c r="W788" s="15"/>
      <c r="X788" s="14"/>
      <c r="Y788" s="14"/>
      <c r="Z788" s="15"/>
      <c r="AA788" s="3"/>
      <c r="AB788" s="3"/>
      <c r="AC788" s="3"/>
      <c r="AD788" s="3"/>
      <c r="AE788" s="3"/>
      <c r="AF788" s="3"/>
    </row>
    <row r="789" ht="15.75" customHeight="1">
      <c r="J789" s="15"/>
      <c r="K789" s="238"/>
      <c r="L789" s="15"/>
      <c r="M789" s="15"/>
      <c r="N789" s="15"/>
      <c r="O789" s="15"/>
      <c r="P789" s="15"/>
      <c r="Q789" s="15"/>
      <c r="R789" s="15"/>
      <c r="S789" s="15"/>
      <c r="T789" s="15"/>
      <c r="U789" s="15"/>
      <c r="V789" s="15"/>
      <c r="W789" s="15"/>
      <c r="X789" s="14"/>
      <c r="Y789" s="14"/>
      <c r="Z789" s="15"/>
      <c r="AA789" s="3"/>
      <c r="AB789" s="3"/>
      <c r="AC789" s="3"/>
      <c r="AD789" s="3"/>
      <c r="AE789" s="3"/>
      <c r="AF789" s="3"/>
    </row>
    <row r="790" ht="15.75" customHeight="1">
      <c r="J790" s="15"/>
      <c r="K790" s="238"/>
      <c r="L790" s="15"/>
      <c r="M790" s="15"/>
      <c r="N790" s="15"/>
      <c r="O790" s="15"/>
      <c r="P790" s="15"/>
      <c r="Q790" s="15"/>
      <c r="R790" s="15"/>
      <c r="S790" s="15"/>
      <c r="T790" s="15"/>
      <c r="U790" s="15"/>
      <c r="V790" s="15"/>
      <c r="W790" s="15"/>
      <c r="X790" s="14"/>
      <c r="Y790" s="14"/>
      <c r="Z790" s="15"/>
      <c r="AA790" s="3"/>
      <c r="AB790" s="3"/>
      <c r="AC790" s="3"/>
      <c r="AD790" s="3"/>
      <c r="AE790" s="3"/>
      <c r="AF790" s="3"/>
    </row>
    <row r="791" ht="15.75" customHeight="1">
      <c r="J791" s="15"/>
      <c r="K791" s="238"/>
      <c r="L791" s="15"/>
      <c r="M791" s="15"/>
      <c r="N791" s="15"/>
      <c r="O791" s="15"/>
      <c r="P791" s="15"/>
      <c r="Q791" s="15"/>
      <c r="R791" s="15"/>
      <c r="S791" s="15"/>
      <c r="T791" s="15"/>
      <c r="U791" s="15"/>
      <c r="V791" s="15"/>
      <c r="W791" s="15"/>
      <c r="X791" s="14"/>
      <c r="Y791" s="14"/>
      <c r="Z791" s="15"/>
      <c r="AA791" s="3"/>
      <c r="AB791" s="3"/>
      <c r="AC791" s="3"/>
      <c r="AD791" s="3"/>
      <c r="AE791" s="3"/>
      <c r="AF791" s="3"/>
    </row>
    <row r="792" ht="15.75" customHeight="1">
      <c r="J792" s="15"/>
      <c r="K792" s="238"/>
      <c r="L792" s="15"/>
      <c r="M792" s="15"/>
      <c r="N792" s="15"/>
      <c r="O792" s="15"/>
      <c r="P792" s="15"/>
      <c r="Q792" s="15"/>
      <c r="R792" s="15"/>
      <c r="S792" s="15"/>
      <c r="T792" s="15"/>
      <c r="U792" s="15"/>
      <c r="V792" s="15"/>
      <c r="W792" s="15"/>
      <c r="X792" s="14"/>
      <c r="Y792" s="14"/>
      <c r="Z792" s="15"/>
      <c r="AA792" s="3"/>
      <c r="AB792" s="3"/>
      <c r="AC792" s="3"/>
      <c r="AD792" s="3"/>
      <c r="AE792" s="3"/>
      <c r="AF792" s="3"/>
    </row>
    <row r="793" ht="15.75" customHeight="1">
      <c r="J793" s="15"/>
      <c r="K793" s="238"/>
      <c r="L793" s="15"/>
      <c r="M793" s="15"/>
      <c r="N793" s="15"/>
      <c r="O793" s="15"/>
      <c r="P793" s="15"/>
      <c r="Q793" s="15"/>
      <c r="R793" s="15"/>
      <c r="S793" s="15"/>
      <c r="T793" s="15"/>
      <c r="U793" s="15"/>
      <c r="V793" s="15"/>
      <c r="W793" s="15"/>
      <c r="X793" s="14"/>
      <c r="Y793" s="14"/>
      <c r="Z793" s="15"/>
      <c r="AA793" s="3"/>
      <c r="AB793" s="3"/>
      <c r="AC793" s="3"/>
      <c r="AD793" s="3"/>
      <c r="AE793" s="3"/>
      <c r="AF793" s="3"/>
    </row>
    <row r="794" ht="15.75" customHeight="1">
      <c r="J794" s="15"/>
      <c r="K794" s="238"/>
      <c r="L794" s="15"/>
      <c r="M794" s="15"/>
      <c r="N794" s="15"/>
      <c r="O794" s="15"/>
      <c r="P794" s="15"/>
      <c r="Q794" s="15"/>
      <c r="R794" s="15"/>
      <c r="S794" s="15"/>
      <c r="T794" s="15"/>
      <c r="U794" s="15"/>
      <c r="V794" s="15"/>
      <c r="W794" s="15"/>
      <c r="X794" s="14"/>
      <c r="Y794" s="14"/>
      <c r="Z794" s="15"/>
      <c r="AA794" s="3"/>
      <c r="AB794" s="3"/>
      <c r="AC794" s="3"/>
      <c r="AD794" s="3"/>
      <c r="AE794" s="3"/>
      <c r="AF794" s="3"/>
    </row>
    <row r="795" ht="15.75" customHeight="1">
      <c r="J795" s="15"/>
      <c r="K795" s="238"/>
      <c r="L795" s="15"/>
      <c r="M795" s="15"/>
      <c r="N795" s="15"/>
      <c r="O795" s="15"/>
      <c r="P795" s="15"/>
      <c r="Q795" s="15"/>
      <c r="R795" s="15"/>
      <c r="S795" s="15"/>
      <c r="T795" s="15"/>
      <c r="U795" s="15"/>
      <c r="V795" s="15"/>
      <c r="W795" s="15"/>
      <c r="X795" s="14"/>
      <c r="Y795" s="14"/>
      <c r="Z795" s="15"/>
      <c r="AA795" s="3"/>
      <c r="AB795" s="3"/>
      <c r="AC795" s="3"/>
      <c r="AD795" s="3"/>
      <c r="AE795" s="3"/>
      <c r="AF795" s="3"/>
    </row>
    <row r="796" ht="15.75" customHeight="1">
      <c r="J796" s="15"/>
      <c r="K796" s="238"/>
      <c r="L796" s="15"/>
      <c r="M796" s="15"/>
      <c r="N796" s="15"/>
      <c r="O796" s="15"/>
      <c r="P796" s="15"/>
      <c r="Q796" s="15"/>
      <c r="R796" s="15"/>
      <c r="S796" s="15"/>
      <c r="T796" s="15"/>
      <c r="U796" s="15"/>
      <c r="V796" s="15"/>
      <c r="W796" s="15"/>
      <c r="X796" s="14"/>
      <c r="Y796" s="14"/>
      <c r="Z796" s="15"/>
      <c r="AA796" s="3"/>
      <c r="AB796" s="3"/>
      <c r="AC796" s="3"/>
      <c r="AD796" s="3"/>
      <c r="AE796" s="3"/>
      <c r="AF796" s="3"/>
    </row>
    <row r="797" ht="15.75" customHeight="1">
      <c r="J797" s="15"/>
      <c r="K797" s="238"/>
      <c r="L797" s="15"/>
      <c r="M797" s="15"/>
      <c r="N797" s="15"/>
      <c r="O797" s="15"/>
      <c r="P797" s="15"/>
      <c r="Q797" s="15"/>
      <c r="R797" s="15"/>
      <c r="S797" s="15"/>
      <c r="T797" s="15"/>
      <c r="U797" s="15"/>
      <c r="V797" s="15"/>
      <c r="W797" s="15"/>
      <c r="X797" s="14"/>
      <c r="Y797" s="14"/>
      <c r="Z797" s="15"/>
      <c r="AA797" s="3"/>
      <c r="AB797" s="3"/>
      <c r="AC797" s="3"/>
      <c r="AD797" s="3"/>
      <c r="AE797" s="3"/>
      <c r="AF797" s="3"/>
    </row>
    <row r="798" ht="15.75" customHeight="1">
      <c r="J798" s="15"/>
      <c r="K798" s="238"/>
      <c r="L798" s="15"/>
      <c r="M798" s="15"/>
      <c r="N798" s="15"/>
      <c r="O798" s="15"/>
      <c r="P798" s="15"/>
      <c r="Q798" s="15"/>
      <c r="R798" s="15"/>
      <c r="S798" s="15"/>
      <c r="T798" s="15"/>
      <c r="U798" s="15"/>
      <c r="V798" s="15"/>
      <c r="W798" s="15"/>
      <c r="X798" s="14"/>
      <c r="Y798" s="14"/>
      <c r="Z798" s="15"/>
      <c r="AA798" s="3"/>
      <c r="AB798" s="3"/>
      <c r="AC798" s="3"/>
      <c r="AD798" s="3"/>
      <c r="AE798" s="3"/>
      <c r="AF798" s="3"/>
    </row>
    <row r="799" ht="15.75" customHeight="1">
      <c r="J799" s="15"/>
      <c r="K799" s="238"/>
      <c r="L799" s="15"/>
      <c r="M799" s="15"/>
      <c r="N799" s="15"/>
      <c r="O799" s="15"/>
      <c r="P799" s="15"/>
      <c r="Q799" s="15"/>
      <c r="R799" s="15"/>
      <c r="S799" s="15"/>
      <c r="T799" s="15"/>
      <c r="U799" s="15"/>
      <c r="V799" s="15"/>
      <c r="W799" s="15"/>
      <c r="X799" s="14"/>
      <c r="Y799" s="14"/>
      <c r="Z799" s="15"/>
      <c r="AA799" s="3"/>
      <c r="AB799" s="3"/>
      <c r="AC799" s="3"/>
      <c r="AD799" s="3"/>
      <c r="AE799" s="3"/>
      <c r="AF799" s="3"/>
    </row>
    <row r="800" ht="15.75" customHeight="1">
      <c r="J800" s="15"/>
      <c r="K800" s="238"/>
      <c r="L800" s="15"/>
      <c r="M800" s="15"/>
      <c r="N800" s="15"/>
      <c r="O800" s="15"/>
      <c r="P800" s="15"/>
      <c r="Q800" s="15"/>
      <c r="R800" s="15"/>
      <c r="S800" s="15"/>
      <c r="T800" s="15"/>
      <c r="U800" s="15"/>
      <c r="V800" s="15"/>
      <c r="W800" s="15"/>
      <c r="X800" s="14"/>
      <c r="Y800" s="14"/>
      <c r="Z800" s="15"/>
      <c r="AA800" s="3"/>
      <c r="AB800" s="3"/>
      <c r="AC800" s="3"/>
      <c r="AD800" s="3"/>
      <c r="AE800" s="3"/>
      <c r="AF800" s="3"/>
    </row>
    <row r="801" ht="15.75" customHeight="1">
      <c r="J801" s="15"/>
      <c r="K801" s="238"/>
      <c r="L801" s="15"/>
      <c r="M801" s="15"/>
      <c r="N801" s="15"/>
      <c r="O801" s="15"/>
      <c r="P801" s="15"/>
      <c r="Q801" s="15"/>
      <c r="R801" s="15"/>
      <c r="S801" s="15"/>
      <c r="T801" s="15"/>
      <c r="U801" s="15"/>
      <c r="V801" s="15"/>
      <c r="W801" s="15"/>
      <c r="X801" s="14"/>
      <c r="Y801" s="14"/>
      <c r="Z801" s="15"/>
      <c r="AA801" s="3"/>
      <c r="AB801" s="3"/>
      <c r="AC801" s="3"/>
      <c r="AD801" s="3"/>
      <c r="AE801" s="3"/>
      <c r="AF801" s="3"/>
    </row>
    <row r="802" ht="15.75" customHeight="1">
      <c r="J802" s="15"/>
      <c r="K802" s="238"/>
      <c r="L802" s="15"/>
      <c r="M802" s="15"/>
      <c r="N802" s="15"/>
      <c r="O802" s="15"/>
      <c r="P802" s="15"/>
      <c r="Q802" s="15"/>
      <c r="R802" s="15"/>
      <c r="S802" s="15"/>
      <c r="T802" s="15"/>
      <c r="U802" s="15"/>
      <c r="V802" s="15"/>
      <c r="W802" s="15"/>
      <c r="X802" s="14"/>
      <c r="Y802" s="14"/>
      <c r="Z802" s="15"/>
      <c r="AA802" s="3"/>
      <c r="AB802" s="3"/>
      <c r="AC802" s="3"/>
      <c r="AD802" s="3"/>
      <c r="AE802" s="3"/>
      <c r="AF802" s="3"/>
    </row>
    <row r="803" ht="15.75" customHeight="1">
      <c r="J803" s="15"/>
      <c r="K803" s="238"/>
      <c r="L803" s="15"/>
      <c r="M803" s="15"/>
      <c r="N803" s="15"/>
      <c r="O803" s="15"/>
      <c r="P803" s="15"/>
      <c r="Q803" s="15"/>
      <c r="R803" s="15"/>
      <c r="S803" s="15"/>
      <c r="T803" s="15"/>
      <c r="U803" s="15"/>
      <c r="V803" s="15"/>
      <c r="W803" s="15"/>
      <c r="X803" s="14"/>
      <c r="Y803" s="14"/>
      <c r="Z803" s="15"/>
      <c r="AA803" s="3"/>
      <c r="AB803" s="3"/>
      <c r="AC803" s="3"/>
      <c r="AD803" s="3"/>
      <c r="AE803" s="3"/>
      <c r="AF803" s="3"/>
    </row>
    <row r="804" ht="15.75" customHeight="1">
      <c r="J804" s="15"/>
      <c r="K804" s="238"/>
      <c r="L804" s="15"/>
      <c r="M804" s="15"/>
      <c r="N804" s="15"/>
      <c r="O804" s="15"/>
      <c r="P804" s="15"/>
      <c r="Q804" s="15"/>
      <c r="R804" s="15"/>
      <c r="S804" s="15"/>
      <c r="T804" s="15"/>
      <c r="U804" s="15"/>
      <c r="V804" s="15"/>
      <c r="W804" s="15"/>
      <c r="X804" s="14"/>
      <c r="Y804" s="14"/>
      <c r="Z804" s="15"/>
      <c r="AA804" s="3"/>
      <c r="AB804" s="3"/>
      <c r="AC804" s="3"/>
      <c r="AD804" s="3"/>
      <c r="AE804" s="3"/>
      <c r="AF804" s="3"/>
    </row>
    <row r="805" ht="15.75" customHeight="1">
      <c r="J805" s="15"/>
      <c r="K805" s="238"/>
      <c r="L805" s="15"/>
      <c r="M805" s="15"/>
      <c r="N805" s="15"/>
      <c r="O805" s="15"/>
      <c r="P805" s="15"/>
      <c r="Q805" s="15"/>
      <c r="R805" s="15"/>
      <c r="S805" s="15"/>
      <c r="T805" s="15"/>
      <c r="U805" s="15"/>
      <c r="V805" s="15"/>
      <c r="W805" s="15"/>
      <c r="X805" s="14"/>
      <c r="Y805" s="14"/>
      <c r="Z805" s="15"/>
      <c r="AA805" s="3"/>
      <c r="AB805" s="3"/>
      <c r="AC805" s="3"/>
      <c r="AD805" s="3"/>
      <c r="AE805" s="3"/>
      <c r="AF805" s="3"/>
    </row>
    <row r="806" ht="15.75" customHeight="1">
      <c r="J806" s="15"/>
      <c r="K806" s="238"/>
      <c r="L806" s="15"/>
      <c r="M806" s="15"/>
      <c r="N806" s="15"/>
      <c r="O806" s="15"/>
      <c r="P806" s="15"/>
      <c r="Q806" s="15"/>
      <c r="R806" s="15"/>
      <c r="S806" s="15"/>
      <c r="T806" s="15"/>
      <c r="U806" s="15"/>
      <c r="V806" s="15"/>
      <c r="W806" s="15"/>
      <c r="X806" s="14"/>
      <c r="Y806" s="14"/>
      <c r="Z806" s="15"/>
      <c r="AA806" s="3"/>
      <c r="AB806" s="3"/>
      <c r="AC806" s="3"/>
      <c r="AD806" s="3"/>
      <c r="AE806" s="3"/>
      <c r="AF806" s="3"/>
    </row>
    <row r="807" ht="15.75" customHeight="1">
      <c r="J807" s="15"/>
      <c r="K807" s="238"/>
      <c r="L807" s="15"/>
      <c r="M807" s="15"/>
      <c r="N807" s="15"/>
      <c r="O807" s="15"/>
      <c r="P807" s="15"/>
      <c r="Q807" s="15"/>
      <c r="R807" s="15"/>
      <c r="S807" s="15"/>
      <c r="T807" s="15"/>
      <c r="U807" s="15"/>
      <c r="V807" s="15"/>
      <c r="W807" s="15"/>
      <c r="X807" s="14"/>
      <c r="Y807" s="14"/>
      <c r="Z807" s="15"/>
      <c r="AA807" s="3"/>
      <c r="AB807" s="3"/>
      <c r="AC807" s="3"/>
      <c r="AD807" s="3"/>
      <c r="AE807" s="3"/>
      <c r="AF807" s="3"/>
    </row>
    <row r="808" ht="15.75" customHeight="1">
      <c r="J808" s="15"/>
      <c r="K808" s="238"/>
      <c r="L808" s="15"/>
      <c r="M808" s="15"/>
      <c r="N808" s="15"/>
      <c r="O808" s="15"/>
      <c r="P808" s="15"/>
      <c r="Q808" s="15"/>
      <c r="R808" s="15"/>
      <c r="S808" s="15"/>
      <c r="T808" s="15"/>
      <c r="U808" s="15"/>
      <c r="V808" s="15"/>
      <c r="W808" s="15"/>
      <c r="X808" s="14"/>
      <c r="Y808" s="14"/>
      <c r="Z808" s="15"/>
      <c r="AA808" s="3"/>
      <c r="AB808" s="3"/>
      <c r="AC808" s="3"/>
      <c r="AD808" s="3"/>
      <c r="AE808" s="3"/>
      <c r="AF808" s="3"/>
    </row>
    <row r="809" ht="15.75" customHeight="1">
      <c r="J809" s="15"/>
      <c r="K809" s="238"/>
      <c r="L809" s="15"/>
      <c r="M809" s="15"/>
      <c r="N809" s="15"/>
      <c r="O809" s="15"/>
      <c r="P809" s="15"/>
      <c r="Q809" s="15"/>
      <c r="R809" s="15"/>
      <c r="S809" s="15"/>
      <c r="T809" s="15"/>
      <c r="U809" s="15"/>
      <c r="V809" s="15"/>
      <c r="W809" s="15"/>
      <c r="X809" s="14"/>
      <c r="Y809" s="14"/>
      <c r="Z809" s="15"/>
      <c r="AA809" s="3"/>
      <c r="AB809" s="3"/>
      <c r="AC809" s="3"/>
      <c r="AD809" s="3"/>
      <c r="AE809" s="3"/>
      <c r="AF809" s="3"/>
    </row>
    <row r="810" ht="15.75" customHeight="1">
      <c r="J810" s="15"/>
      <c r="K810" s="238"/>
      <c r="L810" s="15"/>
      <c r="M810" s="15"/>
      <c r="N810" s="15"/>
      <c r="O810" s="15"/>
      <c r="P810" s="15"/>
      <c r="Q810" s="15"/>
      <c r="R810" s="15"/>
      <c r="S810" s="15"/>
      <c r="T810" s="15"/>
      <c r="U810" s="15"/>
      <c r="V810" s="15"/>
      <c r="W810" s="15"/>
      <c r="X810" s="14"/>
      <c r="Y810" s="14"/>
      <c r="Z810" s="15"/>
      <c r="AA810" s="3"/>
      <c r="AB810" s="3"/>
      <c r="AC810" s="3"/>
      <c r="AD810" s="3"/>
      <c r="AE810" s="3"/>
      <c r="AF810" s="3"/>
    </row>
    <row r="811" ht="15.75" customHeight="1">
      <c r="J811" s="15"/>
      <c r="K811" s="238"/>
      <c r="L811" s="15"/>
      <c r="M811" s="15"/>
      <c r="N811" s="15"/>
      <c r="O811" s="15"/>
      <c r="P811" s="15"/>
      <c r="Q811" s="15"/>
      <c r="R811" s="15"/>
      <c r="S811" s="15"/>
      <c r="T811" s="15"/>
      <c r="U811" s="15"/>
      <c r="V811" s="15"/>
      <c r="W811" s="15"/>
      <c r="X811" s="14"/>
      <c r="Y811" s="14"/>
      <c r="Z811" s="15"/>
      <c r="AA811" s="3"/>
      <c r="AB811" s="3"/>
      <c r="AC811" s="3"/>
      <c r="AD811" s="3"/>
      <c r="AE811" s="3"/>
      <c r="AF811" s="3"/>
    </row>
    <row r="812" ht="15.75" customHeight="1">
      <c r="J812" s="15"/>
      <c r="K812" s="238"/>
      <c r="L812" s="15"/>
      <c r="M812" s="15"/>
      <c r="N812" s="15"/>
      <c r="O812" s="15"/>
      <c r="P812" s="15"/>
      <c r="Q812" s="15"/>
      <c r="R812" s="15"/>
      <c r="S812" s="15"/>
      <c r="T812" s="15"/>
      <c r="U812" s="15"/>
      <c r="V812" s="15"/>
      <c r="W812" s="15"/>
      <c r="X812" s="14"/>
      <c r="Y812" s="14"/>
      <c r="Z812" s="15"/>
      <c r="AA812" s="3"/>
      <c r="AB812" s="3"/>
      <c r="AC812" s="3"/>
      <c r="AD812" s="3"/>
      <c r="AE812" s="3"/>
      <c r="AF812" s="3"/>
    </row>
    <row r="813" ht="15.75" customHeight="1">
      <c r="J813" s="15"/>
      <c r="K813" s="238"/>
      <c r="L813" s="15"/>
      <c r="M813" s="15"/>
      <c r="N813" s="15"/>
      <c r="O813" s="15"/>
      <c r="P813" s="15"/>
      <c r="Q813" s="15"/>
      <c r="R813" s="15"/>
      <c r="S813" s="15"/>
      <c r="T813" s="15"/>
      <c r="U813" s="15"/>
      <c r="V813" s="15"/>
      <c r="W813" s="15"/>
      <c r="X813" s="14"/>
      <c r="Y813" s="14"/>
      <c r="Z813" s="15"/>
      <c r="AA813" s="3"/>
      <c r="AB813" s="3"/>
      <c r="AC813" s="3"/>
      <c r="AD813" s="3"/>
      <c r="AE813" s="3"/>
      <c r="AF813" s="3"/>
    </row>
    <row r="814" ht="15.75" customHeight="1">
      <c r="J814" s="15"/>
      <c r="K814" s="238"/>
      <c r="L814" s="15"/>
      <c r="M814" s="15"/>
      <c r="N814" s="15"/>
      <c r="O814" s="15"/>
      <c r="P814" s="15"/>
      <c r="Q814" s="15"/>
      <c r="R814" s="15"/>
      <c r="S814" s="15"/>
      <c r="T814" s="15"/>
      <c r="U814" s="15"/>
      <c r="V814" s="15"/>
      <c r="W814" s="15"/>
      <c r="X814" s="14"/>
      <c r="Y814" s="14"/>
      <c r="Z814" s="15"/>
      <c r="AA814" s="3"/>
      <c r="AB814" s="3"/>
      <c r="AC814" s="3"/>
      <c r="AD814" s="3"/>
      <c r="AE814" s="3"/>
      <c r="AF814" s="3"/>
    </row>
    <row r="815" ht="15.75" customHeight="1">
      <c r="J815" s="15"/>
      <c r="K815" s="238"/>
      <c r="L815" s="15"/>
      <c r="M815" s="15"/>
      <c r="N815" s="15"/>
      <c r="O815" s="15"/>
      <c r="P815" s="15"/>
      <c r="Q815" s="15"/>
      <c r="R815" s="15"/>
      <c r="S815" s="15"/>
      <c r="T815" s="15"/>
      <c r="U815" s="15"/>
      <c r="V815" s="15"/>
      <c r="W815" s="15"/>
      <c r="X815" s="14"/>
      <c r="Y815" s="14"/>
      <c r="Z815" s="15"/>
      <c r="AA815" s="3"/>
      <c r="AB815" s="3"/>
      <c r="AC815" s="3"/>
      <c r="AD815" s="3"/>
      <c r="AE815" s="3"/>
      <c r="AF815" s="3"/>
    </row>
    <row r="816" ht="15.75" customHeight="1">
      <c r="J816" s="15"/>
      <c r="K816" s="238"/>
      <c r="L816" s="15"/>
      <c r="M816" s="15"/>
      <c r="N816" s="15"/>
      <c r="O816" s="15"/>
      <c r="P816" s="15"/>
      <c r="Q816" s="15"/>
      <c r="R816" s="15"/>
      <c r="S816" s="15"/>
      <c r="T816" s="15"/>
      <c r="U816" s="15"/>
      <c r="V816" s="15"/>
      <c r="W816" s="15"/>
      <c r="X816" s="14"/>
      <c r="Y816" s="14"/>
      <c r="Z816" s="15"/>
      <c r="AA816" s="3"/>
      <c r="AB816" s="3"/>
      <c r="AC816" s="3"/>
      <c r="AD816" s="3"/>
      <c r="AE816" s="3"/>
      <c r="AF816" s="3"/>
    </row>
    <row r="817" ht="15.75" customHeight="1">
      <c r="J817" s="15"/>
      <c r="K817" s="238"/>
      <c r="L817" s="15"/>
      <c r="M817" s="15"/>
      <c r="N817" s="15"/>
      <c r="O817" s="15"/>
      <c r="P817" s="15"/>
      <c r="Q817" s="15"/>
      <c r="R817" s="15"/>
      <c r="S817" s="15"/>
      <c r="T817" s="15"/>
      <c r="U817" s="15"/>
      <c r="V817" s="15"/>
      <c r="W817" s="15"/>
      <c r="X817" s="14"/>
      <c r="Y817" s="14"/>
      <c r="Z817" s="15"/>
      <c r="AA817" s="3"/>
      <c r="AB817" s="3"/>
      <c r="AC817" s="3"/>
      <c r="AD817" s="3"/>
      <c r="AE817" s="3"/>
      <c r="AF817" s="3"/>
    </row>
    <row r="818" ht="15.75" customHeight="1">
      <c r="J818" s="15"/>
      <c r="K818" s="238"/>
      <c r="L818" s="15"/>
      <c r="M818" s="15"/>
      <c r="N818" s="15"/>
      <c r="O818" s="15"/>
      <c r="P818" s="15"/>
      <c r="Q818" s="15"/>
      <c r="R818" s="15"/>
      <c r="S818" s="15"/>
      <c r="T818" s="15"/>
      <c r="U818" s="15"/>
      <c r="V818" s="15"/>
      <c r="W818" s="15"/>
      <c r="X818" s="14"/>
      <c r="Y818" s="14"/>
      <c r="Z818" s="15"/>
      <c r="AA818" s="3"/>
      <c r="AB818" s="3"/>
      <c r="AC818" s="3"/>
      <c r="AD818" s="3"/>
      <c r="AE818" s="3"/>
      <c r="AF818" s="3"/>
    </row>
    <row r="819" ht="15.75" customHeight="1">
      <c r="J819" s="15"/>
      <c r="K819" s="238"/>
      <c r="L819" s="15"/>
      <c r="M819" s="15"/>
      <c r="N819" s="15"/>
      <c r="O819" s="15"/>
      <c r="P819" s="15"/>
      <c r="Q819" s="15"/>
      <c r="R819" s="15"/>
      <c r="S819" s="15"/>
      <c r="T819" s="15"/>
      <c r="U819" s="15"/>
      <c r="V819" s="15"/>
      <c r="W819" s="15"/>
      <c r="X819" s="14"/>
      <c r="Y819" s="14"/>
      <c r="Z819" s="15"/>
      <c r="AA819" s="3"/>
      <c r="AB819" s="3"/>
      <c r="AC819" s="3"/>
      <c r="AD819" s="3"/>
      <c r="AE819" s="3"/>
      <c r="AF819" s="3"/>
    </row>
    <row r="820" ht="15.75" customHeight="1">
      <c r="J820" s="15"/>
      <c r="K820" s="238"/>
      <c r="L820" s="15"/>
      <c r="M820" s="15"/>
      <c r="N820" s="15"/>
      <c r="O820" s="15"/>
      <c r="P820" s="15"/>
      <c r="Q820" s="15"/>
      <c r="R820" s="15"/>
      <c r="S820" s="15"/>
      <c r="T820" s="15"/>
      <c r="U820" s="15"/>
      <c r="V820" s="15"/>
      <c r="W820" s="15"/>
      <c r="X820" s="14"/>
      <c r="Y820" s="14"/>
      <c r="Z820" s="15"/>
      <c r="AA820" s="3"/>
      <c r="AB820" s="3"/>
      <c r="AC820" s="3"/>
      <c r="AD820" s="3"/>
      <c r="AE820" s="3"/>
      <c r="AF820" s="3"/>
    </row>
    <row r="821" ht="15.75" customHeight="1">
      <c r="J821" s="15"/>
      <c r="K821" s="238"/>
      <c r="L821" s="15"/>
      <c r="M821" s="15"/>
      <c r="N821" s="15"/>
      <c r="O821" s="15"/>
      <c r="P821" s="15"/>
      <c r="Q821" s="15"/>
      <c r="R821" s="15"/>
      <c r="S821" s="15"/>
      <c r="T821" s="15"/>
      <c r="U821" s="15"/>
      <c r="V821" s="15"/>
      <c r="W821" s="15"/>
      <c r="X821" s="14"/>
      <c r="Y821" s="14"/>
      <c r="Z821" s="15"/>
      <c r="AA821" s="3"/>
      <c r="AB821" s="3"/>
      <c r="AC821" s="3"/>
      <c r="AD821" s="3"/>
      <c r="AE821" s="3"/>
      <c r="AF821" s="3"/>
    </row>
    <row r="822" ht="15.75" customHeight="1">
      <c r="J822" s="15"/>
      <c r="K822" s="238"/>
      <c r="L822" s="15"/>
      <c r="M822" s="15"/>
      <c r="N822" s="15"/>
      <c r="O822" s="15"/>
      <c r="P822" s="15"/>
      <c r="Q822" s="15"/>
      <c r="R822" s="15"/>
      <c r="S822" s="15"/>
      <c r="T822" s="15"/>
      <c r="U822" s="15"/>
      <c r="V822" s="15"/>
      <c r="W822" s="15"/>
      <c r="X822" s="14"/>
      <c r="Y822" s="14"/>
      <c r="Z822" s="15"/>
      <c r="AA822" s="3"/>
      <c r="AB822" s="3"/>
      <c r="AC822" s="3"/>
      <c r="AD822" s="3"/>
      <c r="AE822" s="3"/>
      <c r="AF822" s="3"/>
    </row>
    <row r="823" ht="15.75" customHeight="1">
      <c r="J823" s="15"/>
      <c r="K823" s="238"/>
      <c r="L823" s="15"/>
      <c r="M823" s="15"/>
      <c r="N823" s="15"/>
      <c r="O823" s="15"/>
      <c r="P823" s="15"/>
      <c r="Q823" s="15"/>
      <c r="R823" s="15"/>
      <c r="S823" s="15"/>
      <c r="T823" s="15"/>
      <c r="U823" s="15"/>
      <c r="V823" s="15"/>
      <c r="W823" s="15"/>
      <c r="X823" s="14"/>
      <c r="Y823" s="14"/>
      <c r="Z823" s="15"/>
      <c r="AA823" s="3"/>
      <c r="AB823" s="3"/>
      <c r="AC823" s="3"/>
      <c r="AD823" s="3"/>
      <c r="AE823" s="3"/>
      <c r="AF823" s="3"/>
    </row>
    <row r="824" ht="15.75" customHeight="1">
      <c r="J824" s="15"/>
      <c r="K824" s="238"/>
      <c r="L824" s="15"/>
      <c r="M824" s="15"/>
      <c r="N824" s="15"/>
      <c r="O824" s="15"/>
      <c r="P824" s="15"/>
      <c r="Q824" s="15"/>
      <c r="R824" s="15"/>
      <c r="S824" s="15"/>
      <c r="T824" s="15"/>
      <c r="U824" s="15"/>
      <c r="V824" s="15"/>
      <c r="W824" s="15"/>
      <c r="X824" s="14"/>
      <c r="Y824" s="14"/>
      <c r="Z824" s="15"/>
      <c r="AA824" s="3"/>
      <c r="AB824" s="3"/>
      <c r="AC824" s="3"/>
      <c r="AD824" s="3"/>
      <c r="AE824" s="3"/>
      <c r="AF824" s="3"/>
    </row>
    <row r="825" ht="15.75" customHeight="1">
      <c r="J825" s="15"/>
      <c r="K825" s="238"/>
      <c r="L825" s="15"/>
      <c r="M825" s="15"/>
      <c r="N825" s="15"/>
      <c r="O825" s="15"/>
      <c r="P825" s="15"/>
      <c r="Q825" s="15"/>
      <c r="R825" s="15"/>
      <c r="S825" s="15"/>
      <c r="T825" s="15"/>
      <c r="U825" s="15"/>
      <c r="V825" s="15"/>
      <c r="W825" s="15"/>
      <c r="X825" s="14"/>
      <c r="Y825" s="14"/>
      <c r="Z825" s="15"/>
      <c r="AA825" s="3"/>
      <c r="AB825" s="3"/>
      <c r="AC825" s="3"/>
      <c r="AD825" s="3"/>
      <c r="AE825" s="3"/>
      <c r="AF825" s="3"/>
    </row>
    <row r="826" ht="15.75" customHeight="1">
      <c r="J826" s="15"/>
      <c r="K826" s="238"/>
      <c r="L826" s="15"/>
      <c r="M826" s="15"/>
      <c r="N826" s="15"/>
      <c r="O826" s="15"/>
      <c r="P826" s="15"/>
      <c r="Q826" s="15"/>
      <c r="R826" s="15"/>
      <c r="S826" s="15"/>
      <c r="T826" s="15"/>
      <c r="U826" s="15"/>
      <c r="V826" s="15"/>
      <c r="W826" s="15"/>
      <c r="X826" s="14"/>
      <c r="Y826" s="14"/>
      <c r="Z826" s="15"/>
      <c r="AA826" s="3"/>
      <c r="AB826" s="3"/>
      <c r="AC826" s="3"/>
      <c r="AD826" s="3"/>
      <c r="AE826" s="3"/>
      <c r="AF826" s="3"/>
    </row>
    <row r="827" ht="15.75" customHeight="1">
      <c r="J827" s="15"/>
      <c r="K827" s="238"/>
      <c r="L827" s="15"/>
      <c r="M827" s="15"/>
      <c r="N827" s="15"/>
      <c r="O827" s="15"/>
      <c r="P827" s="15"/>
      <c r="Q827" s="15"/>
      <c r="R827" s="15"/>
      <c r="S827" s="15"/>
      <c r="T827" s="15"/>
      <c r="U827" s="15"/>
      <c r="V827" s="15"/>
      <c r="W827" s="15"/>
      <c r="X827" s="14"/>
      <c r="Y827" s="14"/>
      <c r="Z827" s="15"/>
      <c r="AA827" s="3"/>
      <c r="AB827" s="3"/>
      <c r="AC827" s="3"/>
      <c r="AD827" s="3"/>
      <c r="AE827" s="3"/>
      <c r="AF827" s="3"/>
    </row>
    <row r="828" ht="15.75" customHeight="1">
      <c r="J828" s="15"/>
      <c r="K828" s="238"/>
      <c r="L828" s="15"/>
      <c r="M828" s="15"/>
      <c r="N828" s="15"/>
      <c r="O828" s="15"/>
      <c r="P828" s="15"/>
      <c r="Q828" s="15"/>
      <c r="R828" s="15"/>
      <c r="S828" s="15"/>
      <c r="T828" s="15"/>
      <c r="U828" s="15"/>
      <c r="V828" s="15"/>
      <c r="W828" s="15"/>
      <c r="X828" s="14"/>
      <c r="Y828" s="14"/>
      <c r="Z828" s="15"/>
      <c r="AA828" s="3"/>
      <c r="AB828" s="3"/>
      <c r="AC828" s="3"/>
      <c r="AD828" s="3"/>
      <c r="AE828" s="3"/>
      <c r="AF828" s="3"/>
    </row>
    <row r="829" ht="15.75" customHeight="1">
      <c r="J829" s="15"/>
      <c r="K829" s="238"/>
      <c r="L829" s="15"/>
      <c r="M829" s="15"/>
      <c r="N829" s="15"/>
      <c r="O829" s="15"/>
      <c r="P829" s="15"/>
      <c r="Q829" s="15"/>
      <c r="R829" s="15"/>
      <c r="S829" s="15"/>
      <c r="T829" s="15"/>
      <c r="U829" s="15"/>
      <c r="V829" s="15"/>
      <c r="W829" s="15"/>
      <c r="X829" s="14"/>
      <c r="Y829" s="14"/>
      <c r="Z829" s="15"/>
      <c r="AA829" s="3"/>
      <c r="AB829" s="3"/>
      <c r="AC829" s="3"/>
      <c r="AD829" s="3"/>
      <c r="AE829" s="3"/>
      <c r="AF829" s="3"/>
    </row>
    <row r="830" ht="15.75" customHeight="1">
      <c r="J830" s="15"/>
      <c r="K830" s="238"/>
      <c r="L830" s="15"/>
      <c r="M830" s="15"/>
      <c r="N830" s="15"/>
      <c r="O830" s="15"/>
      <c r="P830" s="15"/>
      <c r="Q830" s="15"/>
      <c r="R830" s="15"/>
      <c r="S830" s="15"/>
      <c r="T830" s="15"/>
      <c r="U830" s="15"/>
      <c r="V830" s="15"/>
      <c r="W830" s="15"/>
      <c r="X830" s="14"/>
      <c r="Y830" s="14"/>
      <c r="Z830" s="15"/>
      <c r="AA830" s="3"/>
      <c r="AB830" s="3"/>
      <c r="AC830" s="3"/>
      <c r="AD830" s="3"/>
      <c r="AE830" s="3"/>
      <c r="AF830" s="3"/>
    </row>
    <row r="831" ht="15.75" customHeight="1">
      <c r="J831" s="15"/>
      <c r="K831" s="238"/>
      <c r="L831" s="15"/>
      <c r="M831" s="15"/>
      <c r="N831" s="15"/>
      <c r="O831" s="15"/>
      <c r="P831" s="15"/>
      <c r="Q831" s="15"/>
      <c r="R831" s="15"/>
      <c r="S831" s="15"/>
      <c r="T831" s="15"/>
      <c r="U831" s="15"/>
      <c r="V831" s="15"/>
      <c r="W831" s="15"/>
      <c r="X831" s="14"/>
      <c r="Y831" s="14"/>
      <c r="Z831" s="15"/>
      <c r="AA831" s="3"/>
      <c r="AB831" s="3"/>
      <c r="AC831" s="3"/>
      <c r="AD831" s="3"/>
      <c r="AE831" s="3"/>
      <c r="AF831" s="3"/>
    </row>
    <row r="832" ht="15.75" customHeight="1">
      <c r="J832" s="15"/>
      <c r="K832" s="238"/>
      <c r="L832" s="15"/>
      <c r="M832" s="15"/>
      <c r="N832" s="15"/>
      <c r="O832" s="15"/>
      <c r="P832" s="15"/>
      <c r="Q832" s="15"/>
      <c r="R832" s="15"/>
      <c r="S832" s="15"/>
      <c r="T832" s="15"/>
      <c r="U832" s="15"/>
      <c r="V832" s="15"/>
      <c r="W832" s="15"/>
      <c r="X832" s="14"/>
      <c r="Y832" s="14"/>
      <c r="Z832" s="15"/>
      <c r="AA832" s="3"/>
      <c r="AB832" s="3"/>
      <c r="AC832" s="3"/>
      <c r="AD832" s="3"/>
      <c r="AE832" s="3"/>
      <c r="AF832" s="3"/>
    </row>
    <row r="833" ht="15.75" customHeight="1">
      <c r="J833" s="15"/>
      <c r="K833" s="238"/>
      <c r="L833" s="15"/>
      <c r="M833" s="15"/>
      <c r="N833" s="15"/>
      <c r="O833" s="15"/>
      <c r="P833" s="15"/>
      <c r="Q833" s="15"/>
      <c r="R833" s="15"/>
      <c r="S833" s="15"/>
      <c r="T833" s="15"/>
      <c r="U833" s="15"/>
      <c r="V833" s="15"/>
      <c r="W833" s="15"/>
      <c r="X833" s="14"/>
      <c r="Y833" s="14"/>
      <c r="Z833" s="15"/>
      <c r="AA833" s="3"/>
      <c r="AB833" s="3"/>
      <c r="AC833" s="3"/>
      <c r="AD833" s="3"/>
      <c r="AE833" s="3"/>
      <c r="AF833" s="3"/>
    </row>
    <row r="834" ht="15.75" customHeight="1">
      <c r="J834" s="15"/>
      <c r="K834" s="238"/>
      <c r="L834" s="15"/>
      <c r="M834" s="15"/>
      <c r="N834" s="15"/>
      <c r="O834" s="15"/>
      <c r="P834" s="15"/>
      <c r="Q834" s="15"/>
      <c r="R834" s="15"/>
      <c r="S834" s="15"/>
      <c r="T834" s="15"/>
      <c r="U834" s="15"/>
      <c r="V834" s="15"/>
      <c r="W834" s="15"/>
      <c r="X834" s="14"/>
      <c r="Y834" s="14"/>
      <c r="Z834" s="15"/>
      <c r="AA834" s="3"/>
      <c r="AB834" s="3"/>
      <c r="AC834" s="3"/>
      <c r="AD834" s="3"/>
      <c r="AE834" s="3"/>
      <c r="AF834" s="3"/>
    </row>
    <row r="835" ht="15.75" customHeight="1">
      <c r="J835" s="15"/>
      <c r="K835" s="238"/>
      <c r="L835" s="15"/>
      <c r="M835" s="15"/>
      <c r="N835" s="15"/>
      <c r="O835" s="15"/>
      <c r="P835" s="15"/>
      <c r="Q835" s="15"/>
      <c r="R835" s="15"/>
      <c r="S835" s="15"/>
      <c r="T835" s="15"/>
      <c r="U835" s="15"/>
      <c r="V835" s="15"/>
      <c r="W835" s="15"/>
      <c r="X835" s="14"/>
      <c r="Y835" s="14"/>
      <c r="Z835" s="15"/>
      <c r="AA835" s="3"/>
      <c r="AB835" s="3"/>
      <c r="AC835" s="3"/>
      <c r="AD835" s="3"/>
      <c r="AE835" s="3"/>
      <c r="AF835" s="3"/>
    </row>
    <row r="836" ht="15.75" customHeight="1">
      <c r="J836" s="15"/>
      <c r="K836" s="238"/>
      <c r="L836" s="15"/>
      <c r="M836" s="15"/>
      <c r="N836" s="15"/>
      <c r="O836" s="15"/>
      <c r="P836" s="15"/>
      <c r="Q836" s="15"/>
      <c r="R836" s="15"/>
      <c r="S836" s="15"/>
      <c r="T836" s="15"/>
      <c r="U836" s="15"/>
      <c r="V836" s="15"/>
      <c r="W836" s="15"/>
      <c r="X836" s="14"/>
      <c r="Y836" s="14"/>
      <c r="Z836" s="15"/>
      <c r="AA836" s="3"/>
      <c r="AB836" s="3"/>
      <c r="AC836" s="3"/>
      <c r="AD836" s="3"/>
      <c r="AE836" s="3"/>
      <c r="AF836" s="3"/>
    </row>
    <row r="837" ht="15.75" customHeight="1">
      <c r="J837" s="15"/>
      <c r="K837" s="238"/>
      <c r="L837" s="15"/>
      <c r="M837" s="15"/>
      <c r="N837" s="15"/>
      <c r="O837" s="15"/>
      <c r="P837" s="15"/>
      <c r="Q837" s="15"/>
      <c r="R837" s="15"/>
      <c r="S837" s="15"/>
      <c r="T837" s="15"/>
      <c r="U837" s="15"/>
      <c r="V837" s="15"/>
      <c r="W837" s="15"/>
      <c r="X837" s="14"/>
      <c r="Y837" s="14"/>
      <c r="Z837" s="15"/>
      <c r="AA837" s="3"/>
      <c r="AB837" s="3"/>
      <c r="AC837" s="3"/>
      <c r="AD837" s="3"/>
      <c r="AE837" s="3"/>
      <c r="AF837" s="3"/>
    </row>
    <row r="838" ht="15.75" customHeight="1">
      <c r="J838" s="15"/>
      <c r="K838" s="238"/>
      <c r="L838" s="15"/>
      <c r="M838" s="15"/>
      <c r="N838" s="15"/>
      <c r="O838" s="15"/>
      <c r="P838" s="15"/>
      <c r="Q838" s="15"/>
      <c r="R838" s="15"/>
      <c r="S838" s="15"/>
      <c r="T838" s="15"/>
      <c r="U838" s="15"/>
      <c r="V838" s="15"/>
      <c r="W838" s="15"/>
      <c r="X838" s="14"/>
      <c r="Y838" s="14"/>
      <c r="Z838" s="15"/>
      <c r="AA838" s="3"/>
      <c r="AB838" s="3"/>
      <c r="AC838" s="3"/>
      <c r="AD838" s="3"/>
      <c r="AE838" s="3"/>
      <c r="AF838" s="3"/>
    </row>
    <row r="839" ht="15.75" customHeight="1">
      <c r="J839" s="15"/>
      <c r="K839" s="238"/>
      <c r="L839" s="15"/>
      <c r="M839" s="15"/>
      <c r="N839" s="15"/>
      <c r="O839" s="15"/>
      <c r="P839" s="15"/>
      <c r="Q839" s="15"/>
      <c r="R839" s="15"/>
      <c r="S839" s="15"/>
      <c r="T839" s="15"/>
      <c r="U839" s="15"/>
      <c r="V839" s="15"/>
      <c r="W839" s="15"/>
      <c r="X839" s="14"/>
      <c r="Y839" s="14"/>
      <c r="Z839" s="15"/>
      <c r="AA839" s="3"/>
      <c r="AB839" s="3"/>
      <c r="AC839" s="3"/>
      <c r="AD839" s="3"/>
      <c r="AE839" s="3"/>
      <c r="AF839" s="3"/>
    </row>
    <row r="840" ht="15.75" customHeight="1">
      <c r="J840" s="15"/>
      <c r="K840" s="238"/>
      <c r="L840" s="15"/>
      <c r="M840" s="15"/>
      <c r="N840" s="15"/>
      <c r="O840" s="15"/>
      <c r="P840" s="15"/>
      <c r="Q840" s="15"/>
      <c r="R840" s="15"/>
      <c r="S840" s="15"/>
      <c r="T840" s="15"/>
      <c r="U840" s="15"/>
      <c r="V840" s="15"/>
      <c r="W840" s="15"/>
      <c r="X840" s="14"/>
      <c r="Y840" s="14"/>
      <c r="Z840" s="15"/>
      <c r="AA840" s="3"/>
      <c r="AB840" s="3"/>
      <c r="AC840" s="3"/>
      <c r="AD840" s="3"/>
      <c r="AE840" s="3"/>
      <c r="AF840" s="3"/>
    </row>
    <row r="841" ht="15.75" customHeight="1">
      <c r="J841" s="15"/>
      <c r="K841" s="238"/>
      <c r="L841" s="15"/>
      <c r="M841" s="15"/>
      <c r="N841" s="15"/>
      <c r="O841" s="15"/>
      <c r="P841" s="15"/>
      <c r="Q841" s="15"/>
      <c r="R841" s="15"/>
      <c r="S841" s="15"/>
      <c r="T841" s="15"/>
      <c r="U841" s="15"/>
      <c r="V841" s="15"/>
      <c r="W841" s="15"/>
      <c r="X841" s="14"/>
      <c r="Y841" s="14"/>
      <c r="Z841" s="15"/>
      <c r="AA841" s="3"/>
      <c r="AB841" s="3"/>
      <c r="AC841" s="3"/>
      <c r="AD841" s="3"/>
      <c r="AE841" s="3"/>
      <c r="AF841" s="3"/>
    </row>
    <row r="842" ht="15.75" customHeight="1">
      <c r="J842" s="15"/>
      <c r="K842" s="238"/>
      <c r="L842" s="15"/>
      <c r="M842" s="15"/>
      <c r="N842" s="15"/>
      <c r="O842" s="15"/>
      <c r="P842" s="15"/>
      <c r="Q842" s="15"/>
      <c r="R842" s="15"/>
      <c r="S842" s="15"/>
      <c r="T842" s="15"/>
      <c r="U842" s="15"/>
      <c r="V842" s="15"/>
      <c r="W842" s="15"/>
      <c r="X842" s="14"/>
      <c r="Y842" s="14"/>
      <c r="Z842" s="15"/>
      <c r="AA842" s="3"/>
      <c r="AB842" s="3"/>
      <c r="AC842" s="3"/>
      <c r="AD842" s="3"/>
      <c r="AE842" s="3"/>
      <c r="AF842" s="3"/>
    </row>
    <row r="843" ht="15.75" customHeight="1">
      <c r="J843" s="15"/>
      <c r="K843" s="238"/>
      <c r="L843" s="15"/>
      <c r="M843" s="15"/>
      <c r="N843" s="15"/>
      <c r="O843" s="15"/>
      <c r="P843" s="15"/>
      <c r="Q843" s="15"/>
      <c r="R843" s="15"/>
      <c r="S843" s="15"/>
      <c r="T843" s="15"/>
      <c r="U843" s="15"/>
      <c r="V843" s="15"/>
      <c r="W843" s="15"/>
      <c r="X843" s="14"/>
      <c r="Y843" s="14"/>
      <c r="Z843" s="15"/>
      <c r="AA843" s="3"/>
      <c r="AB843" s="3"/>
      <c r="AC843" s="3"/>
      <c r="AD843" s="3"/>
      <c r="AE843" s="3"/>
      <c r="AF843" s="3"/>
    </row>
    <row r="844" ht="15.75" customHeight="1">
      <c r="J844" s="15"/>
      <c r="K844" s="238"/>
      <c r="L844" s="15"/>
      <c r="M844" s="15"/>
      <c r="N844" s="15"/>
      <c r="O844" s="15"/>
      <c r="P844" s="15"/>
      <c r="Q844" s="15"/>
      <c r="R844" s="15"/>
      <c r="S844" s="15"/>
      <c r="T844" s="15"/>
      <c r="U844" s="15"/>
      <c r="V844" s="15"/>
      <c r="W844" s="15"/>
      <c r="X844" s="14"/>
      <c r="Y844" s="14"/>
      <c r="Z844" s="15"/>
      <c r="AA844" s="3"/>
      <c r="AB844" s="3"/>
      <c r="AC844" s="3"/>
      <c r="AD844" s="3"/>
      <c r="AE844" s="3"/>
      <c r="AF844" s="3"/>
    </row>
    <row r="845" ht="15.75" customHeight="1">
      <c r="J845" s="15"/>
      <c r="K845" s="238"/>
      <c r="L845" s="15"/>
      <c r="M845" s="15"/>
      <c r="N845" s="15"/>
      <c r="O845" s="15"/>
      <c r="P845" s="15"/>
      <c r="Q845" s="15"/>
      <c r="R845" s="15"/>
      <c r="S845" s="15"/>
      <c r="T845" s="15"/>
      <c r="U845" s="15"/>
      <c r="V845" s="15"/>
      <c r="W845" s="15"/>
      <c r="X845" s="14"/>
      <c r="Y845" s="14"/>
      <c r="Z845" s="15"/>
      <c r="AA845" s="3"/>
      <c r="AB845" s="3"/>
      <c r="AC845" s="3"/>
      <c r="AD845" s="3"/>
      <c r="AE845" s="3"/>
      <c r="AF845" s="3"/>
    </row>
    <row r="846" ht="15.75" customHeight="1">
      <c r="J846" s="15"/>
      <c r="K846" s="238"/>
      <c r="L846" s="15"/>
      <c r="M846" s="15"/>
      <c r="N846" s="15"/>
      <c r="O846" s="15"/>
      <c r="P846" s="15"/>
      <c r="Q846" s="15"/>
      <c r="R846" s="15"/>
      <c r="S846" s="15"/>
      <c r="T846" s="15"/>
      <c r="U846" s="15"/>
      <c r="V846" s="15"/>
      <c r="W846" s="15"/>
      <c r="X846" s="14"/>
      <c r="Y846" s="14"/>
      <c r="Z846" s="15"/>
      <c r="AA846" s="3"/>
      <c r="AB846" s="3"/>
      <c r="AC846" s="3"/>
      <c r="AD846" s="3"/>
      <c r="AE846" s="3"/>
      <c r="AF846" s="3"/>
    </row>
    <row r="847" ht="15.75" customHeight="1">
      <c r="J847" s="15"/>
      <c r="K847" s="238"/>
      <c r="L847" s="15"/>
      <c r="M847" s="15"/>
      <c r="N847" s="15"/>
      <c r="O847" s="15"/>
      <c r="P847" s="15"/>
      <c r="Q847" s="15"/>
      <c r="R847" s="15"/>
      <c r="S847" s="15"/>
      <c r="T847" s="15"/>
      <c r="U847" s="15"/>
      <c r="V847" s="15"/>
      <c r="W847" s="15"/>
      <c r="X847" s="14"/>
      <c r="Y847" s="14"/>
      <c r="Z847" s="15"/>
      <c r="AA847" s="3"/>
      <c r="AB847" s="3"/>
      <c r="AC847" s="3"/>
      <c r="AD847" s="3"/>
      <c r="AE847" s="3"/>
      <c r="AF847" s="3"/>
    </row>
    <row r="848" ht="15.75" customHeight="1">
      <c r="J848" s="15"/>
      <c r="K848" s="238"/>
      <c r="L848" s="15"/>
      <c r="M848" s="15"/>
      <c r="N848" s="15"/>
      <c r="O848" s="15"/>
      <c r="P848" s="15"/>
      <c r="Q848" s="15"/>
      <c r="R848" s="15"/>
      <c r="S848" s="15"/>
      <c r="T848" s="15"/>
      <c r="U848" s="15"/>
      <c r="V848" s="15"/>
      <c r="W848" s="15"/>
      <c r="X848" s="14"/>
      <c r="Y848" s="14"/>
      <c r="Z848" s="15"/>
      <c r="AA848" s="3"/>
      <c r="AB848" s="3"/>
      <c r="AC848" s="3"/>
      <c r="AD848" s="3"/>
      <c r="AE848" s="3"/>
      <c r="AF848" s="3"/>
    </row>
    <row r="849" ht="15.75" customHeight="1">
      <c r="J849" s="15"/>
      <c r="K849" s="238"/>
      <c r="L849" s="15"/>
      <c r="M849" s="15"/>
      <c r="N849" s="15"/>
      <c r="O849" s="15"/>
      <c r="P849" s="15"/>
      <c r="Q849" s="15"/>
      <c r="R849" s="15"/>
      <c r="S849" s="15"/>
      <c r="T849" s="15"/>
      <c r="U849" s="15"/>
      <c r="V849" s="15"/>
      <c r="W849" s="15"/>
      <c r="X849" s="14"/>
      <c r="Y849" s="14"/>
      <c r="Z849" s="15"/>
      <c r="AA849" s="3"/>
      <c r="AB849" s="3"/>
      <c r="AC849" s="3"/>
      <c r="AD849" s="3"/>
      <c r="AE849" s="3"/>
      <c r="AF849" s="3"/>
    </row>
    <row r="850" ht="15.75" customHeight="1">
      <c r="J850" s="15"/>
      <c r="K850" s="238"/>
      <c r="L850" s="15"/>
      <c r="M850" s="15"/>
      <c r="N850" s="15"/>
      <c r="O850" s="15"/>
      <c r="P850" s="15"/>
      <c r="Q850" s="15"/>
      <c r="R850" s="15"/>
      <c r="S850" s="15"/>
      <c r="T850" s="15"/>
      <c r="U850" s="15"/>
      <c r="V850" s="15"/>
      <c r="W850" s="15"/>
      <c r="X850" s="14"/>
      <c r="Y850" s="14"/>
      <c r="Z850" s="15"/>
      <c r="AA850" s="3"/>
      <c r="AB850" s="3"/>
      <c r="AC850" s="3"/>
      <c r="AD850" s="3"/>
      <c r="AE850" s="3"/>
      <c r="AF850" s="3"/>
    </row>
    <row r="851" ht="15.75" customHeight="1">
      <c r="J851" s="15"/>
      <c r="K851" s="238"/>
      <c r="L851" s="15"/>
      <c r="M851" s="15"/>
      <c r="N851" s="15"/>
      <c r="O851" s="15"/>
      <c r="P851" s="15"/>
      <c r="Q851" s="15"/>
      <c r="R851" s="15"/>
      <c r="S851" s="15"/>
      <c r="T851" s="15"/>
      <c r="U851" s="15"/>
      <c r="V851" s="15"/>
      <c r="W851" s="15"/>
      <c r="X851" s="14"/>
      <c r="Y851" s="14"/>
      <c r="Z851" s="15"/>
      <c r="AA851" s="3"/>
      <c r="AB851" s="3"/>
      <c r="AC851" s="3"/>
      <c r="AD851" s="3"/>
      <c r="AE851" s="3"/>
      <c r="AF851" s="3"/>
    </row>
    <row r="852" ht="15.75" customHeight="1">
      <c r="J852" s="15"/>
      <c r="K852" s="238"/>
      <c r="L852" s="15"/>
      <c r="M852" s="15"/>
      <c r="N852" s="15"/>
      <c r="O852" s="15"/>
      <c r="P852" s="15"/>
      <c r="Q852" s="15"/>
      <c r="R852" s="15"/>
      <c r="S852" s="15"/>
      <c r="T852" s="15"/>
      <c r="U852" s="15"/>
      <c r="V852" s="15"/>
      <c r="W852" s="15"/>
      <c r="X852" s="14"/>
      <c r="Y852" s="14"/>
      <c r="Z852" s="15"/>
      <c r="AA852" s="3"/>
      <c r="AB852" s="3"/>
      <c r="AC852" s="3"/>
      <c r="AD852" s="3"/>
      <c r="AE852" s="3"/>
      <c r="AF852" s="3"/>
    </row>
    <row r="853" ht="15.75" customHeight="1">
      <c r="J853" s="15"/>
      <c r="K853" s="238"/>
      <c r="L853" s="15"/>
      <c r="M853" s="15"/>
      <c r="N853" s="15"/>
      <c r="O853" s="15"/>
      <c r="P853" s="15"/>
      <c r="Q853" s="15"/>
      <c r="R853" s="15"/>
      <c r="S853" s="15"/>
      <c r="T853" s="15"/>
      <c r="U853" s="15"/>
      <c r="V853" s="15"/>
      <c r="W853" s="15"/>
      <c r="X853" s="14"/>
      <c r="Y853" s="14"/>
      <c r="Z853" s="15"/>
      <c r="AA853" s="3"/>
      <c r="AB853" s="3"/>
      <c r="AC853" s="3"/>
      <c r="AD853" s="3"/>
      <c r="AE853" s="3"/>
      <c r="AF853" s="3"/>
    </row>
    <row r="854" ht="15.75" customHeight="1">
      <c r="J854" s="15"/>
      <c r="K854" s="238"/>
      <c r="L854" s="15"/>
      <c r="M854" s="15"/>
      <c r="N854" s="15"/>
      <c r="O854" s="15"/>
      <c r="P854" s="15"/>
      <c r="Q854" s="15"/>
      <c r="R854" s="15"/>
      <c r="S854" s="15"/>
      <c r="T854" s="15"/>
      <c r="U854" s="15"/>
      <c r="V854" s="15"/>
      <c r="W854" s="15"/>
      <c r="X854" s="14"/>
      <c r="Y854" s="14"/>
      <c r="Z854" s="15"/>
      <c r="AA854" s="3"/>
      <c r="AB854" s="3"/>
      <c r="AC854" s="3"/>
      <c r="AD854" s="3"/>
      <c r="AE854" s="3"/>
      <c r="AF854" s="3"/>
    </row>
    <row r="855" ht="15.75" customHeight="1">
      <c r="J855" s="15"/>
      <c r="K855" s="238"/>
      <c r="L855" s="15"/>
      <c r="M855" s="15"/>
      <c r="N855" s="15"/>
      <c r="O855" s="15"/>
      <c r="P855" s="15"/>
      <c r="Q855" s="15"/>
      <c r="R855" s="15"/>
      <c r="S855" s="15"/>
      <c r="T855" s="15"/>
      <c r="U855" s="15"/>
      <c r="V855" s="15"/>
      <c r="W855" s="15"/>
      <c r="X855" s="14"/>
      <c r="Y855" s="14"/>
      <c r="Z855" s="15"/>
      <c r="AA855" s="3"/>
      <c r="AB855" s="3"/>
      <c r="AC855" s="3"/>
      <c r="AD855" s="3"/>
      <c r="AE855" s="3"/>
      <c r="AF855" s="3"/>
    </row>
    <row r="856" ht="15.75" customHeight="1">
      <c r="J856" s="15"/>
      <c r="K856" s="238"/>
      <c r="L856" s="15"/>
      <c r="M856" s="15"/>
      <c r="N856" s="15"/>
      <c r="O856" s="15"/>
      <c r="P856" s="15"/>
      <c r="Q856" s="15"/>
      <c r="R856" s="15"/>
      <c r="S856" s="15"/>
      <c r="T856" s="15"/>
      <c r="U856" s="15"/>
      <c r="V856" s="15"/>
      <c r="W856" s="15"/>
      <c r="X856" s="14"/>
      <c r="Y856" s="14"/>
      <c r="Z856" s="15"/>
      <c r="AA856" s="3"/>
      <c r="AB856" s="3"/>
      <c r="AC856" s="3"/>
      <c r="AD856" s="3"/>
      <c r="AE856" s="3"/>
      <c r="AF856" s="3"/>
    </row>
    <row r="857" ht="15.75" customHeight="1">
      <c r="J857" s="15"/>
      <c r="K857" s="238"/>
      <c r="L857" s="15"/>
      <c r="M857" s="15"/>
      <c r="N857" s="15"/>
      <c r="O857" s="15"/>
      <c r="P857" s="15"/>
      <c r="Q857" s="15"/>
      <c r="R857" s="15"/>
      <c r="S857" s="15"/>
      <c r="T857" s="15"/>
      <c r="U857" s="15"/>
      <c r="V857" s="15"/>
      <c r="W857" s="15"/>
      <c r="X857" s="14"/>
      <c r="Y857" s="14"/>
      <c r="Z857" s="15"/>
      <c r="AA857" s="3"/>
      <c r="AB857" s="3"/>
      <c r="AC857" s="3"/>
      <c r="AD857" s="3"/>
      <c r="AE857" s="3"/>
      <c r="AF857" s="3"/>
    </row>
    <row r="858" ht="15.75" customHeight="1">
      <c r="J858" s="15"/>
      <c r="K858" s="238"/>
      <c r="L858" s="15"/>
      <c r="M858" s="15"/>
      <c r="N858" s="15"/>
      <c r="O858" s="15"/>
      <c r="P858" s="15"/>
      <c r="Q858" s="15"/>
      <c r="R858" s="15"/>
      <c r="S858" s="15"/>
      <c r="T858" s="15"/>
      <c r="U858" s="15"/>
      <c r="V858" s="15"/>
      <c r="W858" s="15"/>
      <c r="X858" s="14"/>
      <c r="Y858" s="14"/>
      <c r="Z858" s="15"/>
      <c r="AA858" s="3"/>
      <c r="AB858" s="3"/>
      <c r="AC858" s="3"/>
      <c r="AD858" s="3"/>
      <c r="AE858" s="3"/>
      <c r="AF858" s="3"/>
    </row>
    <row r="859" ht="15.75" customHeight="1">
      <c r="J859" s="15"/>
      <c r="K859" s="238"/>
      <c r="L859" s="15"/>
      <c r="M859" s="15"/>
      <c r="N859" s="15"/>
      <c r="O859" s="15"/>
      <c r="P859" s="15"/>
      <c r="Q859" s="15"/>
      <c r="R859" s="15"/>
      <c r="S859" s="15"/>
      <c r="T859" s="15"/>
      <c r="U859" s="15"/>
      <c r="V859" s="15"/>
      <c r="W859" s="15"/>
      <c r="X859" s="14"/>
      <c r="Y859" s="14"/>
      <c r="Z859" s="15"/>
      <c r="AA859" s="3"/>
      <c r="AB859" s="3"/>
      <c r="AC859" s="3"/>
      <c r="AD859" s="3"/>
      <c r="AE859" s="3"/>
      <c r="AF859" s="3"/>
    </row>
    <row r="860" ht="15.75" customHeight="1">
      <c r="J860" s="15"/>
      <c r="K860" s="238"/>
      <c r="L860" s="15"/>
      <c r="M860" s="15"/>
      <c r="N860" s="15"/>
      <c r="O860" s="15"/>
      <c r="P860" s="15"/>
      <c r="Q860" s="15"/>
      <c r="R860" s="15"/>
      <c r="S860" s="15"/>
      <c r="T860" s="15"/>
      <c r="U860" s="15"/>
      <c r="V860" s="15"/>
      <c r="W860" s="15"/>
      <c r="X860" s="14"/>
      <c r="Y860" s="14"/>
      <c r="Z860" s="15"/>
      <c r="AA860" s="3"/>
      <c r="AB860" s="3"/>
      <c r="AC860" s="3"/>
      <c r="AD860" s="3"/>
      <c r="AE860" s="3"/>
      <c r="AF860" s="3"/>
    </row>
    <row r="861" ht="15.75" customHeight="1">
      <c r="J861" s="15"/>
      <c r="K861" s="238"/>
      <c r="L861" s="15"/>
      <c r="M861" s="15"/>
      <c r="N861" s="15"/>
      <c r="O861" s="15"/>
      <c r="P861" s="15"/>
      <c r="Q861" s="15"/>
      <c r="R861" s="15"/>
      <c r="S861" s="15"/>
      <c r="T861" s="15"/>
      <c r="U861" s="15"/>
      <c r="V861" s="15"/>
      <c r="W861" s="15"/>
      <c r="X861" s="14"/>
      <c r="Y861" s="14"/>
      <c r="Z861" s="15"/>
      <c r="AA861" s="3"/>
      <c r="AB861" s="3"/>
      <c r="AC861" s="3"/>
      <c r="AD861" s="3"/>
      <c r="AE861" s="3"/>
      <c r="AF861" s="3"/>
    </row>
    <row r="862" ht="15.75" customHeight="1">
      <c r="J862" s="15"/>
      <c r="K862" s="238"/>
      <c r="L862" s="15"/>
      <c r="M862" s="15"/>
      <c r="N862" s="15"/>
      <c r="O862" s="15"/>
      <c r="P862" s="15"/>
      <c r="Q862" s="15"/>
      <c r="R862" s="15"/>
      <c r="S862" s="15"/>
      <c r="T862" s="15"/>
      <c r="U862" s="15"/>
      <c r="V862" s="15"/>
      <c r="W862" s="15"/>
      <c r="X862" s="14"/>
      <c r="Y862" s="14"/>
      <c r="Z862" s="15"/>
      <c r="AA862" s="3"/>
      <c r="AB862" s="3"/>
      <c r="AC862" s="3"/>
      <c r="AD862" s="3"/>
      <c r="AE862" s="3"/>
      <c r="AF862" s="3"/>
    </row>
    <row r="863" ht="15.75" customHeight="1">
      <c r="J863" s="15"/>
      <c r="K863" s="238"/>
      <c r="L863" s="15"/>
      <c r="M863" s="15"/>
      <c r="N863" s="15"/>
      <c r="O863" s="15"/>
      <c r="P863" s="15"/>
      <c r="Q863" s="15"/>
      <c r="R863" s="15"/>
      <c r="S863" s="15"/>
      <c r="T863" s="15"/>
      <c r="U863" s="15"/>
      <c r="V863" s="15"/>
      <c r="W863" s="15"/>
      <c r="X863" s="14"/>
      <c r="Y863" s="14"/>
      <c r="Z863" s="15"/>
      <c r="AA863" s="3"/>
      <c r="AB863" s="3"/>
      <c r="AC863" s="3"/>
      <c r="AD863" s="3"/>
      <c r="AE863" s="3"/>
      <c r="AF863" s="3"/>
    </row>
    <row r="864" ht="15.75" customHeight="1">
      <c r="J864" s="15"/>
      <c r="K864" s="238"/>
      <c r="L864" s="15"/>
      <c r="M864" s="15"/>
      <c r="N864" s="15"/>
      <c r="O864" s="15"/>
      <c r="P864" s="15"/>
      <c r="Q864" s="15"/>
      <c r="R864" s="15"/>
      <c r="S864" s="15"/>
      <c r="T864" s="15"/>
      <c r="U864" s="15"/>
      <c r="V864" s="15"/>
      <c r="W864" s="15"/>
      <c r="X864" s="14"/>
      <c r="Y864" s="14"/>
      <c r="Z864" s="15"/>
      <c r="AA864" s="3"/>
      <c r="AB864" s="3"/>
      <c r="AC864" s="3"/>
      <c r="AD864" s="3"/>
      <c r="AE864" s="3"/>
      <c r="AF864" s="3"/>
    </row>
    <row r="865" ht="15.75" customHeight="1">
      <c r="J865" s="15"/>
      <c r="K865" s="238"/>
      <c r="L865" s="15"/>
      <c r="M865" s="15"/>
      <c r="N865" s="15"/>
      <c r="O865" s="15"/>
      <c r="P865" s="15"/>
      <c r="Q865" s="15"/>
      <c r="R865" s="15"/>
      <c r="S865" s="15"/>
      <c r="T865" s="15"/>
      <c r="U865" s="15"/>
      <c r="V865" s="15"/>
      <c r="W865" s="15"/>
      <c r="X865" s="14"/>
      <c r="Y865" s="14"/>
      <c r="Z865" s="15"/>
      <c r="AA865" s="3"/>
      <c r="AB865" s="3"/>
      <c r="AC865" s="3"/>
      <c r="AD865" s="3"/>
      <c r="AE865" s="3"/>
      <c r="AF865" s="3"/>
    </row>
    <row r="866" ht="15.75" customHeight="1">
      <c r="J866" s="15"/>
      <c r="K866" s="238"/>
      <c r="L866" s="15"/>
      <c r="M866" s="15"/>
      <c r="N866" s="15"/>
      <c r="O866" s="15"/>
      <c r="P866" s="15"/>
      <c r="Q866" s="15"/>
      <c r="R866" s="15"/>
      <c r="S866" s="15"/>
      <c r="T866" s="15"/>
      <c r="U866" s="15"/>
      <c r="V866" s="15"/>
      <c r="W866" s="15"/>
      <c r="X866" s="14"/>
      <c r="Y866" s="14"/>
      <c r="Z866" s="15"/>
      <c r="AA866" s="3"/>
      <c r="AB866" s="3"/>
      <c r="AC866" s="3"/>
      <c r="AD866" s="3"/>
      <c r="AE866" s="3"/>
      <c r="AF866" s="3"/>
    </row>
    <row r="867" ht="15.75" customHeight="1">
      <c r="J867" s="15"/>
      <c r="K867" s="238"/>
      <c r="L867" s="15"/>
      <c r="M867" s="15"/>
      <c r="N867" s="15"/>
      <c r="O867" s="15"/>
      <c r="P867" s="15"/>
      <c r="Q867" s="15"/>
      <c r="R867" s="15"/>
      <c r="S867" s="15"/>
      <c r="T867" s="15"/>
      <c r="U867" s="15"/>
      <c r="V867" s="15"/>
      <c r="W867" s="15"/>
      <c r="X867" s="14"/>
      <c r="Y867" s="14"/>
      <c r="Z867" s="15"/>
      <c r="AA867" s="3"/>
      <c r="AB867" s="3"/>
      <c r="AC867" s="3"/>
      <c r="AD867" s="3"/>
      <c r="AE867" s="3"/>
      <c r="AF867" s="3"/>
    </row>
    <row r="868" ht="15.75" customHeight="1">
      <c r="J868" s="15"/>
      <c r="K868" s="238"/>
      <c r="L868" s="15"/>
      <c r="M868" s="15"/>
      <c r="N868" s="15"/>
      <c r="O868" s="15"/>
      <c r="P868" s="15"/>
      <c r="Q868" s="15"/>
      <c r="R868" s="15"/>
      <c r="S868" s="15"/>
      <c r="T868" s="15"/>
      <c r="U868" s="15"/>
      <c r="V868" s="15"/>
      <c r="W868" s="15"/>
      <c r="X868" s="14"/>
      <c r="Y868" s="14"/>
      <c r="Z868" s="15"/>
      <c r="AA868" s="3"/>
      <c r="AB868" s="3"/>
      <c r="AC868" s="3"/>
      <c r="AD868" s="3"/>
      <c r="AE868" s="3"/>
      <c r="AF868" s="3"/>
    </row>
    <row r="869" ht="15.75" customHeight="1">
      <c r="J869" s="15"/>
      <c r="K869" s="238"/>
      <c r="L869" s="15"/>
      <c r="M869" s="15"/>
      <c r="N869" s="15"/>
      <c r="O869" s="15"/>
      <c r="P869" s="15"/>
      <c r="Q869" s="15"/>
      <c r="R869" s="15"/>
      <c r="S869" s="15"/>
      <c r="T869" s="15"/>
      <c r="U869" s="15"/>
      <c r="V869" s="15"/>
      <c r="W869" s="15"/>
      <c r="X869" s="14"/>
      <c r="Y869" s="14"/>
      <c r="Z869" s="15"/>
      <c r="AA869" s="3"/>
      <c r="AB869" s="3"/>
      <c r="AC869" s="3"/>
      <c r="AD869" s="3"/>
      <c r="AE869" s="3"/>
      <c r="AF869" s="3"/>
    </row>
    <row r="870" ht="15.75" customHeight="1">
      <c r="J870" s="15"/>
      <c r="K870" s="238"/>
      <c r="L870" s="15"/>
      <c r="M870" s="15"/>
      <c r="N870" s="15"/>
      <c r="O870" s="15"/>
      <c r="P870" s="15"/>
      <c r="Q870" s="15"/>
      <c r="R870" s="15"/>
      <c r="S870" s="15"/>
      <c r="T870" s="15"/>
      <c r="U870" s="15"/>
      <c r="V870" s="15"/>
      <c r="W870" s="15"/>
      <c r="X870" s="14"/>
      <c r="Y870" s="14"/>
      <c r="Z870" s="15"/>
      <c r="AA870" s="3"/>
      <c r="AB870" s="3"/>
      <c r="AC870" s="3"/>
      <c r="AD870" s="3"/>
      <c r="AE870" s="3"/>
      <c r="AF870" s="3"/>
    </row>
    <row r="871" ht="15.75" customHeight="1">
      <c r="J871" s="15"/>
      <c r="K871" s="238"/>
      <c r="L871" s="15"/>
      <c r="M871" s="15"/>
      <c r="N871" s="15"/>
      <c r="O871" s="15"/>
      <c r="P871" s="15"/>
      <c r="Q871" s="15"/>
      <c r="R871" s="15"/>
      <c r="S871" s="15"/>
      <c r="T871" s="15"/>
      <c r="U871" s="15"/>
      <c r="V871" s="15"/>
      <c r="W871" s="15"/>
      <c r="X871" s="14"/>
      <c r="Y871" s="14"/>
      <c r="Z871" s="15"/>
      <c r="AA871" s="3"/>
      <c r="AB871" s="3"/>
      <c r="AC871" s="3"/>
      <c r="AD871" s="3"/>
      <c r="AE871" s="3"/>
      <c r="AF871" s="3"/>
    </row>
    <row r="872" ht="15.75" customHeight="1">
      <c r="J872" s="15"/>
      <c r="K872" s="238"/>
      <c r="L872" s="15"/>
      <c r="M872" s="15"/>
      <c r="N872" s="15"/>
      <c r="O872" s="15"/>
      <c r="P872" s="15"/>
      <c r="Q872" s="15"/>
      <c r="R872" s="15"/>
      <c r="S872" s="15"/>
      <c r="T872" s="15"/>
      <c r="U872" s="15"/>
      <c r="V872" s="15"/>
      <c r="W872" s="15"/>
      <c r="X872" s="14"/>
      <c r="Y872" s="14"/>
      <c r="Z872" s="15"/>
      <c r="AA872" s="3"/>
      <c r="AB872" s="3"/>
      <c r="AC872" s="3"/>
      <c r="AD872" s="3"/>
      <c r="AE872" s="3"/>
      <c r="AF872" s="3"/>
    </row>
    <row r="873" ht="15.75" customHeight="1">
      <c r="J873" s="15"/>
      <c r="K873" s="238"/>
      <c r="L873" s="15"/>
      <c r="M873" s="15"/>
      <c r="N873" s="15"/>
      <c r="O873" s="15"/>
      <c r="P873" s="15"/>
      <c r="Q873" s="15"/>
      <c r="R873" s="15"/>
      <c r="S873" s="15"/>
      <c r="T873" s="15"/>
      <c r="U873" s="15"/>
      <c r="V873" s="15"/>
      <c r="W873" s="15"/>
      <c r="X873" s="14"/>
      <c r="Y873" s="14"/>
      <c r="Z873" s="15"/>
      <c r="AA873" s="3"/>
      <c r="AB873" s="3"/>
      <c r="AC873" s="3"/>
      <c r="AD873" s="3"/>
      <c r="AE873" s="3"/>
      <c r="AF873" s="3"/>
    </row>
    <row r="874" ht="15.75" customHeight="1">
      <c r="J874" s="15"/>
      <c r="K874" s="238"/>
      <c r="L874" s="15"/>
      <c r="M874" s="15"/>
      <c r="N874" s="15"/>
      <c r="O874" s="15"/>
      <c r="P874" s="15"/>
      <c r="Q874" s="15"/>
      <c r="R874" s="15"/>
      <c r="S874" s="15"/>
      <c r="T874" s="15"/>
      <c r="U874" s="15"/>
      <c r="V874" s="15"/>
      <c r="W874" s="15"/>
      <c r="X874" s="14"/>
      <c r="Y874" s="14"/>
      <c r="Z874" s="15"/>
      <c r="AA874" s="3"/>
      <c r="AB874" s="3"/>
      <c r="AC874" s="3"/>
      <c r="AD874" s="3"/>
      <c r="AE874" s="3"/>
      <c r="AF874" s="3"/>
    </row>
    <row r="875" ht="15.75" customHeight="1">
      <c r="J875" s="15"/>
      <c r="K875" s="238"/>
      <c r="L875" s="15"/>
      <c r="M875" s="15"/>
      <c r="N875" s="15"/>
      <c r="O875" s="15"/>
      <c r="P875" s="15"/>
      <c r="Q875" s="15"/>
      <c r="R875" s="15"/>
      <c r="S875" s="15"/>
      <c r="T875" s="15"/>
      <c r="U875" s="15"/>
      <c r="V875" s="15"/>
      <c r="W875" s="15"/>
      <c r="X875" s="14"/>
      <c r="Y875" s="14"/>
      <c r="Z875" s="15"/>
      <c r="AA875" s="3"/>
      <c r="AB875" s="3"/>
      <c r="AC875" s="3"/>
      <c r="AD875" s="3"/>
      <c r="AE875" s="3"/>
      <c r="AF875" s="3"/>
    </row>
    <row r="876" ht="15.75" customHeight="1">
      <c r="J876" s="15"/>
      <c r="K876" s="238"/>
      <c r="L876" s="15"/>
      <c r="M876" s="15"/>
      <c r="N876" s="15"/>
      <c r="O876" s="15"/>
      <c r="P876" s="15"/>
      <c r="Q876" s="15"/>
      <c r="R876" s="15"/>
      <c r="S876" s="15"/>
      <c r="T876" s="15"/>
      <c r="U876" s="15"/>
      <c r="V876" s="15"/>
      <c r="W876" s="15"/>
      <c r="X876" s="14"/>
      <c r="Y876" s="14"/>
      <c r="Z876" s="15"/>
      <c r="AA876" s="3"/>
      <c r="AB876" s="3"/>
      <c r="AC876" s="3"/>
      <c r="AD876" s="3"/>
      <c r="AE876" s="3"/>
      <c r="AF876" s="3"/>
    </row>
    <row r="877" ht="15.75" customHeight="1">
      <c r="J877" s="15"/>
      <c r="K877" s="238"/>
      <c r="L877" s="15"/>
      <c r="M877" s="15"/>
      <c r="N877" s="15"/>
      <c r="O877" s="15"/>
      <c r="P877" s="15"/>
      <c r="Q877" s="15"/>
      <c r="R877" s="15"/>
      <c r="S877" s="15"/>
      <c r="T877" s="15"/>
      <c r="U877" s="15"/>
      <c r="V877" s="15"/>
      <c r="W877" s="15"/>
      <c r="X877" s="14"/>
      <c r="Y877" s="14"/>
      <c r="Z877" s="15"/>
      <c r="AA877" s="3"/>
      <c r="AB877" s="3"/>
      <c r="AC877" s="3"/>
      <c r="AD877" s="3"/>
      <c r="AE877" s="3"/>
      <c r="AF877" s="3"/>
    </row>
    <row r="878" ht="15.75" customHeight="1">
      <c r="J878" s="15"/>
      <c r="K878" s="238"/>
      <c r="L878" s="15"/>
      <c r="M878" s="15"/>
      <c r="N878" s="15"/>
      <c r="O878" s="15"/>
      <c r="P878" s="15"/>
      <c r="Q878" s="15"/>
      <c r="R878" s="15"/>
      <c r="S878" s="15"/>
      <c r="T878" s="15"/>
      <c r="U878" s="15"/>
      <c r="V878" s="15"/>
      <c r="W878" s="15"/>
      <c r="X878" s="14"/>
      <c r="Y878" s="14"/>
      <c r="Z878" s="15"/>
      <c r="AA878" s="3"/>
      <c r="AB878" s="3"/>
      <c r="AC878" s="3"/>
      <c r="AD878" s="3"/>
      <c r="AE878" s="3"/>
      <c r="AF878" s="3"/>
    </row>
    <row r="879" ht="15.75" customHeight="1">
      <c r="J879" s="15"/>
      <c r="K879" s="238"/>
      <c r="L879" s="15"/>
      <c r="M879" s="15"/>
      <c r="N879" s="15"/>
      <c r="O879" s="15"/>
      <c r="P879" s="15"/>
      <c r="Q879" s="15"/>
      <c r="R879" s="15"/>
      <c r="S879" s="15"/>
      <c r="T879" s="15"/>
      <c r="U879" s="15"/>
      <c r="V879" s="15"/>
      <c r="W879" s="15"/>
      <c r="X879" s="14"/>
      <c r="Y879" s="14"/>
      <c r="Z879" s="15"/>
      <c r="AA879" s="3"/>
      <c r="AB879" s="3"/>
      <c r="AC879" s="3"/>
      <c r="AD879" s="3"/>
      <c r="AE879" s="3"/>
      <c r="AF879" s="3"/>
    </row>
    <row r="880" ht="15.75" customHeight="1">
      <c r="J880" s="15"/>
      <c r="K880" s="238"/>
      <c r="L880" s="15"/>
      <c r="M880" s="15"/>
      <c r="N880" s="15"/>
      <c r="O880" s="15"/>
      <c r="P880" s="15"/>
      <c r="Q880" s="15"/>
      <c r="R880" s="15"/>
      <c r="S880" s="15"/>
      <c r="T880" s="15"/>
      <c r="U880" s="15"/>
      <c r="V880" s="15"/>
      <c r="W880" s="15"/>
      <c r="X880" s="14"/>
      <c r="Y880" s="14"/>
      <c r="Z880" s="15"/>
      <c r="AA880" s="3"/>
      <c r="AB880" s="3"/>
      <c r="AC880" s="3"/>
      <c r="AD880" s="3"/>
      <c r="AE880" s="3"/>
      <c r="AF880" s="3"/>
    </row>
    <row r="881" ht="15.75" customHeight="1">
      <c r="J881" s="15"/>
      <c r="K881" s="238"/>
      <c r="L881" s="15"/>
      <c r="M881" s="15"/>
      <c r="N881" s="15"/>
      <c r="O881" s="15"/>
      <c r="P881" s="15"/>
      <c r="Q881" s="15"/>
      <c r="R881" s="15"/>
      <c r="S881" s="15"/>
      <c r="T881" s="15"/>
      <c r="U881" s="15"/>
      <c r="V881" s="15"/>
      <c r="W881" s="15"/>
      <c r="X881" s="14"/>
      <c r="Y881" s="14"/>
      <c r="Z881" s="15"/>
      <c r="AA881" s="3"/>
      <c r="AB881" s="3"/>
      <c r="AC881" s="3"/>
      <c r="AD881" s="3"/>
      <c r="AE881" s="3"/>
      <c r="AF881" s="3"/>
    </row>
    <row r="882" ht="15.75" customHeight="1">
      <c r="J882" s="15"/>
      <c r="K882" s="238"/>
      <c r="L882" s="15"/>
      <c r="M882" s="15"/>
      <c r="N882" s="15"/>
      <c r="O882" s="15"/>
      <c r="P882" s="15"/>
      <c r="Q882" s="15"/>
      <c r="R882" s="15"/>
      <c r="S882" s="15"/>
      <c r="T882" s="15"/>
      <c r="U882" s="15"/>
      <c r="V882" s="15"/>
      <c r="W882" s="15"/>
      <c r="X882" s="14"/>
      <c r="Y882" s="14"/>
      <c r="Z882" s="15"/>
      <c r="AA882" s="3"/>
      <c r="AB882" s="3"/>
      <c r="AC882" s="3"/>
      <c r="AD882" s="3"/>
      <c r="AE882" s="3"/>
      <c r="AF882" s="3"/>
    </row>
    <row r="883" ht="15.75" customHeight="1">
      <c r="J883" s="15"/>
      <c r="K883" s="238"/>
      <c r="L883" s="15"/>
      <c r="M883" s="15"/>
      <c r="N883" s="15"/>
      <c r="O883" s="15"/>
      <c r="P883" s="15"/>
      <c r="Q883" s="15"/>
      <c r="R883" s="15"/>
      <c r="S883" s="15"/>
      <c r="T883" s="15"/>
      <c r="U883" s="15"/>
      <c r="V883" s="15"/>
      <c r="W883" s="15"/>
      <c r="X883" s="14"/>
      <c r="Y883" s="14"/>
      <c r="Z883" s="15"/>
      <c r="AA883" s="3"/>
      <c r="AB883" s="3"/>
      <c r="AC883" s="3"/>
      <c r="AD883" s="3"/>
      <c r="AE883" s="3"/>
      <c r="AF883" s="3"/>
    </row>
    <row r="884" ht="15.75" customHeight="1">
      <c r="J884" s="15"/>
      <c r="K884" s="238"/>
      <c r="L884" s="15"/>
      <c r="M884" s="15"/>
      <c r="N884" s="15"/>
      <c r="O884" s="15"/>
      <c r="P884" s="15"/>
      <c r="Q884" s="15"/>
      <c r="R884" s="15"/>
      <c r="S884" s="15"/>
      <c r="T884" s="15"/>
      <c r="U884" s="15"/>
      <c r="V884" s="15"/>
      <c r="W884" s="15"/>
      <c r="X884" s="14"/>
      <c r="Y884" s="14"/>
      <c r="Z884" s="15"/>
      <c r="AA884" s="3"/>
      <c r="AB884" s="3"/>
      <c r="AC884" s="3"/>
      <c r="AD884" s="3"/>
      <c r="AE884" s="3"/>
      <c r="AF884" s="3"/>
    </row>
    <row r="885" ht="15.75" customHeight="1">
      <c r="J885" s="15"/>
      <c r="K885" s="238"/>
      <c r="L885" s="15"/>
      <c r="M885" s="15"/>
      <c r="N885" s="15"/>
      <c r="O885" s="15"/>
      <c r="P885" s="15"/>
      <c r="Q885" s="15"/>
      <c r="R885" s="15"/>
      <c r="S885" s="15"/>
      <c r="T885" s="15"/>
      <c r="U885" s="15"/>
      <c r="V885" s="15"/>
      <c r="W885" s="15"/>
      <c r="X885" s="14"/>
      <c r="Y885" s="14"/>
      <c r="Z885" s="15"/>
      <c r="AA885" s="3"/>
      <c r="AB885" s="3"/>
      <c r="AC885" s="3"/>
      <c r="AD885" s="3"/>
      <c r="AE885" s="3"/>
      <c r="AF885" s="3"/>
    </row>
    <row r="886" ht="15.75" customHeight="1">
      <c r="J886" s="15"/>
      <c r="K886" s="238"/>
      <c r="L886" s="15"/>
      <c r="M886" s="15"/>
      <c r="N886" s="15"/>
      <c r="O886" s="15"/>
      <c r="P886" s="15"/>
      <c r="Q886" s="15"/>
      <c r="R886" s="15"/>
      <c r="S886" s="15"/>
      <c r="T886" s="15"/>
      <c r="U886" s="15"/>
      <c r="V886" s="15"/>
      <c r="W886" s="15"/>
      <c r="X886" s="14"/>
      <c r="Y886" s="14"/>
      <c r="Z886" s="15"/>
      <c r="AA886" s="3"/>
      <c r="AB886" s="3"/>
      <c r="AC886" s="3"/>
      <c r="AD886" s="3"/>
      <c r="AE886" s="3"/>
      <c r="AF886" s="3"/>
    </row>
    <row r="887" ht="15.75" customHeight="1">
      <c r="J887" s="15"/>
      <c r="K887" s="238"/>
      <c r="L887" s="15"/>
      <c r="M887" s="15"/>
      <c r="N887" s="15"/>
      <c r="O887" s="15"/>
      <c r="P887" s="15"/>
      <c r="Q887" s="15"/>
      <c r="R887" s="15"/>
      <c r="S887" s="15"/>
      <c r="T887" s="15"/>
      <c r="U887" s="15"/>
      <c r="V887" s="15"/>
      <c r="W887" s="15"/>
      <c r="X887" s="14"/>
      <c r="Y887" s="14"/>
      <c r="Z887" s="15"/>
      <c r="AA887" s="3"/>
      <c r="AB887" s="3"/>
      <c r="AC887" s="3"/>
      <c r="AD887" s="3"/>
      <c r="AE887" s="3"/>
      <c r="AF887" s="3"/>
    </row>
    <row r="888" ht="15.75" customHeight="1">
      <c r="J888" s="15"/>
      <c r="K888" s="238"/>
      <c r="L888" s="15"/>
      <c r="M888" s="15"/>
      <c r="N888" s="15"/>
      <c r="O888" s="15"/>
      <c r="P888" s="15"/>
      <c r="Q888" s="15"/>
      <c r="R888" s="15"/>
      <c r="S888" s="15"/>
      <c r="T888" s="15"/>
      <c r="U888" s="15"/>
      <c r="V888" s="15"/>
      <c r="W888" s="15"/>
      <c r="X888" s="14"/>
      <c r="Y888" s="14"/>
      <c r="Z888" s="15"/>
      <c r="AA888" s="3"/>
      <c r="AB888" s="3"/>
      <c r="AC888" s="3"/>
      <c r="AD888" s="3"/>
      <c r="AE888" s="3"/>
      <c r="AF888" s="3"/>
    </row>
    <row r="889" ht="15.75" customHeight="1">
      <c r="J889" s="15"/>
      <c r="K889" s="238"/>
      <c r="L889" s="15"/>
      <c r="M889" s="15"/>
      <c r="N889" s="15"/>
      <c r="O889" s="15"/>
      <c r="P889" s="15"/>
      <c r="Q889" s="15"/>
      <c r="R889" s="15"/>
      <c r="S889" s="15"/>
      <c r="T889" s="15"/>
      <c r="U889" s="15"/>
      <c r="V889" s="15"/>
      <c r="W889" s="15"/>
      <c r="X889" s="14"/>
      <c r="Y889" s="14"/>
      <c r="Z889" s="15"/>
      <c r="AA889" s="3"/>
      <c r="AB889" s="3"/>
      <c r="AC889" s="3"/>
      <c r="AD889" s="3"/>
      <c r="AE889" s="3"/>
      <c r="AF889" s="3"/>
    </row>
    <row r="890" ht="15.75" customHeight="1">
      <c r="J890" s="15"/>
      <c r="K890" s="238"/>
      <c r="L890" s="15"/>
      <c r="M890" s="15"/>
      <c r="N890" s="15"/>
      <c r="O890" s="15"/>
      <c r="P890" s="15"/>
      <c r="Q890" s="15"/>
      <c r="R890" s="15"/>
      <c r="S890" s="15"/>
      <c r="T890" s="15"/>
      <c r="U890" s="15"/>
      <c r="V890" s="15"/>
      <c r="W890" s="15"/>
      <c r="X890" s="14"/>
      <c r="Y890" s="14"/>
      <c r="Z890" s="15"/>
      <c r="AA890" s="3"/>
      <c r="AB890" s="3"/>
      <c r="AC890" s="3"/>
      <c r="AD890" s="3"/>
      <c r="AE890" s="3"/>
      <c r="AF890" s="3"/>
    </row>
    <row r="891" ht="15.75" customHeight="1">
      <c r="J891" s="15"/>
      <c r="K891" s="238"/>
      <c r="L891" s="15"/>
      <c r="M891" s="15"/>
      <c r="N891" s="15"/>
      <c r="O891" s="15"/>
      <c r="P891" s="15"/>
      <c r="Q891" s="15"/>
      <c r="R891" s="15"/>
      <c r="S891" s="15"/>
      <c r="T891" s="15"/>
      <c r="U891" s="15"/>
      <c r="V891" s="15"/>
      <c r="W891" s="15"/>
      <c r="X891" s="14"/>
      <c r="Y891" s="14"/>
      <c r="Z891" s="15"/>
      <c r="AA891" s="3"/>
      <c r="AB891" s="3"/>
      <c r="AC891" s="3"/>
      <c r="AD891" s="3"/>
      <c r="AE891" s="3"/>
      <c r="AF891" s="3"/>
    </row>
    <row r="892" ht="15.75" customHeight="1">
      <c r="J892" s="15"/>
      <c r="K892" s="238"/>
      <c r="L892" s="15"/>
      <c r="M892" s="15"/>
      <c r="N892" s="15"/>
      <c r="O892" s="15"/>
      <c r="P892" s="15"/>
      <c r="Q892" s="15"/>
      <c r="R892" s="15"/>
      <c r="S892" s="15"/>
      <c r="T892" s="15"/>
      <c r="U892" s="15"/>
      <c r="V892" s="15"/>
      <c r="W892" s="15"/>
      <c r="X892" s="14"/>
      <c r="Y892" s="14"/>
      <c r="Z892" s="15"/>
      <c r="AA892" s="3"/>
      <c r="AB892" s="3"/>
      <c r="AC892" s="3"/>
      <c r="AD892" s="3"/>
      <c r="AE892" s="3"/>
      <c r="AF892" s="3"/>
    </row>
    <row r="893" ht="15.75" customHeight="1">
      <c r="J893" s="15"/>
      <c r="K893" s="238"/>
      <c r="L893" s="15"/>
      <c r="M893" s="15"/>
      <c r="N893" s="15"/>
      <c r="O893" s="15"/>
      <c r="P893" s="15"/>
      <c r="Q893" s="15"/>
      <c r="R893" s="15"/>
      <c r="S893" s="15"/>
      <c r="T893" s="15"/>
      <c r="U893" s="15"/>
      <c r="V893" s="15"/>
      <c r="W893" s="15"/>
      <c r="X893" s="14"/>
      <c r="Y893" s="14"/>
      <c r="Z893" s="15"/>
      <c r="AA893" s="3"/>
      <c r="AB893" s="3"/>
      <c r="AC893" s="3"/>
      <c r="AD893" s="3"/>
      <c r="AE893" s="3"/>
      <c r="AF893" s="3"/>
    </row>
    <row r="894" ht="15.75" customHeight="1">
      <c r="J894" s="15"/>
      <c r="K894" s="238"/>
      <c r="L894" s="15"/>
      <c r="M894" s="15"/>
      <c r="N894" s="15"/>
      <c r="O894" s="15"/>
      <c r="P894" s="15"/>
      <c r="Q894" s="15"/>
      <c r="R894" s="15"/>
      <c r="S894" s="15"/>
      <c r="T894" s="15"/>
      <c r="U894" s="15"/>
      <c r="V894" s="15"/>
      <c r="W894" s="15"/>
      <c r="X894" s="14"/>
      <c r="Y894" s="14"/>
      <c r="Z894" s="15"/>
      <c r="AA894" s="3"/>
      <c r="AB894" s="3"/>
      <c r="AC894" s="3"/>
      <c r="AD894" s="3"/>
      <c r="AE894" s="3"/>
      <c r="AF894" s="3"/>
    </row>
    <row r="895" ht="15.75" customHeight="1">
      <c r="J895" s="15"/>
      <c r="K895" s="238"/>
      <c r="L895" s="15"/>
      <c r="M895" s="15"/>
      <c r="N895" s="15"/>
      <c r="O895" s="15"/>
      <c r="P895" s="15"/>
      <c r="Q895" s="15"/>
      <c r="R895" s="15"/>
      <c r="S895" s="15"/>
      <c r="T895" s="15"/>
      <c r="U895" s="15"/>
      <c r="V895" s="15"/>
      <c r="W895" s="15"/>
      <c r="X895" s="14"/>
      <c r="Y895" s="14"/>
      <c r="Z895" s="15"/>
      <c r="AA895" s="3"/>
      <c r="AB895" s="3"/>
      <c r="AC895" s="3"/>
      <c r="AD895" s="3"/>
      <c r="AE895" s="3"/>
      <c r="AF895" s="3"/>
    </row>
    <row r="896" ht="15.75" customHeight="1">
      <c r="J896" s="15"/>
      <c r="K896" s="238"/>
      <c r="L896" s="15"/>
      <c r="M896" s="15"/>
      <c r="N896" s="15"/>
      <c r="O896" s="15"/>
      <c r="P896" s="15"/>
      <c r="Q896" s="15"/>
      <c r="R896" s="15"/>
      <c r="S896" s="15"/>
      <c r="T896" s="15"/>
      <c r="U896" s="15"/>
      <c r="V896" s="15"/>
      <c r="W896" s="15"/>
      <c r="X896" s="14"/>
      <c r="Y896" s="14"/>
      <c r="Z896" s="15"/>
      <c r="AA896" s="3"/>
      <c r="AB896" s="3"/>
      <c r="AC896" s="3"/>
      <c r="AD896" s="3"/>
      <c r="AE896" s="3"/>
      <c r="AF896" s="3"/>
    </row>
    <row r="897" ht="15.75" customHeight="1">
      <c r="J897" s="15"/>
      <c r="K897" s="238"/>
      <c r="L897" s="15"/>
      <c r="M897" s="15"/>
      <c r="N897" s="15"/>
      <c r="O897" s="15"/>
      <c r="P897" s="15"/>
      <c r="Q897" s="15"/>
      <c r="R897" s="15"/>
      <c r="S897" s="15"/>
      <c r="T897" s="15"/>
      <c r="U897" s="15"/>
      <c r="V897" s="15"/>
      <c r="W897" s="15"/>
      <c r="X897" s="14"/>
      <c r="Y897" s="14"/>
      <c r="Z897" s="15"/>
      <c r="AA897" s="3"/>
      <c r="AB897" s="3"/>
      <c r="AC897" s="3"/>
      <c r="AD897" s="3"/>
      <c r="AE897" s="3"/>
      <c r="AF897" s="3"/>
    </row>
    <row r="898" ht="15.75" customHeight="1">
      <c r="J898" s="15"/>
      <c r="K898" s="238"/>
      <c r="L898" s="15"/>
      <c r="M898" s="15"/>
      <c r="N898" s="15"/>
      <c r="O898" s="15"/>
      <c r="P898" s="15"/>
      <c r="Q898" s="15"/>
      <c r="R898" s="15"/>
      <c r="S898" s="15"/>
      <c r="T898" s="15"/>
      <c r="U898" s="15"/>
      <c r="V898" s="15"/>
      <c r="W898" s="15"/>
      <c r="X898" s="14"/>
      <c r="Y898" s="14"/>
      <c r="Z898" s="15"/>
      <c r="AA898" s="3"/>
      <c r="AB898" s="3"/>
      <c r="AC898" s="3"/>
      <c r="AD898" s="3"/>
      <c r="AE898" s="3"/>
      <c r="AF898" s="3"/>
    </row>
    <row r="899" ht="15.75" customHeight="1">
      <c r="J899" s="15"/>
      <c r="K899" s="238"/>
      <c r="L899" s="15"/>
      <c r="M899" s="15"/>
      <c r="N899" s="15"/>
      <c r="O899" s="15"/>
      <c r="P899" s="15"/>
      <c r="Q899" s="15"/>
      <c r="R899" s="15"/>
      <c r="S899" s="15"/>
      <c r="T899" s="15"/>
      <c r="U899" s="15"/>
      <c r="V899" s="15"/>
      <c r="W899" s="15"/>
      <c r="X899" s="14"/>
      <c r="Y899" s="14"/>
      <c r="Z899" s="15"/>
      <c r="AA899" s="3"/>
      <c r="AB899" s="3"/>
      <c r="AC899" s="3"/>
      <c r="AD899" s="3"/>
      <c r="AE899" s="3"/>
      <c r="AF899" s="3"/>
    </row>
    <row r="900" ht="15.75" customHeight="1">
      <c r="J900" s="15"/>
      <c r="K900" s="238"/>
      <c r="L900" s="15"/>
      <c r="M900" s="15"/>
      <c r="N900" s="15"/>
      <c r="O900" s="15"/>
      <c r="P900" s="15"/>
      <c r="Q900" s="15"/>
      <c r="R900" s="15"/>
      <c r="S900" s="15"/>
      <c r="T900" s="15"/>
      <c r="U900" s="15"/>
      <c r="V900" s="15"/>
      <c r="W900" s="15"/>
      <c r="X900" s="14"/>
      <c r="Y900" s="14"/>
      <c r="Z900" s="15"/>
      <c r="AA900" s="3"/>
      <c r="AB900" s="3"/>
      <c r="AC900" s="3"/>
      <c r="AD900" s="3"/>
      <c r="AE900" s="3"/>
      <c r="AF900" s="3"/>
    </row>
    <row r="901" ht="15.75" customHeight="1">
      <c r="J901" s="15"/>
      <c r="K901" s="238"/>
      <c r="L901" s="15"/>
      <c r="M901" s="15"/>
      <c r="N901" s="15"/>
      <c r="O901" s="15"/>
      <c r="P901" s="15"/>
      <c r="Q901" s="15"/>
      <c r="R901" s="15"/>
      <c r="S901" s="15"/>
      <c r="T901" s="15"/>
      <c r="U901" s="15"/>
      <c r="V901" s="15"/>
      <c r="W901" s="15"/>
      <c r="X901" s="14"/>
      <c r="Y901" s="14"/>
      <c r="Z901" s="15"/>
      <c r="AA901" s="3"/>
      <c r="AB901" s="3"/>
      <c r="AC901" s="3"/>
      <c r="AD901" s="3"/>
      <c r="AE901" s="3"/>
      <c r="AF901" s="3"/>
    </row>
    <row r="902" ht="15.75" customHeight="1">
      <c r="J902" s="15"/>
      <c r="K902" s="238"/>
      <c r="L902" s="15"/>
      <c r="M902" s="15"/>
      <c r="N902" s="15"/>
      <c r="O902" s="15"/>
      <c r="P902" s="15"/>
      <c r="Q902" s="15"/>
      <c r="R902" s="15"/>
      <c r="S902" s="15"/>
      <c r="T902" s="15"/>
      <c r="U902" s="15"/>
      <c r="V902" s="15"/>
      <c r="W902" s="15"/>
      <c r="X902" s="14"/>
      <c r="Y902" s="14"/>
      <c r="Z902" s="15"/>
      <c r="AA902" s="3"/>
      <c r="AB902" s="3"/>
      <c r="AC902" s="3"/>
      <c r="AD902" s="3"/>
      <c r="AE902" s="3"/>
      <c r="AF902" s="3"/>
    </row>
    <row r="903" ht="15.75" customHeight="1">
      <c r="J903" s="15"/>
      <c r="K903" s="238"/>
      <c r="L903" s="15"/>
      <c r="M903" s="15"/>
      <c r="N903" s="15"/>
      <c r="O903" s="15"/>
      <c r="P903" s="15"/>
      <c r="Q903" s="15"/>
      <c r="R903" s="15"/>
      <c r="S903" s="15"/>
      <c r="T903" s="15"/>
      <c r="U903" s="15"/>
      <c r="V903" s="15"/>
      <c r="W903" s="15"/>
      <c r="X903" s="14"/>
      <c r="Y903" s="14"/>
      <c r="Z903" s="15"/>
      <c r="AA903" s="3"/>
      <c r="AB903" s="3"/>
      <c r="AC903" s="3"/>
      <c r="AD903" s="3"/>
      <c r="AE903" s="3"/>
      <c r="AF903" s="3"/>
    </row>
    <row r="904" ht="15.75" customHeight="1">
      <c r="J904" s="15"/>
      <c r="K904" s="238"/>
      <c r="L904" s="15"/>
      <c r="M904" s="15"/>
      <c r="N904" s="15"/>
      <c r="O904" s="15"/>
      <c r="P904" s="15"/>
      <c r="Q904" s="15"/>
      <c r="R904" s="15"/>
      <c r="S904" s="15"/>
      <c r="T904" s="15"/>
      <c r="U904" s="15"/>
      <c r="V904" s="15"/>
      <c r="W904" s="15"/>
      <c r="X904" s="14"/>
      <c r="Y904" s="14"/>
      <c r="Z904" s="15"/>
      <c r="AA904" s="3"/>
      <c r="AB904" s="3"/>
      <c r="AC904" s="3"/>
      <c r="AD904" s="3"/>
      <c r="AE904" s="3"/>
      <c r="AF904" s="3"/>
    </row>
    <row r="905" ht="15.75" customHeight="1">
      <c r="J905" s="15"/>
      <c r="K905" s="238"/>
      <c r="L905" s="15"/>
      <c r="M905" s="15"/>
      <c r="N905" s="15"/>
      <c r="O905" s="15"/>
      <c r="P905" s="15"/>
      <c r="Q905" s="15"/>
      <c r="R905" s="15"/>
      <c r="S905" s="15"/>
      <c r="T905" s="15"/>
      <c r="U905" s="15"/>
      <c r="V905" s="15"/>
      <c r="W905" s="15"/>
      <c r="X905" s="14"/>
      <c r="Y905" s="14"/>
      <c r="Z905" s="15"/>
      <c r="AA905" s="3"/>
      <c r="AB905" s="3"/>
      <c r="AC905" s="3"/>
      <c r="AD905" s="3"/>
      <c r="AE905" s="3"/>
      <c r="AF905" s="3"/>
    </row>
    <row r="906" ht="15.75" customHeight="1">
      <c r="J906" s="15"/>
      <c r="K906" s="238"/>
      <c r="L906" s="15"/>
      <c r="M906" s="15"/>
      <c r="N906" s="15"/>
      <c r="O906" s="15"/>
      <c r="P906" s="15"/>
      <c r="Q906" s="15"/>
      <c r="R906" s="15"/>
      <c r="S906" s="15"/>
      <c r="T906" s="15"/>
      <c r="U906" s="15"/>
      <c r="V906" s="15"/>
      <c r="W906" s="15"/>
      <c r="X906" s="14"/>
      <c r="Y906" s="14"/>
      <c r="Z906" s="15"/>
      <c r="AA906" s="3"/>
      <c r="AB906" s="3"/>
      <c r="AC906" s="3"/>
      <c r="AD906" s="3"/>
      <c r="AE906" s="3"/>
      <c r="AF906" s="3"/>
    </row>
    <row r="907" ht="15.75" customHeight="1">
      <c r="J907" s="15"/>
      <c r="K907" s="238"/>
      <c r="L907" s="15"/>
      <c r="M907" s="15"/>
      <c r="N907" s="15"/>
      <c r="O907" s="15"/>
      <c r="P907" s="15"/>
      <c r="Q907" s="15"/>
      <c r="R907" s="15"/>
      <c r="S907" s="15"/>
      <c r="T907" s="15"/>
      <c r="U907" s="15"/>
      <c r="V907" s="15"/>
      <c r="W907" s="15"/>
      <c r="X907" s="14"/>
      <c r="Y907" s="14"/>
      <c r="Z907" s="15"/>
      <c r="AA907" s="3"/>
      <c r="AB907" s="3"/>
      <c r="AC907" s="3"/>
      <c r="AD907" s="3"/>
      <c r="AE907" s="3"/>
      <c r="AF907" s="3"/>
    </row>
    <row r="908" ht="15.75" customHeight="1">
      <c r="J908" s="15"/>
      <c r="K908" s="238"/>
      <c r="L908" s="15"/>
      <c r="M908" s="15"/>
      <c r="N908" s="15"/>
      <c r="O908" s="15"/>
      <c r="P908" s="15"/>
      <c r="Q908" s="15"/>
      <c r="R908" s="15"/>
      <c r="S908" s="15"/>
      <c r="T908" s="15"/>
      <c r="U908" s="15"/>
      <c r="V908" s="15"/>
      <c r="W908" s="15"/>
      <c r="X908" s="14"/>
      <c r="Y908" s="14"/>
      <c r="Z908" s="15"/>
      <c r="AA908" s="3"/>
      <c r="AB908" s="3"/>
      <c r="AC908" s="3"/>
      <c r="AD908" s="3"/>
      <c r="AE908" s="3"/>
      <c r="AF908" s="3"/>
    </row>
    <row r="909" ht="15.75" customHeight="1">
      <c r="J909" s="15"/>
      <c r="K909" s="238"/>
      <c r="L909" s="15"/>
      <c r="M909" s="15"/>
      <c r="N909" s="15"/>
      <c r="O909" s="15"/>
      <c r="P909" s="15"/>
      <c r="Q909" s="15"/>
      <c r="R909" s="15"/>
      <c r="S909" s="15"/>
      <c r="T909" s="15"/>
      <c r="U909" s="15"/>
      <c r="V909" s="15"/>
      <c r="W909" s="15"/>
      <c r="X909" s="14"/>
      <c r="Y909" s="14"/>
      <c r="Z909" s="15"/>
      <c r="AA909" s="3"/>
      <c r="AB909" s="3"/>
      <c r="AC909" s="3"/>
      <c r="AD909" s="3"/>
      <c r="AE909" s="3"/>
      <c r="AF909" s="3"/>
    </row>
    <row r="910" ht="15.75" customHeight="1">
      <c r="J910" s="15"/>
      <c r="K910" s="238"/>
      <c r="L910" s="15"/>
      <c r="M910" s="15"/>
      <c r="N910" s="15"/>
      <c r="O910" s="15"/>
      <c r="P910" s="15"/>
      <c r="Q910" s="15"/>
      <c r="R910" s="15"/>
      <c r="S910" s="15"/>
      <c r="T910" s="15"/>
      <c r="U910" s="15"/>
      <c r="V910" s="15"/>
      <c r="W910" s="15"/>
      <c r="X910" s="14"/>
      <c r="Y910" s="14"/>
      <c r="Z910" s="15"/>
      <c r="AA910" s="3"/>
      <c r="AB910" s="3"/>
      <c r="AC910" s="3"/>
      <c r="AD910" s="3"/>
      <c r="AE910" s="3"/>
      <c r="AF910" s="3"/>
    </row>
    <row r="911" ht="15.75" customHeight="1">
      <c r="J911" s="15"/>
      <c r="K911" s="238"/>
      <c r="L911" s="15"/>
      <c r="M911" s="15"/>
      <c r="N911" s="15"/>
      <c r="O911" s="15"/>
      <c r="P911" s="15"/>
      <c r="Q911" s="15"/>
      <c r="R911" s="15"/>
      <c r="S911" s="15"/>
      <c r="T911" s="15"/>
      <c r="U911" s="15"/>
      <c r="V911" s="15"/>
      <c r="W911" s="15"/>
      <c r="X911" s="14"/>
      <c r="Y911" s="14"/>
      <c r="Z911" s="15"/>
      <c r="AA911" s="3"/>
      <c r="AB911" s="3"/>
      <c r="AC911" s="3"/>
      <c r="AD911" s="3"/>
      <c r="AE911" s="3"/>
      <c r="AF911" s="3"/>
    </row>
    <row r="912" ht="15.75" customHeight="1">
      <c r="J912" s="15"/>
      <c r="K912" s="238"/>
      <c r="L912" s="15"/>
      <c r="M912" s="15"/>
      <c r="N912" s="15"/>
      <c r="O912" s="15"/>
      <c r="P912" s="15"/>
      <c r="Q912" s="15"/>
      <c r="R912" s="15"/>
      <c r="S912" s="15"/>
      <c r="T912" s="15"/>
      <c r="U912" s="15"/>
      <c r="V912" s="15"/>
      <c r="W912" s="15"/>
      <c r="X912" s="14"/>
      <c r="Y912" s="14"/>
      <c r="Z912" s="15"/>
      <c r="AA912" s="3"/>
      <c r="AB912" s="3"/>
      <c r="AC912" s="3"/>
      <c r="AD912" s="3"/>
      <c r="AE912" s="3"/>
      <c r="AF912" s="3"/>
    </row>
    <row r="913" ht="15.75" customHeight="1">
      <c r="J913" s="15"/>
      <c r="K913" s="238"/>
      <c r="L913" s="15"/>
      <c r="M913" s="15"/>
      <c r="N913" s="15"/>
      <c r="O913" s="15"/>
      <c r="P913" s="15"/>
      <c r="Q913" s="15"/>
      <c r="R913" s="15"/>
      <c r="S913" s="15"/>
      <c r="T913" s="15"/>
      <c r="U913" s="15"/>
      <c r="V913" s="15"/>
      <c r="W913" s="15"/>
      <c r="X913" s="14"/>
      <c r="Y913" s="14"/>
      <c r="Z913" s="15"/>
      <c r="AA913" s="3"/>
      <c r="AB913" s="3"/>
      <c r="AC913" s="3"/>
      <c r="AD913" s="3"/>
      <c r="AE913" s="3"/>
      <c r="AF913" s="3"/>
    </row>
    <row r="914" ht="15.75" customHeight="1">
      <c r="J914" s="15"/>
      <c r="K914" s="238"/>
      <c r="L914" s="15"/>
      <c r="M914" s="15"/>
      <c r="N914" s="15"/>
      <c r="O914" s="15"/>
      <c r="P914" s="15"/>
      <c r="Q914" s="15"/>
      <c r="R914" s="15"/>
      <c r="S914" s="15"/>
      <c r="T914" s="15"/>
      <c r="U914" s="15"/>
      <c r="V914" s="15"/>
      <c r="W914" s="15"/>
      <c r="X914" s="14"/>
      <c r="Y914" s="14"/>
      <c r="Z914" s="15"/>
      <c r="AA914" s="3"/>
      <c r="AB914" s="3"/>
      <c r="AC914" s="3"/>
      <c r="AD914" s="3"/>
      <c r="AE914" s="3"/>
      <c r="AF914" s="3"/>
    </row>
    <row r="915" ht="15.75" customHeight="1">
      <c r="J915" s="15"/>
      <c r="K915" s="238"/>
      <c r="L915" s="15"/>
      <c r="M915" s="15"/>
      <c r="N915" s="15"/>
      <c r="O915" s="15"/>
      <c r="P915" s="15"/>
      <c r="Q915" s="15"/>
      <c r="R915" s="15"/>
      <c r="S915" s="15"/>
      <c r="T915" s="15"/>
      <c r="U915" s="15"/>
      <c r="V915" s="15"/>
      <c r="W915" s="15"/>
      <c r="X915" s="14"/>
      <c r="Y915" s="14"/>
      <c r="Z915" s="15"/>
      <c r="AA915" s="3"/>
      <c r="AB915" s="3"/>
      <c r="AC915" s="3"/>
      <c r="AD915" s="3"/>
      <c r="AE915" s="3"/>
      <c r="AF915" s="3"/>
    </row>
    <row r="916" ht="15.75" customHeight="1">
      <c r="J916" s="15"/>
      <c r="K916" s="238"/>
      <c r="L916" s="15"/>
      <c r="M916" s="15"/>
      <c r="N916" s="15"/>
      <c r="O916" s="15"/>
      <c r="P916" s="15"/>
      <c r="Q916" s="15"/>
      <c r="R916" s="15"/>
      <c r="S916" s="15"/>
      <c r="T916" s="15"/>
      <c r="U916" s="15"/>
      <c r="V916" s="15"/>
      <c r="W916" s="15"/>
      <c r="X916" s="14"/>
      <c r="Y916" s="14"/>
      <c r="Z916" s="15"/>
      <c r="AA916" s="3"/>
      <c r="AB916" s="3"/>
      <c r="AC916" s="3"/>
      <c r="AD916" s="3"/>
      <c r="AE916" s="3"/>
      <c r="AF916" s="3"/>
    </row>
    <row r="917" ht="15.75" customHeight="1">
      <c r="J917" s="15"/>
      <c r="K917" s="238"/>
      <c r="L917" s="15"/>
      <c r="M917" s="15"/>
      <c r="N917" s="15"/>
      <c r="O917" s="15"/>
      <c r="P917" s="15"/>
      <c r="Q917" s="15"/>
      <c r="R917" s="15"/>
      <c r="S917" s="15"/>
      <c r="T917" s="15"/>
      <c r="U917" s="15"/>
      <c r="V917" s="15"/>
      <c r="W917" s="15"/>
      <c r="X917" s="14"/>
      <c r="Y917" s="14"/>
      <c r="Z917" s="15"/>
      <c r="AA917" s="3"/>
      <c r="AB917" s="3"/>
      <c r="AC917" s="3"/>
      <c r="AD917" s="3"/>
      <c r="AE917" s="3"/>
      <c r="AF917" s="3"/>
    </row>
    <row r="918" ht="15.75" customHeight="1">
      <c r="J918" s="15"/>
      <c r="K918" s="238"/>
      <c r="L918" s="15"/>
      <c r="M918" s="15"/>
      <c r="N918" s="15"/>
      <c r="O918" s="15"/>
      <c r="P918" s="15"/>
      <c r="Q918" s="15"/>
      <c r="R918" s="15"/>
      <c r="S918" s="15"/>
      <c r="T918" s="15"/>
      <c r="U918" s="15"/>
      <c r="V918" s="15"/>
      <c r="W918" s="15"/>
      <c r="X918" s="14"/>
      <c r="Y918" s="14"/>
      <c r="Z918" s="15"/>
      <c r="AA918" s="3"/>
      <c r="AB918" s="3"/>
      <c r="AC918" s="3"/>
      <c r="AD918" s="3"/>
      <c r="AE918" s="3"/>
      <c r="AF918" s="3"/>
    </row>
    <row r="919" ht="15.75" customHeight="1">
      <c r="J919" s="15"/>
      <c r="K919" s="238"/>
      <c r="L919" s="15"/>
      <c r="M919" s="15"/>
      <c r="N919" s="15"/>
      <c r="O919" s="15"/>
      <c r="P919" s="15"/>
      <c r="Q919" s="15"/>
      <c r="R919" s="15"/>
      <c r="S919" s="15"/>
      <c r="T919" s="15"/>
      <c r="U919" s="15"/>
      <c r="V919" s="15"/>
      <c r="W919" s="15"/>
      <c r="X919" s="14"/>
      <c r="Y919" s="14"/>
      <c r="Z919" s="15"/>
      <c r="AA919" s="3"/>
      <c r="AB919" s="3"/>
      <c r="AC919" s="3"/>
      <c r="AD919" s="3"/>
      <c r="AE919" s="3"/>
      <c r="AF919" s="3"/>
    </row>
    <row r="920" ht="15.75" customHeight="1">
      <c r="J920" s="15"/>
      <c r="K920" s="238"/>
      <c r="L920" s="15"/>
      <c r="M920" s="15"/>
      <c r="N920" s="15"/>
      <c r="O920" s="15"/>
      <c r="P920" s="15"/>
      <c r="Q920" s="15"/>
      <c r="R920" s="15"/>
      <c r="S920" s="15"/>
      <c r="T920" s="15"/>
      <c r="U920" s="15"/>
      <c r="V920" s="15"/>
      <c r="W920" s="15"/>
      <c r="X920" s="14"/>
      <c r="Y920" s="14"/>
      <c r="Z920" s="15"/>
      <c r="AA920" s="3"/>
      <c r="AB920" s="3"/>
      <c r="AC920" s="3"/>
      <c r="AD920" s="3"/>
      <c r="AE920" s="3"/>
      <c r="AF920" s="3"/>
    </row>
    <row r="921" ht="15.75" customHeight="1">
      <c r="J921" s="15"/>
      <c r="K921" s="238"/>
      <c r="L921" s="15"/>
      <c r="M921" s="15"/>
      <c r="N921" s="15"/>
      <c r="O921" s="15"/>
      <c r="P921" s="15"/>
      <c r="Q921" s="15"/>
      <c r="R921" s="15"/>
      <c r="S921" s="15"/>
      <c r="T921" s="15"/>
      <c r="U921" s="15"/>
      <c r="V921" s="15"/>
      <c r="W921" s="15"/>
      <c r="X921" s="14"/>
      <c r="Y921" s="14"/>
      <c r="Z921" s="15"/>
      <c r="AA921" s="3"/>
      <c r="AB921" s="3"/>
      <c r="AC921" s="3"/>
      <c r="AD921" s="3"/>
      <c r="AE921" s="3"/>
      <c r="AF921" s="3"/>
    </row>
    <row r="922" ht="15.75" customHeight="1">
      <c r="J922" s="15"/>
      <c r="K922" s="238"/>
      <c r="L922" s="15"/>
      <c r="M922" s="15"/>
      <c r="N922" s="15"/>
      <c r="O922" s="15"/>
      <c r="P922" s="15"/>
      <c r="Q922" s="15"/>
      <c r="R922" s="15"/>
      <c r="S922" s="15"/>
      <c r="T922" s="15"/>
      <c r="U922" s="15"/>
      <c r="V922" s="15"/>
      <c r="W922" s="15"/>
      <c r="X922" s="14"/>
      <c r="Y922" s="14"/>
      <c r="Z922" s="15"/>
      <c r="AA922" s="3"/>
      <c r="AB922" s="3"/>
      <c r="AC922" s="3"/>
      <c r="AD922" s="3"/>
      <c r="AE922" s="3"/>
      <c r="AF922" s="3"/>
    </row>
    <row r="923" ht="15.75" customHeight="1">
      <c r="J923" s="15"/>
      <c r="K923" s="238"/>
      <c r="L923" s="15"/>
      <c r="M923" s="15"/>
      <c r="N923" s="15"/>
      <c r="O923" s="15"/>
      <c r="P923" s="15"/>
      <c r="Q923" s="15"/>
      <c r="R923" s="15"/>
      <c r="S923" s="15"/>
      <c r="T923" s="15"/>
      <c r="U923" s="15"/>
      <c r="V923" s="15"/>
      <c r="W923" s="15"/>
      <c r="X923" s="14"/>
      <c r="Y923" s="14"/>
      <c r="Z923" s="15"/>
      <c r="AA923" s="3"/>
      <c r="AB923" s="3"/>
      <c r="AC923" s="3"/>
      <c r="AD923" s="3"/>
      <c r="AE923" s="3"/>
      <c r="AF923" s="3"/>
    </row>
    <row r="924" ht="15.75" customHeight="1">
      <c r="J924" s="15"/>
      <c r="K924" s="238"/>
      <c r="L924" s="15"/>
      <c r="M924" s="15"/>
      <c r="N924" s="15"/>
      <c r="O924" s="15"/>
      <c r="P924" s="15"/>
      <c r="Q924" s="15"/>
      <c r="R924" s="15"/>
      <c r="S924" s="15"/>
      <c r="T924" s="15"/>
      <c r="U924" s="15"/>
      <c r="V924" s="15"/>
      <c r="W924" s="15"/>
      <c r="X924" s="14"/>
      <c r="Y924" s="14"/>
      <c r="Z924" s="15"/>
      <c r="AA924" s="3"/>
      <c r="AB924" s="3"/>
      <c r="AC924" s="3"/>
      <c r="AD924" s="3"/>
      <c r="AE924" s="3"/>
      <c r="AF924" s="3"/>
    </row>
    <row r="925" ht="15.75" customHeight="1">
      <c r="J925" s="15"/>
      <c r="K925" s="238"/>
      <c r="L925" s="15"/>
      <c r="M925" s="15"/>
      <c r="N925" s="15"/>
      <c r="O925" s="15"/>
      <c r="P925" s="15"/>
      <c r="Q925" s="15"/>
      <c r="R925" s="15"/>
      <c r="S925" s="15"/>
      <c r="T925" s="15"/>
      <c r="U925" s="15"/>
      <c r="V925" s="15"/>
      <c r="W925" s="15"/>
      <c r="X925" s="14"/>
      <c r="Y925" s="14"/>
      <c r="Z925" s="15"/>
      <c r="AA925" s="3"/>
      <c r="AB925" s="3"/>
      <c r="AC925" s="3"/>
      <c r="AD925" s="3"/>
      <c r="AE925" s="3"/>
      <c r="AF925" s="3"/>
    </row>
    <row r="926" ht="15.75" customHeight="1">
      <c r="J926" s="15"/>
      <c r="K926" s="238"/>
      <c r="L926" s="15"/>
      <c r="M926" s="15"/>
      <c r="N926" s="15"/>
      <c r="O926" s="15"/>
      <c r="P926" s="15"/>
      <c r="Q926" s="15"/>
      <c r="R926" s="15"/>
      <c r="S926" s="15"/>
      <c r="T926" s="15"/>
      <c r="U926" s="15"/>
      <c r="V926" s="15"/>
      <c r="W926" s="15"/>
      <c r="X926" s="14"/>
      <c r="Y926" s="14"/>
      <c r="Z926" s="15"/>
      <c r="AA926" s="3"/>
      <c r="AB926" s="3"/>
      <c r="AC926" s="3"/>
      <c r="AD926" s="3"/>
      <c r="AE926" s="3"/>
      <c r="AF926" s="3"/>
    </row>
    <row r="927" ht="15.75" customHeight="1">
      <c r="J927" s="15"/>
      <c r="K927" s="238"/>
      <c r="L927" s="15"/>
      <c r="M927" s="15"/>
      <c r="N927" s="15"/>
      <c r="O927" s="15"/>
      <c r="P927" s="15"/>
      <c r="Q927" s="15"/>
      <c r="R927" s="15"/>
      <c r="S927" s="15"/>
      <c r="T927" s="15"/>
      <c r="U927" s="15"/>
      <c r="V927" s="15"/>
      <c r="W927" s="15"/>
      <c r="X927" s="14"/>
      <c r="Y927" s="14"/>
      <c r="Z927" s="15"/>
      <c r="AA927" s="3"/>
      <c r="AB927" s="3"/>
      <c r="AC927" s="3"/>
      <c r="AD927" s="3"/>
      <c r="AE927" s="3"/>
      <c r="AF927" s="3"/>
    </row>
    <row r="928" ht="15.75" customHeight="1">
      <c r="J928" s="15"/>
      <c r="K928" s="238"/>
      <c r="L928" s="15"/>
      <c r="M928" s="15"/>
      <c r="N928" s="15"/>
      <c r="O928" s="15"/>
      <c r="P928" s="15"/>
      <c r="Q928" s="15"/>
      <c r="R928" s="15"/>
      <c r="S928" s="15"/>
      <c r="T928" s="15"/>
      <c r="U928" s="15"/>
      <c r="V928" s="15"/>
      <c r="W928" s="15"/>
      <c r="X928" s="14"/>
      <c r="Y928" s="14"/>
      <c r="Z928" s="15"/>
      <c r="AA928" s="3"/>
      <c r="AB928" s="3"/>
      <c r="AC928" s="3"/>
      <c r="AD928" s="3"/>
      <c r="AE928" s="3"/>
      <c r="AF928" s="3"/>
    </row>
    <row r="929" ht="15.75" customHeight="1">
      <c r="J929" s="15"/>
      <c r="K929" s="238"/>
      <c r="L929" s="15"/>
      <c r="M929" s="15"/>
      <c r="N929" s="15"/>
      <c r="O929" s="15"/>
      <c r="P929" s="15"/>
      <c r="Q929" s="15"/>
      <c r="R929" s="15"/>
      <c r="S929" s="15"/>
      <c r="T929" s="15"/>
      <c r="U929" s="15"/>
      <c r="V929" s="15"/>
      <c r="W929" s="15"/>
      <c r="X929" s="14"/>
      <c r="Y929" s="14"/>
      <c r="Z929" s="15"/>
      <c r="AA929" s="3"/>
      <c r="AB929" s="3"/>
      <c r="AC929" s="3"/>
      <c r="AD929" s="3"/>
      <c r="AE929" s="3"/>
      <c r="AF929" s="3"/>
    </row>
    <row r="930" ht="15.75" customHeight="1">
      <c r="J930" s="15"/>
      <c r="K930" s="238"/>
      <c r="L930" s="15"/>
      <c r="M930" s="15"/>
      <c r="N930" s="15"/>
      <c r="O930" s="15"/>
      <c r="P930" s="15"/>
      <c r="Q930" s="15"/>
      <c r="R930" s="15"/>
      <c r="S930" s="15"/>
      <c r="T930" s="15"/>
      <c r="U930" s="15"/>
      <c r="V930" s="15"/>
      <c r="W930" s="15"/>
      <c r="X930" s="14"/>
      <c r="Y930" s="14"/>
      <c r="Z930" s="15"/>
      <c r="AA930" s="3"/>
      <c r="AB930" s="3"/>
      <c r="AC930" s="3"/>
      <c r="AD930" s="3"/>
      <c r="AE930" s="3"/>
      <c r="AF930" s="3"/>
    </row>
    <row r="931" ht="15.75" customHeight="1">
      <c r="J931" s="15"/>
      <c r="K931" s="238"/>
      <c r="L931" s="15"/>
      <c r="M931" s="15"/>
      <c r="N931" s="15"/>
      <c r="O931" s="15"/>
      <c r="P931" s="15"/>
      <c r="Q931" s="15"/>
      <c r="R931" s="15"/>
      <c r="S931" s="15"/>
      <c r="T931" s="15"/>
      <c r="U931" s="15"/>
      <c r="V931" s="15"/>
      <c r="W931" s="15"/>
      <c r="X931" s="14"/>
      <c r="Y931" s="14"/>
      <c r="Z931" s="15"/>
      <c r="AA931" s="3"/>
      <c r="AB931" s="3"/>
      <c r="AC931" s="3"/>
      <c r="AD931" s="3"/>
      <c r="AE931" s="3"/>
      <c r="AF931" s="3"/>
    </row>
    <row r="932" ht="15.75" customHeight="1">
      <c r="J932" s="15"/>
      <c r="K932" s="238"/>
      <c r="L932" s="15"/>
      <c r="M932" s="15"/>
      <c r="N932" s="15"/>
      <c r="O932" s="15"/>
      <c r="P932" s="15"/>
      <c r="Q932" s="15"/>
      <c r="R932" s="15"/>
      <c r="S932" s="15"/>
      <c r="T932" s="15"/>
      <c r="U932" s="15"/>
      <c r="V932" s="15"/>
      <c r="W932" s="15"/>
      <c r="X932" s="14"/>
      <c r="Y932" s="14"/>
      <c r="Z932" s="15"/>
      <c r="AA932" s="3"/>
      <c r="AB932" s="3"/>
      <c r="AC932" s="3"/>
      <c r="AD932" s="3"/>
      <c r="AE932" s="3"/>
      <c r="AF932" s="3"/>
    </row>
    <row r="933" ht="15.75" customHeight="1">
      <c r="J933" s="15"/>
      <c r="K933" s="238"/>
      <c r="L933" s="15"/>
      <c r="M933" s="15"/>
      <c r="N933" s="15"/>
      <c r="O933" s="15"/>
      <c r="P933" s="15"/>
      <c r="Q933" s="15"/>
      <c r="R933" s="15"/>
      <c r="S933" s="15"/>
      <c r="T933" s="15"/>
      <c r="U933" s="15"/>
      <c r="V933" s="15"/>
      <c r="W933" s="15"/>
      <c r="X933" s="14"/>
      <c r="Y933" s="14"/>
      <c r="Z933" s="15"/>
      <c r="AA933" s="3"/>
      <c r="AB933" s="3"/>
      <c r="AC933" s="3"/>
      <c r="AD933" s="3"/>
      <c r="AE933" s="3"/>
      <c r="AF933" s="3"/>
    </row>
    <row r="934" ht="15.75" customHeight="1">
      <c r="J934" s="15"/>
      <c r="K934" s="238"/>
      <c r="L934" s="15"/>
      <c r="M934" s="15"/>
      <c r="N934" s="15"/>
      <c r="O934" s="15"/>
      <c r="P934" s="15"/>
      <c r="Q934" s="15"/>
      <c r="R934" s="15"/>
      <c r="S934" s="15"/>
      <c r="T934" s="15"/>
      <c r="U934" s="15"/>
      <c r="V934" s="15"/>
      <c r="W934" s="15"/>
      <c r="X934" s="14"/>
      <c r="Y934" s="14"/>
      <c r="Z934" s="15"/>
      <c r="AA934" s="3"/>
      <c r="AB934" s="3"/>
      <c r="AC934" s="3"/>
      <c r="AD934" s="3"/>
      <c r="AE934" s="3"/>
      <c r="AF934" s="3"/>
    </row>
    <row r="935" ht="15.75" customHeight="1">
      <c r="J935" s="15"/>
      <c r="K935" s="238"/>
      <c r="L935" s="15"/>
      <c r="M935" s="15"/>
      <c r="N935" s="15"/>
      <c r="O935" s="15"/>
      <c r="P935" s="15"/>
      <c r="Q935" s="15"/>
      <c r="R935" s="15"/>
      <c r="S935" s="15"/>
      <c r="T935" s="15"/>
      <c r="U935" s="15"/>
      <c r="V935" s="15"/>
      <c r="W935" s="15"/>
      <c r="X935" s="14"/>
      <c r="Y935" s="14"/>
      <c r="Z935" s="15"/>
      <c r="AA935" s="3"/>
      <c r="AB935" s="3"/>
      <c r="AC935" s="3"/>
      <c r="AD935" s="3"/>
      <c r="AE935" s="3"/>
      <c r="AF935" s="3"/>
    </row>
    <row r="936" ht="15.75" customHeight="1">
      <c r="J936" s="15"/>
      <c r="K936" s="238"/>
      <c r="L936" s="15"/>
      <c r="M936" s="15"/>
      <c r="N936" s="15"/>
      <c r="O936" s="15"/>
      <c r="P936" s="15"/>
      <c r="Q936" s="15"/>
      <c r="R936" s="15"/>
      <c r="S936" s="15"/>
      <c r="T936" s="15"/>
      <c r="U936" s="15"/>
      <c r="V936" s="15"/>
      <c r="W936" s="15"/>
      <c r="X936" s="14"/>
      <c r="Y936" s="14"/>
      <c r="Z936" s="15"/>
      <c r="AA936" s="3"/>
      <c r="AB936" s="3"/>
      <c r="AC936" s="3"/>
      <c r="AD936" s="3"/>
      <c r="AE936" s="3"/>
      <c r="AF936" s="3"/>
    </row>
    <row r="937" ht="15.75" customHeight="1">
      <c r="J937" s="15"/>
      <c r="K937" s="238"/>
      <c r="L937" s="15"/>
      <c r="M937" s="15"/>
      <c r="N937" s="15"/>
      <c r="O937" s="15"/>
      <c r="P937" s="15"/>
      <c r="Q937" s="15"/>
      <c r="R937" s="15"/>
      <c r="S937" s="15"/>
      <c r="T937" s="15"/>
      <c r="U937" s="15"/>
      <c r="V937" s="15"/>
      <c r="W937" s="15"/>
      <c r="X937" s="14"/>
      <c r="Y937" s="14"/>
      <c r="Z937" s="15"/>
      <c r="AA937" s="3"/>
      <c r="AB937" s="3"/>
      <c r="AC937" s="3"/>
      <c r="AD937" s="3"/>
      <c r="AE937" s="3"/>
      <c r="AF937" s="3"/>
    </row>
    <row r="938" ht="15.75" customHeight="1">
      <c r="J938" s="15"/>
      <c r="K938" s="238"/>
      <c r="L938" s="15"/>
      <c r="M938" s="15"/>
      <c r="N938" s="15"/>
      <c r="O938" s="15"/>
      <c r="P938" s="15"/>
      <c r="Q938" s="15"/>
      <c r="R938" s="15"/>
      <c r="S938" s="15"/>
      <c r="T938" s="15"/>
      <c r="U938" s="15"/>
      <c r="V938" s="15"/>
      <c r="W938" s="15"/>
      <c r="X938" s="14"/>
      <c r="Y938" s="14"/>
      <c r="Z938" s="15"/>
      <c r="AA938" s="3"/>
      <c r="AB938" s="3"/>
      <c r="AC938" s="3"/>
      <c r="AD938" s="3"/>
      <c r="AE938" s="3"/>
      <c r="AF938" s="3"/>
    </row>
    <row r="939" ht="15.75" customHeight="1">
      <c r="J939" s="15"/>
      <c r="K939" s="238"/>
      <c r="L939" s="15"/>
      <c r="M939" s="15"/>
      <c r="N939" s="15"/>
      <c r="O939" s="15"/>
      <c r="P939" s="15"/>
      <c r="Q939" s="15"/>
      <c r="R939" s="15"/>
      <c r="S939" s="15"/>
      <c r="T939" s="15"/>
      <c r="U939" s="15"/>
      <c r="V939" s="15"/>
      <c r="W939" s="15"/>
      <c r="X939" s="14"/>
      <c r="Y939" s="14"/>
      <c r="Z939" s="15"/>
      <c r="AA939" s="3"/>
      <c r="AB939" s="3"/>
      <c r="AC939" s="3"/>
      <c r="AD939" s="3"/>
      <c r="AE939" s="3"/>
      <c r="AF939" s="3"/>
    </row>
    <row r="940" ht="15.75" customHeight="1">
      <c r="J940" s="15"/>
      <c r="K940" s="238"/>
      <c r="L940" s="15"/>
      <c r="M940" s="15"/>
      <c r="N940" s="15"/>
      <c r="O940" s="15"/>
      <c r="P940" s="15"/>
      <c r="Q940" s="15"/>
      <c r="R940" s="15"/>
      <c r="S940" s="15"/>
      <c r="T940" s="15"/>
      <c r="U940" s="15"/>
      <c r="V940" s="15"/>
      <c r="W940" s="15"/>
      <c r="X940" s="14"/>
      <c r="Y940" s="14"/>
      <c r="Z940" s="15"/>
      <c r="AA940" s="3"/>
      <c r="AB940" s="3"/>
      <c r="AC940" s="3"/>
      <c r="AD940" s="3"/>
      <c r="AE940" s="3"/>
      <c r="AF940" s="3"/>
    </row>
    <row r="941" ht="15.75" customHeight="1">
      <c r="J941" s="15"/>
      <c r="K941" s="238"/>
      <c r="L941" s="15"/>
      <c r="M941" s="15"/>
      <c r="N941" s="15"/>
      <c r="O941" s="15"/>
      <c r="P941" s="15"/>
      <c r="Q941" s="15"/>
      <c r="R941" s="15"/>
      <c r="S941" s="15"/>
      <c r="T941" s="15"/>
      <c r="U941" s="15"/>
      <c r="V941" s="15"/>
      <c r="W941" s="15"/>
      <c r="X941" s="14"/>
      <c r="Y941" s="14"/>
      <c r="Z941" s="15"/>
      <c r="AA941" s="3"/>
      <c r="AB941" s="3"/>
      <c r="AC941" s="3"/>
      <c r="AD941" s="3"/>
      <c r="AE941" s="3"/>
      <c r="AF941" s="3"/>
    </row>
    <row r="942" ht="15.75" customHeight="1">
      <c r="J942" s="15"/>
      <c r="K942" s="238"/>
      <c r="L942" s="15"/>
      <c r="M942" s="15"/>
      <c r="N942" s="15"/>
      <c r="O942" s="15"/>
      <c r="P942" s="15"/>
      <c r="Q942" s="15"/>
      <c r="R942" s="15"/>
      <c r="S942" s="15"/>
      <c r="T942" s="15"/>
      <c r="U942" s="15"/>
      <c r="V942" s="15"/>
      <c r="W942" s="15"/>
      <c r="X942" s="14"/>
      <c r="Y942" s="14"/>
      <c r="Z942" s="15"/>
      <c r="AA942" s="3"/>
      <c r="AB942" s="3"/>
      <c r="AC942" s="3"/>
      <c r="AD942" s="3"/>
      <c r="AE942" s="3"/>
      <c r="AF942" s="3"/>
    </row>
    <row r="943" ht="15.75" customHeight="1">
      <c r="J943" s="15"/>
      <c r="K943" s="238"/>
      <c r="L943" s="15"/>
      <c r="M943" s="15"/>
      <c r="N943" s="15"/>
      <c r="O943" s="15"/>
      <c r="P943" s="15"/>
      <c r="Q943" s="15"/>
      <c r="R943" s="15"/>
      <c r="S943" s="15"/>
      <c r="T943" s="15"/>
      <c r="U943" s="15"/>
      <c r="V943" s="15"/>
      <c r="W943" s="15"/>
      <c r="X943" s="14"/>
      <c r="Y943" s="14"/>
      <c r="Z943" s="15"/>
      <c r="AA943" s="3"/>
      <c r="AB943" s="3"/>
      <c r="AC943" s="3"/>
      <c r="AD943" s="3"/>
      <c r="AE943" s="3"/>
      <c r="AF943" s="3"/>
    </row>
    <row r="944" ht="15.75" customHeight="1">
      <c r="J944" s="15"/>
      <c r="K944" s="238"/>
      <c r="L944" s="15"/>
      <c r="M944" s="15"/>
      <c r="N944" s="15"/>
      <c r="O944" s="15"/>
      <c r="P944" s="15"/>
      <c r="Q944" s="15"/>
      <c r="R944" s="15"/>
      <c r="S944" s="15"/>
      <c r="T944" s="15"/>
      <c r="U944" s="15"/>
      <c r="V944" s="15"/>
      <c r="W944" s="15"/>
      <c r="X944" s="14"/>
      <c r="Y944" s="14"/>
      <c r="Z944" s="15"/>
      <c r="AA944" s="3"/>
      <c r="AB944" s="3"/>
      <c r="AC944" s="3"/>
      <c r="AD944" s="3"/>
      <c r="AE944" s="3"/>
      <c r="AF944" s="3"/>
    </row>
    <row r="945" ht="15.75" customHeight="1">
      <c r="J945" s="15"/>
      <c r="K945" s="238"/>
      <c r="L945" s="15"/>
      <c r="M945" s="15"/>
      <c r="N945" s="15"/>
      <c r="O945" s="15"/>
      <c r="P945" s="15"/>
      <c r="Q945" s="15"/>
      <c r="R945" s="15"/>
      <c r="S945" s="15"/>
      <c r="T945" s="15"/>
      <c r="U945" s="15"/>
      <c r="V945" s="15"/>
      <c r="W945" s="15"/>
      <c r="X945" s="14"/>
      <c r="Y945" s="14"/>
      <c r="Z945" s="15"/>
      <c r="AA945" s="3"/>
      <c r="AB945" s="3"/>
      <c r="AC945" s="3"/>
      <c r="AD945" s="3"/>
      <c r="AE945" s="3"/>
      <c r="AF945" s="3"/>
    </row>
    <row r="946" ht="15.75" customHeight="1">
      <c r="J946" s="15"/>
      <c r="K946" s="238"/>
      <c r="L946" s="15"/>
      <c r="M946" s="15"/>
      <c r="N946" s="15"/>
      <c r="O946" s="15"/>
      <c r="P946" s="15"/>
      <c r="Q946" s="15"/>
      <c r="R946" s="15"/>
      <c r="S946" s="15"/>
      <c r="T946" s="15"/>
      <c r="U946" s="15"/>
      <c r="V946" s="15"/>
      <c r="W946" s="15"/>
      <c r="X946" s="14"/>
      <c r="Y946" s="14"/>
      <c r="Z946" s="15"/>
      <c r="AA946" s="3"/>
      <c r="AB946" s="3"/>
      <c r="AC946" s="3"/>
      <c r="AD946" s="3"/>
      <c r="AE946" s="3"/>
      <c r="AF946" s="3"/>
    </row>
    <row r="947" ht="15.75" customHeight="1">
      <c r="J947" s="15"/>
      <c r="K947" s="238"/>
      <c r="L947" s="15"/>
      <c r="M947" s="15"/>
      <c r="N947" s="15"/>
      <c r="O947" s="15"/>
      <c r="P947" s="15"/>
      <c r="Q947" s="15"/>
      <c r="R947" s="15"/>
      <c r="S947" s="15"/>
      <c r="T947" s="15"/>
      <c r="U947" s="15"/>
      <c r="V947" s="15"/>
      <c r="W947" s="15"/>
      <c r="X947" s="14"/>
      <c r="Y947" s="14"/>
      <c r="Z947" s="15"/>
      <c r="AA947" s="3"/>
      <c r="AB947" s="3"/>
      <c r="AC947" s="3"/>
      <c r="AD947" s="3"/>
      <c r="AE947" s="3"/>
      <c r="AF947" s="3"/>
    </row>
    <row r="948" ht="15.75" customHeight="1">
      <c r="J948" s="15"/>
      <c r="K948" s="238"/>
      <c r="L948" s="15"/>
      <c r="M948" s="15"/>
      <c r="N948" s="15"/>
      <c r="O948" s="15"/>
      <c r="P948" s="15"/>
      <c r="Q948" s="15"/>
      <c r="R948" s="15"/>
      <c r="S948" s="15"/>
      <c r="T948" s="15"/>
      <c r="U948" s="15"/>
      <c r="V948" s="15"/>
      <c r="W948" s="15"/>
      <c r="X948" s="14"/>
      <c r="Y948" s="14"/>
      <c r="Z948" s="15"/>
      <c r="AA948" s="3"/>
      <c r="AB948" s="3"/>
      <c r="AC948" s="3"/>
      <c r="AD948" s="3"/>
      <c r="AE948" s="3"/>
      <c r="AF948" s="3"/>
    </row>
    <row r="949" ht="15.75" customHeight="1">
      <c r="J949" s="15"/>
      <c r="K949" s="238"/>
      <c r="L949" s="15"/>
      <c r="M949" s="15"/>
      <c r="N949" s="15"/>
      <c r="O949" s="15"/>
      <c r="P949" s="15"/>
      <c r="Q949" s="15"/>
      <c r="R949" s="15"/>
      <c r="S949" s="15"/>
      <c r="T949" s="15"/>
      <c r="U949" s="15"/>
      <c r="V949" s="15"/>
      <c r="W949" s="15"/>
      <c r="X949" s="14"/>
      <c r="Y949" s="14"/>
      <c r="Z949" s="15"/>
      <c r="AA949" s="3"/>
      <c r="AB949" s="3"/>
      <c r="AC949" s="3"/>
      <c r="AD949" s="3"/>
      <c r="AE949" s="3"/>
      <c r="AF949" s="3"/>
    </row>
    <row r="950" ht="15.75" customHeight="1">
      <c r="J950" s="15"/>
      <c r="K950" s="238"/>
      <c r="L950" s="15"/>
      <c r="M950" s="15"/>
      <c r="N950" s="15"/>
      <c r="O950" s="15"/>
      <c r="P950" s="15"/>
      <c r="Q950" s="15"/>
      <c r="R950" s="15"/>
      <c r="S950" s="15"/>
      <c r="T950" s="15"/>
      <c r="U950" s="15"/>
      <c r="V950" s="15"/>
      <c r="W950" s="15"/>
      <c r="X950" s="14"/>
      <c r="Y950" s="14"/>
      <c r="Z950" s="15"/>
      <c r="AA950" s="3"/>
      <c r="AB950" s="3"/>
      <c r="AC950" s="3"/>
      <c r="AD950" s="3"/>
      <c r="AE950" s="3"/>
      <c r="AF950" s="3"/>
    </row>
    <row r="951" ht="15.75" customHeight="1">
      <c r="J951" s="15"/>
      <c r="K951" s="238"/>
      <c r="L951" s="15"/>
      <c r="M951" s="15"/>
      <c r="N951" s="15"/>
      <c r="O951" s="15"/>
      <c r="P951" s="15"/>
      <c r="Q951" s="15"/>
      <c r="R951" s="15"/>
      <c r="S951" s="15"/>
      <c r="T951" s="15"/>
      <c r="U951" s="15"/>
      <c r="V951" s="15"/>
      <c r="W951" s="15"/>
      <c r="X951" s="14"/>
      <c r="Y951" s="14"/>
      <c r="Z951" s="15"/>
      <c r="AA951" s="3"/>
      <c r="AB951" s="3"/>
      <c r="AC951" s="3"/>
      <c r="AD951" s="3"/>
      <c r="AE951" s="3"/>
      <c r="AF951" s="3"/>
    </row>
    <row r="952" ht="15.75" customHeight="1">
      <c r="J952" s="15"/>
      <c r="K952" s="238"/>
      <c r="L952" s="15"/>
      <c r="M952" s="15"/>
      <c r="N952" s="15"/>
      <c r="O952" s="15"/>
      <c r="P952" s="15"/>
      <c r="Q952" s="15"/>
      <c r="R952" s="15"/>
      <c r="S952" s="15"/>
      <c r="T952" s="15"/>
      <c r="U952" s="15"/>
      <c r="V952" s="15"/>
      <c r="W952" s="15"/>
      <c r="X952" s="14"/>
      <c r="Y952" s="14"/>
      <c r="Z952" s="15"/>
      <c r="AA952" s="3"/>
      <c r="AB952" s="3"/>
      <c r="AC952" s="3"/>
      <c r="AD952" s="3"/>
      <c r="AE952" s="3"/>
      <c r="AF952" s="3"/>
    </row>
    <row r="953" ht="15.75" customHeight="1">
      <c r="J953" s="15"/>
      <c r="K953" s="238"/>
      <c r="L953" s="15"/>
      <c r="M953" s="15"/>
      <c r="N953" s="15"/>
      <c r="O953" s="15"/>
      <c r="P953" s="15"/>
      <c r="Q953" s="15"/>
      <c r="R953" s="15"/>
      <c r="S953" s="15"/>
      <c r="T953" s="15"/>
      <c r="U953" s="15"/>
      <c r="V953" s="15"/>
      <c r="W953" s="15"/>
      <c r="X953" s="14"/>
      <c r="Y953" s="14"/>
      <c r="Z953" s="15"/>
      <c r="AA953" s="3"/>
      <c r="AB953" s="3"/>
      <c r="AC953" s="3"/>
      <c r="AD953" s="3"/>
      <c r="AE953" s="3"/>
      <c r="AF953" s="3"/>
    </row>
    <row r="954" ht="15.75" customHeight="1">
      <c r="J954" s="15"/>
      <c r="K954" s="238"/>
      <c r="L954" s="15"/>
      <c r="M954" s="15"/>
      <c r="N954" s="15"/>
      <c r="O954" s="15"/>
      <c r="P954" s="15"/>
      <c r="Q954" s="15"/>
      <c r="R954" s="15"/>
      <c r="S954" s="15"/>
      <c r="T954" s="15"/>
      <c r="U954" s="15"/>
      <c r="V954" s="15"/>
      <c r="W954" s="15"/>
      <c r="X954" s="14"/>
      <c r="Y954" s="14"/>
      <c r="Z954" s="15"/>
      <c r="AA954" s="3"/>
      <c r="AB954" s="3"/>
      <c r="AC954" s="3"/>
      <c r="AD954" s="3"/>
      <c r="AE954" s="3"/>
      <c r="AF954" s="3"/>
    </row>
    <row r="955" ht="15.75" customHeight="1">
      <c r="J955" s="15"/>
      <c r="K955" s="238"/>
      <c r="L955" s="15"/>
      <c r="M955" s="15"/>
      <c r="N955" s="15"/>
      <c r="O955" s="15"/>
      <c r="P955" s="15"/>
      <c r="Q955" s="15"/>
      <c r="R955" s="15"/>
      <c r="S955" s="15"/>
      <c r="T955" s="15"/>
      <c r="U955" s="15"/>
      <c r="V955" s="15"/>
      <c r="W955" s="15"/>
      <c r="X955" s="14"/>
      <c r="Y955" s="14"/>
      <c r="Z955" s="15"/>
      <c r="AA955" s="3"/>
      <c r="AB955" s="3"/>
      <c r="AC955" s="3"/>
      <c r="AD955" s="3"/>
      <c r="AE955" s="3"/>
      <c r="AF955" s="3"/>
    </row>
    <row r="956" ht="15.75" customHeight="1">
      <c r="J956" s="15"/>
      <c r="K956" s="238"/>
      <c r="L956" s="15"/>
      <c r="M956" s="15"/>
      <c r="N956" s="15"/>
      <c r="O956" s="15"/>
      <c r="P956" s="15"/>
      <c r="Q956" s="15"/>
      <c r="R956" s="15"/>
      <c r="S956" s="15"/>
      <c r="T956" s="15"/>
      <c r="U956" s="15"/>
      <c r="V956" s="15"/>
      <c r="W956" s="15"/>
      <c r="X956" s="14"/>
      <c r="Y956" s="14"/>
      <c r="Z956" s="15"/>
      <c r="AA956" s="3"/>
      <c r="AB956" s="3"/>
      <c r="AC956" s="3"/>
      <c r="AD956" s="3"/>
      <c r="AE956" s="3"/>
      <c r="AF956" s="3"/>
    </row>
    <row r="957" ht="15.75" customHeight="1">
      <c r="J957" s="15"/>
      <c r="K957" s="238"/>
      <c r="L957" s="15"/>
      <c r="M957" s="15"/>
      <c r="N957" s="15"/>
      <c r="O957" s="15"/>
      <c r="P957" s="15"/>
      <c r="Q957" s="15"/>
      <c r="R957" s="15"/>
      <c r="S957" s="15"/>
      <c r="T957" s="15"/>
      <c r="U957" s="15"/>
      <c r="V957" s="15"/>
      <c r="W957" s="15"/>
      <c r="X957" s="14"/>
      <c r="Y957" s="14"/>
      <c r="Z957" s="15"/>
      <c r="AA957" s="3"/>
      <c r="AB957" s="3"/>
      <c r="AC957" s="3"/>
      <c r="AD957" s="3"/>
      <c r="AE957" s="3"/>
      <c r="AF957" s="3"/>
    </row>
    <row r="958" ht="15.75" customHeight="1">
      <c r="J958" s="15"/>
      <c r="K958" s="238"/>
      <c r="L958" s="15"/>
      <c r="M958" s="15"/>
      <c r="N958" s="15"/>
      <c r="O958" s="15"/>
      <c r="P958" s="15"/>
      <c r="Q958" s="15"/>
      <c r="R958" s="15"/>
      <c r="S958" s="15"/>
      <c r="T958" s="15"/>
      <c r="U958" s="15"/>
      <c r="V958" s="15"/>
      <c r="W958" s="15"/>
      <c r="X958" s="14"/>
      <c r="Y958" s="14"/>
      <c r="Z958" s="15"/>
      <c r="AA958" s="3"/>
      <c r="AB958" s="3"/>
      <c r="AC958" s="3"/>
      <c r="AD958" s="3"/>
      <c r="AE958" s="3"/>
      <c r="AF958" s="3"/>
    </row>
    <row r="959" ht="15.75" customHeight="1">
      <c r="J959" s="15"/>
      <c r="K959" s="238"/>
      <c r="L959" s="15"/>
      <c r="M959" s="15"/>
      <c r="N959" s="15"/>
      <c r="O959" s="15"/>
      <c r="P959" s="15"/>
      <c r="Q959" s="15"/>
      <c r="R959" s="15"/>
      <c r="S959" s="15"/>
      <c r="T959" s="15"/>
      <c r="U959" s="15"/>
      <c r="V959" s="15"/>
      <c r="W959" s="15"/>
      <c r="X959" s="14"/>
      <c r="Y959" s="14"/>
      <c r="Z959" s="15"/>
      <c r="AA959" s="3"/>
      <c r="AB959" s="3"/>
      <c r="AC959" s="3"/>
      <c r="AD959" s="3"/>
      <c r="AE959" s="3"/>
      <c r="AF959" s="3"/>
    </row>
    <row r="960" ht="15.75" customHeight="1">
      <c r="J960" s="15"/>
      <c r="K960" s="238"/>
      <c r="L960" s="15"/>
      <c r="M960" s="15"/>
      <c r="N960" s="15"/>
      <c r="O960" s="15"/>
      <c r="P960" s="15"/>
      <c r="Q960" s="15"/>
      <c r="R960" s="15"/>
      <c r="S960" s="15"/>
      <c r="T960" s="15"/>
      <c r="U960" s="15"/>
      <c r="V960" s="15"/>
      <c r="W960" s="15"/>
      <c r="X960" s="14"/>
      <c r="Y960" s="14"/>
      <c r="Z960" s="15"/>
      <c r="AA960" s="3"/>
      <c r="AB960" s="3"/>
      <c r="AC960" s="3"/>
      <c r="AD960" s="3"/>
      <c r="AE960" s="3"/>
      <c r="AF960" s="3"/>
    </row>
    <row r="961" ht="15.75" customHeight="1">
      <c r="J961" s="15"/>
      <c r="K961" s="238"/>
      <c r="L961" s="15"/>
      <c r="M961" s="15"/>
      <c r="N961" s="15"/>
      <c r="O961" s="15"/>
      <c r="P961" s="15"/>
      <c r="Q961" s="15"/>
      <c r="R961" s="15"/>
      <c r="S961" s="15"/>
      <c r="T961" s="15"/>
      <c r="U961" s="15"/>
      <c r="V961" s="15"/>
      <c r="W961" s="15"/>
      <c r="X961" s="14"/>
      <c r="Y961" s="14"/>
      <c r="Z961" s="15"/>
      <c r="AA961" s="3"/>
      <c r="AB961" s="3"/>
      <c r="AC961" s="3"/>
      <c r="AD961" s="3"/>
      <c r="AE961" s="3"/>
      <c r="AF961" s="3"/>
    </row>
    <row r="962" ht="15.75" customHeight="1">
      <c r="J962" s="15"/>
      <c r="K962" s="238"/>
      <c r="L962" s="15"/>
      <c r="M962" s="15"/>
      <c r="N962" s="15"/>
      <c r="O962" s="15"/>
      <c r="P962" s="15"/>
      <c r="Q962" s="15"/>
      <c r="R962" s="15"/>
      <c r="S962" s="15"/>
      <c r="T962" s="15"/>
      <c r="U962" s="15"/>
      <c r="V962" s="15"/>
      <c r="W962" s="15"/>
      <c r="X962" s="14"/>
      <c r="Y962" s="14"/>
      <c r="Z962" s="15"/>
      <c r="AA962" s="3"/>
      <c r="AB962" s="3"/>
      <c r="AC962" s="3"/>
      <c r="AD962" s="3"/>
      <c r="AE962" s="3"/>
      <c r="AF962" s="3"/>
    </row>
    <row r="963" ht="15.75" customHeight="1">
      <c r="J963" s="15"/>
      <c r="K963" s="238"/>
      <c r="L963" s="15"/>
      <c r="M963" s="15"/>
      <c r="N963" s="15"/>
      <c r="O963" s="15"/>
      <c r="P963" s="15"/>
      <c r="Q963" s="15"/>
      <c r="R963" s="15"/>
      <c r="S963" s="15"/>
      <c r="T963" s="15"/>
      <c r="U963" s="15"/>
      <c r="V963" s="15"/>
      <c r="W963" s="15"/>
      <c r="X963" s="14"/>
      <c r="Y963" s="14"/>
      <c r="Z963" s="15"/>
      <c r="AA963" s="3"/>
      <c r="AB963" s="3"/>
      <c r="AC963" s="3"/>
      <c r="AD963" s="3"/>
      <c r="AE963" s="3"/>
      <c r="AF963" s="3"/>
    </row>
    <row r="964" ht="15.75" customHeight="1">
      <c r="J964" s="15"/>
      <c r="K964" s="238"/>
      <c r="L964" s="15"/>
      <c r="M964" s="15"/>
      <c r="N964" s="15"/>
      <c r="O964" s="15"/>
      <c r="P964" s="15"/>
      <c r="Q964" s="15"/>
      <c r="R964" s="15"/>
      <c r="S964" s="15"/>
      <c r="T964" s="15"/>
      <c r="U964" s="15"/>
      <c r="V964" s="15"/>
      <c r="W964" s="15"/>
      <c r="X964" s="14"/>
      <c r="Y964" s="14"/>
      <c r="Z964" s="15"/>
      <c r="AA964" s="3"/>
      <c r="AB964" s="3"/>
      <c r="AC964" s="3"/>
      <c r="AD964" s="3"/>
      <c r="AE964" s="3"/>
      <c r="AF964" s="3"/>
    </row>
    <row r="965" ht="15.75" customHeight="1">
      <c r="J965" s="15"/>
      <c r="K965" s="238"/>
      <c r="L965" s="15"/>
      <c r="M965" s="15"/>
      <c r="N965" s="15"/>
      <c r="O965" s="15"/>
      <c r="P965" s="15"/>
      <c r="Q965" s="15"/>
      <c r="R965" s="15"/>
      <c r="S965" s="15"/>
      <c r="T965" s="15"/>
      <c r="U965" s="15"/>
      <c r="V965" s="15"/>
      <c r="W965" s="15"/>
      <c r="X965" s="14"/>
      <c r="Y965" s="14"/>
      <c r="Z965" s="15"/>
      <c r="AA965" s="3"/>
      <c r="AB965" s="3"/>
      <c r="AC965" s="3"/>
      <c r="AD965" s="3"/>
      <c r="AE965" s="3"/>
      <c r="AF965" s="3"/>
    </row>
    <row r="966" ht="15.75" customHeight="1">
      <c r="J966" s="15"/>
      <c r="K966" s="238"/>
      <c r="L966" s="15"/>
      <c r="M966" s="15"/>
      <c r="N966" s="15"/>
      <c r="O966" s="15"/>
      <c r="P966" s="15"/>
      <c r="Q966" s="15"/>
      <c r="R966" s="15"/>
      <c r="S966" s="15"/>
      <c r="T966" s="15"/>
      <c r="U966" s="15"/>
      <c r="V966" s="15"/>
      <c r="W966" s="15"/>
      <c r="X966" s="14"/>
      <c r="Y966" s="14"/>
      <c r="Z966" s="15"/>
      <c r="AA966" s="3"/>
      <c r="AB966" s="3"/>
      <c r="AC966" s="3"/>
      <c r="AD966" s="3"/>
      <c r="AE966" s="3"/>
      <c r="AF966" s="3"/>
    </row>
    <row r="967" ht="15.75" customHeight="1">
      <c r="J967" s="15"/>
      <c r="K967" s="238"/>
      <c r="L967" s="15"/>
      <c r="M967" s="15"/>
      <c r="N967" s="15"/>
      <c r="O967" s="15"/>
      <c r="P967" s="15"/>
      <c r="Q967" s="15"/>
      <c r="R967" s="15"/>
      <c r="S967" s="15"/>
      <c r="T967" s="15"/>
      <c r="U967" s="15"/>
      <c r="V967" s="15"/>
      <c r="W967" s="15"/>
      <c r="X967" s="14"/>
      <c r="Y967" s="14"/>
      <c r="Z967" s="15"/>
      <c r="AA967" s="3"/>
      <c r="AB967" s="3"/>
      <c r="AC967" s="3"/>
      <c r="AD967" s="3"/>
      <c r="AE967" s="3"/>
      <c r="AF967" s="3"/>
    </row>
    <row r="968" ht="15.75" customHeight="1">
      <c r="J968" s="15"/>
      <c r="K968" s="238"/>
      <c r="L968" s="15"/>
      <c r="M968" s="15"/>
      <c r="N968" s="15"/>
      <c r="O968" s="15"/>
      <c r="P968" s="15"/>
      <c r="Q968" s="15"/>
      <c r="R968" s="15"/>
      <c r="S968" s="15"/>
      <c r="T968" s="15"/>
      <c r="U968" s="15"/>
      <c r="V968" s="15"/>
      <c r="W968" s="15"/>
      <c r="X968" s="14"/>
      <c r="Y968" s="14"/>
      <c r="Z968" s="15"/>
      <c r="AA968" s="3"/>
      <c r="AB968" s="3"/>
      <c r="AC968" s="3"/>
      <c r="AD968" s="3"/>
      <c r="AE968" s="3"/>
      <c r="AF968" s="3"/>
    </row>
    <row r="969" ht="15.75" customHeight="1">
      <c r="J969" s="15"/>
      <c r="K969" s="238"/>
      <c r="L969" s="15"/>
      <c r="M969" s="15"/>
      <c r="N969" s="15"/>
      <c r="O969" s="15"/>
      <c r="P969" s="15"/>
      <c r="Q969" s="15"/>
      <c r="R969" s="15"/>
      <c r="S969" s="15"/>
      <c r="T969" s="15"/>
      <c r="U969" s="15"/>
      <c r="V969" s="15"/>
      <c r="W969" s="15"/>
      <c r="X969" s="14"/>
      <c r="Y969" s="14"/>
      <c r="Z969" s="15"/>
      <c r="AA969" s="3"/>
      <c r="AB969" s="3"/>
      <c r="AC969" s="3"/>
      <c r="AD969" s="3"/>
      <c r="AE969" s="3"/>
      <c r="AF969" s="3"/>
    </row>
    <row r="970" ht="15.75" customHeight="1">
      <c r="J970" s="15"/>
      <c r="K970" s="238"/>
      <c r="L970" s="15"/>
      <c r="M970" s="15"/>
      <c r="N970" s="15"/>
      <c r="O970" s="15"/>
      <c r="P970" s="15"/>
      <c r="Q970" s="15"/>
      <c r="R970" s="15"/>
      <c r="S970" s="15"/>
      <c r="T970" s="15"/>
      <c r="U970" s="15"/>
      <c r="V970" s="15"/>
      <c r="W970" s="15"/>
      <c r="X970" s="14"/>
      <c r="Y970" s="14"/>
      <c r="Z970" s="15"/>
      <c r="AA970" s="3"/>
      <c r="AB970" s="3"/>
      <c r="AC970" s="3"/>
      <c r="AD970" s="3"/>
      <c r="AE970" s="3"/>
      <c r="AF970" s="3"/>
    </row>
    <row r="971" ht="15.75" customHeight="1">
      <c r="J971" s="15"/>
      <c r="K971" s="238"/>
      <c r="L971" s="15"/>
      <c r="M971" s="15"/>
      <c r="N971" s="15"/>
      <c r="O971" s="15"/>
      <c r="P971" s="15"/>
      <c r="Q971" s="15"/>
      <c r="R971" s="15"/>
      <c r="S971" s="15"/>
      <c r="T971" s="15"/>
      <c r="U971" s="15"/>
      <c r="V971" s="15"/>
      <c r="W971" s="15"/>
      <c r="X971" s="14"/>
      <c r="Y971" s="14"/>
      <c r="Z971" s="15"/>
      <c r="AA971" s="3"/>
      <c r="AB971" s="3"/>
      <c r="AC971" s="3"/>
      <c r="AD971" s="3"/>
      <c r="AE971" s="3"/>
      <c r="AF971" s="3"/>
    </row>
    <row r="972" ht="15.75" customHeight="1">
      <c r="J972" s="15"/>
      <c r="K972" s="238"/>
      <c r="L972" s="15"/>
      <c r="M972" s="15"/>
      <c r="N972" s="15"/>
      <c r="O972" s="15"/>
      <c r="P972" s="15"/>
      <c r="Q972" s="15"/>
      <c r="R972" s="15"/>
      <c r="S972" s="15"/>
      <c r="T972" s="15"/>
      <c r="U972" s="15"/>
      <c r="V972" s="15"/>
      <c r="W972" s="15"/>
      <c r="X972" s="14"/>
      <c r="Y972" s="14"/>
      <c r="Z972" s="15"/>
      <c r="AA972" s="3"/>
      <c r="AB972" s="3"/>
      <c r="AC972" s="3"/>
      <c r="AD972" s="3"/>
      <c r="AE972" s="3"/>
      <c r="AF972" s="3"/>
    </row>
    <row r="973" ht="15.75" customHeight="1">
      <c r="J973" s="15"/>
      <c r="K973" s="238"/>
      <c r="L973" s="15"/>
      <c r="M973" s="15"/>
      <c r="N973" s="15"/>
      <c r="O973" s="15"/>
      <c r="P973" s="15"/>
      <c r="Q973" s="15"/>
      <c r="R973" s="15"/>
      <c r="S973" s="15"/>
      <c r="T973" s="15"/>
      <c r="U973" s="15"/>
      <c r="V973" s="15"/>
      <c r="W973" s="15"/>
      <c r="X973" s="14"/>
      <c r="Y973" s="14"/>
      <c r="Z973" s="15"/>
      <c r="AA973" s="3"/>
      <c r="AB973" s="3"/>
      <c r="AC973" s="3"/>
      <c r="AD973" s="3"/>
      <c r="AE973" s="3"/>
      <c r="AF973" s="3"/>
    </row>
    <row r="974" ht="15.75" customHeight="1">
      <c r="J974" s="15"/>
      <c r="K974" s="238"/>
      <c r="L974" s="15"/>
      <c r="M974" s="15"/>
      <c r="N974" s="15"/>
      <c r="O974" s="15"/>
      <c r="P974" s="15"/>
      <c r="Q974" s="15"/>
      <c r="R974" s="15"/>
      <c r="S974" s="15"/>
      <c r="T974" s="15"/>
      <c r="U974" s="15"/>
      <c r="V974" s="15"/>
      <c r="W974" s="15"/>
      <c r="X974" s="14"/>
      <c r="Y974" s="14"/>
      <c r="Z974" s="15"/>
      <c r="AA974" s="3"/>
      <c r="AB974" s="3"/>
      <c r="AC974" s="3"/>
      <c r="AD974" s="3"/>
      <c r="AE974" s="3"/>
      <c r="AF974" s="3"/>
    </row>
    <row r="975" ht="15.75" customHeight="1">
      <c r="J975" s="15"/>
      <c r="K975" s="238"/>
      <c r="L975" s="15"/>
      <c r="M975" s="15"/>
      <c r="N975" s="15"/>
      <c r="O975" s="15"/>
      <c r="P975" s="15"/>
      <c r="Q975" s="15"/>
      <c r="R975" s="15"/>
      <c r="S975" s="15"/>
      <c r="T975" s="15"/>
      <c r="U975" s="15"/>
      <c r="V975" s="15"/>
      <c r="W975" s="15"/>
      <c r="X975" s="14"/>
      <c r="Y975" s="14"/>
      <c r="Z975" s="15"/>
      <c r="AA975" s="3"/>
      <c r="AB975" s="3"/>
      <c r="AC975" s="3"/>
      <c r="AD975" s="3"/>
      <c r="AE975" s="3"/>
      <c r="AF975" s="3"/>
    </row>
    <row r="976" ht="15.75" customHeight="1">
      <c r="J976" s="15"/>
      <c r="K976" s="238"/>
      <c r="L976" s="15"/>
      <c r="M976" s="15"/>
      <c r="N976" s="15"/>
      <c r="O976" s="15"/>
      <c r="P976" s="15"/>
      <c r="Q976" s="15"/>
      <c r="R976" s="15"/>
      <c r="S976" s="15"/>
      <c r="T976" s="15"/>
      <c r="U976" s="15"/>
      <c r="V976" s="15"/>
      <c r="W976" s="15"/>
      <c r="X976" s="14"/>
      <c r="Y976" s="14"/>
      <c r="Z976" s="15"/>
      <c r="AA976" s="3"/>
      <c r="AB976" s="3"/>
      <c r="AC976" s="3"/>
      <c r="AD976" s="3"/>
      <c r="AE976" s="3"/>
      <c r="AF976" s="3"/>
    </row>
    <row r="977" ht="15.75" customHeight="1">
      <c r="J977" s="15"/>
      <c r="K977" s="238"/>
      <c r="L977" s="15"/>
      <c r="M977" s="15"/>
      <c r="N977" s="15"/>
      <c r="O977" s="15"/>
      <c r="P977" s="15"/>
      <c r="Q977" s="15"/>
      <c r="R977" s="15"/>
      <c r="S977" s="15"/>
      <c r="T977" s="15"/>
      <c r="U977" s="15"/>
      <c r="V977" s="15"/>
      <c r="W977" s="15"/>
      <c r="X977" s="14"/>
      <c r="Y977" s="14"/>
      <c r="Z977" s="15"/>
      <c r="AA977" s="3"/>
      <c r="AB977" s="3"/>
      <c r="AC977" s="3"/>
      <c r="AD977" s="3"/>
      <c r="AE977" s="3"/>
      <c r="AF977" s="3"/>
    </row>
    <row r="978" ht="15.75" customHeight="1">
      <c r="J978" s="15"/>
      <c r="K978" s="238"/>
      <c r="L978" s="15"/>
      <c r="M978" s="15"/>
      <c r="N978" s="15"/>
      <c r="O978" s="15"/>
      <c r="P978" s="15"/>
      <c r="Q978" s="15"/>
      <c r="R978" s="15"/>
      <c r="S978" s="15"/>
      <c r="T978" s="15"/>
      <c r="U978" s="15"/>
      <c r="V978" s="15"/>
      <c r="W978" s="15"/>
      <c r="X978" s="14"/>
      <c r="Y978" s="14"/>
      <c r="Z978" s="15"/>
      <c r="AA978" s="3"/>
      <c r="AB978" s="3"/>
      <c r="AC978" s="3"/>
      <c r="AD978" s="3"/>
      <c r="AE978" s="3"/>
      <c r="AF978" s="3"/>
    </row>
    <row r="979" ht="15.75" customHeight="1">
      <c r="J979" s="15"/>
      <c r="K979" s="238"/>
      <c r="L979" s="15"/>
      <c r="M979" s="15"/>
      <c r="N979" s="15"/>
      <c r="O979" s="15"/>
      <c r="P979" s="15"/>
      <c r="Q979" s="15"/>
      <c r="R979" s="15"/>
      <c r="S979" s="15"/>
      <c r="T979" s="15"/>
      <c r="U979" s="15"/>
      <c r="V979" s="15"/>
      <c r="W979" s="15"/>
      <c r="X979" s="14"/>
      <c r="Y979" s="14"/>
      <c r="Z979" s="15"/>
      <c r="AA979" s="3"/>
      <c r="AB979" s="3"/>
      <c r="AC979" s="3"/>
      <c r="AD979" s="3"/>
      <c r="AE979" s="3"/>
      <c r="AF979" s="3"/>
    </row>
    <row r="980" ht="15.75" customHeight="1">
      <c r="J980" s="15"/>
      <c r="K980" s="238"/>
      <c r="L980" s="15"/>
      <c r="M980" s="15"/>
      <c r="N980" s="15"/>
      <c r="O980" s="15"/>
      <c r="P980" s="15"/>
      <c r="Q980" s="15"/>
      <c r="R980" s="15"/>
      <c r="S980" s="15"/>
      <c r="T980" s="15"/>
      <c r="U980" s="15"/>
      <c r="V980" s="15"/>
      <c r="W980" s="15"/>
      <c r="X980" s="14"/>
      <c r="Y980" s="14"/>
      <c r="Z980" s="15"/>
      <c r="AA980" s="3"/>
      <c r="AB980" s="3"/>
      <c r="AC980" s="3"/>
      <c r="AD980" s="3"/>
      <c r="AE980" s="3"/>
      <c r="AF980" s="3"/>
    </row>
    <row r="981" ht="15.75" customHeight="1">
      <c r="J981" s="15"/>
      <c r="K981" s="238"/>
      <c r="L981" s="15"/>
      <c r="M981" s="15"/>
      <c r="N981" s="15"/>
      <c r="O981" s="15"/>
      <c r="P981" s="15"/>
      <c r="Q981" s="15"/>
      <c r="R981" s="15"/>
      <c r="S981" s="15"/>
      <c r="T981" s="15"/>
      <c r="U981" s="15"/>
      <c r="V981" s="15"/>
      <c r="W981" s="15"/>
      <c r="X981" s="14"/>
      <c r="Y981" s="14"/>
      <c r="Z981" s="15"/>
      <c r="AA981" s="3"/>
      <c r="AB981" s="3"/>
      <c r="AC981" s="3"/>
      <c r="AD981" s="3"/>
      <c r="AE981" s="3"/>
      <c r="AF981" s="3"/>
    </row>
    <row r="982" ht="15.75" customHeight="1">
      <c r="J982" s="15"/>
      <c r="K982" s="238"/>
      <c r="L982" s="15"/>
      <c r="M982" s="15"/>
      <c r="N982" s="15"/>
      <c r="O982" s="15"/>
      <c r="P982" s="15"/>
      <c r="Q982" s="15"/>
      <c r="R982" s="15"/>
      <c r="S982" s="15"/>
      <c r="T982" s="15"/>
      <c r="U982" s="15"/>
      <c r="V982" s="15"/>
      <c r="W982" s="15"/>
      <c r="X982" s="14"/>
      <c r="Y982" s="14"/>
      <c r="Z982" s="15"/>
      <c r="AA982" s="3"/>
      <c r="AB982" s="3"/>
      <c r="AC982" s="3"/>
      <c r="AD982" s="3"/>
      <c r="AE982" s="3"/>
      <c r="AF982" s="3"/>
    </row>
    <row r="983" ht="15.75" customHeight="1">
      <c r="J983" s="15"/>
      <c r="K983" s="238"/>
      <c r="L983" s="15"/>
      <c r="M983" s="15"/>
      <c r="N983" s="15"/>
      <c r="O983" s="15"/>
      <c r="P983" s="15"/>
      <c r="Q983" s="15"/>
      <c r="R983" s="15"/>
      <c r="S983" s="15"/>
      <c r="T983" s="15"/>
      <c r="U983" s="15"/>
      <c r="V983" s="15"/>
      <c r="W983" s="15"/>
      <c r="X983" s="14"/>
      <c r="Y983" s="14"/>
      <c r="Z983" s="15"/>
      <c r="AA983" s="3"/>
      <c r="AB983" s="3"/>
      <c r="AC983" s="3"/>
      <c r="AD983" s="3"/>
      <c r="AE983" s="3"/>
      <c r="AF983" s="3"/>
    </row>
    <row r="984" ht="15.75" customHeight="1">
      <c r="J984" s="15"/>
      <c r="K984" s="238"/>
      <c r="L984" s="15"/>
      <c r="M984" s="15"/>
      <c r="N984" s="15"/>
      <c r="O984" s="15"/>
      <c r="P984" s="15"/>
      <c r="Q984" s="15"/>
      <c r="R984" s="15"/>
      <c r="S984" s="15"/>
      <c r="T984" s="15"/>
      <c r="U984" s="15"/>
      <c r="V984" s="15"/>
      <c r="W984" s="15"/>
      <c r="X984" s="14"/>
      <c r="Y984" s="14"/>
      <c r="Z984" s="15"/>
      <c r="AA984" s="3"/>
      <c r="AB984" s="3"/>
      <c r="AC984" s="3"/>
      <c r="AD984" s="3"/>
      <c r="AE984" s="3"/>
      <c r="AF984" s="3"/>
    </row>
    <row r="985" ht="15.75" customHeight="1">
      <c r="J985" s="15"/>
      <c r="K985" s="238"/>
      <c r="L985" s="15"/>
      <c r="M985" s="15"/>
      <c r="N985" s="15"/>
      <c r="O985" s="15"/>
      <c r="P985" s="15"/>
      <c r="Q985" s="15"/>
      <c r="R985" s="15"/>
      <c r="S985" s="15"/>
      <c r="T985" s="15"/>
      <c r="U985" s="15"/>
      <c r="V985" s="15"/>
      <c r="W985" s="15"/>
      <c r="X985" s="14"/>
      <c r="Y985" s="14"/>
      <c r="Z985" s="15"/>
      <c r="AA985" s="3"/>
      <c r="AB985" s="3"/>
      <c r="AC985" s="3"/>
      <c r="AD985" s="3"/>
      <c r="AE985" s="3"/>
      <c r="AF985" s="3"/>
    </row>
    <row r="986" ht="15.75" customHeight="1">
      <c r="J986" s="15"/>
      <c r="K986" s="238"/>
      <c r="L986" s="15"/>
      <c r="M986" s="15"/>
      <c r="N986" s="15"/>
      <c r="O986" s="15"/>
      <c r="P986" s="15"/>
      <c r="Q986" s="15"/>
      <c r="R986" s="15"/>
      <c r="S986" s="15"/>
      <c r="T986" s="15"/>
      <c r="U986" s="15"/>
      <c r="V986" s="15"/>
      <c r="W986" s="15"/>
      <c r="X986" s="14"/>
      <c r="Y986" s="14"/>
      <c r="Z986" s="15"/>
      <c r="AA986" s="3"/>
      <c r="AB986" s="3"/>
      <c r="AC986" s="3"/>
      <c r="AD986" s="3"/>
      <c r="AE986" s="3"/>
      <c r="AF986" s="3"/>
    </row>
    <row r="987" ht="15.75" customHeight="1">
      <c r="J987" s="15"/>
      <c r="K987" s="238"/>
      <c r="L987" s="15"/>
      <c r="M987" s="15"/>
      <c r="N987" s="15"/>
      <c r="O987" s="15"/>
      <c r="P987" s="15"/>
      <c r="Q987" s="15"/>
      <c r="R987" s="15"/>
      <c r="S987" s="15"/>
      <c r="T987" s="15"/>
      <c r="U987" s="15"/>
      <c r="V987" s="15"/>
      <c r="W987" s="15"/>
      <c r="X987" s="14"/>
      <c r="Y987" s="14"/>
      <c r="Z987" s="15"/>
      <c r="AA987" s="3"/>
      <c r="AB987" s="3"/>
      <c r="AC987" s="3"/>
      <c r="AD987" s="3"/>
      <c r="AE987" s="3"/>
      <c r="AF987" s="3"/>
    </row>
    <row r="988" ht="15.75" customHeight="1">
      <c r="J988" s="15"/>
      <c r="K988" s="238"/>
      <c r="L988" s="15"/>
      <c r="M988" s="15"/>
      <c r="N988" s="15"/>
      <c r="O988" s="15"/>
      <c r="P988" s="15"/>
      <c r="Q988" s="15"/>
      <c r="R988" s="15"/>
      <c r="S988" s="15"/>
      <c r="T988" s="15"/>
      <c r="U988" s="15"/>
      <c r="V988" s="15"/>
      <c r="W988" s="15"/>
      <c r="X988" s="14"/>
      <c r="Y988" s="14"/>
      <c r="Z988" s="15"/>
      <c r="AA988" s="3"/>
      <c r="AB988" s="3"/>
      <c r="AC988" s="3"/>
      <c r="AD988" s="3"/>
      <c r="AE988" s="3"/>
      <c r="AF988" s="3"/>
    </row>
    <row r="989" ht="15.75" customHeight="1">
      <c r="J989" s="15"/>
      <c r="K989" s="238"/>
      <c r="L989" s="15"/>
      <c r="M989" s="15"/>
      <c r="N989" s="15"/>
      <c r="O989" s="15"/>
      <c r="P989" s="15"/>
      <c r="Q989" s="15"/>
      <c r="R989" s="15"/>
      <c r="S989" s="15"/>
      <c r="T989" s="15"/>
      <c r="U989" s="15"/>
      <c r="V989" s="15"/>
      <c r="W989" s="15"/>
      <c r="X989" s="14"/>
      <c r="Y989" s="14"/>
      <c r="Z989" s="15"/>
      <c r="AA989" s="3"/>
      <c r="AB989" s="3"/>
      <c r="AC989" s="3"/>
      <c r="AD989" s="3"/>
      <c r="AE989" s="3"/>
      <c r="AF989" s="3"/>
    </row>
    <row r="990" ht="15.75" customHeight="1">
      <c r="J990" s="15"/>
      <c r="K990" s="238"/>
      <c r="L990" s="15"/>
      <c r="M990" s="15"/>
      <c r="N990" s="15"/>
      <c r="O990" s="15"/>
      <c r="P990" s="15"/>
      <c r="Q990" s="15"/>
      <c r="R990" s="15"/>
      <c r="S990" s="15"/>
      <c r="T990" s="15"/>
      <c r="U990" s="15"/>
      <c r="V990" s="15"/>
      <c r="W990" s="15"/>
      <c r="X990" s="14"/>
      <c r="Y990" s="14"/>
      <c r="Z990" s="15"/>
      <c r="AA990" s="3"/>
      <c r="AB990" s="3"/>
      <c r="AC990" s="3"/>
      <c r="AD990" s="3"/>
      <c r="AE990" s="3"/>
      <c r="AF990" s="3"/>
    </row>
    <row r="991" ht="15.75" customHeight="1">
      <c r="J991" s="15"/>
      <c r="K991" s="238"/>
      <c r="L991" s="15"/>
      <c r="M991" s="15"/>
      <c r="N991" s="15"/>
      <c r="O991" s="15"/>
      <c r="P991" s="15"/>
      <c r="Q991" s="15"/>
      <c r="R991" s="15"/>
      <c r="S991" s="15"/>
      <c r="T991" s="15"/>
      <c r="U991" s="15"/>
      <c r="V991" s="15"/>
      <c r="W991" s="15"/>
      <c r="X991" s="14"/>
      <c r="Y991" s="14"/>
      <c r="Z991" s="15"/>
      <c r="AA991" s="3"/>
      <c r="AB991" s="3"/>
      <c r="AC991" s="3"/>
      <c r="AD991" s="3"/>
      <c r="AE991" s="3"/>
      <c r="AF991" s="3"/>
    </row>
    <row r="992" ht="15.75" customHeight="1">
      <c r="J992" s="15"/>
      <c r="K992" s="238"/>
      <c r="L992" s="15"/>
      <c r="M992" s="15"/>
      <c r="N992" s="15"/>
      <c r="O992" s="15"/>
      <c r="P992" s="15"/>
      <c r="Q992" s="15"/>
      <c r="R992" s="15"/>
      <c r="S992" s="15"/>
      <c r="T992" s="15"/>
      <c r="U992" s="15"/>
      <c r="V992" s="15"/>
      <c r="W992" s="15"/>
      <c r="X992" s="14"/>
      <c r="Y992" s="14"/>
      <c r="Z992" s="15"/>
      <c r="AA992" s="3"/>
      <c r="AB992" s="3"/>
      <c r="AC992" s="3"/>
      <c r="AD992" s="3"/>
      <c r="AE992" s="3"/>
      <c r="AF992" s="3"/>
    </row>
    <row r="993" ht="15.75" customHeight="1">
      <c r="J993" s="15"/>
      <c r="K993" s="238"/>
      <c r="L993" s="15"/>
      <c r="M993" s="15"/>
      <c r="N993" s="15"/>
      <c r="O993" s="15"/>
      <c r="P993" s="15"/>
      <c r="Q993" s="15"/>
      <c r="R993" s="15"/>
      <c r="S993" s="15"/>
      <c r="T993" s="15"/>
      <c r="U993" s="15"/>
      <c r="V993" s="15"/>
      <c r="W993" s="15"/>
      <c r="X993" s="14"/>
      <c r="Y993" s="14"/>
      <c r="Z993" s="15"/>
      <c r="AA993" s="3"/>
      <c r="AB993" s="3"/>
      <c r="AC993" s="3"/>
      <c r="AD993" s="3"/>
      <c r="AE993" s="3"/>
      <c r="AF993" s="3"/>
    </row>
    <row r="994" ht="15.75" customHeight="1">
      <c r="J994" s="15"/>
      <c r="K994" s="238"/>
      <c r="L994" s="15"/>
      <c r="M994" s="15"/>
      <c r="N994" s="15"/>
      <c r="O994" s="15"/>
      <c r="P994" s="15"/>
      <c r="Q994" s="15"/>
      <c r="R994" s="15"/>
      <c r="S994" s="15"/>
      <c r="T994" s="15"/>
      <c r="U994" s="15"/>
      <c r="V994" s="15"/>
      <c r="W994" s="15"/>
      <c r="X994" s="14"/>
      <c r="Y994" s="14"/>
      <c r="Z994" s="15"/>
      <c r="AA994" s="3"/>
      <c r="AB994" s="3"/>
      <c r="AC994" s="3"/>
      <c r="AD994" s="3"/>
      <c r="AE994" s="3"/>
      <c r="AF994" s="3"/>
    </row>
    <row r="995" ht="15.75" customHeight="1">
      <c r="J995" s="15"/>
      <c r="K995" s="238"/>
      <c r="L995" s="15"/>
      <c r="M995" s="15"/>
      <c r="N995" s="15"/>
      <c r="O995" s="15"/>
      <c r="P995" s="15"/>
      <c r="Q995" s="15"/>
      <c r="R995" s="15"/>
      <c r="S995" s="15"/>
      <c r="T995" s="15"/>
      <c r="U995" s="15"/>
      <c r="V995" s="15"/>
      <c r="W995" s="15"/>
      <c r="X995" s="14"/>
      <c r="Y995" s="14"/>
      <c r="Z995" s="15"/>
      <c r="AA995" s="3"/>
      <c r="AB995" s="3"/>
      <c r="AC995" s="3"/>
      <c r="AD995" s="3"/>
      <c r="AE995" s="3"/>
      <c r="AF995" s="3"/>
    </row>
    <row r="996" ht="15.75" customHeight="1">
      <c r="J996" s="15"/>
      <c r="K996" s="238"/>
      <c r="L996" s="15"/>
      <c r="M996" s="15"/>
      <c r="N996" s="15"/>
      <c r="O996" s="15"/>
      <c r="P996" s="15"/>
      <c r="Q996" s="15"/>
      <c r="R996" s="15"/>
      <c r="S996" s="15"/>
      <c r="T996" s="15"/>
      <c r="U996" s="15"/>
      <c r="V996" s="15"/>
      <c r="W996" s="15"/>
      <c r="X996" s="14"/>
      <c r="Y996" s="14"/>
      <c r="Z996" s="15"/>
      <c r="AA996" s="3"/>
      <c r="AB996" s="3"/>
      <c r="AC996" s="3"/>
      <c r="AD996" s="3"/>
      <c r="AE996" s="3"/>
      <c r="AF996" s="3"/>
    </row>
    <row r="997" ht="15.75" customHeight="1">
      <c r="J997" s="15"/>
      <c r="K997" s="238"/>
      <c r="L997" s="15"/>
      <c r="M997" s="15"/>
      <c r="N997" s="15"/>
      <c r="O997" s="15"/>
      <c r="P997" s="15"/>
      <c r="Q997" s="15"/>
      <c r="R997" s="15"/>
      <c r="S997" s="15"/>
      <c r="T997" s="15"/>
      <c r="U997" s="15"/>
      <c r="V997" s="15"/>
      <c r="W997" s="15"/>
      <c r="X997" s="14"/>
      <c r="Y997" s="14"/>
      <c r="Z997" s="15"/>
      <c r="AA997" s="3"/>
      <c r="AB997" s="3"/>
      <c r="AC997" s="3"/>
      <c r="AD997" s="3"/>
      <c r="AE997" s="3"/>
      <c r="AF997" s="3"/>
    </row>
    <row r="998" ht="15.75" customHeight="1">
      <c r="J998" s="15"/>
      <c r="K998" s="238"/>
      <c r="L998" s="15"/>
      <c r="M998" s="15"/>
      <c r="N998" s="15"/>
      <c r="O998" s="15"/>
      <c r="P998" s="15"/>
      <c r="Q998" s="15"/>
      <c r="R998" s="15"/>
      <c r="S998" s="15"/>
      <c r="T998" s="15"/>
      <c r="U998" s="15"/>
      <c r="V998" s="15"/>
      <c r="W998" s="15"/>
      <c r="X998" s="14"/>
      <c r="Y998" s="14"/>
      <c r="Z998" s="15"/>
      <c r="AA998" s="3"/>
      <c r="AB998" s="3"/>
      <c r="AC998" s="3"/>
      <c r="AD998" s="3"/>
      <c r="AE998" s="3"/>
      <c r="AF998" s="3"/>
    </row>
    <row r="999" ht="15.75" customHeight="1">
      <c r="J999" s="15"/>
      <c r="K999" s="238"/>
      <c r="L999" s="15"/>
      <c r="M999" s="15"/>
      <c r="N999" s="15"/>
      <c r="O999" s="15"/>
      <c r="P999" s="15"/>
      <c r="Q999" s="15"/>
      <c r="R999" s="15"/>
      <c r="S999" s="15"/>
      <c r="T999" s="15"/>
      <c r="U999" s="15"/>
      <c r="V999" s="15"/>
      <c r="W999" s="15"/>
      <c r="X999" s="14"/>
      <c r="Y999" s="14"/>
      <c r="Z999" s="15"/>
      <c r="AA999" s="3"/>
      <c r="AB999" s="3"/>
      <c r="AC999" s="3"/>
      <c r="AD999" s="3"/>
      <c r="AE999" s="3"/>
      <c r="AF999" s="3"/>
    </row>
    <row r="1000" ht="15.75" customHeight="1">
      <c r="J1000" s="15"/>
      <c r="K1000" s="238"/>
      <c r="L1000" s="15"/>
      <c r="M1000" s="15"/>
      <c r="N1000" s="15"/>
      <c r="O1000" s="15"/>
      <c r="P1000" s="15"/>
      <c r="Q1000" s="15"/>
      <c r="R1000" s="15"/>
      <c r="S1000" s="15"/>
      <c r="T1000" s="15"/>
      <c r="U1000" s="15"/>
      <c r="V1000" s="15"/>
      <c r="W1000" s="15"/>
      <c r="X1000" s="14"/>
      <c r="Y1000" s="14"/>
      <c r="Z1000" s="15"/>
      <c r="AA1000" s="3"/>
      <c r="AB1000" s="3"/>
      <c r="AC1000" s="3"/>
      <c r="AD1000" s="3"/>
      <c r="AE1000" s="3"/>
      <c r="AF1000" s="3"/>
    </row>
    <row r="1001" ht="15.75" customHeight="1">
      <c r="J1001" s="15"/>
      <c r="K1001" s="238"/>
      <c r="L1001" s="15"/>
      <c r="M1001" s="15"/>
      <c r="N1001" s="15"/>
      <c r="O1001" s="15"/>
      <c r="P1001" s="15"/>
      <c r="Q1001" s="15"/>
      <c r="R1001" s="15"/>
      <c r="S1001" s="15"/>
      <c r="T1001" s="15"/>
      <c r="U1001" s="15"/>
      <c r="V1001" s="15"/>
      <c r="W1001" s="15"/>
      <c r="X1001" s="14"/>
      <c r="Y1001" s="14"/>
      <c r="Z1001" s="15"/>
      <c r="AA1001" s="3"/>
      <c r="AB1001" s="3"/>
      <c r="AC1001" s="3"/>
      <c r="AD1001" s="3"/>
      <c r="AE1001" s="3"/>
      <c r="AF1001" s="3"/>
    </row>
    <row r="1002" ht="15.75" customHeight="1">
      <c r="J1002" s="15"/>
      <c r="K1002" s="238"/>
      <c r="L1002" s="15"/>
      <c r="M1002" s="15"/>
      <c r="N1002" s="15"/>
      <c r="O1002" s="15"/>
      <c r="P1002" s="15"/>
      <c r="Q1002" s="15"/>
      <c r="R1002" s="15"/>
      <c r="S1002" s="15"/>
      <c r="T1002" s="15"/>
      <c r="U1002" s="15"/>
      <c r="V1002" s="15"/>
      <c r="W1002" s="15"/>
      <c r="X1002" s="14"/>
      <c r="Y1002" s="14"/>
      <c r="Z1002" s="15"/>
      <c r="AA1002" s="3"/>
      <c r="AB1002" s="3"/>
      <c r="AC1002" s="3"/>
      <c r="AD1002" s="3"/>
      <c r="AE1002" s="3"/>
      <c r="AF1002" s="3"/>
    </row>
    <row r="1003" ht="15.75" customHeight="1">
      <c r="J1003" s="15"/>
      <c r="K1003" s="238"/>
      <c r="L1003" s="15"/>
      <c r="M1003" s="15"/>
      <c r="N1003" s="15"/>
      <c r="O1003" s="15"/>
      <c r="P1003" s="15"/>
      <c r="Q1003" s="15"/>
      <c r="R1003" s="15"/>
      <c r="S1003" s="15"/>
      <c r="T1003" s="15"/>
      <c r="U1003" s="15"/>
      <c r="V1003" s="15"/>
      <c r="W1003" s="15"/>
      <c r="X1003" s="14"/>
      <c r="Y1003" s="14"/>
      <c r="Z1003" s="15"/>
      <c r="AA1003" s="3"/>
      <c r="AB1003" s="3"/>
      <c r="AC1003" s="3"/>
      <c r="AD1003" s="3"/>
      <c r="AE1003" s="3"/>
      <c r="AF1003" s="3"/>
    </row>
    <row r="1004" ht="15.75" customHeight="1">
      <c r="J1004" s="15"/>
      <c r="K1004" s="238"/>
      <c r="L1004" s="15"/>
      <c r="M1004" s="15"/>
      <c r="N1004" s="15"/>
      <c r="O1004" s="15"/>
      <c r="P1004" s="15"/>
      <c r="Q1004" s="15"/>
      <c r="R1004" s="15"/>
      <c r="S1004" s="15"/>
      <c r="T1004" s="15"/>
      <c r="U1004" s="15"/>
      <c r="V1004" s="15"/>
      <c r="W1004" s="15"/>
      <c r="X1004" s="14"/>
      <c r="Y1004" s="14"/>
      <c r="Z1004" s="15"/>
      <c r="AA1004" s="3"/>
      <c r="AB1004" s="3"/>
      <c r="AC1004" s="3"/>
      <c r="AD1004" s="3"/>
      <c r="AE1004" s="3"/>
      <c r="AF1004" s="3"/>
    </row>
    <row r="1005" ht="15.75" customHeight="1">
      <c r="J1005" s="15"/>
      <c r="K1005" s="238"/>
      <c r="L1005" s="15"/>
      <c r="M1005" s="15"/>
      <c r="N1005" s="15"/>
      <c r="O1005" s="15"/>
      <c r="P1005" s="15"/>
      <c r="Q1005" s="15"/>
      <c r="R1005" s="15"/>
      <c r="S1005" s="15"/>
      <c r="T1005" s="15"/>
      <c r="U1005" s="15"/>
      <c r="V1005" s="15"/>
      <c r="W1005" s="15"/>
      <c r="X1005" s="14"/>
      <c r="Y1005" s="14"/>
      <c r="Z1005" s="15"/>
      <c r="AA1005" s="3"/>
      <c r="AB1005" s="3"/>
      <c r="AC1005" s="3"/>
      <c r="AD1005" s="3"/>
      <c r="AE1005" s="3"/>
      <c r="AF1005" s="3"/>
    </row>
    <row r="1006" ht="15.75" customHeight="1">
      <c r="J1006" s="15"/>
      <c r="K1006" s="238"/>
      <c r="L1006" s="15"/>
      <c r="M1006" s="15"/>
      <c r="N1006" s="15"/>
      <c r="O1006" s="15"/>
      <c r="P1006" s="15"/>
      <c r="Q1006" s="15"/>
      <c r="R1006" s="15"/>
      <c r="S1006" s="15"/>
      <c r="T1006" s="15"/>
      <c r="U1006" s="15"/>
      <c r="V1006" s="15"/>
      <c r="W1006" s="15"/>
      <c r="X1006" s="14"/>
      <c r="Y1006" s="14"/>
      <c r="Z1006" s="15"/>
      <c r="AA1006" s="3"/>
      <c r="AB1006" s="3"/>
      <c r="AC1006" s="3"/>
      <c r="AD1006" s="3"/>
      <c r="AE1006" s="3"/>
      <c r="AF1006" s="3"/>
    </row>
    <row r="1007" ht="15.75" customHeight="1">
      <c r="J1007" s="15"/>
      <c r="K1007" s="238"/>
      <c r="L1007" s="15"/>
      <c r="M1007" s="15"/>
      <c r="N1007" s="15"/>
      <c r="O1007" s="15"/>
      <c r="P1007" s="15"/>
      <c r="Q1007" s="15"/>
      <c r="R1007" s="15"/>
      <c r="S1007" s="15"/>
      <c r="T1007" s="15"/>
      <c r="U1007" s="15"/>
      <c r="V1007" s="15"/>
      <c r="W1007" s="15"/>
      <c r="X1007" s="14"/>
      <c r="Y1007" s="14"/>
      <c r="Z1007" s="15"/>
      <c r="AA1007" s="3"/>
      <c r="AB1007" s="3"/>
      <c r="AC1007" s="3"/>
      <c r="AD1007" s="3"/>
      <c r="AE1007" s="3"/>
      <c r="AF1007" s="3"/>
    </row>
    <row r="1008" ht="15.75" customHeight="1">
      <c r="J1008" s="15"/>
      <c r="K1008" s="238"/>
      <c r="L1008" s="15"/>
      <c r="M1008" s="15"/>
      <c r="N1008" s="15"/>
      <c r="O1008" s="15"/>
      <c r="P1008" s="15"/>
      <c r="Q1008" s="15"/>
      <c r="R1008" s="15"/>
      <c r="S1008" s="15"/>
      <c r="T1008" s="15"/>
      <c r="U1008" s="15"/>
      <c r="V1008" s="15"/>
      <c r="W1008" s="15"/>
      <c r="X1008" s="14"/>
      <c r="Y1008" s="14"/>
      <c r="Z1008" s="15"/>
      <c r="AA1008" s="3"/>
      <c r="AB1008" s="3"/>
      <c r="AC1008" s="3"/>
      <c r="AD1008" s="3"/>
      <c r="AE1008" s="3"/>
      <c r="AF1008" s="3"/>
    </row>
    <row r="1009" ht="15.75" customHeight="1">
      <c r="J1009" s="15"/>
      <c r="K1009" s="238"/>
      <c r="L1009" s="15"/>
      <c r="M1009" s="15"/>
      <c r="N1009" s="15"/>
      <c r="O1009" s="15"/>
      <c r="P1009" s="15"/>
      <c r="Q1009" s="15"/>
      <c r="R1009" s="15"/>
      <c r="S1009" s="15"/>
      <c r="T1009" s="15"/>
      <c r="U1009" s="15"/>
      <c r="V1009" s="15"/>
      <c r="W1009" s="15"/>
      <c r="X1009" s="14"/>
      <c r="Y1009" s="14"/>
      <c r="Z1009" s="15"/>
      <c r="AA1009" s="3"/>
      <c r="AB1009" s="3"/>
      <c r="AC1009" s="3"/>
      <c r="AD1009" s="3"/>
      <c r="AE1009" s="3"/>
      <c r="AF1009" s="3"/>
    </row>
    <row r="1010" ht="15.75" customHeight="1">
      <c r="J1010" s="15"/>
      <c r="K1010" s="238"/>
      <c r="L1010" s="15"/>
      <c r="M1010" s="15"/>
      <c r="N1010" s="15"/>
      <c r="O1010" s="15"/>
      <c r="P1010" s="15"/>
      <c r="Q1010" s="15"/>
      <c r="R1010" s="15"/>
      <c r="S1010" s="15"/>
      <c r="T1010" s="15"/>
      <c r="U1010" s="15"/>
      <c r="V1010" s="15"/>
      <c r="W1010" s="15"/>
      <c r="X1010" s="14"/>
      <c r="Y1010" s="14"/>
      <c r="Z1010" s="15"/>
      <c r="AA1010" s="3"/>
      <c r="AB1010" s="3"/>
      <c r="AC1010" s="3"/>
      <c r="AD1010" s="3"/>
      <c r="AE1010" s="3"/>
      <c r="AF1010" s="3"/>
    </row>
    <row r="1011" ht="15.75" customHeight="1">
      <c r="J1011" s="15"/>
      <c r="K1011" s="238"/>
      <c r="L1011" s="15"/>
      <c r="M1011" s="15"/>
      <c r="N1011" s="15"/>
      <c r="O1011" s="15"/>
      <c r="P1011" s="15"/>
      <c r="Q1011" s="15"/>
      <c r="R1011" s="15"/>
      <c r="S1011" s="15"/>
      <c r="T1011" s="15"/>
      <c r="U1011" s="15"/>
      <c r="V1011" s="15"/>
      <c r="W1011" s="15"/>
      <c r="X1011" s="14"/>
      <c r="Y1011" s="14"/>
      <c r="Z1011" s="15"/>
      <c r="AA1011" s="3"/>
      <c r="AB1011" s="3"/>
      <c r="AC1011" s="3"/>
      <c r="AD1011" s="3"/>
      <c r="AE1011" s="3"/>
      <c r="AF1011" s="3"/>
    </row>
    <row r="1012" ht="15.75" customHeight="1">
      <c r="J1012" s="15"/>
      <c r="K1012" s="238"/>
      <c r="L1012" s="15"/>
      <c r="M1012" s="15"/>
      <c r="N1012" s="15"/>
      <c r="O1012" s="15"/>
      <c r="P1012" s="15"/>
      <c r="Q1012" s="15"/>
      <c r="R1012" s="15"/>
      <c r="S1012" s="15"/>
      <c r="T1012" s="15"/>
      <c r="U1012" s="15"/>
      <c r="V1012" s="15"/>
      <c r="W1012" s="15"/>
      <c r="X1012" s="14"/>
      <c r="Y1012" s="14"/>
      <c r="Z1012" s="15"/>
      <c r="AA1012" s="3"/>
      <c r="AB1012" s="3"/>
      <c r="AC1012" s="3"/>
      <c r="AD1012" s="3"/>
      <c r="AE1012" s="3"/>
      <c r="AF1012" s="3"/>
    </row>
    <row r="1013" ht="15.75" customHeight="1">
      <c r="J1013" s="15"/>
      <c r="K1013" s="238"/>
      <c r="L1013" s="15"/>
      <c r="M1013" s="15"/>
      <c r="N1013" s="15"/>
      <c r="O1013" s="15"/>
      <c r="P1013" s="15"/>
      <c r="Q1013" s="15"/>
      <c r="R1013" s="15"/>
      <c r="S1013" s="15"/>
      <c r="T1013" s="15"/>
      <c r="U1013" s="15"/>
      <c r="V1013" s="15"/>
      <c r="W1013" s="15"/>
      <c r="X1013" s="14"/>
      <c r="Y1013" s="14"/>
      <c r="Z1013" s="15"/>
      <c r="AA1013" s="3"/>
      <c r="AB1013" s="3"/>
      <c r="AC1013" s="3"/>
      <c r="AD1013" s="3"/>
      <c r="AE1013" s="3"/>
      <c r="AF1013" s="3"/>
    </row>
    <row r="1014" ht="15.75" customHeight="1">
      <c r="J1014" s="15"/>
      <c r="K1014" s="238"/>
      <c r="L1014" s="15"/>
      <c r="M1014" s="15"/>
      <c r="N1014" s="15"/>
      <c r="O1014" s="15"/>
      <c r="P1014" s="15"/>
      <c r="Q1014" s="15"/>
      <c r="R1014" s="15"/>
      <c r="S1014" s="15"/>
      <c r="T1014" s="15"/>
      <c r="U1014" s="15"/>
      <c r="V1014" s="15"/>
      <c r="W1014" s="15"/>
      <c r="X1014" s="14"/>
      <c r="Y1014" s="14"/>
      <c r="Z1014" s="15"/>
      <c r="AA1014" s="3"/>
      <c r="AB1014" s="3"/>
      <c r="AC1014" s="3"/>
      <c r="AD1014" s="3"/>
      <c r="AE1014" s="3"/>
      <c r="AF1014" s="3"/>
    </row>
    <row r="1015" ht="15.75" customHeight="1">
      <c r="J1015" s="15"/>
      <c r="K1015" s="238"/>
      <c r="L1015" s="15"/>
      <c r="M1015" s="15"/>
      <c r="N1015" s="15"/>
      <c r="O1015" s="15"/>
      <c r="P1015" s="15"/>
      <c r="Q1015" s="15"/>
      <c r="R1015" s="15"/>
      <c r="S1015" s="15"/>
      <c r="T1015" s="15"/>
      <c r="U1015" s="15"/>
      <c r="V1015" s="15"/>
      <c r="W1015" s="15"/>
      <c r="X1015" s="14"/>
      <c r="Y1015" s="14"/>
      <c r="Z1015" s="15"/>
      <c r="AA1015" s="3"/>
      <c r="AB1015" s="3"/>
      <c r="AC1015" s="3"/>
      <c r="AD1015" s="3"/>
      <c r="AE1015" s="3"/>
      <c r="AF1015" s="3"/>
    </row>
    <row r="1016" ht="15.75" customHeight="1">
      <c r="J1016" s="15"/>
      <c r="K1016" s="238"/>
      <c r="L1016" s="15"/>
      <c r="M1016" s="15"/>
      <c r="N1016" s="15"/>
      <c r="O1016" s="15"/>
      <c r="P1016" s="15"/>
      <c r="Q1016" s="15"/>
      <c r="R1016" s="15"/>
      <c r="S1016" s="15"/>
      <c r="T1016" s="15"/>
      <c r="U1016" s="15"/>
      <c r="V1016" s="15"/>
      <c r="W1016" s="15"/>
      <c r="X1016" s="14"/>
      <c r="Y1016" s="14"/>
      <c r="Z1016" s="15"/>
      <c r="AA1016" s="3"/>
      <c r="AB1016" s="3"/>
      <c r="AC1016" s="3"/>
      <c r="AD1016" s="3"/>
      <c r="AE1016" s="3"/>
      <c r="AF1016" s="3"/>
    </row>
    <row r="1017" ht="15.75" customHeight="1">
      <c r="J1017" s="15"/>
      <c r="K1017" s="238"/>
      <c r="L1017" s="15"/>
      <c r="M1017" s="15"/>
      <c r="N1017" s="15"/>
      <c r="O1017" s="15"/>
      <c r="P1017" s="15"/>
      <c r="Q1017" s="15"/>
      <c r="R1017" s="15"/>
      <c r="S1017" s="15"/>
      <c r="T1017" s="15"/>
      <c r="U1017" s="15"/>
      <c r="V1017" s="15"/>
      <c r="W1017" s="15"/>
      <c r="X1017" s="14"/>
      <c r="Y1017" s="14"/>
      <c r="Z1017" s="15"/>
      <c r="AA1017" s="3"/>
      <c r="AB1017" s="3"/>
      <c r="AC1017" s="3"/>
      <c r="AD1017" s="3"/>
      <c r="AE1017" s="3"/>
      <c r="AF1017" s="3"/>
    </row>
    <row r="1018" ht="15.75" customHeight="1">
      <c r="J1018" s="15"/>
      <c r="K1018" s="238"/>
      <c r="L1018" s="15"/>
      <c r="M1018" s="15"/>
      <c r="N1018" s="15"/>
      <c r="O1018" s="15"/>
      <c r="P1018" s="15"/>
      <c r="Q1018" s="15"/>
      <c r="R1018" s="15"/>
      <c r="S1018" s="15"/>
      <c r="T1018" s="15"/>
      <c r="U1018" s="15"/>
      <c r="V1018" s="15"/>
      <c r="W1018" s="15"/>
      <c r="X1018" s="14"/>
      <c r="Y1018" s="14"/>
      <c r="Z1018" s="15"/>
      <c r="AA1018" s="3"/>
      <c r="AB1018" s="3"/>
      <c r="AC1018" s="3"/>
      <c r="AD1018" s="3"/>
      <c r="AE1018" s="3"/>
      <c r="AF1018" s="3"/>
    </row>
    <row r="1019" ht="15.75" customHeight="1">
      <c r="J1019" s="15"/>
      <c r="K1019" s="238"/>
      <c r="L1019" s="15"/>
      <c r="M1019" s="15"/>
      <c r="N1019" s="15"/>
      <c r="O1019" s="15"/>
      <c r="P1019" s="15"/>
      <c r="Q1019" s="15"/>
      <c r="R1019" s="15"/>
      <c r="S1019" s="15"/>
      <c r="T1019" s="15"/>
      <c r="U1019" s="15"/>
      <c r="V1019" s="15"/>
      <c r="W1019" s="15"/>
      <c r="X1019" s="14"/>
      <c r="Y1019" s="14"/>
      <c r="Z1019" s="15"/>
      <c r="AA1019" s="3"/>
      <c r="AB1019" s="3"/>
      <c r="AC1019" s="3"/>
      <c r="AD1019" s="3"/>
      <c r="AE1019" s="3"/>
      <c r="AF1019" s="3"/>
    </row>
    <row r="1020" ht="15.75" customHeight="1">
      <c r="J1020" s="15"/>
      <c r="K1020" s="238"/>
      <c r="L1020" s="15"/>
      <c r="M1020" s="15"/>
      <c r="N1020" s="15"/>
      <c r="O1020" s="15"/>
      <c r="P1020" s="15"/>
      <c r="Q1020" s="15"/>
      <c r="R1020" s="15"/>
      <c r="S1020" s="15"/>
      <c r="T1020" s="15"/>
      <c r="U1020" s="15"/>
      <c r="V1020" s="15"/>
      <c r="W1020" s="15"/>
      <c r="X1020" s="14"/>
      <c r="Y1020" s="14"/>
      <c r="Z1020" s="15"/>
      <c r="AA1020" s="3"/>
      <c r="AB1020" s="3"/>
      <c r="AC1020" s="3"/>
      <c r="AD1020" s="3"/>
      <c r="AE1020" s="3"/>
      <c r="AF1020" s="3"/>
    </row>
    <row r="1021" ht="15.75" customHeight="1">
      <c r="J1021" s="15"/>
      <c r="K1021" s="238"/>
      <c r="L1021" s="15"/>
      <c r="M1021" s="15"/>
      <c r="N1021" s="15"/>
      <c r="O1021" s="15"/>
      <c r="P1021" s="15"/>
      <c r="Q1021" s="15"/>
      <c r="R1021" s="15"/>
      <c r="S1021" s="15"/>
      <c r="T1021" s="15"/>
      <c r="U1021" s="15"/>
      <c r="V1021" s="15"/>
      <c r="W1021" s="15"/>
      <c r="X1021" s="14"/>
      <c r="Y1021" s="14"/>
      <c r="Z1021" s="15"/>
      <c r="AA1021" s="3"/>
      <c r="AB1021" s="3"/>
      <c r="AC1021" s="3"/>
      <c r="AD1021" s="3"/>
      <c r="AE1021" s="3"/>
      <c r="AF1021" s="3"/>
    </row>
    <row r="1022" ht="15.75" customHeight="1">
      <c r="J1022" s="15"/>
      <c r="K1022" s="238"/>
      <c r="L1022" s="15"/>
      <c r="M1022" s="15"/>
      <c r="N1022" s="15"/>
      <c r="O1022" s="15"/>
      <c r="P1022" s="15"/>
      <c r="Q1022" s="15"/>
      <c r="R1022" s="15"/>
      <c r="S1022" s="15"/>
      <c r="T1022" s="15"/>
      <c r="U1022" s="15"/>
      <c r="V1022" s="15"/>
      <c r="W1022" s="15"/>
      <c r="X1022" s="14"/>
      <c r="Y1022" s="14"/>
      <c r="Z1022" s="15"/>
      <c r="AA1022" s="3"/>
      <c r="AB1022" s="3"/>
      <c r="AC1022" s="3"/>
      <c r="AD1022" s="3"/>
      <c r="AE1022" s="3"/>
      <c r="AF1022" s="3"/>
    </row>
    <row r="1023" ht="15.75" customHeight="1">
      <c r="J1023" s="15"/>
      <c r="K1023" s="238"/>
      <c r="L1023" s="15"/>
      <c r="M1023" s="15"/>
      <c r="N1023" s="15"/>
      <c r="O1023" s="15"/>
      <c r="P1023" s="15"/>
      <c r="Q1023" s="15"/>
      <c r="R1023" s="15"/>
      <c r="S1023" s="15"/>
      <c r="T1023" s="15"/>
      <c r="U1023" s="15"/>
      <c r="V1023" s="15"/>
      <c r="W1023" s="15"/>
      <c r="X1023" s="14"/>
      <c r="Y1023" s="14"/>
      <c r="Z1023" s="15"/>
      <c r="AA1023" s="3"/>
      <c r="AB1023" s="3"/>
      <c r="AC1023" s="3"/>
      <c r="AD1023" s="3"/>
      <c r="AE1023" s="3"/>
      <c r="AF1023" s="3"/>
    </row>
    <row r="1024" ht="15.75" customHeight="1">
      <c r="J1024" s="15"/>
      <c r="K1024" s="238"/>
      <c r="L1024" s="15"/>
      <c r="M1024" s="15"/>
      <c r="N1024" s="15"/>
      <c r="O1024" s="15"/>
      <c r="P1024" s="15"/>
      <c r="Q1024" s="15"/>
      <c r="R1024" s="15"/>
      <c r="S1024" s="15"/>
      <c r="T1024" s="15"/>
      <c r="U1024" s="15"/>
      <c r="V1024" s="15"/>
      <c r="W1024" s="15"/>
      <c r="X1024" s="14"/>
      <c r="Y1024" s="14"/>
      <c r="Z1024" s="15"/>
      <c r="AA1024" s="3"/>
      <c r="AB1024" s="3"/>
      <c r="AC1024" s="3"/>
      <c r="AD1024" s="3"/>
      <c r="AE1024" s="3"/>
      <c r="AF1024" s="3"/>
    </row>
    <row r="1025" ht="15.75" customHeight="1">
      <c r="J1025" s="15"/>
      <c r="K1025" s="238"/>
      <c r="L1025" s="15"/>
      <c r="M1025" s="15"/>
      <c r="N1025" s="15"/>
      <c r="O1025" s="15"/>
      <c r="P1025" s="15"/>
      <c r="Q1025" s="15"/>
      <c r="R1025" s="15"/>
      <c r="S1025" s="15"/>
      <c r="T1025" s="15"/>
      <c r="U1025" s="15"/>
      <c r="V1025" s="15"/>
      <c r="W1025" s="15"/>
      <c r="X1025" s="14"/>
      <c r="Y1025" s="14"/>
      <c r="Z1025" s="15"/>
      <c r="AA1025" s="3"/>
      <c r="AB1025" s="3"/>
      <c r="AC1025" s="3"/>
      <c r="AD1025" s="3"/>
      <c r="AE1025" s="3"/>
      <c r="AF1025" s="3"/>
    </row>
    <row r="1026" ht="15.75" customHeight="1">
      <c r="J1026" s="15"/>
      <c r="K1026" s="238"/>
      <c r="L1026" s="15"/>
      <c r="M1026" s="15"/>
      <c r="N1026" s="15"/>
      <c r="O1026" s="15"/>
      <c r="P1026" s="15"/>
      <c r="Q1026" s="15"/>
      <c r="R1026" s="15"/>
      <c r="S1026" s="15"/>
      <c r="T1026" s="15"/>
      <c r="U1026" s="15"/>
      <c r="V1026" s="15"/>
      <c r="W1026" s="15"/>
      <c r="X1026" s="14"/>
      <c r="Y1026" s="14"/>
      <c r="Z1026" s="15"/>
      <c r="AA1026" s="3"/>
      <c r="AB1026" s="3"/>
      <c r="AC1026" s="3"/>
      <c r="AD1026" s="3"/>
      <c r="AE1026" s="3"/>
      <c r="AF1026" s="3"/>
    </row>
    <row r="1027" ht="15.75" customHeight="1">
      <c r="J1027" s="15"/>
      <c r="K1027" s="238"/>
      <c r="L1027" s="15"/>
      <c r="M1027" s="15"/>
      <c r="N1027" s="15"/>
      <c r="O1027" s="15"/>
      <c r="P1027" s="15"/>
      <c r="Q1027" s="15"/>
      <c r="R1027" s="15"/>
      <c r="S1027" s="15"/>
      <c r="T1027" s="15"/>
      <c r="U1027" s="15"/>
      <c r="V1027" s="15"/>
      <c r="W1027" s="15"/>
      <c r="X1027" s="14"/>
      <c r="Y1027" s="14"/>
      <c r="Z1027" s="15"/>
      <c r="AA1027" s="3"/>
      <c r="AB1027" s="3"/>
      <c r="AC1027" s="3"/>
      <c r="AD1027" s="3"/>
      <c r="AE1027" s="3"/>
      <c r="AF1027" s="3"/>
    </row>
    <row r="1028" ht="15.75" customHeight="1">
      <c r="J1028" s="15"/>
      <c r="K1028" s="238"/>
      <c r="L1028" s="15"/>
      <c r="M1028" s="15"/>
      <c r="N1028" s="15"/>
      <c r="O1028" s="15"/>
      <c r="P1028" s="15"/>
      <c r="Q1028" s="15"/>
      <c r="R1028" s="15"/>
      <c r="S1028" s="15"/>
      <c r="T1028" s="15"/>
      <c r="U1028" s="15"/>
      <c r="V1028" s="15"/>
      <c r="W1028" s="15"/>
      <c r="X1028" s="14"/>
      <c r="Y1028" s="14"/>
      <c r="Z1028" s="15"/>
      <c r="AA1028" s="3"/>
      <c r="AB1028" s="3"/>
      <c r="AC1028" s="3"/>
      <c r="AD1028" s="3"/>
      <c r="AE1028" s="3"/>
      <c r="AF1028" s="3"/>
    </row>
    <row r="1029" ht="15.75" customHeight="1">
      <c r="J1029" s="15"/>
      <c r="K1029" s="238"/>
      <c r="L1029" s="15"/>
      <c r="M1029" s="15"/>
      <c r="N1029" s="15"/>
      <c r="O1029" s="15"/>
      <c r="P1029" s="15"/>
      <c r="Q1029" s="15"/>
      <c r="R1029" s="15"/>
      <c r="S1029" s="15"/>
      <c r="T1029" s="15"/>
      <c r="U1029" s="15"/>
      <c r="V1029" s="15"/>
      <c r="W1029" s="15"/>
      <c r="X1029" s="14"/>
      <c r="Y1029" s="14"/>
      <c r="Z1029" s="15"/>
      <c r="AA1029" s="3"/>
      <c r="AB1029" s="3"/>
      <c r="AC1029" s="3"/>
      <c r="AD1029" s="3"/>
      <c r="AE1029" s="3"/>
      <c r="AF1029" s="3"/>
    </row>
    <row r="1030" ht="15.75" customHeight="1">
      <c r="J1030" s="15"/>
      <c r="K1030" s="238"/>
      <c r="L1030" s="15"/>
      <c r="M1030" s="15"/>
      <c r="N1030" s="15"/>
      <c r="O1030" s="15"/>
      <c r="P1030" s="15"/>
      <c r="Q1030" s="15"/>
      <c r="R1030" s="15"/>
      <c r="S1030" s="15"/>
      <c r="T1030" s="15"/>
      <c r="U1030" s="15"/>
      <c r="V1030" s="15"/>
      <c r="W1030" s="15"/>
      <c r="X1030" s="14"/>
      <c r="Y1030" s="14"/>
      <c r="Z1030" s="15"/>
      <c r="AA1030" s="3"/>
      <c r="AB1030" s="3"/>
      <c r="AC1030" s="3"/>
      <c r="AD1030" s="3"/>
      <c r="AE1030" s="3"/>
      <c r="AF1030" s="3"/>
    </row>
    <row r="1031" ht="15.75" customHeight="1">
      <c r="J1031" s="15"/>
      <c r="K1031" s="238"/>
      <c r="L1031" s="15"/>
      <c r="M1031" s="15"/>
      <c r="N1031" s="15"/>
      <c r="O1031" s="15"/>
      <c r="P1031" s="15"/>
      <c r="Q1031" s="15"/>
      <c r="R1031" s="15"/>
      <c r="S1031" s="15"/>
      <c r="T1031" s="15"/>
      <c r="U1031" s="15"/>
      <c r="V1031" s="15"/>
      <c r="W1031" s="15"/>
      <c r="X1031" s="14"/>
      <c r="Y1031" s="14"/>
      <c r="Z1031" s="15"/>
      <c r="AA1031" s="3"/>
      <c r="AB1031" s="3"/>
      <c r="AC1031" s="3"/>
      <c r="AD1031" s="3"/>
      <c r="AE1031" s="3"/>
      <c r="AF1031" s="3"/>
    </row>
    <row r="1032" ht="15.75" customHeight="1">
      <c r="J1032" s="15"/>
      <c r="K1032" s="238"/>
      <c r="L1032" s="15"/>
      <c r="M1032" s="15"/>
      <c r="N1032" s="15"/>
      <c r="O1032" s="15"/>
      <c r="P1032" s="15"/>
      <c r="Q1032" s="15"/>
      <c r="R1032" s="15"/>
      <c r="S1032" s="15"/>
      <c r="T1032" s="15"/>
      <c r="U1032" s="15"/>
      <c r="V1032" s="15"/>
      <c r="W1032" s="15"/>
      <c r="X1032" s="14"/>
      <c r="Y1032" s="14"/>
      <c r="Z1032" s="15"/>
      <c r="AA1032" s="3"/>
      <c r="AB1032" s="3"/>
      <c r="AC1032" s="3"/>
      <c r="AD1032" s="3"/>
      <c r="AE1032" s="3"/>
      <c r="AF1032" s="3"/>
    </row>
    <row r="1033" ht="15.75" customHeight="1">
      <c r="J1033" s="15"/>
      <c r="K1033" s="238"/>
      <c r="L1033" s="15"/>
      <c r="M1033" s="15"/>
      <c r="N1033" s="15"/>
      <c r="O1033" s="15"/>
      <c r="P1033" s="15"/>
      <c r="Q1033" s="15"/>
      <c r="R1033" s="15"/>
      <c r="S1033" s="15"/>
      <c r="T1033" s="15"/>
      <c r="U1033" s="15"/>
      <c r="V1033" s="15"/>
      <c r="W1033" s="15"/>
      <c r="X1033" s="14"/>
      <c r="Y1033" s="14"/>
      <c r="Z1033" s="15"/>
      <c r="AA1033" s="3"/>
      <c r="AB1033" s="3"/>
      <c r="AC1033" s="3"/>
      <c r="AD1033" s="3"/>
      <c r="AE1033" s="3"/>
      <c r="AF1033" s="3"/>
    </row>
    <row r="1034" ht="15.75" customHeight="1">
      <c r="J1034" s="15"/>
      <c r="K1034" s="238"/>
      <c r="L1034" s="15"/>
      <c r="M1034" s="15"/>
      <c r="N1034" s="15"/>
      <c r="O1034" s="15"/>
      <c r="P1034" s="15"/>
      <c r="Q1034" s="15"/>
      <c r="R1034" s="15"/>
      <c r="S1034" s="15"/>
      <c r="T1034" s="15"/>
      <c r="U1034" s="15"/>
      <c r="V1034" s="15"/>
      <c r="W1034" s="15"/>
      <c r="X1034" s="14"/>
      <c r="Y1034" s="14"/>
      <c r="Z1034" s="15"/>
      <c r="AA1034" s="3"/>
      <c r="AB1034" s="3"/>
      <c r="AC1034" s="3"/>
      <c r="AD1034" s="3"/>
      <c r="AE1034" s="3"/>
      <c r="AF1034" s="3"/>
    </row>
    <row r="1035" ht="15.75" customHeight="1">
      <c r="J1035" s="15"/>
      <c r="K1035" s="238"/>
      <c r="L1035" s="15"/>
      <c r="M1035" s="15"/>
      <c r="N1035" s="15"/>
      <c r="O1035" s="15"/>
      <c r="P1035" s="15"/>
      <c r="Q1035" s="15"/>
      <c r="R1035" s="15"/>
      <c r="S1035" s="15"/>
      <c r="T1035" s="15"/>
      <c r="U1035" s="15"/>
      <c r="V1035" s="15"/>
      <c r="W1035" s="15"/>
      <c r="X1035" s="14"/>
      <c r="Y1035" s="14"/>
      <c r="Z1035" s="15"/>
      <c r="AA1035" s="3"/>
      <c r="AB1035" s="3"/>
      <c r="AC1035" s="3"/>
      <c r="AD1035" s="3"/>
      <c r="AE1035" s="3"/>
      <c r="AF1035" s="3"/>
    </row>
    <row r="1036" ht="15.75" customHeight="1">
      <c r="J1036" s="15"/>
      <c r="K1036" s="238"/>
      <c r="L1036" s="15"/>
      <c r="M1036" s="15"/>
      <c r="N1036" s="15"/>
      <c r="O1036" s="15"/>
      <c r="P1036" s="15"/>
      <c r="Q1036" s="15"/>
      <c r="R1036" s="15"/>
      <c r="S1036" s="15"/>
      <c r="T1036" s="15"/>
      <c r="U1036" s="15"/>
      <c r="V1036" s="15"/>
      <c r="W1036" s="15"/>
      <c r="X1036" s="14"/>
      <c r="Y1036" s="14"/>
      <c r="Z1036" s="15"/>
      <c r="AA1036" s="3"/>
      <c r="AB1036" s="3"/>
      <c r="AC1036" s="3"/>
      <c r="AD1036" s="3"/>
      <c r="AE1036" s="3"/>
      <c r="AF1036" s="3"/>
    </row>
    <row r="1037" ht="15.75" customHeight="1">
      <c r="J1037" s="15"/>
      <c r="K1037" s="238"/>
      <c r="L1037" s="15"/>
      <c r="M1037" s="15"/>
      <c r="N1037" s="15"/>
      <c r="O1037" s="15"/>
      <c r="P1037" s="15"/>
      <c r="Q1037" s="15"/>
      <c r="R1037" s="15"/>
      <c r="S1037" s="15"/>
      <c r="T1037" s="15"/>
      <c r="U1037" s="15"/>
      <c r="V1037" s="15"/>
      <c r="W1037" s="15"/>
      <c r="X1037" s="14"/>
      <c r="Y1037" s="14"/>
      <c r="Z1037" s="15"/>
      <c r="AA1037" s="3"/>
      <c r="AB1037" s="3"/>
      <c r="AC1037" s="3"/>
      <c r="AD1037" s="3"/>
      <c r="AE1037" s="3"/>
      <c r="AF1037" s="3"/>
    </row>
    <row r="1038" ht="15.75" customHeight="1">
      <c r="J1038" s="15"/>
      <c r="K1038" s="238"/>
      <c r="L1038" s="15"/>
      <c r="M1038" s="15"/>
      <c r="N1038" s="15"/>
      <c r="O1038" s="15"/>
      <c r="P1038" s="15"/>
      <c r="Q1038" s="15"/>
      <c r="R1038" s="15"/>
      <c r="S1038" s="15"/>
      <c r="T1038" s="15"/>
      <c r="U1038" s="15"/>
      <c r="V1038" s="15"/>
      <c r="W1038" s="15"/>
      <c r="X1038" s="14"/>
      <c r="Y1038" s="14"/>
      <c r="Z1038" s="15"/>
      <c r="AA1038" s="3"/>
      <c r="AB1038" s="3"/>
      <c r="AC1038" s="3"/>
      <c r="AD1038" s="3"/>
      <c r="AE1038" s="3"/>
      <c r="AF1038" s="3"/>
    </row>
    <row r="1039" ht="15.75" customHeight="1">
      <c r="J1039" s="15"/>
      <c r="K1039" s="238"/>
      <c r="L1039" s="15"/>
      <c r="M1039" s="15"/>
      <c r="N1039" s="15"/>
      <c r="O1039" s="15"/>
      <c r="P1039" s="15"/>
      <c r="Q1039" s="15"/>
      <c r="R1039" s="15"/>
      <c r="S1039" s="15"/>
      <c r="T1039" s="15"/>
      <c r="U1039" s="15"/>
      <c r="V1039" s="15"/>
      <c r="W1039" s="15"/>
      <c r="X1039" s="14"/>
      <c r="Y1039" s="14"/>
      <c r="Z1039" s="15"/>
      <c r="AA1039" s="3"/>
      <c r="AB1039" s="3"/>
      <c r="AC1039" s="3"/>
      <c r="AD1039" s="3"/>
      <c r="AE1039" s="3"/>
      <c r="AF1039" s="3"/>
    </row>
    <row r="1040" ht="15.75" customHeight="1">
      <c r="J1040" s="15"/>
      <c r="K1040" s="238"/>
      <c r="L1040" s="15"/>
      <c r="M1040" s="15"/>
      <c r="N1040" s="15"/>
      <c r="O1040" s="15"/>
      <c r="P1040" s="15"/>
      <c r="Q1040" s="15"/>
      <c r="R1040" s="15"/>
      <c r="S1040" s="15"/>
      <c r="T1040" s="15"/>
      <c r="U1040" s="15"/>
      <c r="V1040" s="15"/>
      <c r="W1040" s="15"/>
      <c r="X1040" s="14"/>
      <c r="Y1040" s="14"/>
      <c r="Z1040" s="15"/>
      <c r="AA1040" s="3"/>
      <c r="AB1040" s="3"/>
      <c r="AC1040" s="3"/>
      <c r="AD1040" s="3"/>
      <c r="AE1040" s="3"/>
      <c r="AF1040" s="3"/>
    </row>
    <row r="1041" ht="15.75" customHeight="1">
      <c r="J1041" s="15"/>
      <c r="K1041" s="238"/>
      <c r="L1041" s="15"/>
      <c r="M1041" s="15"/>
      <c r="N1041" s="15"/>
      <c r="O1041" s="15"/>
      <c r="P1041" s="15"/>
      <c r="Q1041" s="15"/>
      <c r="R1041" s="15"/>
      <c r="S1041" s="15"/>
      <c r="T1041" s="15"/>
      <c r="U1041" s="15"/>
      <c r="V1041" s="15"/>
      <c r="W1041" s="15"/>
      <c r="X1041" s="14"/>
      <c r="Y1041" s="14"/>
      <c r="Z1041" s="15"/>
      <c r="AA1041" s="3"/>
      <c r="AB1041" s="3"/>
      <c r="AC1041" s="3"/>
      <c r="AD1041" s="3"/>
      <c r="AE1041" s="3"/>
      <c r="AF1041" s="3"/>
    </row>
    <row r="1042" ht="15.75" customHeight="1">
      <c r="J1042" s="15"/>
      <c r="K1042" s="238"/>
      <c r="L1042" s="15"/>
      <c r="M1042" s="15"/>
      <c r="N1042" s="15"/>
      <c r="O1042" s="15"/>
      <c r="P1042" s="15"/>
      <c r="Q1042" s="15"/>
      <c r="R1042" s="15"/>
      <c r="S1042" s="15"/>
      <c r="T1042" s="15"/>
      <c r="U1042" s="15"/>
      <c r="V1042" s="15"/>
      <c r="W1042" s="15"/>
      <c r="X1042" s="14"/>
      <c r="Y1042" s="14"/>
      <c r="Z1042" s="15"/>
      <c r="AA1042" s="3"/>
      <c r="AB1042" s="3"/>
      <c r="AC1042" s="3"/>
      <c r="AD1042" s="3"/>
      <c r="AE1042" s="3"/>
      <c r="AF1042" s="3"/>
    </row>
    <row r="1043" ht="15.75" customHeight="1">
      <c r="J1043" s="15"/>
      <c r="K1043" s="238"/>
      <c r="L1043" s="15"/>
      <c r="M1043" s="15"/>
      <c r="N1043" s="15"/>
      <c r="O1043" s="15"/>
      <c r="P1043" s="15"/>
      <c r="Q1043" s="15"/>
      <c r="R1043" s="15"/>
      <c r="S1043" s="15"/>
      <c r="T1043" s="15"/>
      <c r="U1043" s="15"/>
      <c r="V1043" s="15"/>
      <c r="W1043" s="15"/>
      <c r="X1043" s="14"/>
      <c r="Y1043" s="14"/>
      <c r="Z1043" s="15"/>
      <c r="AA1043" s="3"/>
      <c r="AB1043" s="3"/>
      <c r="AC1043" s="3"/>
      <c r="AD1043" s="3"/>
      <c r="AE1043" s="3"/>
      <c r="AF1043" s="3"/>
    </row>
    <row r="1044" ht="15.75" customHeight="1">
      <c r="J1044" s="15"/>
      <c r="K1044" s="238"/>
      <c r="L1044" s="15"/>
      <c r="M1044" s="15"/>
      <c r="N1044" s="15"/>
      <c r="O1044" s="15"/>
      <c r="P1044" s="15"/>
      <c r="Q1044" s="15"/>
      <c r="R1044" s="15"/>
      <c r="S1044" s="15"/>
      <c r="T1044" s="15"/>
      <c r="U1044" s="15"/>
      <c r="V1044" s="15"/>
      <c r="W1044" s="15"/>
      <c r="X1044" s="14"/>
      <c r="Y1044" s="14"/>
      <c r="Z1044" s="15"/>
      <c r="AA1044" s="3"/>
      <c r="AB1044" s="3"/>
      <c r="AC1044" s="3"/>
      <c r="AD1044" s="3"/>
      <c r="AE1044" s="3"/>
      <c r="AF1044" s="3"/>
    </row>
    <row r="1045" ht="15.0" customHeight="1">
      <c r="J1045" s="15"/>
      <c r="K1045" s="238"/>
      <c r="L1045" s="15"/>
      <c r="M1045" s="15"/>
      <c r="N1045" s="15"/>
      <c r="O1045" s="15"/>
      <c r="P1045" s="15"/>
      <c r="Q1045" s="15"/>
      <c r="R1045" s="15"/>
      <c r="S1045" s="15"/>
      <c r="T1045" s="15"/>
      <c r="U1045" s="15"/>
      <c r="V1045" s="15"/>
      <c r="W1045" s="15"/>
      <c r="X1045" s="14"/>
      <c r="Y1045" s="14"/>
      <c r="Z1045" s="15"/>
    </row>
    <row r="1046" ht="15.0" customHeight="1">
      <c r="J1046" s="15"/>
      <c r="K1046" s="238"/>
      <c r="L1046" s="15"/>
      <c r="M1046" s="15"/>
      <c r="N1046" s="15"/>
      <c r="O1046" s="15"/>
      <c r="P1046" s="15"/>
      <c r="Q1046" s="15"/>
      <c r="R1046" s="15"/>
      <c r="S1046" s="15"/>
      <c r="T1046" s="15"/>
      <c r="U1046" s="15"/>
      <c r="V1046" s="15"/>
      <c r="W1046" s="15"/>
      <c r="X1046" s="14"/>
      <c r="Y1046" s="14"/>
      <c r="Z1046" s="15"/>
    </row>
    <row r="1047" ht="15.0" customHeight="1">
      <c r="J1047" s="15"/>
      <c r="K1047" s="238"/>
      <c r="L1047" s="15"/>
      <c r="M1047" s="15"/>
      <c r="N1047" s="15"/>
      <c r="O1047" s="15"/>
      <c r="P1047" s="15"/>
      <c r="Q1047" s="15"/>
      <c r="R1047" s="15"/>
      <c r="S1047" s="15"/>
      <c r="T1047" s="15"/>
      <c r="U1047" s="15"/>
      <c r="V1047" s="15"/>
      <c r="W1047" s="15"/>
      <c r="X1047" s="14"/>
      <c r="Y1047" s="14"/>
      <c r="Z1047" s="15"/>
    </row>
    <row r="1048" ht="15.0" customHeight="1">
      <c r="J1048" s="15"/>
      <c r="K1048" s="238"/>
      <c r="L1048" s="15"/>
      <c r="M1048" s="15"/>
      <c r="N1048" s="15"/>
      <c r="O1048" s="15"/>
      <c r="P1048" s="15"/>
      <c r="Q1048" s="15"/>
      <c r="R1048" s="15"/>
      <c r="S1048" s="15"/>
      <c r="T1048" s="15"/>
      <c r="U1048" s="15"/>
      <c r="V1048" s="15"/>
      <c r="W1048" s="15"/>
      <c r="X1048" s="14"/>
      <c r="Y1048" s="14"/>
      <c r="Z1048" s="15"/>
    </row>
    <row r="1049" ht="15.0" customHeight="1">
      <c r="J1049" s="15"/>
      <c r="K1049" s="238"/>
      <c r="L1049" s="15"/>
      <c r="M1049" s="15"/>
      <c r="N1049" s="15"/>
      <c r="O1049" s="15"/>
      <c r="P1049" s="15"/>
      <c r="Q1049" s="15"/>
      <c r="R1049" s="15"/>
      <c r="S1049" s="15"/>
      <c r="T1049" s="15"/>
      <c r="U1049" s="15"/>
      <c r="V1049" s="15"/>
      <c r="W1049" s="15"/>
      <c r="X1049" s="14"/>
      <c r="Y1049" s="14"/>
      <c r="Z1049" s="15"/>
    </row>
  </sheetData>
  <mergeCells count="1">
    <mergeCell ref="G1:I1"/>
  </mergeCells>
  <conditionalFormatting sqref="U4:U5">
    <cfRule type="expression" dxfId="0" priority="1">
      <formula>U4&lt;T4</formula>
    </cfRule>
  </conditionalFormatting>
  <conditionalFormatting sqref="U4:U5">
    <cfRule type="expression" dxfId="1" priority="2">
      <formula>U4&gt;=T4</formula>
    </cfRule>
  </conditionalFormatting>
  <conditionalFormatting sqref="Y4:Y5">
    <cfRule type="expression" dxfId="0" priority="3">
      <formula>Y4&lt;X4</formula>
    </cfRule>
  </conditionalFormatting>
  <conditionalFormatting sqref="Y4:Y5">
    <cfRule type="expression" dxfId="1" priority="4">
      <formula>Y4&gt;=X4</formula>
    </cfRule>
  </conditionalFormatting>
  <conditionalFormatting sqref="AC4:AC5">
    <cfRule type="expression" dxfId="0" priority="5">
      <formula>AC4&lt;AB4</formula>
    </cfRule>
  </conditionalFormatting>
  <conditionalFormatting sqref="AC4:AC5">
    <cfRule type="expression" dxfId="1" priority="6">
      <formula>AC4&gt;=AB4</formula>
    </cfRule>
  </conditionalFormatting>
  <conditionalFormatting sqref="AY4:AY5">
    <cfRule type="expression" dxfId="0" priority="7">
      <formula>AY4&lt;AX4</formula>
    </cfRule>
  </conditionalFormatting>
  <conditionalFormatting sqref="AY4:AY5">
    <cfRule type="expression" dxfId="1" priority="8">
      <formula>AY4&gt;=AX4</formula>
    </cfRule>
  </conditionalFormatting>
  <conditionalFormatting sqref="BC4:BC5">
    <cfRule type="expression" dxfId="0" priority="9">
      <formula>BC4&lt;BB4</formula>
    </cfRule>
  </conditionalFormatting>
  <conditionalFormatting sqref="BC4:BC5">
    <cfRule type="expression" dxfId="1" priority="10">
      <formula>BC4&gt;=BB4</formula>
    </cfRule>
  </conditionalFormatting>
  <conditionalFormatting sqref="BG4:BG5">
    <cfRule type="expression" dxfId="0" priority="11">
      <formula>BG4&lt;BF4</formula>
    </cfRule>
  </conditionalFormatting>
  <conditionalFormatting sqref="BG4:BG5">
    <cfRule type="expression" dxfId="1" priority="12">
      <formula>BG4&gt;=BF4</formula>
    </cfRule>
  </conditionalFormatting>
  <conditionalFormatting sqref="BK4:BK5">
    <cfRule type="expression" dxfId="0" priority="13">
      <formula>BK4&lt;BJ4</formula>
    </cfRule>
  </conditionalFormatting>
  <conditionalFormatting sqref="BK4:BK5">
    <cfRule type="expression" dxfId="1" priority="14">
      <formula>BK4&gt;=BJ4</formula>
    </cfRule>
  </conditionalFormatting>
  <conditionalFormatting sqref="BO4:BO5">
    <cfRule type="expression" dxfId="0" priority="15">
      <formula>BO4&lt;BN4</formula>
    </cfRule>
  </conditionalFormatting>
  <conditionalFormatting sqref="BO4:BO5">
    <cfRule type="expression" dxfId="1" priority="16">
      <formula>BO4&gt;=BN4</formula>
    </cfRule>
  </conditionalFormatting>
  <conditionalFormatting sqref="AC12:AC13">
    <cfRule type="expression" dxfId="0" priority="17">
      <formula>AC12&lt;AB12</formula>
    </cfRule>
  </conditionalFormatting>
  <conditionalFormatting sqref="AC12:AC13">
    <cfRule type="expression" dxfId="1" priority="18">
      <formula>AC12&gt;=AB12</formula>
    </cfRule>
  </conditionalFormatting>
  <conditionalFormatting sqref="AG13:AK13 AP13:AT13">
    <cfRule type="expression" dxfId="0" priority="19">
      <formula>AG13&lt;AG12</formula>
    </cfRule>
  </conditionalFormatting>
  <conditionalFormatting sqref="AG13:AK13 AP13:AT13">
    <cfRule type="expression" dxfId="1" priority="20">
      <formula>AG13&gt;=AG12</formula>
    </cfRule>
  </conditionalFormatting>
  <conditionalFormatting sqref="AY12:AY13">
    <cfRule type="expression" dxfId="0" priority="21">
      <formula>AY12&lt;AX12</formula>
    </cfRule>
  </conditionalFormatting>
  <conditionalFormatting sqref="AY12:AY13">
    <cfRule type="expression" dxfId="1" priority="22">
      <formula>AY12&gt;=AX12</formula>
    </cfRule>
  </conditionalFormatting>
  <conditionalFormatting sqref="BC12:BC13">
    <cfRule type="expression" dxfId="0" priority="23">
      <formula>BC12&lt;BB12</formula>
    </cfRule>
  </conditionalFormatting>
  <conditionalFormatting sqref="BC12:BC13">
    <cfRule type="expression" dxfId="1" priority="24">
      <formula>BC12&gt;=BB12</formula>
    </cfRule>
  </conditionalFormatting>
  <conditionalFormatting sqref="BG12:BG13">
    <cfRule type="expression" dxfId="0" priority="25">
      <formula>BG12&lt;BF12</formula>
    </cfRule>
  </conditionalFormatting>
  <conditionalFormatting sqref="BG12:BG13">
    <cfRule type="expression" dxfId="1" priority="26">
      <formula>BG12&gt;=BF12</formula>
    </cfRule>
  </conditionalFormatting>
  <conditionalFormatting sqref="BK12:BK13">
    <cfRule type="expression" dxfId="0" priority="27">
      <formula>BK12&lt;BJ12</formula>
    </cfRule>
  </conditionalFormatting>
  <conditionalFormatting sqref="BK12:BK13">
    <cfRule type="expression" dxfId="1" priority="28">
      <formula>BK12&gt;=BJ12</formula>
    </cfRule>
  </conditionalFormatting>
  <conditionalFormatting sqref="BO12:BO13">
    <cfRule type="expression" dxfId="0" priority="29">
      <formula>BO12&lt;BN12</formula>
    </cfRule>
  </conditionalFormatting>
  <conditionalFormatting sqref="BO12:BO13">
    <cfRule type="expression" dxfId="1" priority="30">
      <formula>BO12&gt;=BN12</formula>
    </cfRule>
  </conditionalFormatting>
  <conditionalFormatting sqref="BO20:BO21">
    <cfRule type="expression" dxfId="0" priority="31">
      <formula>BO20&lt;BN20</formula>
    </cfRule>
  </conditionalFormatting>
  <conditionalFormatting sqref="BO20:BO21">
    <cfRule type="expression" dxfId="1" priority="32">
      <formula>BO20&gt;=BN20</formula>
    </cfRule>
  </conditionalFormatting>
  <conditionalFormatting sqref="BK20:BK21">
    <cfRule type="expression" dxfId="0" priority="33">
      <formula>BK20&lt;BJ20</formula>
    </cfRule>
  </conditionalFormatting>
  <conditionalFormatting sqref="BK20:BK21">
    <cfRule type="expression" dxfId="1" priority="34">
      <formula>BK20&gt;=BJ20</formula>
    </cfRule>
  </conditionalFormatting>
  <conditionalFormatting sqref="BG20:BG21">
    <cfRule type="expression" dxfId="0" priority="35">
      <formula>BG20&lt;BF20</formula>
    </cfRule>
  </conditionalFormatting>
  <conditionalFormatting sqref="BG20:BG21">
    <cfRule type="expression" dxfId="1" priority="36">
      <formula>BG20&gt;=BF20</formula>
    </cfRule>
  </conditionalFormatting>
  <conditionalFormatting sqref="BC20:BC21">
    <cfRule type="expression" dxfId="0" priority="37">
      <formula>BC20&lt;BB20</formula>
    </cfRule>
  </conditionalFormatting>
  <conditionalFormatting sqref="BC20:BC21">
    <cfRule type="expression" dxfId="1" priority="38">
      <formula>BC20&gt;=BB20</formula>
    </cfRule>
  </conditionalFormatting>
  <conditionalFormatting sqref="AY20:AY21">
    <cfRule type="expression" dxfId="0" priority="39">
      <formula>AY20&lt;AX20</formula>
    </cfRule>
  </conditionalFormatting>
  <conditionalFormatting sqref="AY20:AY21">
    <cfRule type="expression" dxfId="1" priority="40">
      <formula>AY20&gt;=AX20</formula>
    </cfRule>
  </conditionalFormatting>
  <conditionalFormatting sqref="AH21">
    <cfRule type="expression" dxfId="0" priority="41">
      <formula>AH21&lt;AH20</formula>
    </cfRule>
  </conditionalFormatting>
  <conditionalFormatting sqref="AH21">
    <cfRule type="expression" dxfId="1" priority="42">
      <formula>AH21&gt;=AH20</formula>
    </cfRule>
  </conditionalFormatting>
  <conditionalFormatting sqref="AC20:AC21">
    <cfRule type="expression" dxfId="0" priority="43">
      <formula>AC20&lt;AB20</formula>
    </cfRule>
  </conditionalFormatting>
  <conditionalFormatting sqref="AC20:AC21">
    <cfRule type="expression" dxfId="1" priority="44">
      <formula>AC20&gt;=AB20</formula>
    </cfRule>
  </conditionalFormatting>
  <conditionalFormatting sqref="U28:U29">
    <cfRule type="expression" dxfId="0" priority="45">
      <formula>U28&lt;T28</formula>
    </cfRule>
  </conditionalFormatting>
  <conditionalFormatting sqref="U28:U29">
    <cfRule type="expression" dxfId="1" priority="46">
      <formula>U28&gt;=T28</formula>
    </cfRule>
  </conditionalFormatting>
  <conditionalFormatting sqref="Y28:Y29">
    <cfRule type="expression" dxfId="0" priority="47">
      <formula>Y28&lt;X28</formula>
    </cfRule>
  </conditionalFormatting>
  <conditionalFormatting sqref="Y28:Y29">
    <cfRule type="expression" dxfId="1" priority="48">
      <formula>Y28&gt;=X28</formula>
    </cfRule>
  </conditionalFormatting>
  <conditionalFormatting sqref="AC28:AC29">
    <cfRule type="expression" dxfId="0" priority="49">
      <formula>AC28&lt;AB28</formula>
    </cfRule>
  </conditionalFormatting>
  <conditionalFormatting sqref="AC28:AC29">
    <cfRule type="expression" dxfId="1" priority="50">
      <formula>AC28&gt;=AB28</formula>
    </cfRule>
  </conditionalFormatting>
  <conditionalFormatting sqref="AY28:AY29">
    <cfRule type="expression" dxfId="0" priority="51">
      <formula>AY28&lt;AX28</formula>
    </cfRule>
  </conditionalFormatting>
  <conditionalFormatting sqref="AY28:AY29">
    <cfRule type="expression" dxfId="1" priority="52">
      <formula>AY28&gt;=AX28</formula>
    </cfRule>
  </conditionalFormatting>
  <conditionalFormatting sqref="BC28:BC29">
    <cfRule type="expression" dxfId="0" priority="53">
      <formula>BC28&lt;BB28</formula>
    </cfRule>
  </conditionalFormatting>
  <conditionalFormatting sqref="BC28:BC29">
    <cfRule type="expression" dxfId="1" priority="54">
      <formula>BC28&gt;=BB28</formula>
    </cfRule>
  </conditionalFormatting>
  <conditionalFormatting sqref="BG28:BG29">
    <cfRule type="expression" dxfId="0" priority="55">
      <formula>BG28&lt;BF28</formula>
    </cfRule>
  </conditionalFormatting>
  <conditionalFormatting sqref="BG28:BG29">
    <cfRule type="expression" dxfId="1" priority="56">
      <formula>BG28&gt;=BF28</formula>
    </cfRule>
  </conditionalFormatting>
  <conditionalFormatting sqref="BK28:BK29">
    <cfRule type="expression" dxfId="0" priority="57">
      <formula>BK28&lt;BJ28</formula>
    </cfRule>
  </conditionalFormatting>
  <conditionalFormatting sqref="BK28:BK29">
    <cfRule type="expression" dxfId="1" priority="58">
      <formula>BK28&gt;=BJ28</formula>
    </cfRule>
  </conditionalFormatting>
  <conditionalFormatting sqref="BO28:BO29">
    <cfRule type="expression" dxfId="0" priority="59">
      <formula>BO28&lt;BN28</formula>
    </cfRule>
  </conditionalFormatting>
  <conditionalFormatting sqref="BO28:BO29">
    <cfRule type="expression" dxfId="1" priority="60">
      <formula>BO28&gt;=BN28</formula>
    </cfRule>
  </conditionalFormatting>
  <conditionalFormatting sqref="BO36:BO37">
    <cfRule type="expression" dxfId="0" priority="61">
      <formula>BO36&lt;BN36</formula>
    </cfRule>
  </conditionalFormatting>
  <conditionalFormatting sqref="BO36:BO37">
    <cfRule type="expression" dxfId="1" priority="62">
      <formula>BO36&gt;=BN36</formula>
    </cfRule>
  </conditionalFormatting>
  <conditionalFormatting sqref="BK36:BK37">
    <cfRule type="expression" dxfId="0" priority="63">
      <formula>BK36&lt;BJ36</formula>
    </cfRule>
  </conditionalFormatting>
  <conditionalFormatting sqref="BK36:BK37">
    <cfRule type="expression" dxfId="1" priority="64">
      <formula>BK36&gt;=BJ36</formula>
    </cfRule>
  </conditionalFormatting>
  <conditionalFormatting sqref="BG36:BG37">
    <cfRule type="expression" dxfId="0" priority="65">
      <formula>BG36&lt;BF36</formula>
    </cfRule>
  </conditionalFormatting>
  <conditionalFormatting sqref="BG36:BG37">
    <cfRule type="expression" dxfId="1" priority="66">
      <formula>BG36&gt;=BF36</formula>
    </cfRule>
  </conditionalFormatting>
  <conditionalFormatting sqref="BC36:BC37">
    <cfRule type="expression" dxfId="0" priority="67">
      <formula>BC36&lt;BB36</formula>
    </cfRule>
  </conditionalFormatting>
  <conditionalFormatting sqref="BC36:BC37">
    <cfRule type="expression" dxfId="1" priority="68">
      <formula>BC36&gt;=BB36</formula>
    </cfRule>
  </conditionalFormatting>
  <conditionalFormatting sqref="AY36:AY37">
    <cfRule type="expression" dxfId="0" priority="69">
      <formula>AY36&lt;AX36</formula>
    </cfRule>
  </conditionalFormatting>
  <conditionalFormatting sqref="AY36:AY37">
    <cfRule type="expression" dxfId="1" priority="70">
      <formula>AY36&gt;=AX36</formula>
    </cfRule>
  </conditionalFormatting>
  <conditionalFormatting sqref="AC36:AC37">
    <cfRule type="expression" dxfId="0" priority="71">
      <formula>AC36&lt;AB36</formula>
    </cfRule>
  </conditionalFormatting>
  <conditionalFormatting sqref="AC36:AC37">
    <cfRule type="expression" dxfId="1" priority="72">
      <formula>AC36&gt;=AB36</formula>
    </cfRule>
  </conditionalFormatting>
  <conditionalFormatting sqref="U44:U45">
    <cfRule type="expression" dxfId="0" priority="73">
      <formula>U44&lt;T44</formula>
    </cfRule>
  </conditionalFormatting>
  <conditionalFormatting sqref="U44:U45">
    <cfRule type="expression" dxfId="1" priority="74">
      <formula>U44&gt;=T44</formula>
    </cfRule>
  </conditionalFormatting>
  <conditionalFormatting sqref="Y44:Y45">
    <cfRule type="expression" dxfId="0" priority="75">
      <formula>Y44&lt;X44</formula>
    </cfRule>
  </conditionalFormatting>
  <conditionalFormatting sqref="Y44:Y45">
    <cfRule type="expression" dxfId="1" priority="76">
      <formula>Y44&gt;=X44</formula>
    </cfRule>
  </conditionalFormatting>
  <conditionalFormatting sqref="AC44:AC45">
    <cfRule type="expression" dxfId="0" priority="77">
      <formula>AC44&lt;AB44</formula>
    </cfRule>
  </conditionalFormatting>
  <conditionalFormatting sqref="AC44:AC45">
    <cfRule type="expression" dxfId="1" priority="78">
      <formula>AC44&gt;=AB44</formula>
    </cfRule>
  </conditionalFormatting>
  <conditionalFormatting sqref="Y52:Y53">
    <cfRule type="expression" dxfId="0" priority="79">
      <formula>Y52&lt;X52</formula>
    </cfRule>
  </conditionalFormatting>
  <conditionalFormatting sqref="Y52:Y53">
    <cfRule type="expression" dxfId="1" priority="80">
      <formula>Y52&gt;=X52</formula>
    </cfRule>
  </conditionalFormatting>
  <conditionalFormatting sqref="AC52:AC53">
    <cfRule type="expression" dxfId="0" priority="81">
      <formula>AC52&lt;AB52</formula>
    </cfRule>
  </conditionalFormatting>
  <conditionalFormatting sqref="AC52:AC53">
    <cfRule type="expression" dxfId="1" priority="82">
      <formula>AC52&gt;=AB52</formula>
    </cfRule>
  </conditionalFormatting>
  <conditionalFormatting sqref="Y60:Y61">
    <cfRule type="expression" dxfId="0" priority="83">
      <formula>Y60&lt;X60</formula>
    </cfRule>
  </conditionalFormatting>
  <conditionalFormatting sqref="Y60:Y61">
    <cfRule type="expression" dxfId="1" priority="84">
      <formula>Y60&gt;=X60</formula>
    </cfRule>
  </conditionalFormatting>
  <conditionalFormatting sqref="AC60:AC61">
    <cfRule type="expression" dxfId="0" priority="85">
      <formula>AC60&lt;AB60</formula>
    </cfRule>
  </conditionalFormatting>
  <conditionalFormatting sqref="AC60:AC61">
    <cfRule type="expression" dxfId="1" priority="86">
      <formula>AC60&gt;=AB60</formula>
    </cfRule>
  </conditionalFormatting>
  <conditionalFormatting sqref="U60:U61">
    <cfRule type="expression" dxfId="0" priority="87">
      <formula>U60&lt;T60</formula>
    </cfRule>
  </conditionalFormatting>
  <conditionalFormatting sqref="U60:U61">
    <cfRule type="expression" dxfId="1" priority="88">
      <formula>U60&gt;=T60</formula>
    </cfRule>
  </conditionalFormatting>
  <conditionalFormatting sqref="AC68:AC69">
    <cfRule type="expression" dxfId="0" priority="89">
      <formula>AC68&lt;AB68</formula>
    </cfRule>
  </conditionalFormatting>
  <conditionalFormatting sqref="AC68:AC69">
    <cfRule type="expression" dxfId="1" priority="90">
      <formula>AC68&gt;=AB68</formula>
    </cfRule>
  </conditionalFormatting>
  <conditionalFormatting sqref="AY68:AY69">
    <cfRule type="expression" dxfId="0" priority="91">
      <formula>AY68&lt;AX68</formula>
    </cfRule>
  </conditionalFormatting>
  <conditionalFormatting sqref="AY68:AY69">
    <cfRule type="expression" dxfId="1" priority="92">
      <formula>AY68&gt;=AX68</formula>
    </cfRule>
  </conditionalFormatting>
  <conditionalFormatting sqref="AY60:AY61">
    <cfRule type="expression" dxfId="0" priority="93">
      <formula>AY60&lt;AX60</formula>
    </cfRule>
  </conditionalFormatting>
  <conditionalFormatting sqref="AY60:AY61">
    <cfRule type="expression" dxfId="1" priority="94">
      <formula>AY60&gt;=AX60</formula>
    </cfRule>
  </conditionalFormatting>
  <conditionalFormatting sqref="AY52:AY53">
    <cfRule type="expression" dxfId="0" priority="95">
      <formula>AY52&lt;AX52</formula>
    </cfRule>
  </conditionalFormatting>
  <conditionalFormatting sqref="AY52:AY53">
    <cfRule type="expression" dxfId="1" priority="96">
      <formula>AY52&gt;=AX52</formula>
    </cfRule>
  </conditionalFormatting>
  <conditionalFormatting sqref="AY44:AY45">
    <cfRule type="expression" dxfId="0" priority="97">
      <formula>AY44&lt;AX44</formula>
    </cfRule>
  </conditionalFormatting>
  <conditionalFormatting sqref="AY44:AY45">
    <cfRule type="expression" dxfId="1" priority="98">
      <formula>AY44&gt;=AX44</formula>
    </cfRule>
  </conditionalFormatting>
  <conditionalFormatting sqref="U68:U69">
    <cfRule type="expression" dxfId="0" priority="99">
      <formula>U68&lt;T68</formula>
    </cfRule>
  </conditionalFormatting>
  <conditionalFormatting sqref="U68:U69">
    <cfRule type="expression" dxfId="1" priority="100">
      <formula>U68&gt;=T68</formula>
    </cfRule>
  </conditionalFormatting>
  <conditionalFormatting sqref="Y68:Y69">
    <cfRule type="expression" dxfId="0" priority="101">
      <formula>Y68&lt;X68</formula>
    </cfRule>
  </conditionalFormatting>
  <conditionalFormatting sqref="Y68:Y69">
    <cfRule type="expression" dxfId="1" priority="102">
      <formula>Y68&gt;=X68</formula>
    </cfRule>
  </conditionalFormatting>
  <conditionalFormatting sqref="BC60:BC61">
    <cfRule type="expression" dxfId="0" priority="103">
      <formula>BC60&lt;BB60</formula>
    </cfRule>
  </conditionalFormatting>
  <conditionalFormatting sqref="BC60:BC61">
    <cfRule type="expression" dxfId="1" priority="104">
      <formula>BC60&gt;=BB60</formula>
    </cfRule>
  </conditionalFormatting>
  <conditionalFormatting sqref="BG60:BG61">
    <cfRule type="expression" dxfId="0" priority="105">
      <formula>BG60&lt;BF60</formula>
    </cfRule>
  </conditionalFormatting>
  <conditionalFormatting sqref="BG60:BG61">
    <cfRule type="expression" dxfId="1" priority="106">
      <formula>BG60&gt;=BF60</formula>
    </cfRule>
  </conditionalFormatting>
  <conditionalFormatting sqref="BK60:BK61">
    <cfRule type="expression" dxfId="0" priority="107">
      <formula>BK60&lt;BJ60</formula>
    </cfRule>
  </conditionalFormatting>
  <conditionalFormatting sqref="BK60:BK61">
    <cfRule type="expression" dxfId="1" priority="108">
      <formula>BK60&gt;=BJ60</formula>
    </cfRule>
  </conditionalFormatting>
  <conditionalFormatting sqref="BC52:BC53">
    <cfRule type="expression" dxfId="0" priority="109">
      <formula>BC52&lt;BB52</formula>
    </cfRule>
  </conditionalFormatting>
  <conditionalFormatting sqref="BC52:BC53">
    <cfRule type="expression" dxfId="1" priority="110">
      <formula>BC52&gt;=BB52</formula>
    </cfRule>
  </conditionalFormatting>
  <conditionalFormatting sqref="BG52:BG53">
    <cfRule type="expression" dxfId="0" priority="111">
      <formula>BG52&lt;BF52</formula>
    </cfRule>
  </conditionalFormatting>
  <conditionalFormatting sqref="BG52:BG53">
    <cfRule type="expression" dxfId="1" priority="112">
      <formula>BG52&gt;=BF52</formula>
    </cfRule>
  </conditionalFormatting>
  <conditionalFormatting sqref="BK52:BK53">
    <cfRule type="expression" dxfId="0" priority="113">
      <formula>BK52&lt;BJ52</formula>
    </cfRule>
  </conditionalFormatting>
  <conditionalFormatting sqref="BK52:BK53">
    <cfRule type="expression" dxfId="1" priority="114">
      <formula>BK52&gt;=BJ52</formula>
    </cfRule>
  </conditionalFormatting>
  <conditionalFormatting sqref="BC44:BC45">
    <cfRule type="expression" dxfId="0" priority="115">
      <formula>BC44&lt;BB44</formula>
    </cfRule>
  </conditionalFormatting>
  <conditionalFormatting sqref="BC44:BC45">
    <cfRule type="expression" dxfId="1" priority="116">
      <formula>BC44&gt;=BB44</formula>
    </cfRule>
  </conditionalFormatting>
  <conditionalFormatting sqref="BG44:BG45">
    <cfRule type="expression" dxfId="0" priority="117">
      <formula>BG44&lt;BF44</formula>
    </cfRule>
  </conditionalFormatting>
  <conditionalFormatting sqref="BG44:BG45">
    <cfRule type="expression" dxfId="1" priority="118">
      <formula>BG44&gt;=BF44</formula>
    </cfRule>
  </conditionalFormatting>
  <conditionalFormatting sqref="BK44:BK45">
    <cfRule type="expression" dxfId="0" priority="119">
      <formula>BK44&lt;BJ44</formula>
    </cfRule>
  </conditionalFormatting>
  <conditionalFormatting sqref="BK44:BK45">
    <cfRule type="expression" dxfId="1" priority="120">
      <formula>BK44&gt;=BJ44</formula>
    </cfRule>
  </conditionalFormatting>
  <conditionalFormatting sqref="BO44:BO45">
    <cfRule type="expression" dxfId="0" priority="121">
      <formula>BO44&lt;BN44</formula>
    </cfRule>
  </conditionalFormatting>
  <conditionalFormatting sqref="BO44:BO45">
    <cfRule type="expression" dxfId="1" priority="122">
      <formula>BO44&gt;=BN44</formula>
    </cfRule>
  </conditionalFormatting>
  <conditionalFormatting sqref="BO52:BO53">
    <cfRule type="expression" dxfId="0" priority="123">
      <formula>BO52&lt;BN52</formula>
    </cfRule>
  </conditionalFormatting>
  <conditionalFormatting sqref="BO52:BO53">
    <cfRule type="expression" dxfId="1" priority="124">
      <formula>BO52&gt;=BN52</formula>
    </cfRule>
  </conditionalFormatting>
  <conditionalFormatting sqref="BO60:BO61">
    <cfRule type="expression" dxfId="0" priority="125">
      <formula>BO60&lt;BN60</formula>
    </cfRule>
  </conditionalFormatting>
  <conditionalFormatting sqref="BO60:BO61">
    <cfRule type="expression" dxfId="1" priority="126">
      <formula>BO60&gt;=BN60</formula>
    </cfRule>
  </conditionalFormatting>
  <conditionalFormatting sqref="BO68:BO69">
    <cfRule type="expression" dxfId="0" priority="127">
      <formula>BO68&lt;BN68</formula>
    </cfRule>
  </conditionalFormatting>
  <conditionalFormatting sqref="BO68:BO69">
    <cfRule type="expression" dxfId="1" priority="128">
      <formula>BO68&gt;=BN68</formula>
    </cfRule>
  </conditionalFormatting>
  <conditionalFormatting sqref="BO76:BO77">
    <cfRule type="expression" dxfId="0" priority="129">
      <formula>BO76&lt;BN76</formula>
    </cfRule>
  </conditionalFormatting>
  <conditionalFormatting sqref="BO76:BO77">
    <cfRule type="expression" dxfId="1" priority="130">
      <formula>BO76&gt;=BN76</formula>
    </cfRule>
  </conditionalFormatting>
  <conditionalFormatting sqref="BO84:BO85">
    <cfRule type="expression" dxfId="0" priority="131">
      <formula>BO84&lt;BN84</formula>
    </cfRule>
  </conditionalFormatting>
  <conditionalFormatting sqref="BO84:BO85">
    <cfRule type="expression" dxfId="1" priority="132">
      <formula>BO84&gt;=BN84</formula>
    </cfRule>
  </conditionalFormatting>
  <conditionalFormatting sqref="BO92:BO93">
    <cfRule type="expression" dxfId="0" priority="133">
      <formula>BO92&lt;BN92</formula>
    </cfRule>
  </conditionalFormatting>
  <conditionalFormatting sqref="BO92:BO93">
    <cfRule type="expression" dxfId="1" priority="134">
      <formula>BO92&gt;=BN92</formula>
    </cfRule>
  </conditionalFormatting>
  <conditionalFormatting sqref="BO100:BO101">
    <cfRule type="expression" dxfId="0" priority="135">
      <formula>BO100&lt;BN100</formula>
    </cfRule>
  </conditionalFormatting>
  <conditionalFormatting sqref="BO100:BO101">
    <cfRule type="expression" dxfId="1" priority="136">
      <formula>BO100&gt;=BN100</formula>
    </cfRule>
  </conditionalFormatting>
  <conditionalFormatting sqref="BO108:BO109">
    <cfRule type="expression" dxfId="0" priority="137">
      <formula>BO108&lt;BN108</formula>
    </cfRule>
  </conditionalFormatting>
  <conditionalFormatting sqref="BO108:BO109">
    <cfRule type="expression" dxfId="1" priority="138">
      <formula>BO108&gt;=BN108</formula>
    </cfRule>
  </conditionalFormatting>
  <conditionalFormatting sqref="BO116:BO117">
    <cfRule type="expression" dxfId="0" priority="139">
      <formula>BO116&lt;BN116</formula>
    </cfRule>
  </conditionalFormatting>
  <conditionalFormatting sqref="BO116:BO117">
    <cfRule type="expression" dxfId="1" priority="140">
      <formula>BO116&gt;=BN116</formula>
    </cfRule>
  </conditionalFormatting>
  <conditionalFormatting sqref="BO124:BO125">
    <cfRule type="expression" dxfId="0" priority="141">
      <formula>BO124&lt;BN124</formula>
    </cfRule>
  </conditionalFormatting>
  <conditionalFormatting sqref="BO124:BO125">
    <cfRule type="expression" dxfId="1" priority="142">
      <formula>BO124&gt;=BN124</formula>
    </cfRule>
  </conditionalFormatting>
  <conditionalFormatting sqref="BO132:BO133">
    <cfRule type="expression" dxfId="0" priority="143">
      <formula>BO132&lt;BN132</formula>
    </cfRule>
  </conditionalFormatting>
  <conditionalFormatting sqref="BO132:BO133">
    <cfRule type="expression" dxfId="1" priority="144">
      <formula>BO132&gt;=BN132</formula>
    </cfRule>
  </conditionalFormatting>
  <conditionalFormatting sqref="BO140:BO141">
    <cfRule type="expression" dxfId="0" priority="145">
      <formula>BO140&lt;BN140</formula>
    </cfRule>
  </conditionalFormatting>
  <conditionalFormatting sqref="BO140:BO141">
    <cfRule type="expression" dxfId="1" priority="146">
      <formula>BO140&gt;=BN140</formula>
    </cfRule>
  </conditionalFormatting>
  <conditionalFormatting sqref="BK140:BK141">
    <cfRule type="expression" dxfId="0" priority="147">
      <formula>BK140&lt;BJ140</formula>
    </cfRule>
  </conditionalFormatting>
  <conditionalFormatting sqref="BK140:BK141">
    <cfRule type="expression" dxfId="1" priority="148">
      <formula>BK140&gt;=BJ140</formula>
    </cfRule>
  </conditionalFormatting>
  <conditionalFormatting sqref="BK132:BK133">
    <cfRule type="expression" dxfId="0" priority="149">
      <formula>BK132&lt;BJ132</formula>
    </cfRule>
  </conditionalFormatting>
  <conditionalFormatting sqref="BK132:BK133">
    <cfRule type="expression" dxfId="1" priority="150">
      <formula>BK132&gt;=BJ132</formula>
    </cfRule>
  </conditionalFormatting>
  <conditionalFormatting sqref="BG140:BG141">
    <cfRule type="expression" dxfId="0" priority="151">
      <formula>BG140&lt;BF140</formula>
    </cfRule>
  </conditionalFormatting>
  <conditionalFormatting sqref="BG140:BG141">
    <cfRule type="expression" dxfId="1" priority="152">
      <formula>BG140&gt;=BF140</formula>
    </cfRule>
  </conditionalFormatting>
  <conditionalFormatting sqref="BG132:BG133">
    <cfRule type="expression" dxfId="0" priority="153">
      <formula>BG132&lt;BF132</formula>
    </cfRule>
  </conditionalFormatting>
  <conditionalFormatting sqref="BG132:BG133">
    <cfRule type="expression" dxfId="1" priority="154">
      <formula>BG132&gt;=BF132</formula>
    </cfRule>
  </conditionalFormatting>
  <conditionalFormatting sqref="BG124:BG125">
    <cfRule type="expression" dxfId="0" priority="155">
      <formula>BG124&lt;BF124</formula>
    </cfRule>
  </conditionalFormatting>
  <conditionalFormatting sqref="BG124:BG125">
    <cfRule type="expression" dxfId="1" priority="156">
      <formula>BG124&gt;=BF124</formula>
    </cfRule>
  </conditionalFormatting>
  <conditionalFormatting sqref="BG116:BG117">
    <cfRule type="expression" dxfId="0" priority="157">
      <formula>BG116&lt;BF116</formula>
    </cfRule>
  </conditionalFormatting>
  <conditionalFormatting sqref="BG116:BG117">
    <cfRule type="expression" dxfId="1" priority="158">
      <formula>BG116&gt;=BF116</formula>
    </cfRule>
  </conditionalFormatting>
  <conditionalFormatting sqref="BK116:BK117">
    <cfRule type="expression" dxfId="0" priority="159">
      <formula>BK116&lt;BJ116</formula>
    </cfRule>
  </conditionalFormatting>
  <conditionalFormatting sqref="BK116:BK117">
    <cfRule type="expression" dxfId="1" priority="160">
      <formula>BK116&gt;=BJ116</formula>
    </cfRule>
  </conditionalFormatting>
  <conditionalFormatting sqref="BK124:BK125">
    <cfRule type="expression" dxfId="0" priority="161">
      <formula>BK124&lt;BJ124</formula>
    </cfRule>
  </conditionalFormatting>
  <conditionalFormatting sqref="BK124:BK125">
    <cfRule type="expression" dxfId="1" priority="162">
      <formula>BK124&gt;=BJ124</formula>
    </cfRule>
  </conditionalFormatting>
  <conditionalFormatting sqref="BG108:BG109">
    <cfRule type="expression" dxfId="0" priority="163">
      <formula>BG108&lt;BF108</formula>
    </cfRule>
  </conditionalFormatting>
  <conditionalFormatting sqref="BG108:BG109">
    <cfRule type="expression" dxfId="1" priority="164">
      <formula>BG108&gt;=BF108</formula>
    </cfRule>
  </conditionalFormatting>
  <conditionalFormatting sqref="BK108:BK109">
    <cfRule type="expression" dxfId="0" priority="165">
      <formula>BK108&lt;BJ108</formula>
    </cfRule>
  </conditionalFormatting>
  <conditionalFormatting sqref="BK108:BK109">
    <cfRule type="expression" dxfId="1" priority="166">
      <formula>BK108&gt;=BJ108</formula>
    </cfRule>
  </conditionalFormatting>
  <conditionalFormatting sqref="BG100:BG101">
    <cfRule type="expression" dxfId="0" priority="167">
      <formula>BG100&lt;BF100</formula>
    </cfRule>
  </conditionalFormatting>
  <conditionalFormatting sqref="BG100:BG101">
    <cfRule type="expression" dxfId="1" priority="168">
      <formula>BG100&gt;=BF100</formula>
    </cfRule>
  </conditionalFormatting>
  <conditionalFormatting sqref="BK100:BK101">
    <cfRule type="expression" dxfId="0" priority="169">
      <formula>BK100&lt;BJ100</formula>
    </cfRule>
  </conditionalFormatting>
  <conditionalFormatting sqref="BK100:BK101">
    <cfRule type="expression" dxfId="1" priority="170">
      <formula>BK100&gt;=BJ100</formula>
    </cfRule>
  </conditionalFormatting>
  <conditionalFormatting sqref="BG92:BG93">
    <cfRule type="expression" dxfId="0" priority="171">
      <formula>BG92&lt;BF92</formula>
    </cfRule>
  </conditionalFormatting>
  <conditionalFormatting sqref="BG92:BG93">
    <cfRule type="expression" dxfId="1" priority="172">
      <formula>BG92&gt;=BF92</formula>
    </cfRule>
  </conditionalFormatting>
  <conditionalFormatting sqref="BK92:BK93">
    <cfRule type="expression" dxfId="0" priority="173">
      <formula>BK92&lt;BJ92</formula>
    </cfRule>
  </conditionalFormatting>
  <conditionalFormatting sqref="BK92:BK93">
    <cfRule type="expression" dxfId="1" priority="174">
      <formula>BK92&gt;=BJ92</formula>
    </cfRule>
  </conditionalFormatting>
  <conditionalFormatting sqref="BG84:BG85">
    <cfRule type="expression" dxfId="0" priority="175">
      <formula>BG84&lt;BF84</formula>
    </cfRule>
  </conditionalFormatting>
  <conditionalFormatting sqref="BG84:BG85">
    <cfRule type="expression" dxfId="1" priority="176">
      <formula>BG84&gt;=BF84</formula>
    </cfRule>
  </conditionalFormatting>
  <conditionalFormatting sqref="BK84:BK85">
    <cfRule type="expression" dxfId="0" priority="177">
      <formula>BK84&lt;BJ84</formula>
    </cfRule>
  </conditionalFormatting>
  <conditionalFormatting sqref="BK84:BK85">
    <cfRule type="expression" dxfId="1" priority="178">
      <formula>BK84&gt;=BJ84</formula>
    </cfRule>
  </conditionalFormatting>
  <conditionalFormatting sqref="BK76:BK77">
    <cfRule type="expression" dxfId="0" priority="179">
      <formula>BK76&lt;BJ76</formula>
    </cfRule>
  </conditionalFormatting>
  <conditionalFormatting sqref="BK76:BK77">
    <cfRule type="expression" dxfId="1" priority="180">
      <formula>BK76&gt;=BJ76</formula>
    </cfRule>
  </conditionalFormatting>
  <conditionalFormatting sqref="BG76:BG77">
    <cfRule type="expression" dxfId="0" priority="181">
      <formula>BG76&lt;BF76</formula>
    </cfRule>
  </conditionalFormatting>
  <conditionalFormatting sqref="BG76:BG77">
    <cfRule type="expression" dxfId="1" priority="182">
      <formula>BG76&gt;=BF76</formula>
    </cfRule>
  </conditionalFormatting>
  <conditionalFormatting sqref="BG68:BG69">
    <cfRule type="expression" dxfId="0" priority="183">
      <formula>BG68&lt;BF68</formula>
    </cfRule>
  </conditionalFormatting>
  <conditionalFormatting sqref="BG68:BG69">
    <cfRule type="expression" dxfId="1" priority="184">
      <formula>BG68&gt;=BF68</formula>
    </cfRule>
  </conditionalFormatting>
  <conditionalFormatting sqref="BK68:BK69">
    <cfRule type="expression" dxfId="0" priority="185">
      <formula>BK68&lt;BJ68</formula>
    </cfRule>
  </conditionalFormatting>
  <conditionalFormatting sqref="BK68:BK69">
    <cfRule type="expression" dxfId="1" priority="186">
      <formula>BK68&gt;=BJ68</formula>
    </cfRule>
  </conditionalFormatting>
  <conditionalFormatting sqref="BC132:BC133">
    <cfRule type="expression" dxfId="0" priority="187">
      <formula>BC132&lt;BB132</formula>
    </cfRule>
  </conditionalFormatting>
  <conditionalFormatting sqref="BC132:BC133">
    <cfRule type="expression" dxfId="1" priority="188">
      <formula>BC132&gt;=BB132</formula>
    </cfRule>
  </conditionalFormatting>
  <conditionalFormatting sqref="AY132:AY133">
    <cfRule type="expression" dxfId="0" priority="189">
      <formula>AY132&lt;AX132</formula>
    </cfRule>
  </conditionalFormatting>
  <conditionalFormatting sqref="AY132:AY133">
    <cfRule type="expression" dxfId="1" priority="190">
      <formula>AY132&gt;=AX132</formula>
    </cfRule>
  </conditionalFormatting>
  <conditionalFormatting sqref="AY124:AY125">
    <cfRule type="expression" dxfId="0" priority="191">
      <formula>AY124&lt;AX124</formula>
    </cfRule>
  </conditionalFormatting>
  <conditionalFormatting sqref="AY124:AY125">
    <cfRule type="expression" dxfId="1" priority="192">
      <formula>AY124&gt;=AX124</formula>
    </cfRule>
  </conditionalFormatting>
  <conditionalFormatting sqref="BC124:BC125">
    <cfRule type="expression" dxfId="0" priority="193">
      <formula>BC124&lt;BB124</formula>
    </cfRule>
  </conditionalFormatting>
  <conditionalFormatting sqref="BC124:BC125">
    <cfRule type="expression" dxfId="1" priority="194">
      <formula>BC124&gt;=BB124</formula>
    </cfRule>
  </conditionalFormatting>
  <conditionalFormatting sqref="BC108:BC109">
    <cfRule type="expression" dxfId="0" priority="195">
      <formula>BC108&lt;BB108</formula>
    </cfRule>
  </conditionalFormatting>
  <conditionalFormatting sqref="BC108:BC109">
    <cfRule type="expression" dxfId="1" priority="196">
      <formula>BC108&gt;=BB108</formula>
    </cfRule>
  </conditionalFormatting>
  <conditionalFormatting sqref="BC116:BC117">
    <cfRule type="expression" dxfId="0" priority="197">
      <formula>BC116&lt;BB116</formula>
    </cfRule>
  </conditionalFormatting>
  <conditionalFormatting sqref="BC116:BC117">
    <cfRule type="expression" dxfId="1" priority="198">
      <formula>BC116&gt;=BB116</formula>
    </cfRule>
  </conditionalFormatting>
  <conditionalFormatting sqref="AY116:AY117">
    <cfRule type="expression" dxfId="0" priority="199">
      <formula>AY116&lt;AX116</formula>
    </cfRule>
  </conditionalFormatting>
  <conditionalFormatting sqref="AY116:AY117">
    <cfRule type="expression" dxfId="1" priority="200">
      <formula>AY116&gt;=AX116</formula>
    </cfRule>
  </conditionalFormatting>
  <conditionalFormatting sqref="AY108:AY109">
    <cfRule type="expression" dxfId="0" priority="201">
      <formula>AY108&lt;AX108</formula>
    </cfRule>
  </conditionalFormatting>
  <conditionalFormatting sqref="AY108:AY109">
    <cfRule type="expression" dxfId="1" priority="202">
      <formula>AY108&gt;=AX108</formula>
    </cfRule>
  </conditionalFormatting>
  <conditionalFormatting sqref="AY76:AY77">
    <cfRule type="expression" dxfId="0" priority="203">
      <formula>AY76&lt;AX76</formula>
    </cfRule>
  </conditionalFormatting>
  <conditionalFormatting sqref="AY76:AY77">
    <cfRule type="expression" dxfId="1" priority="204">
      <formula>AY76&gt;=AX76</formula>
    </cfRule>
  </conditionalFormatting>
  <conditionalFormatting sqref="BC76:BC77">
    <cfRule type="expression" dxfId="0" priority="205">
      <formula>BC76&lt;BB76</formula>
    </cfRule>
  </conditionalFormatting>
  <conditionalFormatting sqref="BC76:BC77">
    <cfRule type="expression" dxfId="1" priority="206">
      <formula>BC76&gt;=BB76</formula>
    </cfRule>
  </conditionalFormatting>
  <conditionalFormatting sqref="AY84:AY85">
    <cfRule type="expression" dxfId="0" priority="207">
      <formula>AY84&lt;AX84</formula>
    </cfRule>
  </conditionalFormatting>
  <conditionalFormatting sqref="AY84:AY85">
    <cfRule type="expression" dxfId="1" priority="208">
      <formula>AY84&gt;=AX84</formula>
    </cfRule>
  </conditionalFormatting>
  <conditionalFormatting sqref="BC84:BC85">
    <cfRule type="expression" dxfId="0" priority="209">
      <formula>BC84&lt;BB84</formula>
    </cfRule>
  </conditionalFormatting>
  <conditionalFormatting sqref="BC84:BC85">
    <cfRule type="expression" dxfId="1" priority="210">
      <formula>BC84&gt;=BB84</formula>
    </cfRule>
  </conditionalFormatting>
  <conditionalFormatting sqref="AY92:AY93">
    <cfRule type="expression" dxfId="0" priority="211">
      <formula>AY92&lt;AX92</formula>
    </cfRule>
  </conditionalFormatting>
  <conditionalFormatting sqref="AY92:AY93">
    <cfRule type="expression" dxfId="1" priority="212">
      <formula>AY92&gt;=AX92</formula>
    </cfRule>
  </conditionalFormatting>
  <conditionalFormatting sqref="BC92:BC93">
    <cfRule type="expression" dxfId="0" priority="213">
      <formula>BC92&lt;BB92</formula>
    </cfRule>
  </conditionalFormatting>
  <conditionalFormatting sqref="BC92:BC93">
    <cfRule type="expression" dxfId="1" priority="214">
      <formula>BC92&gt;=BB92</formula>
    </cfRule>
  </conditionalFormatting>
  <conditionalFormatting sqref="AY100:AY101">
    <cfRule type="expression" dxfId="0" priority="215">
      <formula>AY100&lt;AX100</formula>
    </cfRule>
  </conditionalFormatting>
  <conditionalFormatting sqref="AY100:AY101">
    <cfRule type="expression" dxfId="1" priority="216">
      <formula>AY100&gt;=AX100</formula>
    </cfRule>
  </conditionalFormatting>
  <conditionalFormatting sqref="BC100:BC101">
    <cfRule type="expression" dxfId="0" priority="217">
      <formula>BC100&lt;BB100</formula>
    </cfRule>
  </conditionalFormatting>
  <conditionalFormatting sqref="BC100:BC101">
    <cfRule type="expression" dxfId="1" priority="218">
      <formula>BC100&gt;=BB100</formula>
    </cfRule>
  </conditionalFormatting>
  <conditionalFormatting sqref="U76:U77">
    <cfRule type="expression" dxfId="0" priority="219">
      <formula>U76&lt;T76</formula>
    </cfRule>
  </conditionalFormatting>
  <conditionalFormatting sqref="U76:U77">
    <cfRule type="expression" dxfId="1" priority="220">
      <formula>U76&gt;=T76</formula>
    </cfRule>
  </conditionalFormatting>
  <conditionalFormatting sqref="Y76:Y77">
    <cfRule type="expression" dxfId="0" priority="221">
      <formula>Y76&lt;X76</formula>
    </cfRule>
  </conditionalFormatting>
  <conditionalFormatting sqref="Y76:Y77">
    <cfRule type="expression" dxfId="1" priority="222">
      <formula>Y76&gt;=X76</formula>
    </cfRule>
  </conditionalFormatting>
  <conditionalFormatting sqref="AC76:AC77">
    <cfRule type="expression" dxfId="0" priority="223">
      <formula>AC76&lt;AB76</formula>
    </cfRule>
  </conditionalFormatting>
  <conditionalFormatting sqref="AC76:AC77">
    <cfRule type="expression" dxfId="1" priority="224">
      <formula>AC76&gt;=AB76</formula>
    </cfRule>
  </conditionalFormatting>
  <conditionalFormatting sqref="U84:U85">
    <cfRule type="expression" dxfId="0" priority="225">
      <formula>U84&lt;T84</formula>
    </cfRule>
  </conditionalFormatting>
  <conditionalFormatting sqref="U84:U85">
    <cfRule type="expression" dxfId="1" priority="226">
      <formula>U84&gt;=T84</formula>
    </cfRule>
  </conditionalFormatting>
  <conditionalFormatting sqref="Y84:Y85">
    <cfRule type="expression" dxfId="0" priority="227">
      <formula>Y84&lt;X84</formula>
    </cfRule>
  </conditionalFormatting>
  <conditionalFormatting sqref="Y84:Y85">
    <cfRule type="expression" dxfId="1" priority="228">
      <formula>Y84&gt;=X84</formula>
    </cfRule>
  </conditionalFormatting>
  <conditionalFormatting sqref="AC84:AC85">
    <cfRule type="expression" dxfId="0" priority="229">
      <formula>AC84&lt;AB84</formula>
    </cfRule>
  </conditionalFormatting>
  <conditionalFormatting sqref="AC84:AC85">
    <cfRule type="expression" dxfId="1" priority="230">
      <formula>AC84&gt;=AB84</formula>
    </cfRule>
  </conditionalFormatting>
  <conditionalFormatting sqref="U92:U93">
    <cfRule type="expression" dxfId="0" priority="231">
      <formula>U92&lt;T92</formula>
    </cfRule>
  </conditionalFormatting>
  <conditionalFormatting sqref="U92:U93">
    <cfRule type="expression" dxfId="1" priority="232">
      <formula>U92&gt;=T92</formula>
    </cfRule>
  </conditionalFormatting>
  <conditionalFormatting sqref="Y92:Y93">
    <cfRule type="expression" dxfId="0" priority="233">
      <formula>Y92&lt;X92</formula>
    </cfRule>
  </conditionalFormatting>
  <conditionalFormatting sqref="Y92:Y93">
    <cfRule type="expression" dxfId="1" priority="234">
      <formula>Y92&gt;=X92</formula>
    </cfRule>
  </conditionalFormatting>
  <conditionalFormatting sqref="AC92:AC93">
    <cfRule type="expression" dxfId="0" priority="235">
      <formula>AC92&lt;AB92</formula>
    </cfRule>
  </conditionalFormatting>
  <conditionalFormatting sqref="AC92:AC93">
    <cfRule type="expression" dxfId="1" priority="236">
      <formula>AC92&gt;=AB92</formula>
    </cfRule>
  </conditionalFormatting>
  <conditionalFormatting sqref="AC100:AC101">
    <cfRule type="expression" dxfId="0" priority="237">
      <formula>AC100&lt;AB100</formula>
    </cfRule>
  </conditionalFormatting>
  <conditionalFormatting sqref="AC100:AC101">
    <cfRule type="expression" dxfId="1" priority="238">
      <formula>AC100&gt;=AB100</formula>
    </cfRule>
  </conditionalFormatting>
  <conditionalFormatting sqref="Y116:Y117">
    <cfRule type="expression" dxfId="0" priority="239">
      <formula>Y116&lt;X116</formula>
    </cfRule>
  </conditionalFormatting>
  <conditionalFormatting sqref="Y116:Y117">
    <cfRule type="expression" dxfId="1" priority="240">
      <formula>Y116&gt;=X116</formula>
    </cfRule>
  </conditionalFormatting>
  <conditionalFormatting sqref="AC116:AC117">
    <cfRule type="expression" dxfId="0" priority="241">
      <formula>AC116&lt;AB116</formula>
    </cfRule>
  </conditionalFormatting>
  <conditionalFormatting sqref="AC116:AC117">
    <cfRule type="expression" dxfId="1" priority="242">
      <formula>AC116&gt;=AB116</formula>
    </cfRule>
  </conditionalFormatting>
  <conditionalFormatting sqref="U116:U117">
    <cfRule type="expression" dxfId="0" priority="243">
      <formula>U116&lt;T116</formula>
    </cfRule>
  </conditionalFormatting>
  <conditionalFormatting sqref="U116:U117">
    <cfRule type="expression" dxfId="1" priority="244">
      <formula>U116&gt;=T116</formula>
    </cfRule>
  </conditionalFormatting>
  <conditionalFormatting sqref="U124:U125">
    <cfRule type="expression" dxfId="0" priority="245">
      <formula>U124&lt;T124</formula>
    </cfRule>
  </conditionalFormatting>
  <conditionalFormatting sqref="U124:U125">
    <cfRule type="expression" dxfId="1" priority="246">
      <formula>U124&gt;=T124</formula>
    </cfRule>
  </conditionalFormatting>
  <conditionalFormatting sqref="Y124:Y125">
    <cfRule type="expression" dxfId="0" priority="247">
      <formula>Y124&lt;X124</formula>
    </cfRule>
  </conditionalFormatting>
  <conditionalFormatting sqref="Y124:Y125">
    <cfRule type="expression" dxfId="1" priority="248">
      <formula>Y124&gt;=X124</formula>
    </cfRule>
  </conditionalFormatting>
  <conditionalFormatting sqref="AC124:AC125">
    <cfRule type="expression" dxfId="0" priority="249">
      <formula>AC124&lt;AB124</formula>
    </cfRule>
  </conditionalFormatting>
  <conditionalFormatting sqref="AC124:AC125">
    <cfRule type="expression" dxfId="1" priority="250">
      <formula>AC124&gt;=AB124</formula>
    </cfRule>
  </conditionalFormatting>
  <conditionalFormatting sqref="AK5 AT5 AK13 AT13 AT21 AT29 AT37 AT45 AT53 AT61 AT69 AT77 AT85 AT93 AT101 AT109 AT117 AT125 AT133 AT141">
    <cfRule type="expression" dxfId="2" priority="251">
      <formula>AK5&gt;=AK4</formula>
    </cfRule>
  </conditionalFormatting>
  <conditionalFormatting sqref="AK5 AT5 AK13 AT13 AT21 AT29 AT37 AT45 AT53 AT61 AT69 AT77 AT85 AT93 AT101 AT109 AT117 AT125 AT133 AT141">
    <cfRule type="expression" dxfId="0" priority="252">
      <formula>AK5&lt;AK4</formula>
    </cfRule>
  </conditionalFormatting>
  <conditionalFormatting sqref="AJ5 AS5 AJ13 AS13 AS21 AS29 AS37 AS45 AS53 AS61 AS69 AS77 AS85 AS93 AS101 AS109 AS117 AS125 AS133 AS141">
    <cfRule type="expression" dxfId="2" priority="253">
      <formula>AJ5&gt;=AJ4</formula>
    </cfRule>
  </conditionalFormatting>
  <conditionalFormatting sqref="AJ5 AS5 AJ13 AS13 AS21 AS29 AS37 AS45 AS53 AS61 AS69 AS77 AS85 AS93 AS101 AS109 AS117 AS125 AS133 AS141">
    <cfRule type="expression" dxfId="0" priority="254">
      <formula>AJ5&lt;AJ4</formula>
    </cfRule>
  </conditionalFormatting>
  <conditionalFormatting sqref="AL5 AU5 AL13 AU13 AL21 AU21 AL29 AU29 AL37 AU37 AL45 AU45 AL53 AU53 AL61 AU61 AL69 AU69 AL77 AU77 AL85 AU85 AL93 AU93 AL101 AU101 AL109 AU109 AL117 AU117 AL125 AU125 AL133 AU133 AL141 AU141">
    <cfRule type="expression" dxfId="2" priority="255">
      <formula>AL5&gt;=AF5</formula>
    </cfRule>
  </conditionalFormatting>
  <conditionalFormatting sqref="AL5 AU5 AL13 AU13 AL21 AU21 AL29 AU29 AL37 AU37 AL45 AU45 AL53 AU53 AL61 AU61 AL69 AU69 AL77 AU77 AL85 AU85 AL93 AU93 AL101 AU101 AL109 AU109 AL117 AU117 AL125 AU125 AL133 AU133 AL141 AU141">
    <cfRule type="expression" dxfId="0" priority="256">
      <formula>AL5&lt;AF5</formula>
    </cfRule>
  </conditionalFormatting>
  <conditionalFormatting sqref="AG21 AP21:AT21">
    <cfRule type="expression" dxfId="2" priority="257">
      <formula>AG21&gt;=AG20</formula>
    </cfRule>
  </conditionalFormatting>
  <conditionalFormatting sqref="AG21 AP21:AT21">
    <cfRule type="expression" dxfId="0" priority="258">
      <formula>AG21&lt;AG20</formula>
    </cfRule>
  </conditionalFormatting>
  <conditionalFormatting sqref="AI21">
    <cfRule type="expression" dxfId="2" priority="259">
      <formula>AI21&gt;=AI20</formula>
    </cfRule>
  </conditionalFormatting>
  <conditionalFormatting sqref="AI21">
    <cfRule type="expression" dxfId="0" priority="260">
      <formula>AI21&lt;AI20</formula>
    </cfRule>
  </conditionalFormatting>
  <conditionalFormatting sqref="AJ21">
    <cfRule type="expression" dxfId="2" priority="261">
      <formula>AJ21&gt;=AJ20</formula>
    </cfRule>
  </conditionalFormatting>
  <conditionalFormatting sqref="AJ21">
    <cfRule type="expression" dxfId="0" priority="262">
      <formula>AJ21&lt;AJ20</formula>
    </cfRule>
  </conditionalFormatting>
  <conditionalFormatting sqref="AK21">
    <cfRule type="expression" dxfId="2" priority="263">
      <formula>AK21&gt;=AK20</formula>
    </cfRule>
  </conditionalFormatting>
  <conditionalFormatting sqref="AK21">
    <cfRule type="expression" dxfId="0" priority="264">
      <formula>AK21&lt;AK20</formula>
    </cfRule>
  </conditionalFormatting>
  <conditionalFormatting sqref="AH29">
    <cfRule type="expression" dxfId="2" priority="265">
      <formula>AH29&gt;=AH28</formula>
    </cfRule>
  </conditionalFormatting>
  <conditionalFormatting sqref="AH29">
    <cfRule type="expression" dxfId="0" priority="266">
      <formula>AH29&lt;AH28</formula>
    </cfRule>
  </conditionalFormatting>
  <conditionalFormatting sqref="AI29">
    <cfRule type="expression" dxfId="2" priority="267">
      <formula>AI29&gt;=AI28</formula>
    </cfRule>
  </conditionalFormatting>
  <conditionalFormatting sqref="AI29">
    <cfRule type="expression" dxfId="0" priority="268">
      <formula>AI29&lt;AI28</formula>
    </cfRule>
  </conditionalFormatting>
  <conditionalFormatting sqref="AJ29">
    <cfRule type="expression" dxfId="2" priority="269">
      <formula>AJ29&gt;=AJ28</formula>
    </cfRule>
  </conditionalFormatting>
  <conditionalFormatting sqref="AJ29">
    <cfRule type="expression" dxfId="0" priority="270">
      <formula>AJ29&lt;AJ28</formula>
    </cfRule>
  </conditionalFormatting>
  <conditionalFormatting sqref="AK29">
    <cfRule type="expression" dxfId="2" priority="271">
      <formula>AK29&gt;=AK28</formula>
    </cfRule>
  </conditionalFormatting>
  <conditionalFormatting sqref="AK29">
    <cfRule type="expression" dxfId="0" priority="272">
      <formula>AK29&lt;AK28</formula>
    </cfRule>
  </conditionalFormatting>
  <conditionalFormatting sqref="AG29 AP29:AT29 AG37:AK37 AP37:AT37 AG45:AK45 AP45:AT45 AG53:AK53 AP53:AT53 AG61:AK61 AP61:AT61 AG69:AK69 AP69:AT69 AG77:AK77 AP77:AT77 AG85:AK85 AP85:AT85 AG93:AK93 AP93:AT93 AG101:AK101 AP101:AT101 AG109:AK109 AP109:AT109 AG117:AK117 AP117:AT117 AG125:AK125 AP125:AT125 AG133:AK133 AP133:AT133">
    <cfRule type="expression" dxfId="2" priority="273">
      <formula>AG29&gt;=AG28</formula>
    </cfRule>
  </conditionalFormatting>
  <conditionalFormatting sqref="AG29 AP29:AT29 AG37:AK37 AP37:AT37 AG45:AK45 AP45:AT45 AG53:AK53 AP53:AT53 AG61:AK61 AP61:AT61 AG69:AK69 AP69:AT69 AG77:AK77 AP77:AT77 AG85:AK85 AP85:AT85 AG93:AK93 AP93:AT93 AG101:AK101 AP101:AT101 AG109:AK109 AP109:AT109 AG117:AK117 AP117:AT117 AG125:AK125 AP125:AT125 AG133:AK133 AP133:AT133">
    <cfRule type="expression" dxfId="0" priority="274">
      <formula>AG29&lt;AG28</formula>
    </cfRule>
  </conditionalFormatting>
  <conditionalFormatting sqref="AG5:AI5 AP5:AR5 AP13:AT13 AP21:AT21 AP29:AT29 AP37:AT37 AP45:AT45 AP53:AT53 AP61:AT61 AP69:AT69 AP77:AT77 AP85:AT85 AP93:AT93 AP101:AT101 AP109:AT109 AP117:AT117 AP125:AT125 AP133:AT133 AP141:AR141">
    <cfRule type="expression" dxfId="2" priority="275">
      <formula>AG5&gt;=AG4</formula>
    </cfRule>
  </conditionalFormatting>
  <conditionalFormatting sqref="AG5:AI5 AP5:AR5 AP13:AT13 AP21:AT21 AP29:AT29 AP37:AT37 AP45:AT45 AP53:AT53 AP61:AT61 AP69:AT69 AP77:AT77 AP85:AT85 AP93:AT93 AP101:AT101 AP109:AT109 AP117:AT117 AP125:AT125 AP133:AT133 AP141:AR141">
    <cfRule type="expression" dxfId="0" priority="276">
      <formula>AG5&lt;AG4</formula>
    </cfRule>
  </conditionalFormatting>
  <printOptions/>
  <pageMargins bottom="0.787401575" footer="0.0" header="0.0" left="0.511811024" right="0.511811024" top="0.7874015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1">
      <c r="E11" s="310" t="s">
        <v>107</v>
      </c>
      <c r="F11" s="311" t="s">
        <v>58</v>
      </c>
      <c r="G11" s="312" t="s">
        <v>108</v>
      </c>
      <c r="H11" s="312" t="s">
        <v>109</v>
      </c>
      <c r="I11" s="313" t="s">
        <v>110</v>
      </c>
      <c r="J11" s="314">
        <v>2025.0</v>
      </c>
      <c r="K11" s="315" t="s">
        <v>111</v>
      </c>
      <c r="L11" s="315" t="s">
        <v>112</v>
      </c>
      <c r="M11" s="315" t="s">
        <v>113</v>
      </c>
      <c r="N11" s="316" t="s">
        <v>114</v>
      </c>
      <c r="O11" s="315" t="s">
        <v>115</v>
      </c>
      <c r="P11" s="315" t="s">
        <v>116</v>
      </c>
      <c r="Q11" s="315" t="s">
        <v>117</v>
      </c>
    </row>
    <row r="12">
      <c r="E12" s="318" t="s">
        <v>118</v>
      </c>
      <c r="F12" s="319">
        <v>1.0</v>
      </c>
      <c r="G12" s="320" t="str">
        <f>IFERROR(G13/F13,"-")</f>
        <v>-</v>
      </c>
      <c r="H12" s="320" t="str">
        <f>IFERROR(H13/F13,"-")</f>
        <v>-</v>
      </c>
      <c r="I12" s="320" t="str">
        <f>IFERROR(I13/F13,"-")</f>
        <v>-</v>
      </c>
      <c r="J12" s="321" t="s">
        <v>119</v>
      </c>
      <c r="K12" s="322" t="str">
        <f t="shared" ref="K12:K16" si="2">IFERROR(I12-G12,"-")</f>
        <v>-</v>
      </c>
      <c r="L12" s="322" t="str">
        <f t="shared" ref="L12:L16" si="3">IFERROR(I12-H12,"-")</f>
        <v>-</v>
      </c>
      <c r="M12" s="322" t="str">
        <f t="shared" ref="M12:M16" si="4">IFERROR(I12-F12,"-")</f>
        <v>-</v>
      </c>
      <c r="N12" s="323" t="s">
        <v>63</v>
      </c>
      <c r="O12" s="324"/>
      <c r="P12" s="325" t="s">
        <v>63</v>
      </c>
      <c r="Q12" s="325" t="s">
        <v>63</v>
      </c>
    </row>
    <row r="13">
      <c r="E13" s="326" t="s">
        <v>66</v>
      </c>
      <c r="F13" s="327" t="str">
        <f t="shared" ref="F13:J13" si="1">SUMIF(#REF!, "gmv", #REF!)</f>
        <v>#N/A</v>
      </c>
      <c r="G13" s="327" t="str">
        <f t="shared" si="1"/>
        <v>#N/A</v>
      </c>
      <c r="H13" s="327" t="str">
        <f t="shared" si="1"/>
        <v>#N/A</v>
      </c>
      <c r="I13" s="327" t="str">
        <f t="shared" si="1"/>
        <v>#N/A</v>
      </c>
      <c r="J13" s="328" t="str">
        <f t="shared" si="1"/>
        <v>#N/A</v>
      </c>
      <c r="K13" s="329" t="str">
        <f t="shared" si="2"/>
        <v>-</v>
      </c>
      <c r="L13" s="329" t="str">
        <f t="shared" si="3"/>
        <v>-</v>
      </c>
      <c r="M13" s="329" t="str">
        <f t="shared" si="4"/>
        <v>-</v>
      </c>
      <c r="N13" s="330" t="str">
        <f t="shared" ref="N13:N16" si="6">IFERROR(F13/J13-1,"-")</f>
        <v>-</v>
      </c>
      <c r="O13" s="331" t="str">
        <f t="shared" ref="O13:O16" si="7">IFERROR(I13/G13-1,"-")</f>
        <v>-</v>
      </c>
      <c r="P13" s="331" t="str">
        <f t="shared" ref="P13:P16" si="8">IFERROR(I13/H13-1,"-")</f>
        <v>-</v>
      </c>
      <c r="Q13" s="331" t="str">
        <f t="shared" ref="Q13:Q16" si="9">IFERROR(I13/F13-1,"-")</f>
        <v>-</v>
      </c>
    </row>
    <row r="14">
      <c r="E14" s="333" t="s">
        <v>67</v>
      </c>
      <c r="F14" s="334" t="str">
        <f t="shared" ref="F14:H14" si="5">SUMIF(#REF!,"Pedidos",#REF!)</f>
        <v>#N/A</v>
      </c>
      <c r="G14" s="334" t="str">
        <f t="shared" si="5"/>
        <v>#N/A</v>
      </c>
      <c r="H14" s="334" t="str">
        <f t="shared" si="5"/>
        <v>#N/A</v>
      </c>
      <c r="I14" s="334" t="str">
        <f>SUMIF(#REF!, "Pedidos", #REF!)</f>
        <v>#N/A</v>
      </c>
      <c r="J14" s="335" t="str">
        <f>SUMIF(#REF!,"pedidos", #REF!)</f>
        <v>#N/A</v>
      </c>
      <c r="K14" s="336" t="str">
        <f t="shared" si="2"/>
        <v>-</v>
      </c>
      <c r="L14" s="336" t="str">
        <f t="shared" si="3"/>
        <v>-</v>
      </c>
      <c r="M14" s="336" t="str">
        <f t="shared" si="4"/>
        <v>-</v>
      </c>
      <c r="N14" s="330" t="str">
        <f t="shared" si="6"/>
        <v>-</v>
      </c>
      <c r="O14" s="331" t="str">
        <f t="shared" si="7"/>
        <v>-</v>
      </c>
      <c r="P14" s="331" t="str">
        <f t="shared" si="8"/>
        <v>-</v>
      </c>
      <c r="Q14" s="331" t="str">
        <f t="shared" si="9"/>
        <v>-</v>
      </c>
    </row>
    <row r="15">
      <c r="E15" s="333" t="s">
        <v>68</v>
      </c>
      <c r="F15" s="337" t="str">
        <f t="shared" ref="F15:J15" si="10">IFERROR(F13/F14,"-")</f>
        <v>-</v>
      </c>
      <c r="G15" s="337" t="str">
        <f t="shared" si="10"/>
        <v>-</v>
      </c>
      <c r="H15" s="337" t="str">
        <f t="shared" si="10"/>
        <v>-</v>
      </c>
      <c r="I15" s="338" t="str">
        <f t="shared" si="10"/>
        <v>-</v>
      </c>
      <c r="J15" s="339" t="str">
        <f t="shared" si="10"/>
        <v>-</v>
      </c>
      <c r="K15" s="329" t="str">
        <f t="shared" si="2"/>
        <v>-</v>
      </c>
      <c r="L15" s="329" t="str">
        <f t="shared" si="3"/>
        <v>-</v>
      </c>
      <c r="M15" s="329" t="str">
        <f t="shared" si="4"/>
        <v>-</v>
      </c>
      <c r="N15" s="330" t="str">
        <f t="shared" si="6"/>
        <v>-</v>
      </c>
      <c r="O15" s="331" t="str">
        <f t="shared" si="7"/>
        <v>-</v>
      </c>
      <c r="P15" s="331" t="str">
        <f t="shared" si="8"/>
        <v>-</v>
      </c>
      <c r="Q15" s="331" t="str">
        <f t="shared" si="9"/>
        <v>-</v>
      </c>
    </row>
    <row r="16">
      <c r="E16" s="340" t="s">
        <v>69</v>
      </c>
      <c r="F16" s="341" t="str">
        <f t="shared" ref="F16:J16" si="11">SUMIF(#REF!, "Receita Hanzo", #REF!)</f>
        <v>#N/A</v>
      </c>
      <c r="G16" s="341" t="str">
        <f t="shared" si="11"/>
        <v>#N/A</v>
      </c>
      <c r="H16" s="341" t="str">
        <f t="shared" si="11"/>
        <v>#N/A</v>
      </c>
      <c r="I16" s="341" t="str">
        <f t="shared" si="11"/>
        <v>#N/A</v>
      </c>
      <c r="J16" s="342" t="str">
        <f t="shared" si="11"/>
        <v>#N/A</v>
      </c>
      <c r="K16" s="329" t="str">
        <f t="shared" si="2"/>
        <v>-</v>
      </c>
      <c r="L16" s="329" t="str">
        <f t="shared" si="3"/>
        <v>-</v>
      </c>
      <c r="M16" s="329" t="str">
        <f t="shared" si="4"/>
        <v>-</v>
      </c>
      <c r="N16" s="330" t="str">
        <f t="shared" si="6"/>
        <v>-</v>
      </c>
      <c r="O16" s="331" t="str">
        <f t="shared" si="7"/>
        <v>-</v>
      </c>
      <c r="P16" s="331" t="str">
        <f t="shared" si="8"/>
        <v>-</v>
      </c>
      <c r="Q16" s="331" t="str">
        <f t="shared" si="9"/>
        <v>-</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10.0" ySplit="2.0" topLeftCell="K3" activePane="bottomRight" state="frozen"/>
      <selection activeCell="K1" sqref="K1" pane="topRight"/>
      <selection activeCell="A3" sqref="A3" pane="bottomLeft"/>
      <selection activeCell="K3" sqref="K3" pane="bottomRight"/>
    </sheetView>
  </sheetViews>
  <sheetFormatPr customHeight="1" defaultColWidth="14.43" defaultRowHeight="15.0"/>
  <cols>
    <col customWidth="1" min="1" max="1" width="1.43"/>
    <col customWidth="1" min="2" max="2" width="3.0"/>
    <col customWidth="1" hidden="1" min="3" max="3" width="20.29"/>
    <col customWidth="1" hidden="1" min="4" max="5" width="8.86"/>
    <col customWidth="1" hidden="1" min="6" max="6" width="13.43"/>
    <col customWidth="1" hidden="1" min="7" max="7" width="12.29"/>
    <col customWidth="1" hidden="1" min="8" max="8" width="7.43"/>
    <col customWidth="1" hidden="1" min="9" max="9" width="6.43"/>
    <col customWidth="1" min="10" max="10" width="21.0"/>
    <col customWidth="1" min="11" max="11" width="8.29"/>
    <col customWidth="1" min="12" max="12" width="15.14"/>
    <col customWidth="1" min="13" max="16" width="15.0"/>
    <col customWidth="1" min="17" max="23" width="16.43"/>
    <col customWidth="1" min="24" max="24" width="16.14"/>
    <col customWidth="1" min="25" max="25" width="14.86"/>
    <col customWidth="1" min="26" max="26" width="13.0"/>
    <col customWidth="1" min="27" max="27" width="16.14"/>
    <col customWidth="1" min="28" max="28" width="2.0"/>
    <col customWidth="1" min="29" max="30" width="9.86"/>
    <col customWidth="1" min="31" max="32" width="9.14"/>
  </cols>
  <sheetData>
    <row r="1" ht="15.75" customHeight="1">
      <c r="A1" s="1"/>
      <c r="B1" s="2"/>
      <c r="C1" s="1"/>
      <c r="D1" s="1"/>
      <c r="E1" s="3"/>
      <c r="F1" s="4"/>
      <c r="G1" s="5" t="s">
        <v>0</v>
      </c>
      <c r="H1" s="6"/>
      <c r="I1" s="7"/>
      <c r="J1" s="8"/>
      <c r="K1" s="9"/>
      <c r="L1" s="8"/>
      <c r="M1" s="10"/>
      <c r="N1" s="11"/>
      <c r="O1" s="11"/>
      <c r="P1" s="11"/>
      <c r="Q1" s="11"/>
      <c r="R1" s="11"/>
      <c r="S1" s="11"/>
      <c r="T1" s="11"/>
      <c r="U1" s="11"/>
      <c r="V1" s="11"/>
      <c r="W1" s="12"/>
      <c r="X1" s="13"/>
      <c r="Y1" s="14"/>
      <c r="Z1" s="15"/>
      <c r="AA1" s="13"/>
      <c r="AB1" s="3"/>
      <c r="AC1" s="3"/>
      <c r="AD1" s="3"/>
      <c r="AE1" s="3"/>
      <c r="AF1" s="3"/>
    </row>
    <row r="2" ht="15.75" customHeight="1">
      <c r="A2" s="1"/>
      <c r="B2" s="2"/>
      <c r="C2" s="16" t="s">
        <v>1</v>
      </c>
      <c r="D2" s="17" t="s">
        <v>2</v>
      </c>
      <c r="E2" s="18" t="s">
        <v>3</v>
      </c>
      <c r="F2" s="19" t="s">
        <v>4</v>
      </c>
      <c r="G2" s="20" t="s">
        <v>5</v>
      </c>
      <c r="H2" s="20" t="s">
        <v>6</v>
      </c>
      <c r="I2" s="20" t="s">
        <v>7</v>
      </c>
      <c r="J2" s="21"/>
      <c r="K2" s="22"/>
      <c r="L2" s="21"/>
      <c r="M2" s="21"/>
      <c r="N2" s="24"/>
      <c r="O2" s="24"/>
      <c r="P2" s="24"/>
      <c r="Q2" s="214"/>
      <c r="R2" s="24"/>
      <c r="S2" s="24"/>
      <c r="T2" s="24"/>
      <c r="U2" s="24"/>
      <c r="V2" s="24"/>
      <c r="W2" s="12"/>
      <c r="X2" s="13"/>
      <c r="Y2" s="14"/>
      <c r="Z2" s="15"/>
      <c r="AA2" s="13"/>
      <c r="AB2" s="3"/>
      <c r="AC2" s="3"/>
      <c r="AD2" s="3"/>
      <c r="AE2" s="3"/>
      <c r="AF2" s="3"/>
    </row>
    <row r="3">
      <c r="A3" s="1"/>
      <c r="B3" s="26">
        <v>1.0</v>
      </c>
      <c r="C3" s="27" t="s">
        <v>8</v>
      </c>
      <c r="D3" s="28"/>
      <c r="E3" s="29"/>
      <c r="F3" s="30"/>
      <c r="G3" s="31">
        <v>3.442912982002714E7</v>
      </c>
      <c r="H3" s="32">
        <v>329237.0</v>
      </c>
      <c r="I3" s="33">
        <v>104.57248067509771</v>
      </c>
      <c r="J3" s="34" t="s">
        <v>9</v>
      </c>
      <c r="K3" s="395">
        <v>7.0</v>
      </c>
      <c r="L3" s="396" t="s">
        <v>10</v>
      </c>
      <c r="M3" s="40" t="s">
        <v>14</v>
      </c>
      <c r="N3" s="397" t="s">
        <v>18</v>
      </c>
      <c r="O3" s="398" t="s">
        <v>22</v>
      </c>
      <c r="P3" s="397" t="s">
        <v>26</v>
      </c>
      <c r="Q3" s="398" t="s">
        <v>30</v>
      </c>
      <c r="R3" s="397" t="s">
        <v>34</v>
      </c>
      <c r="S3" s="398" t="s">
        <v>38</v>
      </c>
      <c r="T3" s="397" t="s">
        <v>42</v>
      </c>
      <c r="U3" s="398" t="s">
        <v>46</v>
      </c>
      <c r="V3" s="397" t="s">
        <v>50</v>
      </c>
      <c r="W3" s="398" t="s">
        <v>54</v>
      </c>
      <c r="X3" s="364" t="s">
        <v>132</v>
      </c>
      <c r="Y3" s="399">
        <v>2025.0</v>
      </c>
      <c r="Z3" s="53" t="s">
        <v>63</v>
      </c>
      <c r="AA3" s="364">
        <v>2026.0</v>
      </c>
      <c r="AB3" s="3"/>
      <c r="AC3" s="3"/>
      <c r="AD3" s="3"/>
      <c r="AE3" s="3"/>
      <c r="AF3" s="3"/>
    </row>
    <row r="4">
      <c r="A4" s="1"/>
      <c r="B4" s="26"/>
      <c r="C4" s="27"/>
      <c r="D4" s="28"/>
      <c r="E4" s="29"/>
      <c r="F4" s="30"/>
      <c r="G4" s="31"/>
      <c r="H4" s="32"/>
      <c r="I4" s="33"/>
      <c r="J4" s="72" t="s">
        <v>64</v>
      </c>
      <c r="K4" s="400"/>
      <c r="L4" s="78" t="s">
        <v>63</v>
      </c>
      <c r="M4" s="78" t="s">
        <v>63</v>
      </c>
      <c r="N4" s="401">
        <v>0.04</v>
      </c>
      <c r="O4" s="401">
        <v>0.08</v>
      </c>
      <c r="P4" s="401">
        <v>0.08</v>
      </c>
      <c r="Q4" s="401">
        <v>0.05</v>
      </c>
      <c r="R4" s="401">
        <v>0.05</v>
      </c>
      <c r="S4" s="401">
        <v>0.06</v>
      </c>
      <c r="T4" s="401">
        <v>0.14</v>
      </c>
      <c r="U4" s="401">
        <v>0.15</v>
      </c>
      <c r="V4" s="401">
        <v>0.17</v>
      </c>
      <c r="W4" s="401">
        <v>0.18</v>
      </c>
      <c r="X4" s="166">
        <f>SUM(N4:W4)</f>
        <v>1</v>
      </c>
      <c r="Y4" s="402"/>
      <c r="Z4" s="71"/>
      <c r="AA4" s="166">
        <v>1.0</v>
      </c>
      <c r="AB4" s="3"/>
      <c r="AC4" s="3"/>
      <c r="AD4" s="3"/>
      <c r="AE4" s="3"/>
      <c r="AF4" s="3"/>
    </row>
    <row r="5">
      <c r="A5" s="1"/>
      <c r="B5" s="26"/>
      <c r="C5" s="27"/>
      <c r="D5" s="28"/>
      <c r="E5" s="29"/>
      <c r="F5" s="30"/>
      <c r="G5" s="31"/>
      <c r="H5" s="32"/>
      <c r="I5" s="33"/>
      <c r="J5" s="72" t="s">
        <v>66</v>
      </c>
      <c r="K5" s="400"/>
      <c r="L5" s="151">
        <v>2864120.0</v>
      </c>
      <c r="M5" s="151">
        <v>2553655.0</v>
      </c>
      <c r="N5" s="91">
        <f t="shared" ref="N5:W5" si="1">($X$5-($L$5+$M$5))*N4</f>
        <v>1983289</v>
      </c>
      <c r="O5" s="91">
        <f t="shared" si="1"/>
        <v>3966578</v>
      </c>
      <c r="P5" s="91">
        <f t="shared" si="1"/>
        <v>3966578</v>
      </c>
      <c r="Q5" s="91">
        <f t="shared" si="1"/>
        <v>2479111.25</v>
      </c>
      <c r="R5" s="91">
        <f t="shared" si="1"/>
        <v>2479111.25</v>
      </c>
      <c r="S5" s="91">
        <f t="shared" si="1"/>
        <v>2974933.5</v>
      </c>
      <c r="T5" s="91">
        <f t="shared" si="1"/>
        <v>6941511.5</v>
      </c>
      <c r="U5" s="91">
        <f t="shared" si="1"/>
        <v>7437333.75</v>
      </c>
      <c r="V5" s="91">
        <f t="shared" si="1"/>
        <v>8428978.25</v>
      </c>
      <c r="W5" s="91">
        <f t="shared" si="1"/>
        <v>8924800.5</v>
      </c>
      <c r="X5" s="168">
        <v>5.5E7</v>
      </c>
      <c r="Y5" s="403">
        <v>3.46450673E7</v>
      </c>
      <c r="Z5" s="106">
        <f t="shared" ref="Z5:Z7" si="3">X5/Y5-1</f>
        <v>0.5875275843</v>
      </c>
      <c r="AA5" s="168">
        <v>5.0E7</v>
      </c>
      <c r="AB5" s="3"/>
      <c r="AC5" s="194"/>
      <c r="AD5" s="3"/>
      <c r="AE5" s="3"/>
      <c r="AF5" s="3"/>
    </row>
    <row r="6">
      <c r="A6" s="1"/>
      <c r="B6" s="26"/>
      <c r="C6" s="27"/>
      <c r="D6" s="28"/>
      <c r="E6" s="29"/>
      <c r="F6" s="30"/>
      <c r="G6" s="31"/>
      <c r="H6" s="32"/>
      <c r="I6" s="33"/>
      <c r="J6" s="72" t="s">
        <v>67</v>
      </c>
      <c r="K6" s="404">
        <v>90.0</v>
      </c>
      <c r="L6" s="196">
        <v>33527.0</v>
      </c>
      <c r="M6" s="196">
        <v>28807.0</v>
      </c>
      <c r="N6" s="109">
        <f t="shared" ref="N6:W6" si="2">N5/$K$6</f>
        <v>22036.54444</v>
      </c>
      <c r="O6" s="109">
        <f t="shared" si="2"/>
        <v>44073.08889</v>
      </c>
      <c r="P6" s="109">
        <f t="shared" si="2"/>
        <v>44073.08889</v>
      </c>
      <c r="Q6" s="109">
        <f t="shared" si="2"/>
        <v>27545.68056</v>
      </c>
      <c r="R6" s="109">
        <f t="shared" si="2"/>
        <v>27545.68056</v>
      </c>
      <c r="S6" s="109">
        <f t="shared" si="2"/>
        <v>33054.81667</v>
      </c>
      <c r="T6" s="109">
        <f t="shared" si="2"/>
        <v>77127.90556</v>
      </c>
      <c r="U6" s="109">
        <f t="shared" si="2"/>
        <v>82637.04167</v>
      </c>
      <c r="V6" s="109">
        <f t="shared" si="2"/>
        <v>93655.31389</v>
      </c>
      <c r="W6" s="109">
        <f t="shared" si="2"/>
        <v>99164.45</v>
      </c>
      <c r="X6" s="172">
        <f t="shared" ref="X6:X7" si="5">SUM(L6:W6)</f>
        <v>613247.6111</v>
      </c>
      <c r="Y6" s="405">
        <v>329232.0</v>
      </c>
      <c r="Z6" s="106">
        <f t="shared" si="3"/>
        <v>0.8626610145</v>
      </c>
      <c r="AA6" s="172">
        <v>557692.0555555556</v>
      </c>
      <c r="AB6" s="3"/>
      <c r="AC6" s="3"/>
      <c r="AD6" s="3"/>
      <c r="AE6" s="3"/>
      <c r="AF6" s="3"/>
    </row>
    <row r="7">
      <c r="A7" s="1"/>
      <c r="B7" s="26"/>
      <c r="C7" s="27"/>
      <c r="D7" s="28"/>
      <c r="E7" s="29"/>
      <c r="F7" s="30"/>
      <c r="G7" s="31"/>
      <c r="H7" s="32"/>
      <c r="I7" s="33"/>
      <c r="J7" s="124" t="s">
        <v>69</v>
      </c>
      <c r="K7" s="406">
        <v>0.049</v>
      </c>
      <c r="L7" s="127">
        <f t="shared" ref="L7:W7" si="4">L5*$K$7</f>
        <v>140341.88</v>
      </c>
      <c r="M7" s="127">
        <f t="shared" si="4"/>
        <v>125129.095</v>
      </c>
      <c r="N7" s="130">
        <f t="shared" si="4"/>
        <v>97181.161</v>
      </c>
      <c r="O7" s="130">
        <f t="shared" si="4"/>
        <v>194362.322</v>
      </c>
      <c r="P7" s="130">
        <f t="shared" si="4"/>
        <v>194362.322</v>
      </c>
      <c r="Q7" s="130">
        <f t="shared" si="4"/>
        <v>121476.4513</v>
      </c>
      <c r="R7" s="130">
        <f t="shared" si="4"/>
        <v>121476.4513</v>
      </c>
      <c r="S7" s="130">
        <f t="shared" si="4"/>
        <v>145771.7415</v>
      </c>
      <c r="T7" s="130">
        <f t="shared" si="4"/>
        <v>340134.0635</v>
      </c>
      <c r="U7" s="130">
        <f t="shared" si="4"/>
        <v>364429.3538</v>
      </c>
      <c r="V7" s="130">
        <f t="shared" si="4"/>
        <v>413019.9343</v>
      </c>
      <c r="W7" s="130">
        <f t="shared" si="4"/>
        <v>437315.2245</v>
      </c>
      <c r="X7" s="181">
        <f t="shared" si="5"/>
        <v>2695000</v>
      </c>
      <c r="Y7" s="407">
        <f>Y5*0.049</f>
        <v>1697608.298</v>
      </c>
      <c r="Z7" s="141">
        <f t="shared" si="3"/>
        <v>0.5875275843</v>
      </c>
      <c r="AA7" s="181">
        <v>2450000.0000000005</v>
      </c>
      <c r="AB7" s="3"/>
      <c r="AC7" s="3"/>
      <c r="AD7" s="3"/>
      <c r="AE7" s="3"/>
      <c r="AF7" s="3"/>
    </row>
    <row r="8">
      <c r="A8" s="1"/>
      <c r="B8" s="26"/>
      <c r="C8" s="27"/>
      <c r="D8" s="28"/>
      <c r="E8" s="29"/>
      <c r="F8" s="30"/>
      <c r="G8" s="31"/>
      <c r="H8" s="32"/>
      <c r="I8" s="33"/>
      <c r="J8" s="13"/>
      <c r="K8" s="150"/>
      <c r="L8" s="151"/>
      <c r="M8" s="151"/>
      <c r="N8" s="151"/>
      <c r="O8" s="151"/>
      <c r="P8" s="152">
        <v>16.0</v>
      </c>
      <c r="Q8" s="214"/>
      <c r="R8" s="152">
        <v>100.0</v>
      </c>
      <c r="S8" s="152">
        <v>180.0</v>
      </c>
      <c r="T8" s="152">
        <v>300.0</v>
      </c>
      <c r="U8" s="152">
        <v>400.0</v>
      </c>
      <c r="V8" s="152">
        <v>450.0</v>
      </c>
      <c r="W8" s="152">
        <v>500.0</v>
      </c>
      <c r="X8" s="153"/>
      <c r="Y8" s="14"/>
      <c r="Z8" s="15"/>
      <c r="AA8" s="153"/>
      <c r="AB8" s="3"/>
      <c r="AC8" s="4"/>
      <c r="AD8" s="4"/>
      <c r="AE8" s="3"/>
      <c r="AF8" s="3"/>
    </row>
    <row r="9">
      <c r="A9" s="1"/>
      <c r="B9" s="142">
        <v>2.0</v>
      </c>
      <c r="C9" s="143" t="s">
        <v>133</v>
      </c>
      <c r="D9" s="144"/>
      <c r="E9" s="145"/>
      <c r="F9" s="146"/>
      <c r="G9" s="147">
        <v>339.51</v>
      </c>
      <c r="H9" s="148">
        <v>31.0</v>
      </c>
      <c r="I9" s="149">
        <v>10.951935483870967</v>
      </c>
      <c r="J9" s="34" t="s">
        <v>71</v>
      </c>
      <c r="K9" s="395"/>
      <c r="L9" s="396" t="s">
        <v>10</v>
      </c>
      <c r="M9" s="40" t="s">
        <v>14</v>
      </c>
      <c r="N9" s="397" t="s">
        <v>18</v>
      </c>
      <c r="O9" s="398" t="s">
        <v>22</v>
      </c>
      <c r="P9" s="397" t="s">
        <v>26</v>
      </c>
      <c r="Q9" s="398"/>
      <c r="R9" s="397" t="s">
        <v>34</v>
      </c>
      <c r="S9" s="398" t="s">
        <v>38</v>
      </c>
      <c r="T9" s="397" t="s">
        <v>42</v>
      </c>
      <c r="U9" s="398" t="s">
        <v>46</v>
      </c>
      <c r="V9" s="397" t="s">
        <v>50</v>
      </c>
      <c r="W9" s="398" t="s">
        <v>54</v>
      </c>
      <c r="X9" s="364">
        <v>2026.0</v>
      </c>
      <c r="Y9" s="399">
        <v>2025.0</v>
      </c>
      <c r="Z9" s="53" t="s">
        <v>63</v>
      </c>
      <c r="AA9" s="364">
        <v>2026.0</v>
      </c>
      <c r="AB9" s="3"/>
      <c r="AC9" s="3"/>
      <c r="AD9" s="3"/>
      <c r="AE9" s="3"/>
      <c r="AF9" s="3"/>
    </row>
    <row r="10">
      <c r="A10" s="1"/>
      <c r="B10" s="142"/>
      <c r="C10" s="143"/>
      <c r="D10" s="144"/>
      <c r="E10" s="145"/>
      <c r="F10" s="146"/>
      <c r="G10" s="147"/>
      <c r="H10" s="148"/>
      <c r="I10" s="149"/>
      <c r="J10" s="72" t="s">
        <v>64</v>
      </c>
      <c r="K10" s="400"/>
      <c r="L10" s="78" t="s">
        <v>63</v>
      </c>
      <c r="M10" s="78" t="s">
        <v>63</v>
      </c>
      <c r="N10" s="401"/>
      <c r="O10" s="401"/>
      <c r="P10" s="401">
        <v>0.01</v>
      </c>
      <c r="Q10" s="401">
        <v>0.02</v>
      </c>
      <c r="R10" s="401">
        <v>0.05</v>
      </c>
      <c r="S10" s="401">
        <v>0.1</v>
      </c>
      <c r="T10" s="401">
        <v>0.12</v>
      </c>
      <c r="U10" s="401">
        <v>0.2</v>
      </c>
      <c r="V10" s="401">
        <v>0.25</v>
      </c>
      <c r="W10" s="401">
        <v>0.25</v>
      </c>
      <c r="X10" s="166">
        <f>SUM(L10:W10)</f>
        <v>1</v>
      </c>
      <c r="Y10" s="402" t="s">
        <v>63</v>
      </c>
      <c r="Z10" s="71"/>
      <c r="AA10" s="166">
        <v>1.0</v>
      </c>
      <c r="AB10" s="3"/>
      <c r="AC10" s="3"/>
      <c r="AD10" s="3"/>
      <c r="AE10" s="3"/>
      <c r="AF10" s="3"/>
    </row>
    <row r="11">
      <c r="A11" s="1"/>
      <c r="B11" s="142"/>
      <c r="C11" s="143"/>
      <c r="D11" s="144"/>
      <c r="E11" s="145"/>
      <c r="F11" s="146"/>
      <c r="G11" s="147"/>
      <c r="H11" s="148"/>
      <c r="I11" s="149"/>
      <c r="J11" s="72" t="s">
        <v>66</v>
      </c>
      <c r="K11" s="400"/>
      <c r="L11" s="151">
        <v>0.0</v>
      </c>
      <c r="M11" s="151">
        <v>0.0</v>
      </c>
      <c r="N11" s="91">
        <v>0.0</v>
      </c>
      <c r="O11" s="91">
        <v>0.0</v>
      </c>
      <c r="P11" s="91">
        <f t="shared" ref="P11:W11" si="6">($X$11-($L$11+$M$11+N11+O11))*P10</f>
        <v>20000</v>
      </c>
      <c r="Q11" s="91">
        <f t="shared" si="6"/>
        <v>39600</v>
      </c>
      <c r="R11" s="91">
        <f t="shared" si="6"/>
        <v>97020</v>
      </c>
      <c r="S11" s="91">
        <f t="shared" si="6"/>
        <v>186338</v>
      </c>
      <c r="T11" s="91">
        <f t="shared" si="6"/>
        <v>205997.04</v>
      </c>
      <c r="U11" s="91">
        <f t="shared" si="6"/>
        <v>321532.992</v>
      </c>
      <c r="V11" s="91">
        <f t="shared" si="6"/>
        <v>368117.492</v>
      </c>
      <c r="W11" s="91">
        <f t="shared" si="6"/>
        <v>327587.379</v>
      </c>
      <c r="X11" s="168">
        <v>2000000.0</v>
      </c>
      <c r="Y11" s="403" t="s">
        <v>63</v>
      </c>
      <c r="Z11" s="106" t="str">
        <f t="shared" ref="Z11:Z13" si="8">IFERROR((X11/Y11),"-")</f>
        <v>-</v>
      </c>
      <c r="AA11" s="168">
        <v>2000000.0</v>
      </c>
      <c r="AB11" s="3"/>
      <c r="AC11" s="194"/>
      <c r="AD11" s="3"/>
      <c r="AE11" s="3"/>
      <c r="AF11" s="3"/>
    </row>
    <row r="12">
      <c r="A12" s="1"/>
      <c r="B12" s="142"/>
      <c r="C12" s="143"/>
      <c r="D12" s="144"/>
      <c r="E12" s="145"/>
      <c r="F12" s="146"/>
      <c r="G12" s="147"/>
      <c r="H12" s="148"/>
      <c r="I12" s="149"/>
      <c r="J12" s="72" t="s">
        <v>67</v>
      </c>
      <c r="K12" s="404">
        <v>30.0</v>
      </c>
      <c r="L12" s="196">
        <v>0.0</v>
      </c>
      <c r="M12" s="196">
        <v>0.0</v>
      </c>
      <c r="N12" s="109">
        <f t="shared" ref="N12:W12" si="7">N11/$K$12</f>
        <v>0</v>
      </c>
      <c r="O12" s="109">
        <f t="shared" si="7"/>
        <v>0</v>
      </c>
      <c r="P12" s="109">
        <f t="shared" si="7"/>
        <v>666.6666667</v>
      </c>
      <c r="Q12" s="109">
        <f t="shared" si="7"/>
        <v>1320</v>
      </c>
      <c r="R12" s="109">
        <f t="shared" si="7"/>
        <v>3234</v>
      </c>
      <c r="S12" s="109">
        <f t="shared" si="7"/>
        <v>6211.266667</v>
      </c>
      <c r="T12" s="109">
        <f t="shared" si="7"/>
        <v>6866.568</v>
      </c>
      <c r="U12" s="109">
        <f t="shared" si="7"/>
        <v>10717.7664</v>
      </c>
      <c r="V12" s="109">
        <f t="shared" si="7"/>
        <v>12270.58307</v>
      </c>
      <c r="W12" s="109">
        <f t="shared" si="7"/>
        <v>10919.5793</v>
      </c>
      <c r="X12" s="172">
        <f t="shared" ref="X12:X13" si="10">SUM(L12:W12)</f>
        <v>52206.4301</v>
      </c>
      <c r="Y12" s="405" t="s">
        <v>63</v>
      </c>
      <c r="Z12" s="106" t="str">
        <f t="shared" si="8"/>
        <v>-</v>
      </c>
      <c r="AA12" s="172">
        <v>52206.4301</v>
      </c>
      <c r="AB12" s="3"/>
      <c r="AC12" s="3"/>
      <c r="AD12" s="3"/>
      <c r="AE12" s="3"/>
      <c r="AF12" s="3"/>
    </row>
    <row r="13">
      <c r="A13" s="1"/>
      <c r="B13" s="142"/>
      <c r="C13" s="143"/>
      <c r="D13" s="144"/>
      <c r="E13" s="145"/>
      <c r="F13" s="146"/>
      <c r="G13" s="147"/>
      <c r="H13" s="148"/>
      <c r="I13" s="149"/>
      <c r="J13" s="124" t="s">
        <v>69</v>
      </c>
      <c r="K13" s="408">
        <v>1.4</v>
      </c>
      <c r="L13" s="127">
        <f t="shared" ref="L13:W13" si="9">IF(L12=0, 0,
  MIN(L12, 10000) * 1.4 +
  MAX(0, MIN(L12, 25000) - 10000) * 1.25 +
  MAX(0, MIN(L12, 50000) - 25000) * 1.15 +
  MAX(0, MIN(L12, 100000) - 50000) * 0.9 +
  MAX(0, MIN(L12, 150000) - 100000) * 0.8 +
  MAX(0, L12 - 150000) * 0.7
)</f>
        <v>0</v>
      </c>
      <c r="M13" s="127">
        <f t="shared" si="9"/>
        <v>0</v>
      </c>
      <c r="N13" s="127">
        <f t="shared" si="9"/>
        <v>0</v>
      </c>
      <c r="O13" s="127">
        <f t="shared" si="9"/>
        <v>0</v>
      </c>
      <c r="P13" s="127">
        <f t="shared" si="9"/>
        <v>933.3333333</v>
      </c>
      <c r="Q13" s="127">
        <f t="shared" si="9"/>
        <v>1848</v>
      </c>
      <c r="R13" s="127">
        <f t="shared" si="9"/>
        <v>4527.6</v>
      </c>
      <c r="S13" s="127">
        <f t="shared" si="9"/>
        <v>8695.773333</v>
      </c>
      <c r="T13" s="127">
        <f t="shared" si="9"/>
        <v>9613.1952</v>
      </c>
      <c r="U13" s="127">
        <f t="shared" si="9"/>
        <v>14897.208</v>
      </c>
      <c r="V13" s="127">
        <f t="shared" si="9"/>
        <v>16838.22883</v>
      </c>
      <c r="W13" s="127">
        <f t="shared" si="9"/>
        <v>15149.47413</v>
      </c>
      <c r="X13" s="181">
        <f t="shared" si="10"/>
        <v>72502.81283</v>
      </c>
      <c r="Y13" s="407" t="s">
        <v>63</v>
      </c>
      <c r="Z13" s="141" t="str">
        <f t="shared" si="8"/>
        <v>-</v>
      </c>
      <c r="AA13" s="181">
        <v>72502.812825</v>
      </c>
      <c r="AB13" s="3"/>
      <c r="AC13" s="3"/>
      <c r="AD13" s="3"/>
      <c r="AE13" s="3"/>
      <c r="AF13" s="3"/>
    </row>
    <row r="14">
      <c r="A14" s="1"/>
      <c r="B14" s="142"/>
      <c r="C14" s="143"/>
      <c r="D14" s="144"/>
      <c r="E14" s="145"/>
      <c r="F14" s="146"/>
      <c r="G14" s="147"/>
      <c r="H14" s="148"/>
      <c r="I14" s="149"/>
      <c r="J14" s="13"/>
      <c r="K14" s="184"/>
      <c r="L14" s="185"/>
      <c r="M14" s="185"/>
      <c r="N14" s="185"/>
      <c r="O14" s="185"/>
      <c r="P14" s="185"/>
      <c r="Q14" s="214"/>
      <c r="R14" s="185"/>
      <c r="S14" s="185"/>
      <c r="T14" s="185"/>
      <c r="U14" s="185"/>
      <c r="V14" s="185"/>
      <c r="W14" s="185"/>
      <c r="X14" s="186"/>
      <c r="Y14" s="14"/>
      <c r="Z14" s="15"/>
      <c r="AA14" s="186"/>
      <c r="AB14" s="3"/>
      <c r="AC14" s="3"/>
      <c r="AD14" s="3"/>
      <c r="AE14" s="3"/>
      <c r="AF14" s="3"/>
    </row>
    <row r="15">
      <c r="A15" s="1"/>
      <c r="B15" s="142">
        <v>3.0</v>
      </c>
      <c r="C15" s="143" t="s">
        <v>73</v>
      </c>
      <c r="D15" s="144"/>
      <c r="E15" s="145"/>
      <c r="F15" s="146"/>
      <c r="G15" s="147"/>
      <c r="H15" s="148"/>
      <c r="I15" s="149"/>
      <c r="J15" s="34" t="s">
        <v>74</v>
      </c>
      <c r="K15" s="395"/>
      <c r="L15" s="396" t="s">
        <v>10</v>
      </c>
      <c r="M15" s="40" t="s">
        <v>14</v>
      </c>
      <c r="N15" s="397" t="s">
        <v>18</v>
      </c>
      <c r="O15" s="398" t="s">
        <v>22</v>
      </c>
      <c r="P15" s="397" t="s">
        <v>26</v>
      </c>
      <c r="Q15" s="398" t="s">
        <v>30</v>
      </c>
      <c r="R15" s="397" t="s">
        <v>34</v>
      </c>
      <c r="S15" s="398" t="s">
        <v>38</v>
      </c>
      <c r="T15" s="397" t="s">
        <v>42</v>
      </c>
      <c r="U15" s="398" t="s">
        <v>46</v>
      </c>
      <c r="V15" s="397" t="s">
        <v>50</v>
      </c>
      <c r="W15" s="398" t="s">
        <v>54</v>
      </c>
      <c r="X15" s="364">
        <v>2026.0</v>
      </c>
      <c r="Y15" s="399">
        <v>2025.0</v>
      </c>
      <c r="Z15" s="53" t="s">
        <v>63</v>
      </c>
      <c r="AA15" s="364">
        <v>2026.0</v>
      </c>
      <c r="AB15" s="3"/>
      <c r="AC15" s="3"/>
      <c r="AD15" s="3"/>
      <c r="AE15" s="3"/>
      <c r="AF15" s="3"/>
    </row>
    <row r="16">
      <c r="A16" s="1"/>
      <c r="B16" s="142"/>
      <c r="C16" s="143"/>
      <c r="D16" s="144"/>
      <c r="E16" s="145"/>
      <c r="F16" s="146"/>
      <c r="G16" s="147"/>
      <c r="H16" s="148"/>
      <c r="I16" s="149"/>
      <c r="J16" s="72" t="s">
        <v>64</v>
      </c>
      <c r="K16" s="400"/>
      <c r="L16" s="78" t="s">
        <v>63</v>
      </c>
      <c r="M16" s="78" t="s">
        <v>63</v>
      </c>
      <c r="N16" s="401"/>
      <c r="O16" s="401"/>
      <c r="P16" s="401">
        <v>0.01</v>
      </c>
      <c r="Q16" s="401">
        <v>0.05</v>
      </c>
      <c r="R16" s="401">
        <v>0.1</v>
      </c>
      <c r="S16" s="401">
        <v>0.14</v>
      </c>
      <c r="T16" s="401">
        <v>0.15</v>
      </c>
      <c r="U16" s="401">
        <v>0.2</v>
      </c>
      <c r="V16" s="401">
        <v>0.2</v>
      </c>
      <c r="W16" s="401">
        <v>0.15</v>
      </c>
      <c r="X16" s="166">
        <f>SUM(L16:W16)</f>
        <v>1</v>
      </c>
      <c r="Y16" s="402" t="s">
        <v>63</v>
      </c>
      <c r="Z16" s="71"/>
      <c r="AA16" s="166">
        <v>1.0</v>
      </c>
      <c r="AB16" s="3"/>
      <c r="AC16" s="3"/>
      <c r="AD16" s="3"/>
      <c r="AE16" s="3"/>
      <c r="AF16" s="3"/>
    </row>
    <row r="17">
      <c r="A17" s="1"/>
      <c r="B17" s="142"/>
      <c r="C17" s="143"/>
      <c r="D17" s="144"/>
      <c r="E17" s="145"/>
      <c r="F17" s="146"/>
      <c r="G17" s="147"/>
      <c r="H17" s="148"/>
      <c r="I17" s="149"/>
      <c r="J17" s="72" t="s">
        <v>66</v>
      </c>
      <c r="K17" s="400"/>
      <c r="L17" s="151">
        <v>0.0</v>
      </c>
      <c r="M17" s="151">
        <v>0.0</v>
      </c>
      <c r="N17" s="91">
        <f t="shared" ref="N17:W17" si="11">($X$17-($L$17+$M$17))*N16</f>
        <v>0</v>
      </c>
      <c r="O17" s="91">
        <f t="shared" si="11"/>
        <v>0</v>
      </c>
      <c r="P17" s="91">
        <f t="shared" si="11"/>
        <v>40000</v>
      </c>
      <c r="Q17" s="91">
        <f t="shared" si="11"/>
        <v>200000</v>
      </c>
      <c r="R17" s="91">
        <f t="shared" si="11"/>
        <v>400000</v>
      </c>
      <c r="S17" s="91">
        <f t="shared" si="11"/>
        <v>560000</v>
      </c>
      <c r="T17" s="91">
        <f t="shared" si="11"/>
        <v>600000</v>
      </c>
      <c r="U17" s="91">
        <f t="shared" si="11"/>
        <v>800000</v>
      </c>
      <c r="V17" s="91">
        <f t="shared" si="11"/>
        <v>800000</v>
      </c>
      <c r="W17" s="91">
        <f t="shared" si="11"/>
        <v>600000</v>
      </c>
      <c r="X17" s="168">
        <v>4000000.0</v>
      </c>
      <c r="Y17" s="403" t="s">
        <v>63</v>
      </c>
      <c r="Z17" s="106" t="str">
        <f t="shared" ref="Z17:Z19" si="13">IFERROR((X17/Y17),"-")</f>
        <v>-</v>
      </c>
      <c r="AA17" s="168">
        <v>4000000.0</v>
      </c>
      <c r="AB17" s="3"/>
      <c r="AC17" s="194"/>
      <c r="AD17" s="3"/>
      <c r="AE17" s="3"/>
      <c r="AF17" s="3"/>
    </row>
    <row r="18">
      <c r="A18" s="1"/>
      <c r="B18" s="142"/>
      <c r="C18" s="143"/>
      <c r="D18" s="144"/>
      <c r="E18" s="145"/>
      <c r="F18" s="146"/>
      <c r="G18" s="147"/>
      <c r="H18" s="148"/>
      <c r="I18" s="149"/>
      <c r="J18" s="72" t="s">
        <v>67</v>
      </c>
      <c r="K18" s="404">
        <v>180.0</v>
      </c>
      <c r="L18" s="196">
        <v>0.0</v>
      </c>
      <c r="M18" s="196">
        <v>0.0</v>
      </c>
      <c r="N18" s="109">
        <f t="shared" ref="N18:W18" si="12">N17/$K$18</f>
        <v>0</v>
      </c>
      <c r="O18" s="109">
        <f t="shared" si="12"/>
        <v>0</v>
      </c>
      <c r="P18" s="109">
        <f t="shared" si="12"/>
        <v>222.2222222</v>
      </c>
      <c r="Q18" s="109">
        <f t="shared" si="12"/>
        <v>1111.111111</v>
      </c>
      <c r="R18" s="109">
        <f t="shared" si="12"/>
        <v>2222.222222</v>
      </c>
      <c r="S18" s="109">
        <f t="shared" si="12"/>
        <v>3111.111111</v>
      </c>
      <c r="T18" s="109">
        <f t="shared" si="12"/>
        <v>3333.333333</v>
      </c>
      <c r="U18" s="109">
        <f t="shared" si="12"/>
        <v>4444.444444</v>
      </c>
      <c r="V18" s="109">
        <f t="shared" si="12"/>
        <v>4444.444444</v>
      </c>
      <c r="W18" s="109">
        <f t="shared" si="12"/>
        <v>3333.333333</v>
      </c>
      <c r="X18" s="172">
        <f t="shared" ref="X18:X19" si="15">SUM(L18:W18)</f>
        <v>22222.22222</v>
      </c>
      <c r="Y18" s="405" t="s">
        <v>63</v>
      </c>
      <c r="Z18" s="106" t="str">
        <f t="shared" si="13"/>
        <v>-</v>
      </c>
      <c r="AA18" s="172">
        <v>22222.222222222223</v>
      </c>
      <c r="AB18" s="3"/>
      <c r="AC18" s="3"/>
      <c r="AD18" s="3"/>
      <c r="AE18" s="3"/>
      <c r="AF18" s="3"/>
    </row>
    <row r="19">
      <c r="A19" s="1"/>
      <c r="B19" s="142"/>
      <c r="C19" s="143"/>
      <c r="D19" s="144"/>
      <c r="E19" s="145"/>
      <c r="F19" s="146"/>
      <c r="G19" s="147"/>
      <c r="H19" s="148"/>
      <c r="I19" s="149"/>
      <c r="J19" s="124" t="s">
        <v>69</v>
      </c>
      <c r="K19" s="408">
        <v>4.5</v>
      </c>
      <c r="L19" s="127">
        <f t="shared" ref="L19:W19" si="14">$K$19*L18</f>
        <v>0</v>
      </c>
      <c r="M19" s="127">
        <f t="shared" si="14"/>
        <v>0</v>
      </c>
      <c r="N19" s="130">
        <f t="shared" si="14"/>
        <v>0</v>
      </c>
      <c r="O19" s="130">
        <f t="shared" si="14"/>
        <v>0</v>
      </c>
      <c r="P19" s="130">
        <f t="shared" si="14"/>
        <v>1000</v>
      </c>
      <c r="Q19" s="130">
        <f t="shared" si="14"/>
        <v>5000</v>
      </c>
      <c r="R19" s="130">
        <f t="shared" si="14"/>
        <v>10000</v>
      </c>
      <c r="S19" s="130">
        <f t="shared" si="14"/>
        <v>14000</v>
      </c>
      <c r="T19" s="130">
        <f t="shared" si="14"/>
        <v>15000</v>
      </c>
      <c r="U19" s="130">
        <f t="shared" si="14"/>
        <v>20000</v>
      </c>
      <c r="V19" s="130">
        <f t="shared" si="14"/>
        <v>20000</v>
      </c>
      <c r="W19" s="130">
        <f t="shared" si="14"/>
        <v>15000</v>
      </c>
      <c r="X19" s="181">
        <f t="shared" si="15"/>
        <v>100000</v>
      </c>
      <c r="Y19" s="407" t="s">
        <v>63</v>
      </c>
      <c r="Z19" s="141" t="str">
        <f t="shared" si="13"/>
        <v>-</v>
      </c>
      <c r="AA19" s="181">
        <v>100000.0</v>
      </c>
      <c r="AB19" s="3"/>
      <c r="AC19" s="3"/>
      <c r="AD19" s="3"/>
      <c r="AE19" s="3"/>
      <c r="AF19" s="3"/>
    </row>
    <row r="20">
      <c r="A20" s="1"/>
      <c r="B20" s="142"/>
      <c r="C20" s="143"/>
      <c r="D20" s="144"/>
      <c r="E20" s="145"/>
      <c r="F20" s="146"/>
      <c r="G20" s="147"/>
      <c r="H20" s="148"/>
      <c r="I20" s="189"/>
      <c r="J20" s="12"/>
      <c r="K20" s="195"/>
      <c r="L20" s="12"/>
      <c r="M20" s="196"/>
      <c r="N20" s="196"/>
      <c r="O20" s="197"/>
      <c r="P20" s="196"/>
      <c r="Q20" s="214"/>
      <c r="R20" s="196"/>
      <c r="S20" s="12"/>
      <c r="T20" s="12"/>
      <c r="U20" s="12"/>
      <c r="V20" s="12"/>
      <c r="W20" s="12"/>
      <c r="X20" s="13"/>
      <c r="Y20" s="14"/>
      <c r="Z20" s="15"/>
      <c r="AA20" s="13"/>
      <c r="AB20" s="3"/>
      <c r="AC20" s="3"/>
      <c r="AD20" s="3"/>
      <c r="AE20" s="3"/>
      <c r="AF20" s="3"/>
    </row>
    <row r="21" ht="15.75" customHeight="1">
      <c r="A21" s="1"/>
      <c r="B21" s="142">
        <v>4.0</v>
      </c>
      <c r="C21" s="143" t="s">
        <v>75</v>
      </c>
      <c r="D21" s="144">
        <f>15000*12*4</f>
        <v>720000</v>
      </c>
      <c r="E21" s="192">
        <v>92.0</v>
      </c>
      <c r="F21" s="146">
        <f>E21*D21</f>
        <v>66240000</v>
      </c>
      <c r="G21" s="147">
        <v>1632825.7999999607</v>
      </c>
      <c r="H21" s="148">
        <v>15759.0</v>
      </c>
      <c r="I21" s="189">
        <v>103.61227235230413</v>
      </c>
      <c r="J21" s="34" t="s">
        <v>76</v>
      </c>
      <c r="K21" s="409"/>
      <c r="L21" s="396" t="s">
        <v>10</v>
      </c>
      <c r="M21" s="40" t="s">
        <v>14</v>
      </c>
      <c r="N21" s="397" t="s">
        <v>18</v>
      </c>
      <c r="O21" s="398" t="s">
        <v>22</v>
      </c>
      <c r="P21" s="397" t="s">
        <v>26</v>
      </c>
      <c r="Q21" s="398" t="s">
        <v>30</v>
      </c>
      <c r="R21" s="397" t="s">
        <v>34</v>
      </c>
      <c r="S21" s="398" t="s">
        <v>38</v>
      </c>
      <c r="T21" s="397" t="s">
        <v>42</v>
      </c>
      <c r="U21" s="398" t="s">
        <v>46</v>
      </c>
      <c r="V21" s="397" t="s">
        <v>50</v>
      </c>
      <c r="W21" s="398" t="s">
        <v>54</v>
      </c>
      <c r="X21" s="364">
        <v>2026.0</v>
      </c>
      <c r="Y21" s="399">
        <v>2025.0</v>
      </c>
      <c r="Z21" s="53"/>
      <c r="AA21" s="364">
        <v>2026.0</v>
      </c>
      <c r="AB21" s="3"/>
      <c r="AC21" s="3"/>
      <c r="AD21" s="3"/>
      <c r="AE21" s="3"/>
      <c r="AF21" s="3"/>
    </row>
    <row r="22" ht="15.75" customHeight="1">
      <c r="A22" s="1"/>
      <c r="B22" s="26"/>
      <c r="C22" s="27"/>
      <c r="D22" s="28"/>
      <c r="E22" s="29"/>
      <c r="F22" s="30"/>
      <c r="G22" s="31"/>
      <c r="H22" s="32"/>
      <c r="I22" s="33"/>
      <c r="J22" s="72" t="s">
        <v>64</v>
      </c>
      <c r="K22" s="400"/>
      <c r="L22" s="78" t="s">
        <v>63</v>
      </c>
      <c r="M22" s="78" t="s">
        <v>63</v>
      </c>
      <c r="N22" s="401">
        <v>0.03</v>
      </c>
      <c r="O22" s="401">
        <v>0.03</v>
      </c>
      <c r="P22" s="401">
        <v>0.05</v>
      </c>
      <c r="Q22" s="401">
        <v>0.08</v>
      </c>
      <c r="R22" s="401">
        <v>0.13</v>
      </c>
      <c r="S22" s="401">
        <v>0.13</v>
      </c>
      <c r="T22" s="401">
        <v>0.13</v>
      </c>
      <c r="U22" s="401">
        <v>0.13</v>
      </c>
      <c r="V22" s="401">
        <v>0.16</v>
      </c>
      <c r="W22" s="401">
        <v>0.13</v>
      </c>
      <c r="X22" s="166">
        <f>SUM(N22:W22)</f>
        <v>1</v>
      </c>
      <c r="Y22" s="402" t="s">
        <v>63</v>
      </c>
      <c r="Z22" s="71"/>
      <c r="AA22" s="166">
        <v>1.0</v>
      </c>
      <c r="AB22" s="3"/>
      <c r="AC22" s="3"/>
      <c r="AD22" s="3"/>
      <c r="AE22" s="3"/>
      <c r="AF22" s="3"/>
    </row>
    <row r="23" ht="15.75" customHeight="1">
      <c r="A23" s="1"/>
      <c r="B23" s="142"/>
      <c r="C23" s="143"/>
      <c r="D23" s="144"/>
      <c r="E23" s="192"/>
      <c r="F23" s="146"/>
      <c r="G23" s="31"/>
      <c r="H23" s="32"/>
      <c r="I23" s="193"/>
      <c r="J23" s="72" t="s">
        <v>66</v>
      </c>
      <c r="K23" s="400"/>
      <c r="L23" s="151">
        <v>138541.22</v>
      </c>
      <c r="M23" s="151">
        <v>119609.0</v>
      </c>
      <c r="N23" s="91">
        <f t="shared" ref="N23:W23" si="16">($X$23-($L$23+$M$23))*N22</f>
        <v>172255.4934</v>
      </c>
      <c r="O23" s="91">
        <f t="shared" si="16"/>
        <v>172255.4934</v>
      </c>
      <c r="P23" s="91">
        <f t="shared" si="16"/>
        <v>287092.489</v>
      </c>
      <c r="Q23" s="91">
        <f t="shared" si="16"/>
        <v>459347.9824</v>
      </c>
      <c r="R23" s="91">
        <f t="shared" si="16"/>
        <v>746440.4714</v>
      </c>
      <c r="S23" s="91">
        <f t="shared" si="16"/>
        <v>746440.4714</v>
      </c>
      <c r="T23" s="91">
        <f t="shared" si="16"/>
        <v>746440.4714</v>
      </c>
      <c r="U23" s="91">
        <f t="shared" si="16"/>
        <v>746440.4714</v>
      </c>
      <c r="V23" s="91">
        <f t="shared" si="16"/>
        <v>918695.9648</v>
      </c>
      <c r="W23" s="91">
        <f t="shared" si="16"/>
        <v>746440.4714</v>
      </c>
      <c r="X23" s="168">
        <v>6000000.0</v>
      </c>
      <c r="Y23" s="403">
        <v>1632825.8</v>
      </c>
      <c r="Z23" s="106">
        <f t="shared" ref="Z23:Z24" si="18">X23/Y23-1</f>
        <v>2.674611217</v>
      </c>
      <c r="AA23" s="168">
        <v>4849096.225694574</v>
      </c>
      <c r="AB23" s="3"/>
      <c r="AC23" s="194"/>
      <c r="AD23" s="3"/>
      <c r="AE23" s="3"/>
      <c r="AF23" s="3"/>
    </row>
    <row r="24" ht="15.75" customHeight="1">
      <c r="A24" s="1"/>
      <c r="B24" s="142"/>
      <c r="C24" s="143"/>
      <c r="D24" s="144"/>
      <c r="E24" s="192"/>
      <c r="F24" s="146"/>
      <c r="G24" s="147"/>
      <c r="H24" s="148"/>
      <c r="I24" s="189"/>
      <c r="J24" s="72" t="s">
        <v>67</v>
      </c>
      <c r="K24" s="404">
        <v>107.0</v>
      </c>
      <c r="L24" s="196">
        <f t="shared" ref="L24:W24" si="17">L23/$K$24</f>
        <v>1294.777757</v>
      </c>
      <c r="M24" s="196">
        <f t="shared" si="17"/>
        <v>1117.841121</v>
      </c>
      <c r="N24" s="109">
        <f t="shared" si="17"/>
        <v>1609.864424</v>
      </c>
      <c r="O24" s="109">
        <f t="shared" si="17"/>
        <v>1609.864424</v>
      </c>
      <c r="P24" s="109">
        <f t="shared" si="17"/>
        <v>2683.107374</v>
      </c>
      <c r="Q24" s="109">
        <f t="shared" si="17"/>
        <v>4292.971798</v>
      </c>
      <c r="R24" s="109">
        <f t="shared" si="17"/>
        <v>6976.079172</v>
      </c>
      <c r="S24" s="109">
        <f t="shared" si="17"/>
        <v>6976.079172</v>
      </c>
      <c r="T24" s="109">
        <f t="shared" si="17"/>
        <v>6976.079172</v>
      </c>
      <c r="U24" s="109">
        <f t="shared" si="17"/>
        <v>6976.079172</v>
      </c>
      <c r="V24" s="109">
        <f t="shared" si="17"/>
        <v>8585.943596</v>
      </c>
      <c r="W24" s="109">
        <f t="shared" si="17"/>
        <v>6976.079172</v>
      </c>
      <c r="X24" s="172">
        <f t="shared" ref="X24:X25" si="20">SUM(L24:W24)</f>
        <v>56074.76636</v>
      </c>
      <c r="Y24" s="405">
        <v>15759.0</v>
      </c>
      <c r="Z24" s="106">
        <f t="shared" si="18"/>
        <v>2.558269329</v>
      </c>
      <c r="AA24" s="172">
        <v>45318.65631490257</v>
      </c>
      <c r="AB24" s="194"/>
      <c r="AC24" s="3"/>
      <c r="AD24" s="3"/>
      <c r="AE24" s="3"/>
      <c r="AF24" s="3"/>
    </row>
    <row r="25" ht="15.75" customHeight="1">
      <c r="A25" s="1"/>
      <c r="B25" s="142"/>
      <c r="C25" s="143"/>
      <c r="D25" s="144"/>
      <c r="E25" s="192"/>
      <c r="F25" s="146"/>
      <c r="G25" s="147"/>
      <c r="H25" s="148"/>
      <c r="I25" s="189"/>
      <c r="J25" s="124" t="s">
        <v>69</v>
      </c>
      <c r="K25" s="406">
        <v>0.039</v>
      </c>
      <c r="L25" s="127">
        <f t="shared" ref="L25:W25" si="19">IF(L24=0, 0, (L23/L24) * (
  MIN(L24, 1000) * 0.049 +
  MAX(0, MIN(L24, 2500) - 1000) * 0.039 +
  MAX(0, MIN(L24, 5000) - 2500) * 0.032 +
  MAX(0, L24 - 5000) * 0.029
))</f>
        <v>6473.10758</v>
      </c>
      <c r="M25" s="127">
        <f t="shared" si="19"/>
        <v>5734.751</v>
      </c>
      <c r="N25" s="127">
        <f t="shared" si="19"/>
        <v>7787.964243</v>
      </c>
      <c r="O25" s="127">
        <f t="shared" si="19"/>
        <v>7787.964243</v>
      </c>
      <c r="P25" s="127">
        <f t="shared" si="19"/>
        <v>12129.45965</v>
      </c>
      <c r="Q25" s="127">
        <f t="shared" si="19"/>
        <v>17641.63544</v>
      </c>
      <c r="R25" s="127">
        <f t="shared" si="19"/>
        <v>26194.27367</v>
      </c>
      <c r="S25" s="127">
        <f t="shared" si="19"/>
        <v>26194.27367</v>
      </c>
      <c r="T25" s="127">
        <f t="shared" si="19"/>
        <v>26194.27367</v>
      </c>
      <c r="U25" s="127">
        <f t="shared" si="19"/>
        <v>26194.27367</v>
      </c>
      <c r="V25" s="127">
        <f t="shared" si="19"/>
        <v>31189.68298</v>
      </c>
      <c r="W25" s="127">
        <f t="shared" si="19"/>
        <v>26194.27367</v>
      </c>
      <c r="X25" s="181">
        <f t="shared" si="20"/>
        <v>219715.9335</v>
      </c>
      <c r="Y25" s="407">
        <f>Y23*0.39</f>
        <v>636802.062</v>
      </c>
      <c r="Z25" s="141">
        <f>X25/Y25</f>
        <v>0.3450301853</v>
      </c>
      <c r="AA25" s="181">
        <v>184934.66039277337</v>
      </c>
      <c r="AB25" s="3"/>
      <c r="AC25" s="3"/>
      <c r="AD25" s="3"/>
      <c r="AE25" s="3"/>
      <c r="AF25" s="3"/>
    </row>
    <row r="26" ht="15.75" customHeight="1">
      <c r="A26" s="1"/>
      <c r="B26" s="142"/>
      <c r="C26" s="143"/>
      <c r="D26" s="144"/>
      <c r="E26" s="192"/>
      <c r="F26" s="146"/>
      <c r="G26" s="147"/>
      <c r="H26" s="148"/>
      <c r="I26" s="149"/>
      <c r="J26" s="12"/>
      <c r="K26" s="195"/>
      <c r="L26" s="12"/>
      <c r="M26" s="196"/>
      <c r="N26" s="196"/>
      <c r="O26" s="196"/>
      <c r="P26" s="196"/>
      <c r="Q26" s="214"/>
      <c r="R26" s="196"/>
      <c r="S26" s="12"/>
      <c r="T26" s="12"/>
      <c r="U26" s="12"/>
      <c r="V26" s="12"/>
      <c r="W26" s="12"/>
      <c r="X26" s="13"/>
      <c r="Y26" s="14"/>
      <c r="Z26" s="15"/>
      <c r="AA26" s="13"/>
      <c r="AB26" s="3"/>
      <c r="AC26" s="3"/>
      <c r="AD26" s="3"/>
      <c r="AE26" s="3"/>
      <c r="AF26" s="3"/>
    </row>
    <row r="27" ht="15.75" customHeight="1">
      <c r="A27" s="1"/>
      <c r="B27" s="142">
        <v>5.0</v>
      </c>
      <c r="C27" s="143" t="s">
        <v>77</v>
      </c>
      <c r="D27" s="144">
        <f>28*2*12</f>
        <v>672</v>
      </c>
      <c r="E27" s="192"/>
      <c r="F27" s="146">
        <f>D27*35</f>
        <v>23520</v>
      </c>
      <c r="G27" s="147">
        <v>14.9</v>
      </c>
      <c r="H27" s="148">
        <v>1.0</v>
      </c>
      <c r="I27" s="149">
        <v>14.9</v>
      </c>
      <c r="J27" s="34" t="s">
        <v>78</v>
      </c>
      <c r="K27" s="409"/>
      <c r="L27" s="396" t="s">
        <v>10</v>
      </c>
      <c r="M27" s="40" t="s">
        <v>14</v>
      </c>
      <c r="N27" s="397" t="s">
        <v>18</v>
      </c>
      <c r="O27" s="398" t="s">
        <v>22</v>
      </c>
      <c r="P27" s="397" t="s">
        <v>26</v>
      </c>
      <c r="Q27" s="398" t="s">
        <v>30</v>
      </c>
      <c r="R27" s="397" t="s">
        <v>34</v>
      </c>
      <c r="S27" s="398" t="s">
        <v>38</v>
      </c>
      <c r="T27" s="397" t="s">
        <v>42</v>
      </c>
      <c r="U27" s="398" t="s">
        <v>46</v>
      </c>
      <c r="V27" s="397" t="s">
        <v>50</v>
      </c>
      <c r="W27" s="398" t="s">
        <v>54</v>
      </c>
      <c r="X27" s="364">
        <v>2026.0</v>
      </c>
      <c r="Y27" s="399">
        <v>2025.0</v>
      </c>
      <c r="Z27" s="53"/>
      <c r="AA27" s="364">
        <v>2026.0</v>
      </c>
      <c r="AB27" s="3"/>
      <c r="AC27" s="3"/>
      <c r="AD27" s="3"/>
      <c r="AE27" s="3"/>
      <c r="AF27" s="3"/>
    </row>
    <row r="28" ht="15.75" customHeight="1">
      <c r="A28" s="1"/>
      <c r="B28" s="142"/>
      <c r="C28" s="143"/>
      <c r="D28" s="144"/>
      <c r="E28" s="192"/>
      <c r="F28" s="146"/>
      <c r="G28" s="147"/>
      <c r="H28" s="148"/>
      <c r="I28" s="149"/>
      <c r="J28" s="72" t="s">
        <v>64</v>
      </c>
      <c r="K28" s="400"/>
      <c r="L28" s="78"/>
      <c r="M28" s="78"/>
      <c r="N28" s="401"/>
      <c r="O28" s="401"/>
      <c r="P28" s="401">
        <v>0.02</v>
      </c>
      <c r="Q28" s="401">
        <v>0.04</v>
      </c>
      <c r="R28" s="401">
        <v>0.07</v>
      </c>
      <c r="S28" s="401">
        <v>0.11</v>
      </c>
      <c r="T28" s="401">
        <v>0.15</v>
      </c>
      <c r="U28" s="401">
        <v>0.2</v>
      </c>
      <c r="V28" s="401">
        <v>0.2</v>
      </c>
      <c r="W28" s="401">
        <v>0.21</v>
      </c>
      <c r="X28" s="166">
        <f>SUM(N28:W28)</f>
        <v>1</v>
      </c>
      <c r="Y28" s="402" t="s">
        <v>63</v>
      </c>
      <c r="Z28" s="71"/>
      <c r="AA28" s="166">
        <v>1.0</v>
      </c>
      <c r="AB28" s="3"/>
      <c r="AC28" s="3"/>
      <c r="AD28" s="3"/>
      <c r="AE28" s="3"/>
      <c r="AF28" s="3"/>
    </row>
    <row r="29" ht="15.75" customHeight="1">
      <c r="A29" s="1"/>
      <c r="B29" s="142"/>
      <c r="C29" s="143"/>
      <c r="D29" s="144"/>
      <c r="E29" s="192"/>
      <c r="F29" s="146"/>
      <c r="G29" s="147"/>
      <c r="H29" s="148"/>
      <c r="I29" s="149"/>
      <c r="J29" s="72" t="s">
        <v>66</v>
      </c>
      <c r="K29" s="400"/>
      <c r="L29" s="151"/>
      <c r="M29" s="151"/>
      <c r="N29" s="91">
        <f t="shared" ref="N29:W29" si="21">($X$29-($L$29+$M$29))*N28</f>
        <v>0</v>
      </c>
      <c r="O29" s="91">
        <f t="shared" si="21"/>
        <v>0</v>
      </c>
      <c r="P29" s="91">
        <f t="shared" si="21"/>
        <v>1000</v>
      </c>
      <c r="Q29" s="91">
        <f t="shared" si="21"/>
        <v>2000</v>
      </c>
      <c r="R29" s="91">
        <f t="shared" si="21"/>
        <v>3500</v>
      </c>
      <c r="S29" s="91">
        <f t="shared" si="21"/>
        <v>5500</v>
      </c>
      <c r="T29" s="91">
        <f t="shared" si="21"/>
        <v>7500</v>
      </c>
      <c r="U29" s="91">
        <f t="shared" si="21"/>
        <v>10000</v>
      </c>
      <c r="V29" s="91">
        <f t="shared" si="21"/>
        <v>10000</v>
      </c>
      <c r="W29" s="91">
        <f t="shared" si="21"/>
        <v>10500</v>
      </c>
      <c r="X29" s="168">
        <v>50000.0</v>
      </c>
      <c r="Y29" s="403" t="s">
        <v>63</v>
      </c>
      <c r="Z29" s="106"/>
      <c r="AA29" s="168">
        <v>50000.0</v>
      </c>
      <c r="AB29" s="3"/>
      <c r="AC29" s="194"/>
      <c r="AD29" s="3"/>
      <c r="AE29" s="3"/>
      <c r="AF29" s="3"/>
    </row>
    <row r="30" ht="15.75" customHeight="1">
      <c r="A30" s="1"/>
      <c r="B30" s="142"/>
      <c r="C30" s="143"/>
      <c r="D30" s="144"/>
      <c r="E30" s="192"/>
      <c r="F30" s="146"/>
      <c r="G30" s="147"/>
      <c r="H30" s="148"/>
      <c r="I30" s="149"/>
      <c r="J30" s="72" t="s">
        <v>67</v>
      </c>
      <c r="K30" s="404">
        <v>60.0</v>
      </c>
      <c r="L30" s="109">
        <f t="shared" ref="L30:W30" si="22">L29/$K$30</f>
        <v>0</v>
      </c>
      <c r="M30" s="109">
        <f t="shared" si="22"/>
        <v>0</v>
      </c>
      <c r="N30" s="109">
        <f t="shared" si="22"/>
        <v>0</v>
      </c>
      <c r="O30" s="109">
        <f t="shared" si="22"/>
        <v>0</v>
      </c>
      <c r="P30" s="109">
        <f t="shared" si="22"/>
        <v>16.66666667</v>
      </c>
      <c r="Q30" s="109">
        <f t="shared" si="22"/>
        <v>33.33333333</v>
      </c>
      <c r="R30" s="109">
        <f t="shared" si="22"/>
        <v>58.33333333</v>
      </c>
      <c r="S30" s="109">
        <f t="shared" si="22"/>
        <v>91.66666667</v>
      </c>
      <c r="T30" s="109">
        <f t="shared" si="22"/>
        <v>125</v>
      </c>
      <c r="U30" s="109">
        <f t="shared" si="22"/>
        <v>166.6666667</v>
      </c>
      <c r="V30" s="109">
        <f t="shared" si="22"/>
        <v>166.6666667</v>
      </c>
      <c r="W30" s="109">
        <f t="shared" si="22"/>
        <v>175</v>
      </c>
      <c r="X30" s="172">
        <f t="shared" ref="X30:X31" si="24">SUM(L30:W30)</f>
        <v>833.3333333</v>
      </c>
      <c r="Y30" s="405" t="s">
        <v>63</v>
      </c>
      <c r="Z30" s="106"/>
      <c r="AA30" s="172">
        <v>833.3333333333333</v>
      </c>
      <c r="AB30" s="3"/>
      <c r="AC30" s="3"/>
      <c r="AD30" s="3"/>
      <c r="AE30" s="3"/>
      <c r="AF30" s="3"/>
    </row>
    <row r="31" ht="15.75" customHeight="1">
      <c r="A31" s="1"/>
      <c r="B31" s="142"/>
      <c r="C31" s="143"/>
      <c r="D31" s="144"/>
      <c r="E31" s="192"/>
      <c r="F31" s="146"/>
      <c r="G31" s="147"/>
      <c r="H31" s="148"/>
      <c r="I31" s="149"/>
      <c r="J31" s="124" t="s">
        <v>69</v>
      </c>
      <c r="K31" s="406">
        <v>0.049</v>
      </c>
      <c r="L31" s="130">
        <f t="shared" ref="L31:W31" si="23">L29*$K$31</f>
        <v>0</v>
      </c>
      <c r="M31" s="130">
        <f t="shared" si="23"/>
        <v>0</v>
      </c>
      <c r="N31" s="130">
        <f t="shared" si="23"/>
        <v>0</v>
      </c>
      <c r="O31" s="130">
        <f t="shared" si="23"/>
        <v>0</v>
      </c>
      <c r="P31" s="130">
        <f t="shared" si="23"/>
        <v>49</v>
      </c>
      <c r="Q31" s="130">
        <f t="shared" si="23"/>
        <v>98</v>
      </c>
      <c r="R31" s="130">
        <f t="shared" si="23"/>
        <v>171.5</v>
      </c>
      <c r="S31" s="130">
        <f t="shared" si="23"/>
        <v>269.5</v>
      </c>
      <c r="T31" s="130">
        <f t="shared" si="23"/>
        <v>367.5</v>
      </c>
      <c r="U31" s="130">
        <f t="shared" si="23"/>
        <v>490</v>
      </c>
      <c r="V31" s="130">
        <f t="shared" si="23"/>
        <v>490</v>
      </c>
      <c r="W31" s="130">
        <f t="shared" si="23"/>
        <v>514.5</v>
      </c>
      <c r="X31" s="181">
        <f t="shared" si="24"/>
        <v>2450</v>
      </c>
      <c r="Y31" s="407" t="s">
        <v>63</v>
      </c>
      <c r="Z31" s="141"/>
      <c r="AA31" s="181">
        <v>2450.0</v>
      </c>
      <c r="AB31" s="3"/>
      <c r="AC31" s="3"/>
      <c r="AD31" s="3"/>
      <c r="AE31" s="3"/>
      <c r="AF31" s="3"/>
    </row>
    <row r="32" ht="15.75" customHeight="1">
      <c r="A32" s="1"/>
      <c r="B32" s="142"/>
      <c r="C32" s="143"/>
      <c r="D32" s="144"/>
      <c r="E32" s="192"/>
      <c r="F32" s="146"/>
      <c r="G32" s="147"/>
      <c r="H32" s="148"/>
      <c r="I32" s="149"/>
      <c r="J32" s="12"/>
      <c r="K32" s="195"/>
      <c r="L32" s="12"/>
      <c r="M32" s="196"/>
      <c r="N32" s="196"/>
      <c r="O32" s="196"/>
      <c r="P32" s="196"/>
      <c r="Q32" s="214"/>
      <c r="R32" s="196"/>
      <c r="S32" s="12"/>
      <c r="T32" s="12"/>
      <c r="U32" s="12"/>
      <c r="V32" s="12"/>
      <c r="W32" s="12"/>
      <c r="X32" s="13"/>
      <c r="Y32" s="14"/>
      <c r="Z32" s="15"/>
      <c r="AA32" s="13"/>
      <c r="AB32" s="3"/>
      <c r="AC32" s="3"/>
      <c r="AD32" s="3"/>
      <c r="AE32" s="3"/>
      <c r="AF32" s="3"/>
    </row>
    <row r="33" ht="15.75" customHeight="1">
      <c r="A33" s="1"/>
      <c r="B33" s="142">
        <v>6.0</v>
      </c>
      <c r="C33" s="143" t="s">
        <v>79</v>
      </c>
      <c r="D33" s="144">
        <f>17000*12</f>
        <v>204000</v>
      </c>
      <c r="E33" s="192">
        <v>170.0</v>
      </c>
      <c r="F33" s="146">
        <f>E33*D33</f>
        <v>34680000</v>
      </c>
      <c r="G33" s="147">
        <v>368854.13999999926</v>
      </c>
      <c r="H33" s="148">
        <v>5074.0</v>
      </c>
      <c r="I33" s="149">
        <v>72.69494284588082</v>
      </c>
      <c r="J33" s="34" t="s">
        <v>81</v>
      </c>
      <c r="K33" s="395"/>
      <c r="L33" s="396" t="s">
        <v>10</v>
      </c>
      <c r="M33" s="40" t="s">
        <v>14</v>
      </c>
      <c r="N33" s="397" t="s">
        <v>18</v>
      </c>
      <c r="O33" s="398" t="s">
        <v>22</v>
      </c>
      <c r="P33" s="397" t="s">
        <v>26</v>
      </c>
      <c r="Q33" s="398" t="s">
        <v>30</v>
      </c>
      <c r="R33" s="397" t="s">
        <v>34</v>
      </c>
      <c r="S33" s="398" t="s">
        <v>38</v>
      </c>
      <c r="T33" s="397" t="s">
        <v>42</v>
      </c>
      <c r="U33" s="398" t="s">
        <v>46</v>
      </c>
      <c r="V33" s="397" t="s">
        <v>50</v>
      </c>
      <c r="W33" s="398" t="s">
        <v>54</v>
      </c>
      <c r="X33" s="364">
        <v>2026.0</v>
      </c>
      <c r="Y33" s="399">
        <v>2025.0</v>
      </c>
      <c r="Z33" s="53"/>
      <c r="AA33" s="364">
        <v>2026.0</v>
      </c>
      <c r="AB33" s="3"/>
      <c r="AC33" s="3"/>
      <c r="AD33" s="3"/>
      <c r="AE33" s="3"/>
      <c r="AF33" s="3"/>
    </row>
    <row r="34" ht="15.75" customHeight="1">
      <c r="A34" s="1"/>
      <c r="B34" s="142"/>
      <c r="C34" s="143"/>
      <c r="D34" s="144"/>
      <c r="E34" s="192"/>
      <c r="F34" s="146"/>
      <c r="G34" s="147"/>
      <c r="H34" s="148"/>
      <c r="I34" s="149"/>
      <c r="J34" s="72" t="s">
        <v>83</v>
      </c>
      <c r="K34" s="400"/>
      <c r="L34" s="78" t="s">
        <v>63</v>
      </c>
      <c r="M34" s="78" t="s">
        <v>63</v>
      </c>
      <c r="N34" s="401">
        <v>0.04</v>
      </c>
      <c r="O34" s="401">
        <v>0.05</v>
      </c>
      <c r="P34" s="401">
        <v>0.05</v>
      </c>
      <c r="Q34" s="401">
        <v>0.08</v>
      </c>
      <c r="R34" s="401">
        <v>0.08</v>
      </c>
      <c r="S34" s="401">
        <v>0.08</v>
      </c>
      <c r="T34" s="401">
        <v>0.13</v>
      </c>
      <c r="U34" s="401">
        <v>0.13</v>
      </c>
      <c r="V34" s="401">
        <v>0.23</v>
      </c>
      <c r="W34" s="401">
        <v>0.13</v>
      </c>
      <c r="X34" s="166">
        <f>SUM(N34:W34)</f>
        <v>1</v>
      </c>
      <c r="Y34" s="402" t="s">
        <v>63</v>
      </c>
      <c r="Z34" s="71"/>
      <c r="AA34" s="166">
        <v>1.0</v>
      </c>
      <c r="AB34" s="3"/>
      <c r="AC34" s="3"/>
      <c r="AD34" s="3"/>
      <c r="AE34" s="3"/>
      <c r="AF34" s="3"/>
    </row>
    <row r="35" ht="15.75" customHeight="1">
      <c r="A35" s="1"/>
      <c r="B35" s="142"/>
      <c r="C35" s="143"/>
      <c r="D35" s="144"/>
      <c r="E35" s="192"/>
      <c r="F35" s="146"/>
      <c r="G35" s="147"/>
      <c r="H35" s="148"/>
      <c r="I35" s="149"/>
      <c r="J35" s="72" t="s">
        <v>66</v>
      </c>
      <c r="K35" s="400"/>
      <c r="L35" s="151">
        <v>60057.0</v>
      </c>
      <c r="M35" s="151">
        <v>44180.0</v>
      </c>
      <c r="N35" s="91">
        <f t="shared" ref="N35:W35" si="25">($X$35-($L$35+$M$35))*N34</f>
        <v>55830.52</v>
      </c>
      <c r="O35" s="91">
        <f t="shared" si="25"/>
        <v>69788.15</v>
      </c>
      <c r="P35" s="91">
        <f t="shared" si="25"/>
        <v>69788.15</v>
      </c>
      <c r="Q35" s="91">
        <f t="shared" si="25"/>
        <v>111661.04</v>
      </c>
      <c r="R35" s="91">
        <f t="shared" si="25"/>
        <v>111661.04</v>
      </c>
      <c r="S35" s="91">
        <f t="shared" si="25"/>
        <v>111661.04</v>
      </c>
      <c r="T35" s="91">
        <f t="shared" si="25"/>
        <v>181449.19</v>
      </c>
      <c r="U35" s="91">
        <f t="shared" si="25"/>
        <v>181449.19</v>
      </c>
      <c r="V35" s="91">
        <f t="shared" si="25"/>
        <v>321025.49</v>
      </c>
      <c r="W35" s="91">
        <f t="shared" si="25"/>
        <v>181449.19</v>
      </c>
      <c r="X35" s="168">
        <v>1500000.0</v>
      </c>
      <c r="Y35" s="403">
        <v>368854.14</v>
      </c>
      <c r="Z35" s="106">
        <f t="shared" ref="Z35:Z37" si="27">X35/Y35</f>
        <v>4.066648134</v>
      </c>
      <c r="AA35" s="168">
        <v>1278979.9757081596</v>
      </c>
      <c r="AB35" s="3"/>
      <c r="AC35" s="194"/>
      <c r="AD35" s="3"/>
      <c r="AE35" s="3"/>
      <c r="AF35" s="3"/>
    </row>
    <row r="36" ht="15.75" customHeight="1">
      <c r="A36" s="1"/>
      <c r="B36" s="142"/>
      <c r="C36" s="143"/>
      <c r="D36" s="144"/>
      <c r="E36" s="192"/>
      <c r="F36" s="146"/>
      <c r="G36" s="147"/>
      <c r="H36" s="148"/>
      <c r="I36" s="149"/>
      <c r="J36" s="72" t="s">
        <v>67</v>
      </c>
      <c r="K36" s="404">
        <v>72.0</v>
      </c>
      <c r="L36" s="196">
        <v>745.0</v>
      </c>
      <c r="M36" s="196">
        <v>613.0</v>
      </c>
      <c r="N36" s="109">
        <f t="shared" ref="N36:W36" si="26">N35/$K$36</f>
        <v>775.4238889</v>
      </c>
      <c r="O36" s="109">
        <f t="shared" si="26"/>
        <v>969.2798611</v>
      </c>
      <c r="P36" s="109">
        <f t="shared" si="26"/>
        <v>969.2798611</v>
      </c>
      <c r="Q36" s="109">
        <f t="shared" si="26"/>
        <v>1550.847778</v>
      </c>
      <c r="R36" s="109">
        <f t="shared" si="26"/>
        <v>1550.847778</v>
      </c>
      <c r="S36" s="109">
        <f t="shared" si="26"/>
        <v>1550.847778</v>
      </c>
      <c r="T36" s="109">
        <f t="shared" si="26"/>
        <v>2520.127639</v>
      </c>
      <c r="U36" s="109">
        <f t="shared" si="26"/>
        <v>2520.127639</v>
      </c>
      <c r="V36" s="109">
        <f t="shared" si="26"/>
        <v>4458.687361</v>
      </c>
      <c r="W36" s="109">
        <f t="shared" si="26"/>
        <v>2520.127639</v>
      </c>
      <c r="X36" s="172">
        <f t="shared" ref="X36:X37" si="29">SUM(L36:W36)</f>
        <v>20743.59722</v>
      </c>
      <c r="Y36" s="405">
        <v>5074.0</v>
      </c>
      <c r="Z36" s="106">
        <f t="shared" si="27"/>
        <v>4.088213879</v>
      </c>
      <c r="AA36" s="172">
        <v>17673.87466261333</v>
      </c>
      <c r="AB36" s="3"/>
      <c r="AC36" s="3"/>
      <c r="AD36" s="3"/>
      <c r="AE36" s="3"/>
      <c r="AF36" s="3"/>
    </row>
    <row r="37" ht="15.75" customHeight="1">
      <c r="A37" s="1"/>
      <c r="B37" s="142"/>
      <c r="C37" s="143"/>
      <c r="D37" s="144"/>
      <c r="E37" s="192"/>
      <c r="F37" s="146"/>
      <c r="G37" s="147"/>
      <c r="H37" s="148"/>
      <c r="I37" s="149"/>
      <c r="J37" s="124" t="s">
        <v>69</v>
      </c>
      <c r="K37" s="406">
        <v>0.04</v>
      </c>
      <c r="L37" s="127">
        <f t="shared" ref="L37:W37" si="28">MIN(L35, 500000) * 0.04 +
 MAX(0, MIN(L35, 1000000) - 500000) * 0.035 +
 MAX(0, L35 - 1000000) * 0.03</f>
        <v>2402.28</v>
      </c>
      <c r="M37" s="127">
        <f t="shared" si="28"/>
        <v>1767.2</v>
      </c>
      <c r="N37" s="127">
        <f t="shared" si="28"/>
        <v>2233.2208</v>
      </c>
      <c r="O37" s="127">
        <f t="shared" si="28"/>
        <v>2791.526</v>
      </c>
      <c r="P37" s="127">
        <f t="shared" si="28"/>
        <v>2791.526</v>
      </c>
      <c r="Q37" s="127">
        <f t="shared" si="28"/>
        <v>4466.4416</v>
      </c>
      <c r="R37" s="127">
        <f t="shared" si="28"/>
        <v>4466.4416</v>
      </c>
      <c r="S37" s="127">
        <f t="shared" si="28"/>
        <v>4466.4416</v>
      </c>
      <c r="T37" s="127">
        <f t="shared" si="28"/>
        <v>7257.9676</v>
      </c>
      <c r="U37" s="127">
        <f t="shared" si="28"/>
        <v>7257.9676</v>
      </c>
      <c r="V37" s="127">
        <f t="shared" si="28"/>
        <v>12841.0196</v>
      </c>
      <c r="W37" s="127">
        <f t="shared" si="28"/>
        <v>7257.9676</v>
      </c>
      <c r="X37" s="181">
        <f t="shared" si="29"/>
        <v>60000</v>
      </c>
      <c r="Y37" s="407">
        <f>Y35*0.04</f>
        <v>14754.1656</v>
      </c>
      <c r="Z37" s="141">
        <f t="shared" si="27"/>
        <v>4.066648134</v>
      </c>
      <c r="AA37" s="181">
        <v>51159.19902832639</v>
      </c>
      <c r="AB37" s="3"/>
      <c r="AC37" s="3"/>
      <c r="AD37" s="3"/>
      <c r="AE37" s="3"/>
      <c r="AF37" s="3"/>
    </row>
    <row r="38" ht="15.75" customHeight="1">
      <c r="A38" s="1"/>
      <c r="B38" s="142"/>
      <c r="C38" s="143"/>
      <c r="D38" s="144"/>
      <c r="E38" s="192"/>
      <c r="F38" s="146"/>
      <c r="G38" s="147"/>
      <c r="H38" s="148"/>
      <c r="I38" s="149"/>
      <c r="J38" s="13"/>
      <c r="K38" s="150"/>
      <c r="L38" s="185"/>
      <c r="M38" s="185"/>
      <c r="N38" s="185"/>
      <c r="O38" s="196">
        <f t="shared" ref="O38:P38" si="30">O41/7000</f>
        <v>7.142857143</v>
      </c>
      <c r="P38" s="196">
        <f t="shared" si="30"/>
        <v>7.142857143</v>
      </c>
      <c r="Q38" s="214"/>
      <c r="R38" s="196">
        <f t="shared" ref="R38:W38" si="31">R41/7000</f>
        <v>64.28571429</v>
      </c>
      <c r="S38" s="196">
        <f t="shared" si="31"/>
        <v>92.85714286</v>
      </c>
      <c r="T38" s="196">
        <f t="shared" si="31"/>
        <v>114.2857143</v>
      </c>
      <c r="U38" s="196">
        <f t="shared" si="31"/>
        <v>114.2857143</v>
      </c>
      <c r="V38" s="196">
        <f t="shared" si="31"/>
        <v>164.2857143</v>
      </c>
      <c r="W38" s="196">
        <f t="shared" si="31"/>
        <v>107.1428571</v>
      </c>
      <c r="X38" s="186"/>
      <c r="Y38" s="14"/>
      <c r="Z38" s="219"/>
      <c r="AA38" s="186"/>
      <c r="AB38" s="3"/>
      <c r="AC38" s="3"/>
      <c r="AD38" s="3"/>
      <c r="AE38" s="3"/>
      <c r="AF38" s="3"/>
    </row>
    <row r="39" ht="15.75" customHeight="1">
      <c r="A39" s="1"/>
      <c r="B39" s="142">
        <v>7.0</v>
      </c>
      <c r="C39" s="143" t="s">
        <v>82</v>
      </c>
      <c r="D39" s="144"/>
      <c r="E39" s="192"/>
      <c r="F39" s="146"/>
      <c r="G39" s="147"/>
      <c r="H39" s="148"/>
      <c r="I39" s="149"/>
      <c r="J39" s="34" t="s">
        <v>84</v>
      </c>
      <c r="K39" s="395"/>
      <c r="L39" s="396" t="s">
        <v>10</v>
      </c>
      <c r="M39" s="40" t="s">
        <v>14</v>
      </c>
      <c r="N39" s="397" t="s">
        <v>18</v>
      </c>
      <c r="O39" s="398" t="s">
        <v>22</v>
      </c>
      <c r="P39" s="397" t="s">
        <v>26</v>
      </c>
      <c r="Q39" s="398" t="s">
        <v>30</v>
      </c>
      <c r="R39" s="397" t="s">
        <v>34</v>
      </c>
      <c r="S39" s="398" t="s">
        <v>38</v>
      </c>
      <c r="T39" s="397" t="s">
        <v>42</v>
      </c>
      <c r="U39" s="398" t="s">
        <v>46</v>
      </c>
      <c r="V39" s="397" t="s">
        <v>50</v>
      </c>
      <c r="W39" s="398" t="s">
        <v>54</v>
      </c>
      <c r="X39" s="364">
        <v>2026.0</v>
      </c>
      <c r="Y39" s="399">
        <v>2025.0</v>
      </c>
      <c r="Z39" s="53"/>
      <c r="AA39" s="364">
        <v>2026.0</v>
      </c>
      <c r="AB39" s="3"/>
      <c r="AC39" s="3"/>
      <c r="AD39" s="3"/>
      <c r="AE39" s="3"/>
      <c r="AF39" s="3"/>
    </row>
    <row r="40" ht="15.75" customHeight="1">
      <c r="A40" s="1"/>
      <c r="B40" s="142"/>
      <c r="C40" s="143"/>
      <c r="D40" s="144"/>
      <c r="E40" s="192"/>
      <c r="F40" s="146"/>
      <c r="G40" s="147"/>
      <c r="H40" s="148"/>
      <c r="I40" s="149"/>
      <c r="J40" s="72" t="s">
        <v>64</v>
      </c>
      <c r="K40" s="400"/>
      <c r="L40" s="78" t="s">
        <v>63</v>
      </c>
      <c r="M40" s="78" t="s">
        <v>63</v>
      </c>
      <c r="N40" s="401"/>
      <c r="O40" s="401">
        <v>0.01</v>
      </c>
      <c r="P40" s="401">
        <v>0.01</v>
      </c>
      <c r="Q40" s="401">
        <v>0.06</v>
      </c>
      <c r="R40" s="401">
        <v>0.09</v>
      </c>
      <c r="S40" s="401">
        <v>0.13</v>
      </c>
      <c r="T40" s="401">
        <v>0.16</v>
      </c>
      <c r="U40" s="401">
        <v>0.16</v>
      </c>
      <c r="V40" s="401">
        <v>0.23</v>
      </c>
      <c r="W40" s="401">
        <v>0.15</v>
      </c>
      <c r="X40" s="166">
        <f>SUM(N40:W40)</f>
        <v>1</v>
      </c>
      <c r="Y40" s="402" t="s">
        <v>63</v>
      </c>
      <c r="Z40" s="71"/>
      <c r="AA40" s="166">
        <v>1.0</v>
      </c>
      <c r="AB40" s="3"/>
      <c r="AC40" s="3"/>
      <c r="AD40" s="3"/>
      <c r="AE40" s="3"/>
      <c r="AF40" s="3"/>
    </row>
    <row r="41" ht="15.75" customHeight="1">
      <c r="A41" s="1"/>
      <c r="B41" s="142"/>
      <c r="C41" s="143"/>
      <c r="D41" s="144"/>
      <c r="E41" s="192"/>
      <c r="F41" s="146"/>
      <c r="G41" s="147"/>
      <c r="H41" s="148"/>
      <c r="I41" s="149"/>
      <c r="J41" s="72" t="s">
        <v>66</v>
      </c>
      <c r="K41" s="400"/>
      <c r="L41" s="151">
        <v>0.0</v>
      </c>
      <c r="M41" s="151">
        <v>0.0</v>
      </c>
      <c r="N41" s="91">
        <f t="shared" ref="N41:W41" si="32">($X$41-($L$41+$M$41))*N40</f>
        <v>0</v>
      </c>
      <c r="O41" s="91">
        <f t="shared" si="32"/>
        <v>50000</v>
      </c>
      <c r="P41" s="91">
        <f t="shared" si="32"/>
        <v>50000</v>
      </c>
      <c r="Q41" s="91">
        <f t="shared" si="32"/>
        <v>300000</v>
      </c>
      <c r="R41" s="91">
        <f t="shared" si="32"/>
        <v>450000</v>
      </c>
      <c r="S41" s="91">
        <f t="shared" si="32"/>
        <v>650000</v>
      </c>
      <c r="T41" s="91">
        <f t="shared" si="32"/>
        <v>800000</v>
      </c>
      <c r="U41" s="91">
        <f t="shared" si="32"/>
        <v>800000</v>
      </c>
      <c r="V41" s="91">
        <f t="shared" si="32"/>
        <v>1150000</v>
      </c>
      <c r="W41" s="91">
        <f t="shared" si="32"/>
        <v>750000</v>
      </c>
      <c r="X41" s="168">
        <v>5000000.0</v>
      </c>
      <c r="Y41" s="403" t="s">
        <v>63</v>
      </c>
      <c r="Z41" s="106" t="str">
        <f t="shared" ref="Z41:Z43" si="34">IFERROR((X41/Y41),"-")</f>
        <v>-</v>
      </c>
      <c r="AA41" s="168">
        <v>4000000.0</v>
      </c>
      <c r="AB41" s="3"/>
      <c r="AC41" s="194"/>
      <c r="AD41" s="3"/>
      <c r="AE41" s="3"/>
      <c r="AF41" s="3"/>
    </row>
    <row r="42" ht="15.75" customHeight="1">
      <c r="A42" s="1"/>
      <c r="B42" s="142"/>
      <c r="C42" s="143"/>
      <c r="D42" s="144"/>
      <c r="E42" s="192"/>
      <c r="F42" s="146"/>
      <c r="G42" s="147"/>
      <c r="H42" s="148"/>
      <c r="I42" s="149"/>
      <c r="J42" s="72" t="s">
        <v>67</v>
      </c>
      <c r="K42" s="404">
        <v>105.0</v>
      </c>
      <c r="L42" s="196" t="s">
        <v>63</v>
      </c>
      <c r="M42" s="196" t="s">
        <v>63</v>
      </c>
      <c r="N42" s="109">
        <f t="shared" ref="N42:W42" si="33">N41/$K$42</f>
        <v>0</v>
      </c>
      <c r="O42" s="109">
        <f t="shared" si="33"/>
        <v>476.1904762</v>
      </c>
      <c r="P42" s="109">
        <f t="shared" si="33"/>
        <v>476.1904762</v>
      </c>
      <c r="Q42" s="109">
        <f t="shared" si="33"/>
        <v>2857.142857</v>
      </c>
      <c r="R42" s="109">
        <f t="shared" si="33"/>
        <v>4285.714286</v>
      </c>
      <c r="S42" s="109">
        <f t="shared" si="33"/>
        <v>6190.47619</v>
      </c>
      <c r="T42" s="109">
        <f t="shared" si="33"/>
        <v>7619.047619</v>
      </c>
      <c r="U42" s="109">
        <f t="shared" si="33"/>
        <v>7619.047619</v>
      </c>
      <c r="V42" s="109">
        <f t="shared" si="33"/>
        <v>10952.38095</v>
      </c>
      <c r="W42" s="109">
        <f t="shared" si="33"/>
        <v>7142.857143</v>
      </c>
      <c r="X42" s="172">
        <f>SUM(L42:W42)</f>
        <v>47619.04762</v>
      </c>
      <c r="Y42" s="405" t="s">
        <v>63</v>
      </c>
      <c r="Z42" s="106" t="str">
        <f t="shared" si="34"/>
        <v>-</v>
      </c>
      <c r="AA42" s="172">
        <v>38095.2380952381</v>
      </c>
      <c r="AB42" s="3"/>
      <c r="AC42" s="3"/>
      <c r="AD42" s="3"/>
      <c r="AE42" s="3"/>
      <c r="AF42" s="3"/>
    </row>
    <row r="43" ht="15.75" customHeight="1">
      <c r="A43" s="1"/>
      <c r="B43" s="142"/>
      <c r="C43" s="143"/>
      <c r="D43" s="144"/>
      <c r="E43" s="192"/>
      <c r="F43" s="146"/>
      <c r="G43" s="147"/>
      <c r="H43" s="148"/>
      <c r="I43" s="149"/>
      <c r="J43" s="124" t="s">
        <v>69</v>
      </c>
      <c r="K43" s="406">
        <v>0.03</v>
      </c>
      <c r="L43" s="127">
        <f t="shared" ref="L43:W43" si="35">MIN(L41, 500000) * 0.03 + MAX(0, MIN(L41, 1000000) - 500000) * 0.025 + MAX(0, MIN(L41, 2000000) - 1000000) * 0.0225 + MAX(0, MIN(L41, 3000000) - 2000000) * 0.02 + MAX(0, MIN(L41, 5000000) - 3000000) * 0.0175 + MAX(0, L41 - 5000000) * 0.015</f>
        <v>0</v>
      </c>
      <c r="M43" s="127">
        <f t="shared" si="35"/>
        <v>0</v>
      </c>
      <c r="N43" s="127">
        <f t="shared" si="35"/>
        <v>0</v>
      </c>
      <c r="O43" s="127">
        <f t="shared" si="35"/>
        <v>1500</v>
      </c>
      <c r="P43" s="127">
        <f t="shared" si="35"/>
        <v>1500</v>
      </c>
      <c r="Q43" s="127">
        <f t="shared" si="35"/>
        <v>9000</v>
      </c>
      <c r="R43" s="127">
        <f t="shared" si="35"/>
        <v>13500</v>
      </c>
      <c r="S43" s="127">
        <f t="shared" si="35"/>
        <v>18750</v>
      </c>
      <c r="T43" s="127">
        <f t="shared" si="35"/>
        <v>22500</v>
      </c>
      <c r="U43" s="127">
        <f t="shared" si="35"/>
        <v>22500</v>
      </c>
      <c r="V43" s="127">
        <f t="shared" si="35"/>
        <v>30875</v>
      </c>
      <c r="W43" s="127">
        <f t="shared" si="35"/>
        <v>21250</v>
      </c>
      <c r="X43" s="181">
        <f>X41*$K$43</f>
        <v>150000</v>
      </c>
      <c r="Y43" s="407" t="s">
        <v>63</v>
      </c>
      <c r="Z43" s="141" t="str">
        <f t="shared" si="34"/>
        <v>-</v>
      </c>
      <c r="AA43" s="181">
        <v>120000.0</v>
      </c>
      <c r="AB43" s="3"/>
      <c r="AC43" s="3"/>
      <c r="AD43" s="3"/>
      <c r="AE43" s="3"/>
      <c r="AF43" s="3"/>
    </row>
    <row r="44" ht="15.75" customHeight="1">
      <c r="A44" s="1"/>
      <c r="B44" s="142"/>
      <c r="C44" s="143"/>
      <c r="D44" s="144"/>
      <c r="E44" s="192"/>
      <c r="F44" s="146"/>
      <c r="G44" s="147"/>
      <c r="H44" s="148"/>
      <c r="I44" s="149"/>
      <c r="J44" s="12"/>
      <c r="K44" s="195"/>
      <c r="L44" s="222">
        <f>L47/4600</f>
        <v>5.538130435</v>
      </c>
      <c r="M44" s="196">
        <f>M47/2890</f>
        <v>7.37716263</v>
      </c>
      <c r="N44" s="196">
        <f>N47/3000</f>
        <v>9.922007667</v>
      </c>
      <c r="O44" s="196">
        <f>O47/10000</f>
        <v>2.9766023</v>
      </c>
      <c r="P44" s="196">
        <f>P47/15000</f>
        <v>7.937606133</v>
      </c>
      <c r="Q44" s="214"/>
      <c r="R44" s="196">
        <f t="shared" ref="R44:U44" si="36">R47/15000</f>
        <v>31.75042453</v>
      </c>
      <c r="S44" s="196">
        <f t="shared" si="36"/>
        <v>39.68803067</v>
      </c>
      <c r="T44" s="196">
        <f t="shared" si="36"/>
        <v>43.65683373</v>
      </c>
      <c r="U44" s="196">
        <f t="shared" si="36"/>
        <v>71.4384552</v>
      </c>
      <c r="V44" s="196">
        <f>V47/25000</f>
        <v>71.4384552</v>
      </c>
      <c r="W44" s="196">
        <f>W47/15000</f>
        <v>71.4384552</v>
      </c>
      <c r="X44" s="13"/>
      <c r="Y44" s="14"/>
      <c r="Z44" s="15"/>
      <c r="AA44" s="13"/>
      <c r="AB44" s="3"/>
      <c r="AC44" s="208"/>
      <c r="AD44" s="3"/>
      <c r="AE44" s="3"/>
      <c r="AF44" s="3"/>
    </row>
    <row r="45" ht="15.75" customHeight="1">
      <c r="A45" s="1"/>
      <c r="B45" s="142">
        <v>8.0</v>
      </c>
      <c r="C45" s="143" t="s">
        <v>85</v>
      </c>
      <c r="D45" s="144">
        <v>3000000.0</v>
      </c>
      <c r="E45" s="192">
        <v>80.0</v>
      </c>
      <c r="F45" s="146">
        <f>E45*D45</f>
        <v>240000000</v>
      </c>
      <c r="G45" s="147">
        <v>294165.12000000407</v>
      </c>
      <c r="H45" s="148">
        <v>3683.0</v>
      </c>
      <c r="I45" s="189">
        <v>79.87106163453817</v>
      </c>
      <c r="J45" s="34" t="s">
        <v>86</v>
      </c>
      <c r="K45" s="395"/>
      <c r="L45" s="396" t="s">
        <v>10</v>
      </c>
      <c r="M45" s="40" t="s">
        <v>14</v>
      </c>
      <c r="N45" s="397" t="s">
        <v>18</v>
      </c>
      <c r="O45" s="398" t="s">
        <v>22</v>
      </c>
      <c r="P45" s="397" t="s">
        <v>26</v>
      </c>
      <c r="Q45" s="398" t="s">
        <v>30</v>
      </c>
      <c r="R45" s="397" t="s">
        <v>34</v>
      </c>
      <c r="S45" s="398" t="s">
        <v>38</v>
      </c>
      <c r="T45" s="397" t="s">
        <v>42</v>
      </c>
      <c r="U45" s="398" t="s">
        <v>46</v>
      </c>
      <c r="V45" s="397" t="s">
        <v>50</v>
      </c>
      <c r="W45" s="398" t="s">
        <v>54</v>
      </c>
      <c r="X45" s="364">
        <v>2026.0</v>
      </c>
      <c r="Y45" s="399">
        <v>2025.0</v>
      </c>
      <c r="Z45" s="53"/>
      <c r="AA45" s="364">
        <v>2026.0</v>
      </c>
      <c r="AB45" s="4"/>
      <c r="AC45" s="3"/>
      <c r="AD45" s="3"/>
      <c r="AE45" s="3"/>
      <c r="AF45" s="3"/>
    </row>
    <row r="46" ht="15.75" customHeight="1">
      <c r="A46" s="1"/>
      <c r="B46" s="142"/>
      <c r="C46" s="143"/>
      <c r="D46" s="144"/>
      <c r="E46" s="192"/>
      <c r="F46" s="146"/>
      <c r="G46" s="147"/>
      <c r="H46" s="148"/>
      <c r="I46" s="189"/>
      <c r="J46" s="72" t="s">
        <v>64</v>
      </c>
      <c r="K46" s="400"/>
      <c r="L46" s="78" t="s">
        <v>63</v>
      </c>
      <c r="M46" s="78" t="s">
        <v>63</v>
      </c>
      <c r="N46" s="401">
        <v>0.005</v>
      </c>
      <c r="O46" s="401">
        <v>0.005</v>
      </c>
      <c r="P46" s="401">
        <v>0.02</v>
      </c>
      <c r="Q46" s="401">
        <v>0.02</v>
      </c>
      <c r="R46" s="401">
        <v>0.08</v>
      </c>
      <c r="S46" s="401">
        <v>0.1</v>
      </c>
      <c r="T46" s="401">
        <v>0.11</v>
      </c>
      <c r="U46" s="401">
        <v>0.18</v>
      </c>
      <c r="V46" s="401">
        <v>0.3</v>
      </c>
      <c r="W46" s="401">
        <v>0.18</v>
      </c>
      <c r="X46" s="166">
        <f>SUM(N46:W46)</f>
        <v>1</v>
      </c>
      <c r="Y46" s="402" t="s">
        <v>63</v>
      </c>
      <c r="Z46" s="71"/>
      <c r="AA46" s="166">
        <v>1.0</v>
      </c>
      <c r="AB46" s="3"/>
      <c r="AC46" s="3"/>
      <c r="AD46" s="3"/>
      <c r="AE46" s="3"/>
      <c r="AF46" s="3"/>
    </row>
    <row r="47" ht="15.75" customHeight="1">
      <c r="A47" s="1"/>
      <c r="B47" s="142"/>
      <c r="C47" s="143"/>
      <c r="D47" s="144"/>
      <c r="E47" s="192"/>
      <c r="F47" s="146"/>
      <c r="G47" s="147"/>
      <c r="H47" s="148"/>
      <c r="I47" s="189"/>
      <c r="J47" s="72" t="s">
        <v>66</v>
      </c>
      <c r="K47" s="400"/>
      <c r="L47" s="151">
        <v>25475.4</v>
      </c>
      <c r="M47" s="151">
        <v>21320.0</v>
      </c>
      <c r="N47" s="91">
        <f t="shared" ref="N47:W47" si="37">($X$47-($L$47+$M$47))*N46</f>
        <v>29766.023</v>
      </c>
      <c r="O47" s="91">
        <f t="shared" si="37"/>
        <v>29766.023</v>
      </c>
      <c r="P47" s="91">
        <f t="shared" si="37"/>
        <v>119064.092</v>
      </c>
      <c r="Q47" s="91">
        <f t="shared" si="37"/>
        <v>119064.092</v>
      </c>
      <c r="R47" s="91">
        <f t="shared" si="37"/>
        <v>476256.368</v>
      </c>
      <c r="S47" s="91">
        <f t="shared" si="37"/>
        <v>595320.46</v>
      </c>
      <c r="T47" s="91">
        <f t="shared" si="37"/>
        <v>654852.506</v>
      </c>
      <c r="U47" s="410">
        <f t="shared" si="37"/>
        <v>1071576.828</v>
      </c>
      <c r="V47" s="91">
        <f t="shared" si="37"/>
        <v>1785961.38</v>
      </c>
      <c r="W47" s="91">
        <f t="shared" si="37"/>
        <v>1071576.828</v>
      </c>
      <c r="X47" s="168">
        <v>6000000.0</v>
      </c>
      <c r="Y47" s="403">
        <v>294165.0</v>
      </c>
      <c r="Z47" s="106">
        <f t="shared" ref="Z47:Z48" si="39">X47/Y47</f>
        <v>20.39671613</v>
      </c>
      <c r="AA47" s="168">
        <v>6000000.0</v>
      </c>
      <c r="AB47" s="3"/>
      <c r="AC47" s="194"/>
      <c r="AD47" s="3"/>
      <c r="AE47" s="3"/>
      <c r="AF47" s="3"/>
    </row>
    <row r="48" ht="15.75" customHeight="1">
      <c r="A48" s="1"/>
      <c r="B48" s="142"/>
      <c r="C48" s="143"/>
      <c r="D48" s="144"/>
      <c r="E48" s="192"/>
      <c r="F48" s="146"/>
      <c r="G48" s="147"/>
      <c r="H48" s="148"/>
      <c r="I48" s="189"/>
      <c r="J48" s="72" t="s">
        <v>67</v>
      </c>
      <c r="K48" s="404">
        <v>92.0</v>
      </c>
      <c r="L48" s="196">
        <v>285.0</v>
      </c>
      <c r="M48" s="196">
        <v>207.0</v>
      </c>
      <c r="N48" s="109">
        <f t="shared" ref="N48:X48" si="38">N47/$K$48</f>
        <v>323.5437283</v>
      </c>
      <c r="O48" s="109">
        <f t="shared" si="38"/>
        <v>323.5437283</v>
      </c>
      <c r="P48" s="109">
        <f t="shared" si="38"/>
        <v>1294.174913</v>
      </c>
      <c r="Q48" s="109">
        <f t="shared" si="38"/>
        <v>1294.174913</v>
      </c>
      <c r="R48" s="109">
        <f t="shared" si="38"/>
        <v>5176.699652</v>
      </c>
      <c r="S48" s="109">
        <f t="shared" si="38"/>
        <v>6470.874565</v>
      </c>
      <c r="T48" s="109">
        <f t="shared" si="38"/>
        <v>7117.962022</v>
      </c>
      <c r="U48" s="109">
        <f t="shared" si="38"/>
        <v>11647.57422</v>
      </c>
      <c r="V48" s="109">
        <f t="shared" si="38"/>
        <v>19412.6237</v>
      </c>
      <c r="W48" s="109">
        <f t="shared" si="38"/>
        <v>11647.57422</v>
      </c>
      <c r="X48" s="172">
        <f t="shared" si="38"/>
        <v>65217.3913</v>
      </c>
      <c r="Y48" s="405">
        <v>3683.0</v>
      </c>
      <c r="Z48" s="106">
        <f t="shared" si="39"/>
        <v>17.70768159</v>
      </c>
      <c r="AA48" s="172">
        <v>65217.391304347824</v>
      </c>
      <c r="AB48" s="3"/>
      <c r="AC48" s="3"/>
      <c r="AD48" s="3"/>
      <c r="AE48" s="3"/>
      <c r="AF48" s="3"/>
    </row>
    <row r="49" ht="15.75" customHeight="1">
      <c r="A49" s="1"/>
      <c r="B49" s="142"/>
      <c r="C49" s="143"/>
      <c r="D49" s="144"/>
      <c r="E49" s="192"/>
      <c r="F49" s="146"/>
      <c r="G49" s="147"/>
      <c r="H49" s="148"/>
      <c r="I49" s="221">
        <v>0.0325</v>
      </c>
      <c r="J49" s="124" t="s">
        <v>69</v>
      </c>
      <c r="K49" s="406">
        <v>0.0325</v>
      </c>
      <c r="L49" s="127">
        <f t="shared" ref="L49:W49" si="40">IF(L48=0, 0, (MIN(L48, 10000) * 0.0325 + MAX(0, MIN(L48, 25000) - 10000) * 0.03 + MAX(0, MIN(L48, 50000) - 25000) * 0.0275 + MAX(0, L48 - 50000) * 0.025) * (L47 / L48))</f>
        <v>827.9505</v>
      </c>
      <c r="M49" s="127">
        <f t="shared" si="40"/>
        <v>692.9</v>
      </c>
      <c r="N49" s="127">
        <f t="shared" si="40"/>
        <v>967.3957475</v>
      </c>
      <c r="O49" s="127">
        <f t="shared" si="40"/>
        <v>967.3957475</v>
      </c>
      <c r="P49" s="127">
        <f t="shared" si="40"/>
        <v>3869.58299</v>
      </c>
      <c r="Q49" s="127">
        <f t="shared" si="40"/>
        <v>3869.58299</v>
      </c>
      <c r="R49" s="127">
        <f t="shared" si="40"/>
        <v>15478.33196</v>
      </c>
      <c r="S49" s="127">
        <f t="shared" si="40"/>
        <v>19347.91495</v>
      </c>
      <c r="T49" s="127">
        <f t="shared" si="40"/>
        <v>21282.70645</v>
      </c>
      <c r="U49" s="127">
        <f t="shared" si="40"/>
        <v>34447.30484</v>
      </c>
      <c r="V49" s="127">
        <f t="shared" si="40"/>
        <v>55878.8414</v>
      </c>
      <c r="W49" s="127">
        <f t="shared" si="40"/>
        <v>34447.30484</v>
      </c>
      <c r="X49" s="181">
        <f>SUM(L49:W49)</f>
        <v>192077.2124</v>
      </c>
      <c r="Y49" s="407"/>
      <c r="Z49" s="141"/>
      <c r="AA49" s="181">
        <v>192077.21240999998</v>
      </c>
      <c r="AB49" s="3"/>
      <c r="AC49" s="3"/>
      <c r="AD49" s="3"/>
      <c r="AE49" s="3"/>
      <c r="AF49" s="3"/>
    </row>
    <row r="50" ht="15.75" customHeight="1">
      <c r="A50" s="1"/>
      <c r="B50" s="142"/>
      <c r="C50" s="143"/>
      <c r="D50" s="144"/>
      <c r="E50" s="192"/>
      <c r="F50" s="146"/>
      <c r="G50" s="147"/>
      <c r="H50" s="148"/>
      <c r="I50" s="223"/>
      <c r="J50" s="13"/>
      <c r="K50" s="225"/>
      <c r="L50" s="185"/>
      <c r="M50" s="185"/>
      <c r="N50" s="185"/>
      <c r="O50" s="185"/>
      <c r="P50" s="185"/>
      <c r="Q50" s="214"/>
      <c r="R50" s="185"/>
      <c r="S50" s="185"/>
      <c r="T50" s="185"/>
      <c r="U50" s="185"/>
      <c r="V50" s="185"/>
      <c r="W50" s="185"/>
      <c r="X50" s="186"/>
      <c r="Y50" s="14"/>
      <c r="Z50" s="15"/>
      <c r="AA50" s="186"/>
      <c r="AB50" s="3"/>
      <c r="AC50" s="3"/>
      <c r="AD50" s="3"/>
      <c r="AE50" s="3"/>
      <c r="AF50" s="3"/>
    </row>
    <row r="51" ht="15.75" customHeight="1">
      <c r="A51" s="1"/>
      <c r="B51" s="142">
        <v>9.0</v>
      </c>
      <c r="C51" s="143" t="s">
        <v>87</v>
      </c>
      <c r="D51" s="144">
        <v>7200000.0</v>
      </c>
      <c r="E51" s="192">
        <v>30.0</v>
      </c>
      <c r="F51" s="146">
        <f>E51*D51</f>
        <v>216000000</v>
      </c>
      <c r="G51" s="147">
        <v>1580724.5999999477</v>
      </c>
      <c r="H51" s="148">
        <v>66014.0</v>
      </c>
      <c r="I51" s="189">
        <v>23.945293422606532</v>
      </c>
      <c r="J51" s="34" t="s">
        <v>88</v>
      </c>
      <c r="K51" s="395"/>
      <c r="L51" s="396" t="s">
        <v>10</v>
      </c>
      <c r="M51" s="40" t="s">
        <v>14</v>
      </c>
      <c r="N51" s="397" t="s">
        <v>18</v>
      </c>
      <c r="O51" s="398" t="s">
        <v>22</v>
      </c>
      <c r="P51" s="397" t="s">
        <v>26</v>
      </c>
      <c r="Q51" s="398" t="s">
        <v>30</v>
      </c>
      <c r="R51" s="397" t="s">
        <v>34</v>
      </c>
      <c r="S51" s="398" t="s">
        <v>38</v>
      </c>
      <c r="T51" s="397" t="s">
        <v>42</v>
      </c>
      <c r="U51" s="398" t="s">
        <v>46</v>
      </c>
      <c r="V51" s="397" t="s">
        <v>50</v>
      </c>
      <c r="W51" s="398" t="s">
        <v>54</v>
      </c>
      <c r="X51" s="364">
        <v>2026.0</v>
      </c>
      <c r="Y51" s="399">
        <v>2025.0</v>
      </c>
      <c r="Z51" s="53"/>
      <c r="AA51" s="364">
        <v>2026.0</v>
      </c>
      <c r="AB51" s="3"/>
      <c r="AC51" s="3"/>
      <c r="AD51" s="3"/>
      <c r="AE51" s="3"/>
      <c r="AF51" s="3"/>
    </row>
    <row r="52" ht="15.75" customHeight="1">
      <c r="A52" s="1"/>
      <c r="B52" s="142"/>
      <c r="C52" s="143"/>
      <c r="D52" s="144"/>
      <c r="E52" s="192"/>
      <c r="F52" s="146"/>
      <c r="G52" s="147"/>
      <c r="H52" s="148"/>
      <c r="I52" s="189"/>
      <c r="J52" s="72" t="s">
        <v>64</v>
      </c>
      <c r="K52" s="400"/>
      <c r="L52" s="78" t="s">
        <v>63</v>
      </c>
      <c r="M52" s="78" t="s">
        <v>63</v>
      </c>
      <c r="N52" s="401">
        <v>0.015</v>
      </c>
      <c r="O52" s="401">
        <v>0.015</v>
      </c>
      <c r="P52" s="401">
        <v>0.02</v>
      </c>
      <c r="Q52" s="401">
        <v>0.04</v>
      </c>
      <c r="R52" s="401">
        <v>0.06</v>
      </c>
      <c r="S52" s="401">
        <v>0.12</v>
      </c>
      <c r="T52" s="401">
        <v>0.15</v>
      </c>
      <c r="U52" s="401">
        <v>0.18</v>
      </c>
      <c r="V52" s="401">
        <v>0.26</v>
      </c>
      <c r="W52" s="401">
        <v>0.14</v>
      </c>
      <c r="X52" s="166">
        <f>SUM(L52:W52)</f>
        <v>1</v>
      </c>
      <c r="Y52" s="402" t="s">
        <v>63</v>
      </c>
      <c r="Z52" s="71"/>
      <c r="AA52" s="166">
        <v>1.0</v>
      </c>
      <c r="AB52" s="3"/>
      <c r="AC52" s="3"/>
      <c r="AD52" s="3"/>
      <c r="AE52" s="3"/>
      <c r="AF52" s="3"/>
    </row>
    <row r="53" ht="15.75" customHeight="1">
      <c r="A53" s="1"/>
      <c r="B53" s="142"/>
      <c r="C53" s="143"/>
      <c r="D53" s="144"/>
      <c r="E53" s="192"/>
      <c r="F53" s="146"/>
      <c r="G53" s="147"/>
      <c r="H53" s="148"/>
      <c r="I53" s="189"/>
      <c r="J53" s="72" t="s">
        <v>66</v>
      </c>
      <c r="K53" s="400"/>
      <c r="L53" s="151">
        <v>159323.5</v>
      </c>
      <c r="M53" s="151">
        <v>163059.0</v>
      </c>
      <c r="N53" s="91">
        <f t="shared" ref="N53:W53" si="41">($X$53-($L$53+$M$53))*N52</f>
        <v>205164.2625</v>
      </c>
      <c r="O53" s="91">
        <f t="shared" si="41"/>
        <v>205164.2625</v>
      </c>
      <c r="P53" s="91">
        <f t="shared" si="41"/>
        <v>273552.35</v>
      </c>
      <c r="Q53" s="91">
        <f t="shared" si="41"/>
        <v>547104.7</v>
      </c>
      <c r="R53" s="91">
        <f t="shared" si="41"/>
        <v>820657.05</v>
      </c>
      <c r="S53" s="91">
        <f t="shared" si="41"/>
        <v>1641314.1</v>
      </c>
      <c r="T53" s="91">
        <f t="shared" si="41"/>
        <v>2051642.625</v>
      </c>
      <c r="U53" s="91">
        <f t="shared" si="41"/>
        <v>2461971.15</v>
      </c>
      <c r="V53" s="91">
        <f t="shared" si="41"/>
        <v>3556180.55</v>
      </c>
      <c r="W53" s="91">
        <f t="shared" si="41"/>
        <v>1914866.45</v>
      </c>
      <c r="X53" s="168">
        <v>1.4E7</v>
      </c>
      <c r="Y53" s="403">
        <v>1580676.0</v>
      </c>
      <c r="Z53" s="106">
        <f t="shared" ref="Z53:Z54" si="43">X53/Y53</f>
        <v>8.856970056</v>
      </c>
      <c r="AA53" s="168">
        <v>1.4E7</v>
      </c>
      <c r="AB53" s="3"/>
      <c r="AC53" s="194"/>
      <c r="AD53" s="3"/>
      <c r="AE53" s="3"/>
      <c r="AF53" s="3"/>
    </row>
    <row r="54" ht="15.75" customHeight="1">
      <c r="A54" s="1"/>
      <c r="B54" s="142"/>
      <c r="C54" s="143"/>
      <c r="D54" s="144"/>
      <c r="E54" s="192"/>
      <c r="F54" s="146"/>
      <c r="G54" s="147"/>
      <c r="H54" s="148"/>
      <c r="I54" s="189"/>
      <c r="J54" s="72" t="s">
        <v>67</v>
      </c>
      <c r="K54" s="404">
        <v>30.0</v>
      </c>
      <c r="L54" s="196">
        <v>5337.0</v>
      </c>
      <c r="M54" s="196">
        <v>5363.0</v>
      </c>
      <c r="N54" s="109">
        <f t="shared" ref="N54:W54" si="42">N53/$K$54</f>
        <v>6838.80875</v>
      </c>
      <c r="O54" s="109">
        <f t="shared" si="42"/>
        <v>6838.80875</v>
      </c>
      <c r="P54" s="109">
        <f t="shared" si="42"/>
        <v>9118.411667</v>
      </c>
      <c r="Q54" s="109">
        <f t="shared" si="42"/>
        <v>18236.82333</v>
      </c>
      <c r="R54" s="109">
        <f t="shared" si="42"/>
        <v>27355.235</v>
      </c>
      <c r="S54" s="109">
        <f t="shared" si="42"/>
        <v>54710.47</v>
      </c>
      <c r="T54" s="109">
        <f t="shared" si="42"/>
        <v>68388.0875</v>
      </c>
      <c r="U54" s="109">
        <f t="shared" si="42"/>
        <v>82065.705</v>
      </c>
      <c r="V54" s="109">
        <f t="shared" si="42"/>
        <v>118539.3517</v>
      </c>
      <c r="W54" s="109">
        <f t="shared" si="42"/>
        <v>63828.88167</v>
      </c>
      <c r="X54" s="172">
        <f t="shared" ref="X54:X55" si="45">SUM(L54:W54)</f>
        <v>466620.5833</v>
      </c>
      <c r="Y54" s="405">
        <v>66013.0</v>
      </c>
      <c r="Z54" s="106">
        <f t="shared" si="43"/>
        <v>7.068616535</v>
      </c>
      <c r="AA54" s="172">
        <v>466620.5833333333</v>
      </c>
      <c r="AB54" s="3"/>
      <c r="AC54" s="3"/>
      <c r="AD54" s="3"/>
      <c r="AE54" s="3"/>
      <c r="AF54" s="3"/>
    </row>
    <row r="55" ht="15.75" customHeight="1">
      <c r="A55" s="1"/>
      <c r="B55" s="142"/>
      <c r="C55" s="143"/>
      <c r="D55" s="144"/>
      <c r="E55" s="192"/>
      <c r="F55" s="146"/>
      <c r="G55" s="147"/>
      <c r="H55" s="148"/>
      <c r="I55" s="149"/>
      <c r="J55" s="124" t="s">
        <v>69</v>
      </c>
      <c r="K55" s="406">
        <v>0.04</v>
      </c>
      <c r="L55" s="127">
        <f t="shared" ref="L55:W55" si="44">IF(L53&gt;=1000000,$K$55*L53,0)</f>
        <v>0</v>
      </c>
      <c r="M55" s="127">
        <f t="shared" si="44"/>
        <v>0</v>
      </c>
      <c r="N55" s="127">
        <f t="shared" si="44"/>
        <v>0</v>
      </c>
      <c r="O55" s="127">
        <f t="shared" si="44"/>
        <v>0</v>
      </c>
      <c r="P55" s="127">
        <f t="shared" si="44"/>
        <v>0</v>
      </c>
      <c r="Q55" s="127">
        <f t="shared" si="44"/>
        <v>0</v>
      </c>
      <c r="R55" s="127">
        <f t="shared" si="44"/>
        <v>0</v>
      </c>
      <c r="S55" s="127">
        <f t="shared" si="44"/>
        <v>65652.564</v>
      </c>
      <c r="T55" s="127">
        <f t="shared" si="44"/>
        <v>82065.705</v>
      </c>
      <c r="U55" s="127">
        <f t="shared" si="44"/>
        <v>98478.846</v>
      </c>
      <c r="V55" s="127">
        <f t="shared" si="44"/>
        <v>142247.222</v>
      </c>
      <c r="W55" s="127">
        <f t="shared" si="44"/>
        <v>76594.658</v>
      </c>
      <c r="X55" s="181">
        <f t="shared" si="45"/>
        <v>465038.995</v>
      </c>
      <c r="Y55" s="407">
        <f>Y53*0.04</f>
        <v>63227.04</v>
      </c>
      <c r="Z55" s="141"/>
      <c r="AA55" s="181">
        <v>465038.995</v>
      </c>
      <c r="AB55" s="3"/>
      <c r="AC55" s="3"/>
      <c r="AD55" s="3"/>
      <c r="AE55" s="3"/>
      <c r="AF55" s="3"/>
    </row>
    <row r="56" ht="15.75" customHeight="1">
      <c r="A56" s="1"/>
      <c r="B56" s="142"/>
      <c r="C56" s="143"/>
      <c r="D56" s="144"/>
      <c r="E56" s="192"/>
      <c r="F56" s="146"/>
      <c r="G56" s="147"/>
      <c r="H56" s="148"/>
      <c r="I56" s="149"/>
      <c r="J56" s="13"/>
      <c r="K56" s="150"/>
      <c r="L56" s="196"/>
      <c r="M56" s="196"/>
      <c r="N56" s="196"/>
      <c r="O56" s="196"/>
      <c r="P56" s="196"/>
      <c r="Q56" s="214"/>
      <c r="R56" s="196"/>
      <c r="S56" s="196"/>
      <c r="T56" s="196"/>
      <c r="U56" s="196"/>
      <c r="V56" s="196"/>
      <c r="W56" s="196"/>
      <c r="X56" s="226"/>
      <c r="Y56" s="14"/>
      <c r="Z56" s="15"/>
      <c r="AA56" s="226"/>
      <c r="AB56" s="3"/>
      <c r="AC56" s="3"/>
      <c r="AD56" s="3"/>
      <c r="AE56" s="3"/>
      <c r="AF56" s="3"/>
    </row>
    <row r="57" ht="15.75" customHeight="1">
      <c r="A57" s="1"/>
      <c r="B57" s="142">
        <v>10.0</v>
      </c>
      <c r="C57" s="143" t="s">
        <v>89</v>
      </c>
      <c r="D57" s="144">
        <f>3000*12*8</f>
        <v>288000</v>
      </c>
      <c r="E57" s="192">
        <v>100.0</v>
      </c>
      <c r="F57" s="146">
        <f>E57*D57</f>
        <v>28800000</v>
      </c>
      <c r="G57" s="147">
        <v>195455.89999999918</v>
      </c>
      <c r="H57" s="148">
        <v>1727.0</v>
      </c>
      <c r="I57" s="149">
        <v>113.17654892877775</v>
      </c>
      <c r="J57" s="34" t="s">
        <v>90</v>
      </c>
      <c r="K57" s="395"/>
      <c r="L57" s="396" t="s">
        <v>10</v>
      </c>
      <c r="M57" s="40" t="s">
        <v>14</v>
      </c>
      <c r="N57" s="397" t="s">
        <v>18</v>
      </c>
      <c r="O57" s="398" t="s">
        <v>22</v>
      </c>
      <c r="P57" s="397" t="s">
        <v>26</v>
      </c>
      <c r="Q57" s="398" t="s">
        <v>30</v>
      </c>
      <c r="R57" s="397" t="s">
        <v>34</v>
      </c>
      <c r="S57" s="398" t="s">
        <v>38</v>
      </c>
      <c r="T57" s="397" t="s">
        <v>42</v>
      </c>
      <c r="U57" s="398" t="s">
        <v>46</v>
      </c>
      <c r="V57" s="397" t="s">
        <v>50</v>
      </c>
      <c r="W57" s="398" t="s">
        <v>54</v>
      </c>
      <c r="X57" s="364">
        <v>2026.0</v>
      </c>
      <c r="Y57" s="399">
        <v>2025.0</v>
      </c>
      <c r="Z57" s="53"/>
      <c r="AA57" s="364">
        <v>2026.0</v>
      </c>
      <c r="AB57" s="3"/>
      <c r="AC57" s="3"/>
      <c r="AD57" s="3"/>
      <c r="AE57" s="3"/>
      <c r="AF57" s="3"/>
    </row>
    <row r="58" ht="15.75" customHeight="1">
      <c r="A58" s="1"/>
      <c r="B58" s="142"/>
      <c r="C58" s="143"/>
      <c r="D58" s="144"/>
      <c r="E58" s="192"/>
      <c r="F58" s="146"/>
      <c r="G58" s="147"/>
      <c r="H58" s="148"/>
      <c r="I58" s="149"/>
      <c r="J58" s="72" t="s">
        <v>64</v>
      </c>
      <c r="K58" s="400"/>
      <c r="L58" s="78" t="s">
        <v>63</v>
      </c>
      <c r="M58" s="78" t="s">
        <v>63</v>
      </c>
      <c r="N58" s="401">
        <v>0.03</v>
      </c>
      <c r="O58" s="401">
        <v>0.03</v>
      </c>
      <c r="P58" s="401">
        <v>0.05</v>
      </c>
      <c r="Q58" s="401">
        <v>0.08</v>
      </c>
      <c r="R58" s="401">
        <v>0.1</v>
      </c>
      <c r="S58" s="401">
        <v>0.15</v>
      </c>
      <c r="T58" s="401">
        <v>0.15</v>
      </c>
      <c r="U58" s="401">
        <v>0.12</v>
      </c>
      <c r="V58" s="401">
        <v>0.16</v>
      </c>
      <c r="W58" s="401">
        <v>0.13</v>
      </c>
      <c r="X58" s="166">
        <f>SUM(L58:W58)</f>
        <v>1</v>
      </c>
      <c r="Y58" s="402" t="s">
        <v>63</v>
      </c>
      <c r="Z58" s="71"/>
      <c r="AA58" s="166">
        <v>1.0</v>
      </c>
      <c r="AB58" s="3"/>
      <c r="AC58" s="3"/>
      <c r="AD58" s="3"/>
      <c r="AE58" s="3"/>
      <c r="AF58" s="3"/>
    </row>
    <row r="59" ht="15.75" customHeight="1">
      <c r="A59" s="1"/>
      <c r="B59" s="142"/>
      <c r="C59" s="143"/>
      <c r="D59" s="144"/>
      <c r="E59" s="192"/>
      <c r="F59" s="146"/>
      <c r="G59" s="147"/>
      <c r="H59" s="148"/>
      <c r="I59" s="149"/>
      <c r="J59" s="72" t="s">
        <v>66</v>
      </c>
      <c r="K59" s="400"/>
      <c r="L59" s="151">
        <v>50234.0</v>
      </c>
      <c r="M59" s="151">
        <v>49484.0</v>
      </c>
      <c r="N59" s="91">
        <f t="shared" ref="N59:W59" si="46">($X$59-($L$59+$M$59))*N58</f>
        <v>57008.46</v>
      </c>
      <c r="O59" s="91">
        <f t="shared" si="46"/>
        <v>57008.46</v>
      </c>
      <c r="P59" s="91">
        <f t="shared" si="46"/>
        <v>95014.1</v>
      </c>
      <c r="Q59" s="91">
        <f t="shared" si="46"/>
        <v>152022.56</v>
      </c>
      <c r="R59" s="91">
        <f t="shared" si="46"/>
        <v>190028.2</v>
      </c>
      <c r="S59" s="91">
        <f t="shared" si="46"/>
        <v>285042.3</v>
      </c>
      <c r="T59" s="91">
        <f t="shared" si="46"/>
        <v>285042.3</v>
      </c>
      <c r="U59" s="91">
        <f t="shared" si="46"/>
        <v>228033.84</v>
      </c>
      <c r="V59" s="91">
        <f t="shared" si="46"/>
        <v>304045.12</v>
      </c>
      <c r="W59" s="91">
        <f t="shared" si="46"/>
        <v>247036.66</v>
      </c>
      <c r="X59" s="168">
        <v>2000000.0</v>
      </c>
      <c r="Y59" s="403">
        <v>195455.9</v>
      </c>
      <c r="Z59" s="106">
        <f t="shared" ref="Z59:Z61" si="48">X59/Y59</f>
        <v>10.23248723</v>
      </c>
      <c r="AA59" s="168">
        <v>2000000.0</v>
      </c>
      <c r="AB59" s="3"/>
      <c r="AC59" s="194"/>
      <c r="AD59" s="3"/>
      <c r="AE59" s="3"/>
      <c r="AF59" s="3"/>
    </row>
    <row r="60" ht="15.75" customHeight="1">
      <c r="A60" s="1"/>
      <c r="B60" s="142"/>
      <c r="C60" s="143"/>
      <c r="D60" s="144"/>
      <c r="E60" s="192"/>
      <c r="F60" s="146"/>
      <c r="G60" s="147"/>
      <c r="H60" s="148"/>
      <c r="I60" s="149"/>
      <c r="J60" s="72" t="s">
        <v>67</v>
      </c>
      <c r="K60" s="404">
        <v>114.0</v>
      </c>
      <c r="L60" s="196">
        <v>430.0</v>
      </c>
      <c r="M60" s="196">
        <v>426.0</v>
      </c>
      <c r="N60" s="109">
        <f t="shared" ref="N60:W60" si="47">N59/$K$60</f>
        <v>500.0742105</v>
      </c>
      <c r="O60" s="109">
        <f t="shared" si="47"/>
        <v>500.0742105</v>
      </c>
      <c r="P60" s="109">
        <f t="shared" si="47"/>
        <v>833.4570175</v>
      </c>
      <c r="Q60" s="109">
        <f t="shared" si="47"/>
        <v>1333.531228</v>
      </c>
      <c r="R60" s="109">
        <f t="shared" si="47"/>
        <v>1666.914035</v>
      </c>
      <c r="S60" s="109">
        <f t="shared" si="47"/>
        <v>2500.371053</v>
      </c>
      <c r="T60" s="109">
        <f t="shared" si="47"/>
        <v>2500.371053</v>
      </c>
      <c r="U60" s="109">
        <f t="shared" si="47"/>
        <v>2000.296842</v>
      </c>
      <c r="V60" s="109">
        <f t="shared" si="47"/>
        <v>2667.062456</v>
      </c>
      <c r="W60" s="109">
        <f t="shared" si="47"/>
        <v>2166.988246</v>
      </c>
      <c r="X60" s="172">
        <f t="shared" ref="X60:X61" si="50">SUM(L60:W60)</f>
        <v>17525.14035</v>
      </c>
      <c r="Y60" s="405">
        <v>1727.0</v>
      </c>
      <c r="Z60" s="106">
        <f t="shared" si="48"/>
        <v>10.14773616</v>
      </c>
      <c r="AA60" s="172">
        <v>17525.14035087719</v>
      </c>
      <c r="AB60" s="3"/>
      <c r="AC60" s="3"/>
      <c r="AD60" s="3"/>
      <c r="AE60" s="3"/>
      <c r="AF60" s="3"/>
    </row>
    <row r="61" ht="15.75" customHeight="1">
      <c r="A61" s="1"/>
      <c r="B61" s="142"/>
      <c r="C61" s="143"/>
      <c r="D61" s="144"/>
      <c r="E61" s="192"/>
      <c r="F61" s="146"/>
      <c r="G61" s="147"/>
      <c r="H61" s="148"/>
      <c r="I61" s="149"/>
      <c r="J61" s="124" t="s">
        <v>69</v>
      </c>
      <c r="K61" s="406">
        <v>0.039</v>
      </c>
      <c r="L61" s="127">
        <f t="shared" ref="L61:W61" si="49">L59*$K$61</f>
        <v>1959.126</v>
      </c>
      <c r="M61" s="127">
        <f t="shared" si="49"/>
        <v>1929.876</v>
      </c>
      <c r="N61" s="127">
        <f t="shared" si="49"/>
        <v>2223.32994</v>
      </c>
      <c r="O61" s="127">
        <f t="shared" si="49"/>
        <v>2223.32994</v>
      </c>
      <c r="P61" s="127">
        <f t="shared" si="49"/>
        <v>3705.5499</v>
      </c>
      <c r="Q61" s="127">
        <f t="shared" si="49"/>
        <v>5928.87984</v>
      </c>
      <c r="R61" s="127">
        <f t="shared" si="49"/>
        <v>7411.0998</v>
      </c>
      <c r="S61" s="127">
        <f t="shared" si="49"/>
        <v>11116.6497</v>
      </c>
      <c r="T61" s="127">
        <f t="shared" si="49"/>
        <v>11116.6497</v>
      </c>
      <c r="U61" s="127">
        <f t="shared" si="49"/>
        <v>8893.31976</v>
      </c>
      <c r="V61" s="127">
        <f t="shared" si="49"/>
        <v>11857.75968</v>
      </c>
      <c r="W61" s="127">
        <f t="shared" si="49"/>
        <v>9634.42974</v>
      </c>
      <c r="X61" s="181">
        <f t="shared" si="50"/>
        <v>78000</v>
      </c>
      <c r="Y61" s="407">
        <f>Y59*$K$61+8*199</f>
        <v>9214.7801</v>
      </c>
      <c r="Z61" s="141">
        <f t="shared" si="48"/>
        <v>8.464662114</v>
      </c>
      <c r="AA61" s="181">
        <v>78000.0</v>
      </c>
      <c r="AB61" s="3"/>
      <c r="AC61" s="3"/>
      <c r="AD61" s="3"/>
      <c r="AE61" s="3"/>
      <c r="AF61" s="3"/>
    </row>
    <row r="62" ht="15.75" customHeight="1">
      <c r="A62" s="1"/>
      <c r="B62" s="142"/>
      <c r="C62" s="143"/>
      <c r="D62" s="144"/>
      <c r="E62" s="192"/>
      <c r="F62" s="146"/>
      <c r="G62" s="147"/>
      <c r="H62" s="148"/>
      <c r="I62" s="149"/>
      <c r="J62" s="12"/>
      <c r="K62" s="195"/>
      <c r="L62" s="185"/>
      <c r="M62" s="185"/>
      <c r="N62" s="185"/>
      <c r="O62" s="185"/>
      <c r="P62" s="185"/>
      <c r="Q62" s="214"/>
      <c r="R62" s="185"/>
      <c r="S62" s="185"/>
      <c r="T62" s="185"/>
      <c r="U62" s="185"/>
      <c r="V62" s="185"/>
      <c r="W62" s="185"/>
      <c r="X62" s="186"/>
      <c r="Y62" s="14"/>
      <c r="Z62" s="15"/>
      <c r="AA62" s="186"/>
      <c r="AB62" s="3"/>
      <c r="AC62" s="3"/>
      <c r="AD62" s="3"/>
      <c r="AE62" s="3"/>
      <c r="AF62" s="3"/>
    </row>
    <row r="63" ht="15.75" customHeight="1">
      <c r="A63" s="1"/>
      <c r="B63" s="142">
        <v>11.0</v>
      </c>
      <c r="C63" s="143" t="s">
        <v>91</v>
      </c>
      <c r="D63" s="144">
        <f>80000*12</f>
        <v>960000</v>
      </c>
      <c r="E63" s="192">
        <v>60.0</v>
      </c>
      <c r="F63" s="146">
        <f>E63*D63</f>
        <v>57600000</v>
      </c>
      <c r="G63" s="147">
        <v>409141.4900000167</v>
      </c>
      <c r="H63" s="148">
        <v>13480.0</v>
      </c>
      <c r="I63" s="149">
        <v>30.351742581603613</v>
      </c>
      <c r="J63" s="34" t="s">
        <v>92</v>
      </c>
      <c r="K63" s="395"/>
      <c r="L63" s="396" t="s">
        <v>10</v>
      </c>
      <c r="M63" s="40" t="s">
        <v>14</v>
      </c>
      <c r="N63" s="397" t="s">
        <v>18</v>
      </c>
      <c r="O63" s="398" t="s">
        <v>22</v>
      </c>
      <c r="P63" s="397" t="s">
        <v>26</v>
      </c>
      <c r="Q63" s="398" t="s">
        <v>30</v>
      </c>
      <c r="R63" s="397" t="s">
        <v>34</v>
      </c>
      <c r="S63" s="398" t="s">
        <v>38</v>
      </c>
      <c r="T63" s="397" t="s">
        <v>42</v>
      </c>
      <c r="U63" s="398" t="s">
        <v>46</v>
      </c>
      <c r="V63" s="397" t="s">
        <v>50</v>
      </c>
      <c r="W63" s="398" t="s">
        <v>54</v>
      </c>
      <c r="X63" s="364">
        <v>2026.0</v>
      </c>
      <c r="Y63" s="399">
        <v>2025.0</v>
      </c>
      <c r="Z63" s="53"/>
      <c r="AA63" s="364">
        <v>2026.0</v>
      </c>
      <c r="AB63" s="3"/>
      <c r="AC63" s="3"/>
      <c r="AD63" s="3"/>
      <c r="AE63" s="3"/>
      <c r="AF63" s="3"/>
    </row>
    <row r="64" ht="15.75" customHeight="1">
      <c r="A64" s="1"/>
      <c r="B64" s="142"/>
      <c r="C64" s="143"/>
      <c r="D64" s="144"/>
      <c r="E64" s="192"/>
      <c r="F64" s="146"/>
      <c r="G64" s="147"/>
      <c r="H64" s="148"/>
      <c r="I64" s="149"/>
      <c r="J64" s="72" t="s">
        <v>64</v>
      </c>
      <c r="K64" s="400"/>
      <c r="L64" s="78" t="s">
        <v>63</v>
      </c>
      <c r="M64" s="78" t="s">
        <v>63</v>
      </c>
      <c r="N64" s="401">
        <v>0.025</v>
      </c>
      <c r="O64" s="401">
        <v>0.025</v>
      </c>
      <c r="P64" s="401">
        <v>0.04</v>
      </c>
      <c r="Q64" s="401">
        <v>0.06</v>
      </c>
      <c r="R64" s="401">
        <v>0.08</v>
      </c>
      <c r="S64" s="401">
        <v>0.13</v>
      </c>
      <c r="T64" s="401">
        <v>0.13</v>
      </c>
      <c r="U64" s="401">
        <v>0.13</v>
      </c>
      <c r="V64" s="401">
        <v>0.23</v>
      </c>
      <c r="W64" s="401">
        <v>0.15</v>
      </c>
      <c r="X64" s="166">
        <f>SUM(N64:W64)</f>
        <v>1</v>
      </c>
      <c r="Y64" s="402" t="s">
        <v>63</v>
      </c>
      <c r="Z64" s="71"/>
      <c r="AA64" s="166">
        <v>1.0</v>
      </c>
      <c r="AB64" s="3"/>
      <c r="AC64" s="3"/>
      <c r="AD64" s="3"/>
      <c r="AE64" s="3"/>
      <c r="AF64" s="3"/>
    </row>
    <row r="65" ht="15.75" customHeight="1">
      <c r="A65" s="1"/>
      <c r="B65" s="142"/>
      <c r="C65" s="143"/>
      <c r="D65" s="144"/>
      <c r="E65" s="192"/>
      <c r="F65" s="146"/>
      <c r="G65" s="147"/>
      <c r="H65" s="148"/>
      <c r="I65" s="149"/>
      <c r="J65" s="72" t="s">
        <v>66</v>
      </c>
      <c r="K65" s="400"/>
      <c r="L65" s="151">
        <v>59138.0</v>
      </c>
      <c r="M65" s="151">
        <v>60563.0</v>
      </c>
      <c r="N65" s="91">
        <f t="shared" ref="N65:W65" si="51">($X$65-($L$65+$M$65))*N64</f>
        <v>68507.475</v>
      </c>
      <c r="O65" s="91">
        <f t="shared" si="51"/>
        <v>68507.475</v>
      </c>
      <c r="P65" s="91">
        <f t="shared" si="51"/>
        <v>109611.96</v>
      </c>
      <c r="Q65" s="91">
        <f t="shared" si="51"/>
        <v>164417.94</v>
      </c>
      <c r="R65" s="91">
        <f t="shared" si="51"/>
        <v>219223.92</v>
      </c>
      <c r="S65" s="91">
        <f t="shared" si="51"/>
        <v>356238.87</v>
      </c>
      <c r="T65" s="91">
        <f t="shared" si="51"/>
        <v>356238.87</v>
      </c>
      <c r="U65" s="91">
        <f t="shared" si="51"/>
        <v>356238.87</v>
      </c>
      <c r="V65" s="91">
        <f t="shared" si="51"/>
        <v>630268.77</v>
      </c>
      <c r="W65" s="91">
        <f t="shared" si="51"/>
        <v>411044.85</v>
      </c>
      <c r="X65" s="168">
        <f>2200000*1.3</f>
        <v>2860000</v>
      </c>
      <c r="Y65" s="403">
        <v>294165.0</v>
      </c>
      <c r="Z65" s="106">
        <f t="shared" ref="Z65:Z67" si="53">X65/Y65</f>
        <v>9.722434688</v>
      </c>
      <c r="AA65" s="168">
        <v>2200000.0</v>
      </c>
      <c r="AB65" s="3"/>
      <c r="AC65" s="194"/>
      <c r="AD65" s="3"/>
      <c r="AE65" s="3"/>
      <c r="AF65" s="3"/>
    </row>
    <row r="66" ht="15.75" customHeight="1">
      <c r="A66" s="1"/>
      <c r="B66" s="142"/>
      <c r="C66" s="143"/>
      <c r="D66" s="144"/>
      <c r="E66" s="192"/>
      <c r="F66" s="146"/>
      <c r="G66" s="147"/>
      <c r="H66" s="148"/>
      <c r="I66" s="149"/>
      <c r="J66" s="72" t="s">
        <v>67</v>
      </c>
      <c r="K66" s="404">
        <v>28.0</v>
      </c>
      <c r="L66" s="196">
        <v>2038.0</v>
      </c>
      <c r="M66" s="196">
        <v>2159.0</v>
      </c>
      <c r="N66" s="109">
        <f t="shared" ref="N66:W66" si="52">N65/$K$66</f>
        <v>2446.695536</v>
      </c>
      <c r="O66" s="109">
        <f t="shared" si="52"/>
        <v>2446.695536</v>
      </c>
      <c r="P66" s="109">
        <f t="shared" si="52"/>
        <v>3914.712857</v>
      </c>
      <c r="Q66" s="109">
        <f t="shared" si="52"/>
        <v>5872.069286</v>
      </c>
      <c r="R66" s="109">
        <f t="shared" si="52"/>
        <v>7829.425714</v>
      </c>
      <c r="S66" s="109">
        <f t="shared" si="52"/>
        <v>12722.81679</v>
      </c>
      <c r="T66" s="109">
        <f t="shared" si="52"/>
        <v>12722.81679</v>
      </c>
      <c r="U66" s="109">
        <f t="shared" si="52"/>
        <v>12722.81679</v>
      </c>
      <c r="V66" s="109">
        <f t="shared" si="52"/>
        <v>22509.59893</v>
      </c>
      <c r="W66" s="109">
        <f t="shared" si="52"/>
        <v>14680.17321</v>
      </c>
      <c r="X66" s="172">
        <f t="shared" ref="X66:X67" si="55">SUM(L66:W66)</f>
        <v>102064.8214</v>
      </c>
      <c r="Y66" s="405">
        <v>3683.0</v>
      </c>
      <c r="Z66" s="106">
        <f t="shared" si="53"/>
        <v>27.71241418</v>
      </c>
      <c r="AA66" s="172">
        <v>78493.39285714287</v>
      </c>
      <c r="AB66" s="3"/>
      <c r="AC66" s="3"/>
      <c r="AD66" s="3"/>
      <c r="AE66" s="3"/>
      <c r="AF66" s="3"/>
    </row>
    <row r="67" ht="15.75" customHeight="1">
      <c r="A67" s="1"/>
      <c r="B67" s="142"/>
      <c r="C67" s="143"/>
      <c r="D67" s="144"/>
      <c r="E67" s="192"/>
      <c r="F67" s="146"/>
      <c r="G67" s="147"/>
      <c r="H67" s="148"/>
      <c r="I67" s="149"/>
      <c r="J67" s="124" t="s">
        <v>69</v>
      </c>
      <c r="K67" s="406">
        <v>0.03</v>
      </c>
      <c r="L67" s="127">
        <f t="shared" ref="L67:W67" si="54">MIN(L65, 650000) * 0.03 +
 MAX(0, MIN(L65, 2500000) - 650000) * 0.025 +
 MAX(0, MIN(L65, 4500000) - 2500000) * 0.0225 +
 MAX(0, MIN(L65, 7500000) - 4500000) * 0.02 +
 MAX(0, MIN(L65, 11500000) - 7500000) * 0.015 +
 MAX(0, L65 - 11500000) * 0.01</f>
        <v>1774.14</v>
      </c>
      <c r="M67" s="127">
        <f t="shared" si="54"/>
        <v>1816.89</v>
      </c>
      <c r="N67" s="127">
        <f t="shared" si="54"/>
        <v>2055.22425</v>
      </c>
      <c r="O67" s="127">
        <f t="shared" si="54"/>
        <v>2055.22425</v>
      </c>
      <c r="P67" s="127">
        <f t="shared" si="54"/>
        <v>3288.3588</v>
      </c>
      <c r="Q67" s="127">
        <f t="shared" si="54"/>
        <v>4932.5382</v>
      </c>
      <c r="R67" s="127">
        <f t="shared" si="54"/>
        <v>6576.7176</v>
      </c>
      <c r="S67" s="127">
        <f t="shared" si="54"/>
        <v>10687.1661</v>
      </c>
      <c r="T67" s="127">
        <f t="shared" si="54"/>
        <v>10687.1661</v>
      </c>
      <c r="U67" s="127">
        <f t="shared" si="54"/>
        <v>10687.1661</v>
      </c>
      <c r="V67" s="127">
        <f t="shared" si="54"/>
        <v>18908.0631</v>
      </c>
      <c r="W67" s="127">
        <f t="shared" si="54"/>
        <v>12331.3455</v>
      </c>
      <c r="X67" s="181">
        <f t="shared" si="55"/>
        <v>85800</v>
      </c>
      <c r="Y67" s="407">
        <f>Y65*0.03+10*299</f>
        <v>11814.95</v>
      </c>
      <c r="Z67" s="141">
        <f t="shared" si="53"/>
        <v>7.261985874</v>
      </c>
      <c r="AA67" s="181">
        <v>66000.0</v>
      </c>
      <c r="AB67" s="3"/>
      <c r="AC67" s="3"/>
      <c r="AD67" s="3"/>
      <c r="AE67" s="3"/>
      <c r="AF67" s="3"/>
    </row>
    <row r="68" ht="15.75" customHeight="1">
      <c r="A68" s="1"/>
      <c r="B68" s="142"/>
      <c r="C68" s="143"/>
      <c r="D68" s="144"/>
      <c r="E68" s="192"/>
      <c r="F68" s="146"/>
      <c r="G68" s="147"/>
      <c r="H68" s="148"/>
      <c r="I68" s="149"/>
      <c r="J68" s="12"/>
      <c r="K68" s="195"/>
      <c r="L68" s="185"/>
      <c r="M68" s="185"/>
      <c r="N68" s="185"/>
      <c r="O68" s="185"/>
      <c r="P68" s="185"/>
      <c r="Q68" s="214"/>
      <c r="R68" s="185"/>
      <c r="S68" s="185"/>
      <c r="T68" s="185"/>
      <c r="U68" s="185"/>
      <c r="V68" s="185"/>
      <c r="W68" s="185"/>
      <c r="X68" s="186"/>
      <c r="Y68" s="14"/>
      <c r="Z68" s="15"/>
      <c r="AA68" s="186"/>
      <c r="AB68" s="3"/>
      <c r="AC68" s="3"/>
      <c r="AD68" s="3"/>
      <c r="AE68" s="3"/>
      <c r="AF68" s="3"/>
    </row>
    <row r="69" ht="15.75" customHeight="1">
      <c r="A69" s="1"/>
      <c r="B69" s="142">
        <v>12.0</v>
      </c>
      <c r="C69" s="143" t="s">
        <v>93</v>
      </c>
      <c r="D69" s="144"/>
      <c r="E69" s="192"/>
      <c r="F69" s="146"/>
      <c r="G69" s="228">
        <v>1.776575282001109E7</v>
      </c>
      <c r="H69" s="229">
        <v>181714.0</v>
      </c>
      <c r="I69" s="230">
        <v>97.76766138003175</v>
      </c>
      <c r="J69" s="34" t="s">
        <v>94</v>
      </c>
      <c r="K69" s="395"/>
      <c r="L69" s="396" t="s">
        <v>10</v>
      </c>
      <c r="M69" s="40" t="s">
        <v>14</v>
      </c>
      <c r="N69" s="397" t="s">
        <v>18</v>
      </c>
      <c r="O69" s="398" t="s">
        <v>22</v>
      </c>
      <c r="P69" s="397" t="s">
        <v>26</v>
      </c>
      <c r="Q69" s="398" t="s">
        <v>30</v>
      </c>
      <c r="R69" s="397" t="s">
        <v>34</v>
      </c>
      <c r="S69" s="398" t="s">
        <v>38</v>
      </c>
      <c r="T69" s="397" t="s">
        <v>42</v>
      </c>
      <c r="U69" s="398" t="s">
        <v>46</v>
      </c>
      <c r="V69" s="397" t="s">
        <v>50</v>
      </c>
      <c r="W69" s="398" t="s">
        <v>54</v>
      </c>
      <c r="X69" s="364">
        <v>2026.0</v>
      </c>
      <c r="Y69" s="399">
        <v>2025.0</v>
      </c>
      <c r="Z69" s="53"/>
      <c r="AA69" s="364">
        <v>2026.0</v>
      </c>
      <c r="AB69" s="3"/>
      <c r="AC69" s="3"/>
      <c r="AD69" s="3"/>
      <c r="AE69" s="3"/>
      <c r="AF69" s="3"/>
    </row>
    <row r="70" ht="15.75" customHeight="1">
      <c r="A70" s="1"/>
      <c r="B70" s="142"/>
      <c r="C70" s="143"/>
      <c r="D70" s="144"/>
      <c r="E70" s="192"/>
      <c r="F70" s="146"/>
      <c r="G70" s="147"/>
      <c r="H70" s="148"/>
      <c r="I70" s="149"/>
      <c r="J70" s="72" t="s">
        <v>64</v>
      </c>
      <c r="K70" s="400"/>
      <c r="L70" s="78" t="s">
        <v>63</v>
      </c>
      <c r="M70" s="78" t="s">
        <v>63</v>
      </c>
      <c r="N70" s="401">
        <v>0.05</v>
      </c>
      <c r="O70" s="401">
        <v>0.06</v>
      </c>
      <c r="P70" s="401">
        <v>0.08</v>
      </c>
      <c r="Q70" s="401">
        <v>0.08</v>
      </c>
      <c r="R70" s="401">
        <v>0.08</v>
      </c>
      <c r="S70" s="401">
        <v>0.11</v>
      </c>
      <c r="T70" s="401">
        <v>0.14</v>
      </c>
      <c r="U70" s="401">
        <v>0.14</v>
      </c>
      <c r="V70" s="401">
        <v>0.14</v>
      </c>
      <c r="W70" s="401">
        <v>0.12</v>
      </c>
      <c r="X70" s="166">
        <f>SUM(L70:W70)</f>
        <v>1</v>
      </c>
      <c r="Y70" s="402" t="s">
        <v>63</v>
      </c>
      <c r="Z70" s="71"/>
      <c r="AA70" s="166">
        <v>1.0</v>
      </c>
      <c r="AB70" s="3"/>
      <c r="AC70" s="3"/>
      <c r="AD70" s="3"/>
      <c r="AE70" s="3"/>
      <c r="AF70" s="3"/>
    </row>
    <row r="71" ht="15.75" customHeight="1">
      <c r="A71" s="1"/>
      <c r="B71" s="142"/>
      <c r="C71" s="143"/>
      <c r="D71" s="144"/>
      <c r="E71" s="192"/>
      <c r="F71" s="146"/>
      <c r="G71" s="147"/>
      <c r="H71" s="148"/>
      <c r="I71" s="149"/>
      <c r="J71" s="72" t="s">
        <v>66</v>
      </c>
      <c r="K71" s="400"/>
      <c r="L71" s="151">
        <v>1433664.0</v>
      </c>
      <c r="M71" s="151">
        <v>1276587.0</v>
      </c>
      <c r="N71" s="91">
        <f t="shared" ref="N71:W71" si="56">($X$71-($L$71+$M$71))*N70</f>
        <v>864487.45</v>
      </c>
      <c r="O71" s="91">
        <f t="shared" si="56"/>
        <v>1037384.94</v>
      </c>
      <c r="P71" s="91">
        <f t="shared" si="56"/>
        <v>1383179.92</v>
      </c>
      <c r="Q71" s="91">
        <f t="shared" si="56"/>
        <v>1383179.92</v>
      </c>
      <c r="R71" s="91">
        <f t="shared" si="56"/>
        <v>1383179.92</v>
      </c>
      <c r="S71" s="91">
        <f t="shared" si="56"/>
        <v>1901872.39</v>
      </c>
      <c r="T71" s="91">
        <f t="shared" si="56"/>
        <v>2420564.86</v>
      </c>
      <c r="U71" s="91">
        <f t="shared" si="56"/>
        <v>2420564.86</v>
      </c>
      <c r="V71" s="91">
        <f t="shared" si="56"/>
        <v>2420564.86</v>
      </c>
      <c r="W71" s="91">
        <f t="shared" si="56"/>
        <v>2074769.88</v>
      </c>
      <c r="X71" s="168">
        <v>2.0E7</v>
      </c>
      <c r="Y71" s="411">
        <v>1.7765623E7</v>
      </c>
      <c r="Z71" s="106">
        <f t="shared" ref="Z71:Z72" si="58">X71/Y71</f>
        <v>1.125769696</v>
      </c>
      <c r="AA71" s="168">
        <v>3.0E7</v>
      </c>
      <c r="AB71" s="3"/>
      <c r="AC71" s="194"/>
      <c r="AD71" s="3"/>
      <c r="AE71" s="3"/>
      <c r="AF71" s="3"/>
    </row>
    <row r="72" ht="15.75" customHeight="1">
      <c r="A72" s="1"/>
      <c r="B72" s="142"/>
      <c r="C72" s="143"/>
      <c r="D72" s="144"/>
      <c r="E72" s="192"/>
      <c r="F72" s="146"/>
      <c r="G72" s="147"/>
      <c r="H72" s="148"/>
      <c r="I72" s="149"/>
      <c r="J72" s="72" t="s">
        <v>67</v>
      </c>
      <c r="K72" s="404">
        <v>100.0</v>
      </c>
      <c r="L72" s="196">
        <v>14050.0</v>
      </c>
      <c r="M72" s="196">
        <v>12707.0</v>
      </c>
      <c r="N72" s="109">
        <f t="shared" ref="N72:W72" si="57">N71/$K$72</f>
        <v>8644.8745</v>
      </c>
      <c r="O72" s="109">
        <f t="shared" si="57"/>
        <v>10373.8494</v>
      </c>
      <c r="P72" s="109">
        <f t="shared" si="57"/>
        <v>13831.7992</v>
      </c>
      <c r="Q72" s="109">
        <f t="shared" si="57"/>
        <v>13831.7992</v>
      </c>
      <c r="R72" s="109">
        <f t="shared" si="57"/>
        <v>13831.7992</v>
      </c>
      <c r="S72" s="109">
        <f t="shared" si="57"/>
        <v>19018.7239</v>
      </c>
      <c r="T72" s="109">
        <f t="shared" si="57"/>
        <v>24205.6486</v>
      </c>
      <c r="U72" s="109">
        <f t="shared" si="57"/>
        <v>24205.6486</v>
      </c>
      <c r="V72" s="109">
        <f t="shared" si="57"/>
        <v>24205.6486</v>
      </c>
      <c r="W72" s="109">
        <f t="shared" si="57"/>
        <v>20747.6988</v>
      </c>
      <c r="X72" s="172">
        <f t="shared" ref="X72:X73" si="59">SUM(L72:W72)</f>
        <v>199654.49</v>
      </c>
      <c r="Y72" s="405">
        <v>181712.0</v>
      </c>
      <c r="Z72" s="106">
        <f t="shared" si="58"/>
        <v>1.09874136</v>
      </c>
      <c r="AA72" s="172">
        <v>299654.49000000005</v>
      </c>
      <c r="AB72" s="3"/>
      <c r="AC72" s="3"/>
      <c r="AD72" s="3"/>
      <c r="AE72" s="3"/>
      <c r="AF72" s="3"/>
    </row>
    <row r="73" ht="15.75" customHeight="1">
      <c r="A73" s="1"/>
      <c r="B73" s="142"/>
      <c r="C73" s="143"/>
      <c r="D73" s="144"/>
      <c r="E73" s="192"/>
      <c r="F73" s="146"/>
      <c r="G73" s="147"/>
      <c r="H73" s="148"/>
      <c r="I73" s="149"/>
      <c r="J73" s="124" t="s">
        <v>69</v>
      </c>
      <c r="K73" s="406">
        <v>0.06</v>
      </c>
      <c r="L73" s="127">
        <v>150000.0</v>
      </c>
      <c r="M73" s="127">
        <v>150000.0</v>
      </c>
      <c r="N73" s="127">
        <v>150000.0</v>
      </c>
      <c r="O73" s="127">
        <v>91000.0</v>
      </c>
      <c r="P73" s="127">
        <v>91000.0</v>
      </c>
      <c r="Q73" s="127">
        <v>91000.0</v>
      </c>
      <c r="R73" s="127">
        <v>91000.0</v>
      </c>
      <c r="S73" s="127">
        <v>91000.0</v>
      </c>
      <c r="T73" s="127">
        <v>91000.0</v>
      </c>
      <c r="U73" s="127">
        <v>91000.0</v>
      </c>
      <c r="V73" s="127">
        <v>91000.0</v>
      </c>
      <c r="W73" s="127">
        <v>91000.0</v>
      </c>
      <c r="X73" s="181">
        <f t="shared" si="59"/>
        <v>1269000</v>
      </c>
      <c r="Y73" s="407"/>
      <c r="Z73" s="141"/>
      <c r="AA73" s="181">
        <v>2057272.5966000003</v>
      </c>
      <c r="AB73" s="3"/>
      <c r="AC73" s="3"/>
      <c r="AD73" s="3"/>
      <c r="AE73" s="3"/>
      <c r="AF73" s="3"/>
    </row>
    <row r="74" ht="15.75" customHeight="1">
      <c r="A74" s="1"/>
      <c r="B74" s="142"/>
      <c r="C74" s="143"/>
      <c r="D74" s="144"/>
      <c r="E74" s="192"/>
      <c r="F74" s="146"/>
      <c r="G74" s="147"/>
      <c r="H74" s="148"/>
      <c r="I74" s="149"/>
      <c r="J74" s="3"/>
      <c r="K74" s="238"/>
      <c r="L74" s="3"/>
      <c r="M74" s="3"/>
      <c r="N74" s="3"/>
      <c r="O74" s="3"/>
      <c r="P74" s="3"/>
      <c r="Q74" s="214"/>
      <c r="R74" s="3"/>
      <c r="S74" s="3"/>
      <c r="T74" s="3"/>
      <c r="U74" s="3"/>
      <c r="V74" s="3"/>
      <c r="W74" s="3"/>
      <c r="X74" s="3"/>
      <c r="Y74" s="3"/>
      <c r="Z74" s="3"/>
      <c r="AA74" s="3"/>
      <c r="AB74" s="3"/>
      <c r="AC74" s="3"/>
      <c r="AD74" s="3"/>
      <c r="AE74" s="3"/>
      <c r="AF74" s="3"/>
    </row>
    <row r="75" ht="15.75" customHeight="1">
      <c r="A75" s="1"/>
      <c r="B75" s="142">
        <v>13.0</v>
      </c>
      <c r="C75" s="231" t="s">
        <v>98</v>
      </c>
      <c r="D75" s="232"/>
      <c r="E75" s="233"/>
      <c r="F75" s="234"/>
      <c r="G75" s="235">
        <v>12323.000000000002</v>
      </c>
      <c r="H75" s="235">
        <v>52.0</v>
      </c>
      <c r="I75" s="236">
        <v>236.98076923076925</v>
      </c>
      <c r="J75" s="34" t="s">
        <v>98</v>
      </c>
      <c r="K75" s="395"/>
      <c r="L75" s="396" t="s">
        <v>10</v>
      </c>
      <c r="M75" s="40" t="s">
        <v>14</v>
      </c>
      <c r="N75" s="397" t="s">
        <v>18</v>
      </c>
      <c r="O75" s="398" t="s">
        <v>22</v>
      </c>
      <c r="P75" s="397" t="s">
        <v>26</v>
      </c>
      <c r="Q75" s="398" t="s">
        <v>30</v>
      </c>
      <c r="R75" s="397" t="s">
        <v>34</v>
      </c>
      <c r="S75" s="398" t="s">
        <v>38</v>
      </c>
      <c r="T75" s="397" t="s">
        <v>42</v>
      </c>
      <c r="U75" s="398" t="s">
        <v>46</v>
      </c>
      <c r="V75" s="397" t="s">
        <v>50</v>
      </c>
      <c r="W75" s="398" t="s">
        <v>54</v>
      </c>
      <c r="X75" s="364">
        <v>2026.0</v>
      </c>
      <c r="Y75" s="399">
        <v>2025.0</v>
      </c>
      <c r="Z75" s="53"/>
      <c r="AA75" s="364">
        <v>2026.0</v>
      </c>
      <c r="AB75" s="3"/>
      <c r="AC75" s="3"/>
      <c r="AD75" s="3"/>
      <c r="AE75" s="3"/>
      <c r="AF75" s="3"/>
    </row>
    <row r="76" ht="15.75" customHeight="1">
      <c r="A76" s="1"/>
      <c r="B76" s="142"/>
      <c r="C76" s="143"/>
      <c r="D76" s="144"/>
      <c r="E76" s="192"/>
      <c r="F76" s="146"/>
      <c r="G76" s="147"/>
      <c r="H76" s="148"/>
      <c r="I76" s="149"/>
      <c r="J76" s="72" t="s">
        <v>64</v>
      </c>
      <c r="K76" s="400"/>
      <c r="L76" s="78" t="s">
        <v>63</v>
      </c>
      <c r="M76" s="78" t="s">
        <v>63</v>
      </c>
      <c r="N76" s="401"/>
      <c r="O76" s="401"/>
      <c r="P76" s="401">
        <v>0.07</v>
      </c>
      <c r="Q76" s="401">
        <v>0.08</v>
      </c>
      <c r="R76" s="401">
        <v>0.09</v>
      </c>
      <c r="S76" s="401">
        <v>0.1</v>
      </c>
      <c r="T76" s="401">
        <v>0.11</v>
      </c>
      <c r="U76" s="401">
        <v>0.13</v>
      </c>
      <c r="V76" s="401">
        <v>0.15</v>
      </c>
      <c r="W76" s="401">
        <v>0.27</v>
      </c>
      <c r="X76" s="166">
        <f>SUM(N76:W76)</f>
        <v>1</v>
      </c>
      <c r="Y76" s="402" t="s">
        <v>63</v>
      </c>
      <c r="Z76" s="71"/>
      <c r="AA76" s="166">
        <v>1.0</v>
      </c>
      <c r="AB76" s="3"/>
      <c r="AC76" s="3"/>
      <c r="AD76" s="3"/>
      <c r="AE76" s="3"/>
      <c r="AF76" s="3"/>
    </row>
    <row r="77" ht="15.75" customHeight="1">
      <c r="A77" s="1"/>
      <c r="B77" s="142"/>
      <c r="C77" s="143"/>
      <c r="D77" s="144"/>
      <c r="E77" s="192"/>
      <c r="F77" s="146"/>
      <c r="G77" s="147"/>
      <c r="H77" s="148"/>
      <c r="I77" s="149"/>
      <c r="J77" s="72" t="s">
        <v>66</v>
      </c>
      <c r="K77" s="400"/>
      <c r="L77" s="151">
        <v>0.0</v>
      </c>
      <c r="M77" s="151">
        <v>0.0</v>
      </c>
      <c r="N77" s="91">
        <f t="shared" ref="N77:W77" si="60">($X$77-($L$77+$M$77))*N76</f>
        <v>0</v>
      </c>
      <c r="O77" s="91">
        <f t="shared" si="60"/>
        <v>0</v>
      </c>
      <c r="P77" s="91">
        <f t="shared" si="60"/>
        <v>2450</v>
      </c>
      <c r="Q77" s="91">
        <f t="shared" si="60"/>
        <v>2800</v>
      </c>
      <c r="R77" s="91">
        <f t="shared" si="60"/>
        <v>3150</v>
      </c>
      <c r="S77" s="91">
        <f t="shared" si="60"/>
        <v>3500</v>
      </c>
      <c r="T77" s="91">
        <f t="shared" si="60"/>
        <v>3850</v>
      </c>
      <c r="U77" s="91">
        <f t="shared" si="60"/>
        <v>4550</v>
      </c>
      <c r="V77" s="91">
        <f t="shared" si="60"/>
        <v>5250</v>
      </c>
      <c r="W77" s="91">
        <f t="shared" si="60"/>
        <v>9450</v>
      </c>
      <c r="X77" s="168">
        <v>35000.0</v>
      </c>
      <c r="Y77" s="403" t="s">
        <v>63</v>
      </c>
      <c r="Z77" s="106" t="str">
        <f t="shared" ref="Z77:Z79" si="62">IFERROR((X77/Y77),"-")</f>
        <v>-</v>
      </c>
      <c r="AA77" s="168">
        <v>35000.0</v>
      </c>
      <c r="AB77" s="3"/>
      <c r="AC77" s="194"/>
      <c r="AD77" s="3"/>
      <c r="AE77" s="3"/>
      <c r="AF77" s="3"/>
    </row>
    <row r="78" ht="15.75" customHeight="1">
      <c r="A78" s="1"/>
      <c r="B78" s="142"/>
      <c r="C78" s="143"/>
      <c r="D78" s="144"/>
      <c r="E78" s="192"/>
      <c r="F78" s="146"/>
      <c r="G78" s="147"/>
      <c r="H78" s="148"/>
      <c r="I78" s="149"/>
      <c r="J78" s="72" t="s">
        <v>67</v>
      </c>
      <c r="K78" s="404">
        <v>115.0</v>
      </c>
      <c r="L78" s="196"/>
      <c r="M78" s="196"/>
      <c r="N78" s="109">
        <f t="shared" ref="N78:W78" si="61">N77/$K$78</f>
        <v>0</v>
      </c>
      <c r="O78" s="109">
        <f t="shared" si="61"/>
        <v>0</v>
      </c>
      <c r="P78" s="109">
        <f t="shared" si="61"/>
        <v>21.30434783</v>
      </c>
      <c r="Q78" s="109">
        <f t="shared" si="61"/>
        <v>24.34782609</v>
      </c>
      <c r="R78" s="109">
        <f t="shared" si="61"/>
        <v>27.39130435</v>
      </c>
      <c r="S78" s="109">
        <f t="shared" si="61"/>
        <v>30.43478261</v>
      </c>
      <c r="T78" s="109">
        <f t="shared" si="61"/>
        <v>33.47826087</v>
      </c>
      <c r="U78" s="109">
        <f t="shared" si="61"/>
        <v>39.56521739</v>
      </c>
      <c r="V78" s="109">
        <f t="shared" si="61"/>
        <v>45.65217391</v>
      </c>
      <c r="W78" s="109">
        <f t="shared" si="61"/>
        <v>82.17391304</v>
      </c>
      <c r="X78" s="172">
        <f t="shared" ref="X78:X79" si="64">SUM(L78:W78)</f>
        <v>304.3478261</v>
      </c>
      <c r="Y78" s="405" t="s">
        <v>63</v>
      </c>
      <c r="Z78" s="106" t="str">
        <f t="shared" si="62"/>
        <v>-</v>
      </c>
      <c r="AA78" s="172">
        <v>304.3478260869565</v>
      </c>
      <c r="AB78" s="3"/>
      <c r="AC78" s="3"/>
      <c r="AD78" s="3"/>
      <c r="AE78" s="3"/>
      <c r="AF78" s="3"/>
    </row>
    <row r="79" ht="15.75" customHeight="1">
      <c r="A79" s="1"/>
      <c r="B79" s="142"/>
      <c r="C79" s="143"/>
      <c r="D79" s="144"/>
      <c r="E79" s="192"/>
      <c r="F79" s="146"/>
      <c r="G79" s="147"/>
      <c r="H79" s="148"/>
      <c r="I79" s="149"/>
      <c r="J79" s="124" t="s">
        <v>69</v>
      </c>
      <c r="K79" s="412">
        <v>199.0</v>
      </c>
      <c r="L79" s="127">
        <f t="shared" ref="L79:W79" si="63">K79*1</f>
        <v>199</v>
      </c>
      <c r="M79" s="127">
        <f t="shared" si="63"/>
        <v>199</v>
      </c>
      <c r="N79" s="127">
        <f t="shared" si="63"/>
        <v>199</v>
      </c>
      <c r="O79" s="127">
        <f t="shared" si="63"/>
        <v>199</v>
      </c>
      <c r="P79" s="127">
        <f t="shared" si="63"/>
        <v>199</v>
      </c>
      <c r="Q79" s="127">
        <f t="shared" si="63"/>
        <v>199</v>
      </c>
      <c r="R79" s="127">
        <f t="shared" si="63"/>
        <v>199</v>
      </c>
      <c r="S79" s="127">
        <f t="shared" si="63"/>
        <v>199</v>
      </c>
      <c r="T79" s="127">
        <f t="shared" si="63"/>
        <v>199</v>
      </c>
      <c r="U79" s="127">
        <f t="shared" si="63"/>
        <v>199</v>
      </c>
      <c r="V79" s="127">
        <f t="shared" si="63"/>
        <v>199</v>
      </c>
      <c r="W79" s="127">
        <f t="shared" si="63"/>
        <v>199</v>
      </c>
      <c r="X79" s="181">
        <f t="shared" si="64"/>
        <v>2388</v>
      </c>
      <c r="Y79" s="407" t="s">
        <v>63</v>
      </c>
      <c r="Z79" s="141" t="str">
        <f t="shared" si="62"/>
        <v>-</v>
      </c>
      <c r="AA79" s="181">
        <v>2388.0</v>
      </c>
      <c r="AB79" s="3"/>
      <c r="AC79" s="3"/>
      <c r="AD79" s="3"/>
      <c r="AE79" s="3"/>
      <c r="AF79" s="3"/>
    </row>
    <row r="80" ht="15.75" customHeight="1">
      <c r="A80" s="1"/>
      <c r="B80" s="142"/>
      <c r="C80" s="143"/>
      <c r="D80" s="144"/>
      <c r="E80" s="192"/>
      <c r="F80" s="146"/>
      <c r="G80" s="147"/>
      <c r="H80" s="148"/>
      <c r="I80" s="149"/>
      <c r="J80" s="8"/>
      <c r="K80" s="9"/>
      <c r="L80" s="222"/>
      <c r="M80" s="222"/>
      <c r="N80" s="222"/>
      <c r="O80" s="222"/>
      <c r="P80" s="222"/>
      <c r="Q80" s="214"/>
      <c r="R80" s="222">
        <v>15.0</v>
      </c>
      <c r="S80" s="222">
        <v>25.0</v>
      </c>
      <c r="T80" s="222"/>
      <c r="U80" s="222"/>
      <c r="V80" s="222"/>
      <c r="W80" s="222"/>
      <c r="X80" s="222"/>
      <c r="Y80" s="222"/>
      <c r="Z80" s="222"/>
      <c r="AA80" s="222"/>
      <c r="AB80" s="185"/>
      <c r="AC80" s="185"/>
      <c r="AD80" s="185"/>
      <c r="AE80" s="3"/>
      <c r="AF80" s="3"/>
    </row>
    <row r="81" ht="15.75" customHeight="1">
      <c r="A81" s="1"/>
      <c r="B81" s="142">
        <v>14.0</v>
      </c>
      <c r="C81" s="231" t="s">
        <v>99</v>
      </c>
      <c r="D81" s="232">
        <f>200000*12</f>
        <v>2400000</v>
      </c>
      <c r="E81" s="233">
        <v>50.0</v>
      </c>
      <c r="F81" s="234">
        <f>E81*D81</f>
        <v>120000000</v>
      </c>
      <c r="G81" s="235" t="s">
        <v>63</v>
      </c>
      <c r="H81" s="235" t="s">
        <v>63</v>
      </c>
      <c r="I81" s="236" t="s">
        <v>63</v>
      </c>
      <c r="J81" s="34" t="s">
        <v>100</v>
      </c>
      <c r="K81" s="395"/>
      <c r="L81" s="396" t="s">
        <v>10</v>
      </c>
      <c r="M81" s="40" t="s">
        <v>14</v>
      </c>
      <c r="N81" s="397" t="s">
        <v>18</v>
      </c>
      <c r="O81" s="398" t="s">
        <v>22</v>
      </c>
      <c r="P81" s="397" t="s">
        <v>26</v>
      </c>
      <c r="Q81" s="398" t="s">
        <v>30</v>
      </c>
      <c r="R81" s="397" t="s">
        <v>34</v>
      </c>
      <c r="S81" s="398" t="s">
        <v>38</v>
      </c>
      <c r="T81" s="397" t="s">
        <v>42</v>
      </c>
      <c r="U81" s="398" t="s">
        <v>46</v>
      </c>
      <c r="V81" s="397" t="s">
        <v>50</v>
      </c>
      <c r="W81" s="398" t="s">
        <v>54</v>
      </c>
      <c r="X81" s="364">
        <v>2026.0</v>
      </c>
      <c r="Y81" s="399">
        <v>2025.0</v>
      </c>
      <c r="Z81" s="53"/>
      <c r="AA81" s="364">
        <v>2026.0</v>
      </c>
      <c r="AB81" s="3"/>
      <c r="AC81" s="3"/>
      <c r="AD81" s="3"/>
      <c r="AE81" s="3"/>
      <c r="AF81" s="3"/>
    </row>
    <row r="82" ht="15.75" customHeight="1">
      <c r="A82" s="1"/>
      <c r="B82" s="142"/>
      <c r="C82" s="143"/>
      <c r="D82" s="144"/>
      <c r="E82" s="192"/>
      <c r="F82" s="146"/>
      <c r="G82" s="147"/>
      <c r="H82" s="148"/>
      <c r="I82" s="149"/>
      <c r="J82" s="72" t="s">
        <v>64</v>
      </c>
      <c r="K82" s="400"/>
      <c r="L82" s="78" t="s">
        <v>63</v>
      </c>
      <c r="M82" s="78" t="s">
        <v>63</v>
      </c>
      <c r="N82" s="401"/>
      <c r="O82" s="401"/>
      <c r="P82" s="401"/>
      <c r="Q82" s="401">
        <v>0.02</v>
      </c>
      <c r="R82" s="401">
        <v>0.03</v>
      </c>
      <c r="S82" s="401">
        <v>0.05</v>
      </c>
      <c r="T82" s="401">
        <v>0.2</v>
      </c>
      <c r="U82" s="401">
        <v>0.2</v>
      </c>
      <c r="V82" s="401">
        <v>0.25</v>
      </c>
      <c r="W82" s="401">
        <v>0.25</v>
      </c>
      <c r="X82" s="166">
        <f>SUM(N82:W82)</f>
        <v>1</v>
      </c>
      <c r="Y82" s="402" t="s">
        <v>63</v>
      </c>
      <c r="Z82" s="71"/>
      <c r="AA82" s="166">
        <v>1.0</v>
      </c>
      <c r="AB82" s="3"/>
      <c r="AC82" s="3"/>
      <c r="AD82" s="3"/>
      <c r="AE82" s="3"/>
      <c r="AF82" s="3"/>
    </row>
    <row r="83" ht="15.75" customHeight="1">
      <c r="A83" s="1"/>
      <c r="B83" s="142"/>
      <c r="C83" s="143"/>
      <c r="D83" s="144"/>
      <c r="E83" s="192"/>
      <c r="F83" s="146"/>
      <c r="G83" s="147"/>
      <c r="H83" s="148"/>
      <c r="I83" s="149"/>
      <c r="J83" s="72" t="s">
        <v>66</v>
      </c>
      <c r="K83" s="400"/>
      <c r="L83" s="151">
        <v>0.0</v>
      </c>
      <c r="M83" s="151">
        <v>0.0</v>
      </c>
      <c r="N83" s="91">
        <f t="shared" ref="N83:W83" si="65">($X$83-($L$83+$M$83))*N82</f>
        <v>0</v>
      </c>
      <c r="O83" s="91">
        <f t="shared" si="65"/>
        <v>0</v>
      </c>
      <c r="P83" s="91">
        <f t="shared" si="65"/>
        <v>0</v>
      </c>
      <c r="Q83" s="91">
        <f t="shared" si="65"/>
        <v>16800</v>
      </c>
      <c r="R83" s="91">
        <f t="shared" si="65"/>
        <v>25200</v>
      </c>
      <c r="S83" s="91">
        <f t="shared" si="65"/>
        <v>42000</v>
      </c>
      <c r="T83" s="91">
        <f t="shared" si="65"/>
        <v>168000</v>
      </c>
      <c r="U83" s="91">
        <f t="shared" si="65"/>
        <v>168000</v>
      </c>
      <c r="V83" s="91">
        <f t="shared" si="65"/>
        <v>210000</v>
      </c>
      <c r="W83" s="91">
        <f t="shared" si="65"/>
        <v>210000</v>
      </c>
      <c r="X83" s="168">
        <v>840000.0</v>
      </c>
      <c r="Y83" s="403">
        <v>0.0</v>
      </c>
      <c r="Z83" s="106" t="str">
        <f t="shared" ref="Z83:Z85" si="67">IFERROR((X83/Y83),"-")</f>
        <v>-</v>
      </c>
      <c r="AA83" s="168">
        <v>700000.0</v>
      </c>
      <c r="AB83" s="3"/>
      <c r="AC83" s="194"/>
      <c r="AD83" s="3"/>
      <c r="AE83" s="3"/>
      <c r="AF83" s="3"/>
    </row>
    <row r="84" ht="15.75" customHeight="1">
      <c r="A84" s="1"/>
      <c r="B84" s="142"/>
      <c r="C84" s="143"/>
      <c r="D84" s="144"/>
      <c r="E84" s="192"/>
      <c r="F84" s="146"/>
      <c r="G84" s="147"/>
      <c r="H84" s="148"/>
      <c r="I84" s="149"/>
      <c r="J84" s="72" t="s">
        <v>67</v>
      </c>
      <c r="K84" s="404">
        <v>50.0</v>
      </c>
      <c r="L84" s="196"/>
      <c r="M84" s="196"/>
      <c r="N84" s="109">
        <f t="shared" ref="N84:W84" si="66">N83/$K$84</f>
        <v>0</v>
      </c>
      <c r="O84" s="109">
        <f t="shared" si="66"/>
        <v>0</v>
      </c>
      <c r="P84" s="109">
        <f t="shared" si="66"/>
        <v>0</v>
      </c>
      <c r="Q84" s="109">
        <f t="shared" si="66"/>
        <v>336</v>
      </c>
      <c r="R84" s="109">
        <f t="shared" si="66"/>
        <v>504</v>
      </c>
      <c r="S84" s="109">
        <f t="shared" si="66"/>
        <v>840</v>
      </c>
      <c r="T84" s="109">
        <f t="shared" si="66"/>
        <v>3360</v>
      </c>
      <c r="U84" s="109">
        <f t="shared" si="66"/>
        <v>3360</v>
      </c>
      <c r="V84" s="109">
        <f t="shared" si="66"/>
        <v>4200</v>
      </c>
      <c r="W84" s="109">
        <f t="shared" si="66"/>
        <v>4200</v>
      </c>
      <c r="X84" s="172">
        <f t="shared" ref="X84:X85" si="69">SUM(L84:W84)</f>
        <v>16800</v>
      </c>
      <c r="Y84" s="405">
        <v>0.0</v>
      </c>
      <c r="Z84" s="106" t="str">
        <f t="shared" si="67"/>
        <v>-</v>
      </c>
      <c r="AA84" s="172">
        <v>14000.0</v>
      </c>
      <c r="AB84" s="3"/>
      <c r="AC84" s="3"/>
      <c r="AD84" s="3"/>
      <c r="AE84" s="3"/>
      <c r="AF84" s="3"/>
    </row>
    <row r="85" ht="15.75" customHeight="1">
      <c r="A85" s="1"/>
      <c r="B85" s="142"/>
      <c r="C85" s="143"/>
      <c r="D85" s="144"/>
      <c r="E85" s="192"/>
      <c r="F85" s="146"/>
      <c r="G85" s="147"/>
      <c r="H85" s="148"/>
      <c r="I85" s="149"/>
      <c r="J85" s="124" t="s">
        <v>69</v>
      </c>
      <c r="K85" s="406">
        <v>0.02</v>
      </c>
      <c r="L85" s="127">
        <f t="shared" ref="L85:W85" si="68">IF(L84=0, 0, (L83/L84) * (
  MIN(L84, 50000) * 0.02 +
  MAX(0, MIN(L84, 100000) - 50000) * 0.015 +
  MAX(0, L84 - 100000) * 0.01
))</f>
        <v>0</v>
      </c>
      <c r="M85" s="127">
        <f t="shared" si="68"/>
        <v>0</v>
      </c>
      <c r="N85" s="127">
        <f t="shared" si="68"/>
        <v>0</v>
      </c>
      <c r="O85" s="127">
        <f t="shared" si="68"/>
        <v>0</v>
      </c>
      <c r="P85" s="127">
        <f t="shared" si="68"/>
        <v>0</v>
      </c>
      <c r="Q85" s="127">
        <f t="shared" si="68"/>
        <v>336</v>
      </c>
      <c r="R85" s="127">
        <f t="shared" si="68"/>
        <v>504</v>
      </c>
      <c r="S85" s="127">
        <f t="shared" si="68"/>
        <v>840</v>
      </c>
      <c r="T85" s="127">
        <f t="shared" si="68"/>
        <v>3360</v>
      </c>
      <c r="U85" s="127">
        <f t="shared" si="68"/>
        <v>3360</v>
      </c>
      <c r="V85" s="127">
        <f t="shared" si="68"/>
        <v>4200</v>
      </c>
      <c r="W85" s="127">
        <f t="shared" si="68"/>
        <v>4200</v>
      </c>
      <c r="X85" s="181">
        <f t="shared" si="69"/>
        <v>16800</v>
      </c>
      <c r="Y85" s="407">
        <v>0.0</v>
      </c>
      <c r="Z85" s="141" t="str">
        <f t="shared" si="67"/>
        <v>-</v>
      </c>
      <c r="AA85" s="181">
        <v>14000.0</v>
      </c>
      <c r="AB85" s="3"/>
      <c r="AC85" s="3"/>
      <c r="AD85" s="3"/>
      <c r="AE85" s="3"/>
      <c r="AF85" s="3"/>
    </row>
    <row r="86" ht="15.75" customHeight="1">
      <c r="A86" s="1"/>
      <c r="B86" s="142"/>
      <c r="C86" s="143"/>
      <c r="D86" s="144"/>
      <c r="E86" s="192"/>
      <c r="F86" s="146"/>
      <c r="G86" s="147"/>
      <c r="H86" s="148"/>
      <c r="I86" s="149"/>
      <c r="J86" s="8"/>
      <c r="K86" s="9"/>
      <c r="L86" s="185"/>
      <c r="M86" s="185"/>
      <c r="N86" s="185"/>
      <c r="O86" s="185"/>
      <c r="P86" s="185"/>
      <c r="Q86" s="214"/>
      <c r="R86" s="185"/>
      <c r="S86" s="185"/>
      <c r="T86" s="185"/>
      <c r="U86" s="185"/>
      <c r="V86" s="185"/>
      <c r="W86" s="185"/>
      <c r="X86" s="185"/>
      <c r="Y86" s="185"/>
      <c r="Z86" s="185"/>
      <c r="AA86" s="185"/>
      <c r="AB86" s="185"/>
      <c r="AC86" s="185"/>
      <c r="AD86" s="185"/>
      <c r="AE86" s="185"/>
      <c r="AF86" s="185"/>
    </row>
    <row r="87" ht="15.75" customHeight="1">
      <c r="A87" s="1"/>
      <c r="B87" s="142">
        <v>15.0</v>
      </c>
      <c r="C87" s="143" t="s">
        <v>101</v>
      </c>
      <c r="D87" s="144">
        <f>3500*4*12</f>
        <v>168000</v>
      </c>
      <c r="E87" s="192">
        <v>40.0</v>
      </c>
      <c r="F87" s="146">
        <f>E87*D87</f>
        <v>6720000</v>
      </c>
      <c r="G87" s="147">
        <v>9704.999999999982</v>
      </c>
      <c r="H87" s="148">
        <v>519.0</v>
      </c>
      <c r="I87" s="149">
        <v>18.699421965317885</v>
      </c>
      <c r="J87" s="34" t="s">
        <v>102</v>
      </c>
      <c r="K87" s="395"/>
      <c r="L87" s="396" t="s">
        <v>10</v>
      </c>
      <c r="M87" s="40" t="s">
        <v>14</v>
      </c>
      <c r="N87" s="397" t="s">
        <v>18</v>
      </c>
      <c r="O87" s="398" t="s">
        <v>22</v>
      </c>
      <c r="P87" s="397" t="s">
        <v>26</v>
      </c>
      <c r="Q87" s="398" t="s">
        <v>30</v>
      </c>
      <c r="R87" s="397" t="s">
        <v>34</v>
      </c>
      <c r="S87" s="398" t="s">
        <v>38</v>
      </c>
      <c r="T87" s="397" t="s">
        <v>42</v>
      </c>
      <c r="U87" s="398" t="s">
        <v>46</v>
      </c>
      <c r="V87" s="397" t="s">
        <v>50</v>
      </c>
      <c r="W87" s="398" t="s">
        <v>54</v>
      </c>
      <c r="X87" s="364">
        <v>2026.0</v>
      </c>
      <c r="Y87" s="399">
        <v>2025.0</v>
      </c>
      <c r="Z87" s="53"/>
      <c r="AA87" s="364">
        <v>2026.0</v>
      </c>
      <c r="AB87" s="3"/>
      <c r="AC87" s="3"/>
      <c r="AD87" s="3"/>
      <c r="AE87" s="3"/>
      <c r="AF87" s="3"/>
    </row>
    <row r="88" ht="15.75" customHeight="1">
      <c r="A88" s="1"/>
      <c r="B88" s="142"/>
      <c r="C88" s="143"/>
      <c r="D88" s="144"/>
      <c r="E88" s="192"/>
      <c r="F88" s="146"/>
      <c r="G88" s="147"/>
      <c r="H88" s="148"/>
      <c r="I88" s="149"/>
      <c r="J88" s="72" t="s">
        <v>64</v>
      </c>
      <c r="K88" s="400"/>
      <c r="L88" s="78"/>
      <c r="M88" s="78"/>
      <c r="N88" s="401">
        <v>0.03</v>
      </c>
      <c r="O88" s="401">
        <v>0.04</v>
      </c>
      <c r="P88" s="401">
        <v>0.07</v>
      </c>
      <c r="Q88" s="401">
        <v>0.09</v>
      </c>
      <c r="R88" s="401">
        <v>0.11</v>
      </c>
      <c r="S88" s="401">
        <v>0.12</v>
      </c>
      <c r="T88" s="401">
        <v>0.12</v>
      </c>
      <c r="U88" s="401">
        <v>0.12</v>
      </c>
      <c r="V88" s="401">
        <v>0.16</v>
      </c>
      <c r="W88" s="401">
        <v>0.14</v>
      </c>
      <c r="X88" s="166">
        <f>SUM(N88:W88)</f>
        <v>1</v>
      </c>
      <c r="Y88" s="402" t="s">
        <v>63</v>
      </c>
      <c r="Z88" s="71"/>
      <c r="AA88" s="166">
        <v>1.0</v>
      </c>
      <c r="AB88" s="3"/>
      <c r="AC88" s="3"/>
      <c r="AD88" s="3"/>
      <c r="AE88" s="3"/>
      <c r="AF88" s="3"/>
    </row>
    <row r="89" ht="15.75" customHeight="1">
      <c r="A89" s="1"/>
      <c r="B89" s="142"/>
      <c r="C89" s="143"/>
      <c r="D89" s="144"/>
      <c r="E89" s="192"/>
      <c r="F89" s="146"/>
      <c r="G89" s="147"/>
      <c r="H89" s="148"/>
      <c r="I89" s="149"/>
      <c r="J89" s="72" t="s">
        <v>66</v>
      </c>
      <c r="K89" s="400"/>
      <c r="L89" s="151">
        <v>5894.0</v>
      </c>
      <c r="M89" s="151">
        <v>3778.0</v>
      </c>
      <c r="N89" s="91">
        <f t="shared" ref="N89:W89" si="70">($X$89-($L$89+$M$89))*N88</f>
        <v>4209.84</v>
      </c>
      <c r="O89" s="91">
        <f t="shared" si="70"/>
        <v>5613.12</v>
      </c>
      <c r="P89" s="91">
        <f t="shared" si="70"/>
        <v>9822.96</v>
      </c>
      <c r="Q89" s="91">
        <f t="shared" si="70"/>
        <v>12629.52</v>
      </c>
      <c r="R89" s="91">
        <f t="shared" si="70"/>
        <v>15436.08</v>
      </c>
      <c r="S89" s="91">
        <f t="shared" si="70"/>
        <v>16839.36</v>
      </c>
      <c r="T89" s="91">
        <f t="shared" si="70"/>
        <v>16839.36</v>
      </c>
      <c r="U89" s="91">
        <f t="shared" si="70"/>
        <v>16839.36</v>
      </c>
      <c r="V89" s="91">
        <f t="shared" si="70"/>
        <v>22452.48</v>
      </c>
      <c r="W89" s="91">
        <f t="shared" si="70"/>
        <v>19645.92</v>
      </c>
      <c r="X89" s="168">
        <v>150000.0</v>
      </c>
      <c r="Y89" s="403">
        <v>9705.0</v>
      </c>
      <c r="Z89" s="106">
        <f t="shared" ref="Z89:Z91" si="72">X89/Y89</f>
        <v>15.45595054</v>
      </c>
      <c r="AA89" s="168">
        <v>150000.0</v>
      </c>
      <c r="AB89" s="3"/>
      <c r="AC89" s="194"/>
      <c r="AD89" s="3"/>
      <c r="AE89" s="3"/>
      <c r="AF89" s="3"/>
    </row>
    <row r="90" ht="15.75" customHeight="1">
      <c r="A90" s="1"/>
      <c r="B90" s="142"/>
      <c r="C90" s="143"/>
      <c r="D90" s="144"/>
      <c r="E90" s="192"/>
      <c r="F90" s="146"/>
      <c r="G90" s="147"/>
      <c r="H90" s="148"/>
      <c r="I90" s="149"/>
      <c r="J90" s="72" t="s">
        <v>67</v>
      </c>
      <c r="K90" s="404">
        <v>30.0</v>
      </c>
      <c r="L90" s="196">
        <v>236.0</v>
      </c>
      <c r="M90" s="196">
        <v>95.0</v>
      </c>
      <c r="N90" s="109">
        <f t="shared" ref="N90:W90" si="71">N89/$K$90</f>
        <v>140.328</v>
      </c>
      <c r="O90" s="109">
        <f t="shared" si="71"/>
        <v>187.104</v>
      </c>
      <c r="P90" s="109">
        <f t="shared" si="71"/>
        <v>327.432</v>
      </c>
      <c r="Q90" s="109">
        <f t="shared" si="71"/>
        <v>420.984</v>
      </c>
      <c r="R90" s="109">
        <f t="shared" si="71"/>
        <v>514.536</v>
      </c>
      <c r="S90" s="109">
        <f t="shared" si="71"/>
        <v>561.312</v>
      </c>
      <c r="T90" s="109">
        <f t="shared" si="71"/>
        <v>561.312</v>
      </c>
      <c r="U90" s="109">
        <f t="shared" si="71"/>
        <v>561.312</v>
      </c>
      <c r="V90" s="109">
        <f t="shared" si="71"/>
        <v>748.416</v>
      </c>
      <c r="W90" s="109">
        <f t="shared" si="71"/>
        <v>654.864</v>
      </c>
      <c r="X90" s="172">
        <f t="shared" ref="X90:X91" si="74">SUM(L90:W90)</f>
        <v>5008.6</v>
      </c>
      <c r="Y90" s="405">
        <v>519.0</v>
      </c>
      <c r="Z90" s="106">
        <f t="shared" si="72"/>
        <v>9.650481696</v>
      </c>
      <c r="AA90" s="172">
        <v>5008.6</v>
      </c>
      <c r="AB90" s="3"/>
      <c r="AC90" s="3"/>
      <c r="AD90" s="3"/>
      <c r="AE90" s="3"/>
      <c r="AF90" s="3"/>
    </row>
    <row r="91" ht="15.75" customHeight="1">
      <c r="A91" s="1"/>
      <c r="B91" s="142"/>
      <c r="C91" s="143"/>
      <c r="D91" s="144"/>
      <c r="E91" s="192"/>
      <c r="F91" s="146"/>
      <c r="G91" s="147"/>
      <c r="H91" s="148"/>
      <c r="I91" s="149"/>
      <c r="J91" s="124" t="s">
        <v>69</v>
      </c>
      <c r="K91" s="406">
        <v>0.049</v>
      </c>
      <c r="L91" s="127">
        <f t="shared" ref="L91:W91" si="73">$K$91*L89</f>
        <v>288.806</v>
      </c>
      <c r="M91" s="127">
        <f t="shared" si="73"/>
        <v>185.122</v>
      </c>
      <c r="N91" s="127">
        <f t="shared" si="73"/>
        <v>206.28216</v>
      </c>
      <c r="O91" s="127">
        <f t="shared" si="73"/>
        <v>275.04288</v>
      </c>
      <c r="P91" s="127">
        <f t="shared" si="73"/>
        <v>481.32504</v>
      </c>
      <c r="Q91" s="127">
        <f t="shared" si="73"/>
        <v>618.84648</v>
      </c>
      <c r="R91" s="127">
        <f t="shared" si="73"/>
        <v>756.36792</v>
      </c>
      <c r="S91" s="127">
        <f t="shared" si="73"/>
        <v>825.12864</v>
      </c>
      <c r="T91" s="127">
        <f t="shared" si="73"/>
        <v>825.12864</v>
      </c>
      <c r="U91" s="127">
        <f t="shared" si="73"/>
        <v>825.12864</v>
      </c>
      <c r="V91" s="127">
        <f t="shared" si="73"/>
        <v>1100.17152</v>
      </c>
      <c r="W91" s="127">
        <f t="shared" si="73"/>
        <v>962.65008</v>
      </c>
      <c r="X91" s="181">
        <f t="shared" si="74"/>
        <v>7350</v>
      </c>
      <c r="Y91" s="407">
        <f>(5 * 399) + MAX(Y89 * 4.9%, 499)</f>
        <v>2494</v>
      </c>
      <c r="Z91" s="141">
        <f t="shared" si="72"/>
        <v>2.947072975</v>
      </c>
      <c r="AA91" s="181">
        <v>7350.000000000001</v>
      </c>
      <c r="AB91" s="3"/>
      <c r="AC91" s="3"/>
      <c r="AD91" s="3"/>
      <c r="AE91" s="3"/>
      <c r="AF91" s="3"/>
    </row>
    <row r="92" ht="15.75" customHeight="1">
      <c r="A92" s="1"/>
      <c r="B92" s="142"/>
      <c r="C92" s="143"/>
      <c r="D92" s="144"/>
      <c r="E92" s="192"/>
      <c r="F92" s="146"/>
      <c r="G92" s="147"/>
      <c r="H92" s="148"/>
      <c r="I92" s="149"/>
      <c r="J92" s="8"/>
      <c r="K92" s="9"/>
      <c r="L92" s="185"/>
      <c r="M92" s="185"/>
      <c r="N92" s="185"/>
      <c r="O92" s="185"/>
      <c r="P92" s="185"/>
      <c r="Q92" s="214"/>
      <c r="R92" s="185"/>
      <c r="S92" s="185"/>
      <c r="T92" s="185"/>
      <c r="U92" s="185"/>
      <c r="V92" s="185"/>
      <c r="W92" s="185"/>
      <c r="X92" s="185"/>
      <c r="Y92" s="185"/>
      <c r="Z92" s="185"/>
      <c r="AA92" s="185"/>
      <c r="AB92" s="3"/>
      <c r="AC92" s="3"/>
      <c r="AD92" s="3"/>
      <c r="AE92" s="3"/>
      <c r="AF92" s="3"/>
    </row>
    <row r="93" ht="15.75" customHeight="1">
      <c r="A93" s="1"/>
      <c r="B93" s="142">
        <v>16.0</v>
      </c>
      <c r="C93" s="143" t="s">
        <v>103</v>
      </c>
      <c r="D93" s="144">
        <f>15000*12</f>
        <v>180000</v>
      </c>
      <c r="E93" s="192">
        <v>32.0</v>
      </c>
      <c r="F93" s="146">
        <f>E93*D93</f>
        <v>5760000</v>
      </c>
      <c r="G93" s="244">
        <v>356599.2800000031</v>
      </c>
      <c r="H93" s="245">
        <v>11282.0</v>
      </c>
      <c r="I93" s="246">
        <v>31.607807126396306</v>
      </c>
      <c r="J93" s="34" t="s">
        <v>104</v>
      </c>
      <c r="K93" s="395"/>
      <c r="L93" s="396" t="s">
        <v>10</v>
      </c>
      <c r="M93" s="40" t="s">
        <v>14</v>
      </c>
      <c r="N93" s="397" t="s">
        <v>18</v>
      </c>
      <c r="O93" s="398" t="s">
        <v>22</v>
      </c>
      <c r="P93" s="397" t="s">
        <v>26</v>
      </c>
      <c r="Q93" s="398" t="s">
        <v>30</v>
      </c>
      <c r="R93" s="397" t="s">
        <v>34</v>
      </c>
      <c r="S93" s="398" t="s">
        <v>38</v>
      </c>
      <c r="T93" s="397" t="s">
        <v>42</v>
      </c>
      <c r="U93" s="398" t="s">
        <v>46</v>
      </c>
      <c r="V93" s="397" t="s">
        <v>50</v>
      </c>
      <c r="W93" s="398" t="s">
        <v>54</v>
      </c>
      <c r="X93" s="364">
        <v>2026.0</v>
      </c>
      <c r="Y93" s="399">
        <v>2025.0</v>
      </c>
      <c r="Z93" s="53"/>
      <c r="AA93" s="364">
        <v>2026.0</v>
      </c>
      <c r="AB93" s="3"/>
      <c r="AC93" s="3"/>
      <c r="AD93" s="3"/>
      <c r="AE93" s="3"/>
      <c r="AF93" s="3"/>
    </row>
    <row r="94" ht="15.75" customHeight="1">
      <c r="A94" s="1"/>
      <c r="B94" s="142"/>
      <c r="C94" s="143"/>
      <c r="D94" s="144"/>
      <c r="E94" s="192"/>
      <c r="F94" s="146"/>
      <c r="G94" s="147"/>
      <c r="H94" s="148"/>
      <c r="I94" s="149"/>
      <c r="J94" s="72" t="s">
        <v>64</v>
      </c>
      <c r="K94" s="400"/>
      <c r="L94" s="78" t="s">
        <v>63</v>
      </c>
      <c r="M94" s="78" t="s">
        <v>63</v>
      </c>
      <c r="N94" s="401">
        <v>0.035</v>
      </c>
      <c r="O94" s="401">
        <v>0.035</v>
      </c>
      <c r="P94" s="401">
        <v>0.05</v>
      </c>
      <c r="Q94" s="401">
        <v>0.07</v>
      </c>
      <c r="R94" s="401">
        <v>0.07</v>
      </c>
      <c r="S94" s="401">
        <v>0.08</v>
      </c>
      <c r="T94" s="401">
        <v>0.1</v>
      </c>
      <c r="U94" s="401">
        <v>0.18</v>
      </c>
      <c r="V94" s="401">
        <v>0.2</v>
      </c>
      <c r="W94" s="401">
        <v>0.18</v>
      </c>
      <c r="X94" s="166">
        <f>SUM(N94:W94)</f>
        <v>1</v>
      </c>
      <c r="Y94" s="402" t="s">
        <v>63</v>
      </c>
      <c r="Z94" s="71"/>
      <c r="AA94" s="166">
        <v>1.0</v>
      </c>
      <c r="AB94" s="3"/>
      <c r="AC94" s="3"/>
      <c r="AD94" s="3"/>
      <c r="AE94" s="3"/>
      <c r="AF94" s="3"/>
    </row>
    <row r="95" ht="15.75" customHeight="1">
      <c r="A95" s="1"/>
      <c r="B95" s="142"/>
      <c r="C95" s="143"/>
      <c r="D95" s="144"/>
      <c r="E95" s="192"/>
      <c r="F95" s="146"/>
      <c r="G95" s="147"/>
      <c r="H95" s="148"/>
      <c r="I95" s="149"/>
      <c r="J95" s="72" t="s">
        <v>66</v>
      </c>
      <c r="K95" s="400"/>
      <c r="L95" s="151">
        <v>19995.0</v>
      </c>
      <c r="M95" s="151">
        <v>19803.0</v>
      </c>
      <c r="N95" s="91">
        <f t="shared" ref="N95:W95" si="75">($X$95-($L$95+$M$95))*N94</f>
        <v>23107.07</v>
      </c>
      <c r="O95" s="91">
        <f t="shared" si="75"/>
        <v>23107.07</v>
      </c>
      <c r="P95" s="91">
        <f t="shared" si="75"/>
        <v>33010.1</v>
      </c>
      <c r="Q95" s="91">
        <f t="shared" si="75"/>
        <v>46214.14</v>
      </c>
      <c r="R95" s="91">
        <f t="shared" si="75"/>
        <v>46214.14</v>
      </c>
      <c r="S95" s="91">
        <f t="shared" si="75"/>
        <v>52816.16</v>
      </c>
      <c r="T95" s="91">
        <f t="shared" si="75"/>
        <v>66020.2</v>
      </c>
      <c r="U95" s="91">
        <f t="shared" si="75"/>
        <v>118836.36</v>
      </c>
      <c r="V95" s="91">
        <f t="shared" si="75"/>
        <v>132040.4</v>
      </c>
      <c r="W95" s="91">
        <f t="shared" si="75"/>
        <v>118836.36</v>
      </c>
      <c r="X95" s="168">
        <v>700000.0</v>
      </c>
      <c r="Y95" s="403">
        <v>356599.28</v>
      </c>
      <c r="Z95" s="106">
        <f t="shared" ref="Z95:Z97" si="77">X95/Y95</f>
        <v>1.962987699</v>
      </c>
      <c r="AA95" s="168">
        <v>700000.0</v>
      </c>
      <c r="AB95" s="3"/>
      <c r="AC95" s="194"/>
      <c r="AD95" s="3"/>
      <c r="AE95" s="3"/>
      <c r="AF95" s="3"/>
    </row>
    <row r="96" ht="15.75" customHeight="1">
      <c r="A96" s="1"/>
      <c r="B96" s="142"/>
      <c r="C96" s="143"/>
      <c r="D96" s="144"/>
      <c r="E96" s="192"/>
      <c r="F96" s="146"/>
      <c r="G96" s="147"/>
      <c r="H96" s="148"/>
      <c r="I96" s="149"/>
      <c r="J96" s="72" t="s">
        <v>67</v>
      </c>
      <c r="K96" s="404">
        <v>30.0</v>
      </c>
      <c r="L96" s="109">
        <f t="shared" ref="L96:W96" si="76">L95/$K$96</f>
        <v>666.5</v>
      </c>
      <c r="M96" s="109">
        <f t="shared" si="76"/>
        <v>660.1</v>
      </c>
      <c r="N96" s="109">
        <f t="shared" si="76"/>
        <v>770.2356667</v>
      </c>
      <c r="O96" s="109">
        <f t="shared" si="76"/>
        <v>770.2356667</v>
      </c>
      <c r="P96" s="109">
        <f t="shared" si="76"/>
        <v>1100.336667</v>
      </c>
      <c r="Q96" s="109">
        <f t="shared" si="76"/>
        <v>1540.471333</v>
      </c>
      <c r="R96" s="109">
        <f t="shared" si="76"/>
        <v>1540.471333</v>
      </c>
      <c r="S96" s="109">
        <f t="shared" si="76"/>
        <v>1760.538667</v>
      </c>
      <c r="T96" s="109">
        <f t="shared" si="76"/>
        <v>2200.673333</v>
      </c>
      <c r="U96" s="109">
        <f t="shared" si="76"/>
        <v>3961.212</v>
      </c>
      <c r="V96" s="109">
        <f t="shared" si="76"/>
        <v>4401.346667</v>
      </c>
      <c r="W96" s="109">
        <f t="shared" si="76"/>
        <v>3961.212</v>
      </c>
      <c r="X96" s="172">
        <f t="shared" ref="X96:X97" si="79">SUM(L96:W96)</f>
        <v>23333.33333</v>
      </c>
      <c r="Y96" s="405">
        <v>11282.0</v>
      </c>
      <c r="Z96" s="106">
        <f t="shared" si="77"/>
        <v>2.068191219</v>
      </c>
      <c r="AA96" s="172">
        <v>23333.333333333332</v>
      </c>
      <c r="AB96" s="3"/>
      <c r="AC96" s="3"/>
      <c r="AD96" s="3"/>
      <c r="AE96" s="3"/>
      <c r="AF96" s="3"/>
    </row>
    <row r="97" ht="15.75" customHeight="1">
      <c r="A97" s="1"/>
      <c r="B97" s="142"/>
      <c r="C97" s="143"/>
      <c r="D97" s="144"/>
      <c r="E97" s="192"/>
      <c r="F97" s="146"/>
      <c r="G97" s="147"/>
      <c r="H97" s="148"/>
      <c r="I97" s="149"/>
      <c r="J97" s="124" t="s">
        <v>69</v>
      </c>
      <c r="K97" s="413">
        <v>0.04</v>
      </c>
      <c r="L97" s="127">
        <f t="shared" ref="L97:W97" si="78">L95*$K$97</f>
        <v>799.8</v>
      </c>
      <c r="M97" s="127">
        <f t="shared" si="78"/>
        <v>792.12</v>
      </c>
      <c r="N97" s="127">
        <f t="shared" si="78"/>
        <v>924.2828</v>
      </c>
      <c r="O97" s="127">
        <f t="shared" si="78"/>
        <v>924.2828</v>
      </c>
      <c r="P97" s="127">
        <f t="shared" si="78"/>
        <v>1320.404</v>
      </c>
      <c r="Q97" s="127">
        <f t="shared" si="78"/>
        <v>1848.5656</v>
      </c>
      <c r="R97" s="127">
        <f t="shared" si="78"/>
        <v>1848.5656</v>
      </c>
      <c r="S97" s="127">
        <f t="shared" si="78"/>
        <v>2112.6464</v>
      </c>
      <c r="T97" s="127">
        <f t="shared" si="78"/>
        <v>2640.808</v>
      </c>
      <c r="U97" s="127">
        <f t="shared" si="78"/>
        <v>4753.4544</v>
      </c>
      <c r="V97" s="127">
        <f t="shared" si="78"/>
        <v>5281.616</v>
      </c>
      <c r="W97" s="127">
        <f t="shared" si="78"/>
        <v>4753.4544</v>
      </c>
      <c r="X97" s="181">
        <f t="shared" si="79"/>
        <v>28000</v>
      </c>
      <c r="Y97" s="407">
        <f>Y95*0.04</f>
        <v>14263.9712</v>
      </c>
      <c r="Z97" s="141">
        <f t="shared" si="77"/>
        <v>1.962987699</v>
      </c>
      <c r="AA97" s="181">
        <v>28000.0</v>
      </c>
      <c r="AB97" s="3"/>
      <c r="AC97" s="3"/>
      <c r="AD97" s="3"/>
      <c r="AE97" s="3"/>
      <c r="AF97" s="3"/>
    </row>
    <row r="98" ht="15.75" customHeight="1">
      <c r="J98" s="15"/>
      <c r="K98" s="238"/>
      <c r="L98" s="15"/>
      <c r="M98" s="15"/>
      <c r="N98" s="15"/>
      <c r="O98" s="15"/>
      <c r="P98" s="15"/>
      <c r="Q98" s="214"/>
      <c r="R98" s="15"/>
      <c r="S98" s="15"/>
      <c r="T98" s="15"/>
      <c r="U98" s="15"/>
      <c r="V98" s="15"/>
      <c r="W98" s="15"/>
      <c r="X98" s="14"/>
      <c r="Y98" s="14"/>
      <c r="Z98" s="15"/>
      <c r="AA98" s="14"/>
      <c r="AB98" s="3"/>
      <c r="AC98" s="3"/>
      <c r="AD98" s="3"/>
      <c r="AE98" s="3"/>
      <c r="AF98" s="3"/>
    </row>
    <row r="99" ht="15.75" customHeight="1">
      <c r="A99" s="1"/>
      <c r="B99" s="142">
        <v>17.0</v>
      </c>
      <c r="C99" s="143" t="s">
        <v>103</v>
      </c>
      <c r="D99" s="144">
        <f>15000*12</f>
        <v>180000</v>
      </c>
      <c r="E99" s="192">
        <v>32.0</v>
      </c>
      <c r="F99" s="146">
        <f>E99*D99</f>
        <v>5760000</v>
      </c>
      <c r="G99" s="244">
        <v>356599.2800000031</v>
      </c>
      <c r="H99" s="245">
        <v>11282.0</v>
      </c>
      <c r="I99" s="246">
        <v>31.607807126396306</v>
      </c>
      <c r="J99" s="34" t="s">
        <v>105</v>
      </c>
      <c r="K99" s="395"/>
      <c r="L99" s="396" t="s">
        <v>10</v>
      </c>
      <c r="M99" s="40" t="s">
        <v>14</v>
      </c>
      <c r="N99" s="397" t="s">
        <v>18</v>
      </c>
      <c r="O99" s="398" t="s">
        <v>22</v>
      </c>
      <c r="P99" s="397" t="s">
        <v>26</v>
      </c>
      <c r="Q99" s="398" t="s">
        <v>30</v>
      </c>
      <c r="R99" s="397" t="s">
        <v>34</v>
      </c>
      <c r="S99" s="398" t="s">
        <v>38</v>
      </c>
      <c r="T99" s="397" t="s">
        <v>42</v>
      </c>
      <c r="U99" s="398" t="s">
        <v>46</v>
      </c>
      <c r="V99" s="397" t="s">
        <v>50</v>
      </c>
      <c r="W99" s="398" t="s">
        <v>54</v>
      </c>
      <c r="X99" s="364">
        <v>2026.0</v>
      </c>
      <c r="Y99" s="399">
        <v>2025.0</v>
      </c>
      <c r="Z99" s="53"/>
      <c r="AA99" s="364">
        <v>2026.0</v>
      </c>
      <c r="AB99" s="3"/>
      <c r="AC99" s="3"/>
      <c r="AD99" s="3"/>
      <c r="AE99" s="3"/>
      <c r="AF99" s="3"/>
    </row>
    <row r="100" ht="15.75" customHeight="1">
      <c r="A100" s="1"/>
      <c r="B100" s="142"/>
      <c r="C100" s="143"/>
      <c r="D100" s="144"/>
      <c r="E100" s="192"/>
      <c r="F100" s="146"/>
      <c r="G100" s="147"/>
      <c r="H100" s="148"/>
      <c r="I100" s="149"/>
      <c r="J100" s="72" t="s">
        <v>64</v>
      </c>
      <c r="K100" s="400"/>
      <c r="L100" s="78" t="s">
        <v>63</v>
      </c>
      <c r="M100" s="78" t="s">
        <v>63</v>
      </c>
      <c r="N100" s="401"/>
      <c r="O100" s="401"/>
      <c r="P100" s="401"/>
      <c r="Q100" s="401">
        <v>0.05</v>
      </c>
      <c r="R100" s="401">
        <v>0.08</v>
      </c>
      <c r="S100" s="401">
        <v>0.1</v>
      </c>
      <c r="T100" s="401">
        <v>0.16</v>
      </c>
      <c r="U100" s="401">
        <v>0.2</v>
      </c>
      <c r="V100" s="401">
        <v>0.21</v>
      </c>
      <c r="W100" s="401">
        <v>0.2</v>
      </c>
      <c r="X100" s="166">
        <f>SUM(N100:W100)</f>
        <v>1</v>
      </c>
      <c r="Y100" s="402" t="s">
        <v>63</v>
      </c>
      <c r="Z100" s="71"/>
      <c r="AA100" s="166">
        <v>1.0</v>
      </c>
      <c r="AB100" s="3"/>
      <c r="AC100" s="3"/>
      <c r="AD100" s="3"/>
      <c r="AE100" s="3"/>
      <c r="AF100" s="3"/>
    </row>
    <row r="101" ht="15.75" customHeight="1">
      <c r="A101" s="1"/>
      <c r="B101" s="142"/>
      <c r="C101" s="143"/>
      <c r="D101" s="144"/>
      <c r="E101" s="192"/>
      <c r="F101" s="146"/>
      <c r="G101" s="147"/>
      <c r="H101" s="148"/>
      <c r="I101" s="149"/>
      <c r="J101" s="72" t="s">
        <v>66</v>
      </c>
      <c r="K101" s="400"/>
      <c r="L101" s="151"/>
      <c r="M101" s="151"/>
      <c r="N101" s="91"/>
      <c r="O101" s="91"/>
      <c r="P101" s="91"/>
      <c r="Q101" s="91">
        <f t="shared" ref="Q101:W101" si="80">($X$101-($L$101+$M$101))*Q100</f>
        <v>1500000</v>
      </c>
      <c r="R101" s="91">
        <f t="shared" si="80"/>
        <v>2400000</v>
      </c>
      <c r="S101" s="91">
        <f t="shared" si="80"/>
        <v>3000000</v>
      </c>
      <c r="T101" s="91">
        <f t="shared" si="80"/>
        <v>4800000</v>
      </c>
      <c r="U101" s="91">
        <f t="shared" si="80"/>
        <v>6000000</v>
      </c>
      <c r="V101" s="91">
        <f t="shared" si="80"/>
        <v>6300000</v>
      </c>
      <c r="W101" s="91">
        <f t="shared" si="80"/>
        <v>6000000</v>
      </c>
      <c r="X101" s="168">
        <v>3.0E7</v>
      </c>
      <c r="Y101" s="403">
        <v>356599.28</v>
      </c>
      <c r="Z101" s="106">
        <f t="shared" ref="Z101:Z103" si="82">X101/Y101</f>
        <v>84.12804423</v>
      </c>
      <c r="AA101" s="168">
        <v>2.4E7</v>
      </c>
      <c r="AB101" s="3"/>
      <c r="AC101" s="194"/>
      <c r="AD101" s="3"/>
      <c r="AE101" s="3"/>
      <c r="AF101" s="3"/>
    </row>
    <row r="102" ht="15.75" customHeight="1">
      <c r="A102" s="1"/>
      <c r="B102" s="142"/>
      <c r="C102" s="143"/>
      <c r="D102" s="144"/>
      <c r="E102" s="192"/>
      <c r="F102" s="146"/>
      <c r="G102" s="147"/>
      <c r="H102" s="148"/>
      <c r="I102" s="149"/>
      <c r="J102" s="72" t="s">
        <v>67</v>
      </c>
      <c r="K102" s="404">
        <v>101.0</v>
      </c>
      <c r="L102" s="196"/>
      <c r="M102" s="196"/>
      <c r="N102" s="109"/>
      <c r="O102" s="109"/>
      <c r="P102" s="109"/>
      <c r="Q102" s="109">
        <f t="shared" ref="Q102:W102" si="81">Q101/$K$102</f>
        <v>14851.48515</v>
      </c>
      <c r="R102" s="109">
        <f t="shared" si="81"/>
        <v>23762.37624</v>
      </c>
      <c r="S102" s="109">
        <f t="shared" si="81"/>
        <v>29702.9703</v>
      </c>
      <c r="T102" s="109">
        <f t="shared" si="81"/>
        <v>47524.75248</v>
      </c>
      <c r="U102" s="109">
        <f t="shared" si="81"/>
        <v>59405.94059</v>
      </c>
      <c r="V102" s="109">
        <f t="shared" si="81"/>
        <v>62376.23762</v>
      </c>
      <c r="W102" s="109">
        <f t="shared" si="81"/>
        <v>59405.94059</v>
      </c>
      <c r="X102" s="172">
        <f t="shared" ref="X102:X103" si="84">SUM(L102:W102)</f>
        <v>297029.703</v>
      </c>
      <c r="Y102" s="405">
        <v>11282.0</v>
      </c>
      <c r="Z102" s="106">
        <f t="shared" si="82"/>
        <v>26.32775243</v>
      </c>
      <c r="AA102" s="172">
        <v>237623.76237623757</v>
      </c>
      <c r="AB102" s="3"/>
      <c r="AC102" s="3"/>
      <c r="AD102" s="3"/>
      <c r="AE102" s="3"/>
      <c r="AF102" s="3"/>
    </row>
    <row r="103" ht="15.75" customHeight="1">
      <c r="A103" s="1"/>
      <c r="B103" s="142"/>
      <c r="C103" s="143"/>
      <c r="D103" s="144"/>
      <c r="E103" s="192"/>
      <c r="F103" s="146"/>
      <c r="G103" s="147"/>
      <c r="H103" s="148"/>
      <c r="I103" s="149"/>
      <c r="J103" s="124" t="s">
        <v>69</v>
      </c>
      <c r="K103" s="413" t="s">
        <v>63</v>
      </c>
      <c r="L103" s="127"/>
      <c r="M103" s="127"/>
      <c r="N103" s="127"/>
      <c r="O103" s="127"/>
      <c r="P103" s="127"/>
      <c r="Q103" s="127">
        <f t="shared" ref="Q103:W103" si="83">IF(Q102=0, 0,
  MIN(Q102, 10000) * 4 +
  MAX(0, MIN(Q102, 20000) - 10000) * 3 +
  MAX(0, MIN(Q102, 40000) - 20000) * 2 +
  MAX(0, MIN(Q102, 80000) - 40000) * 1 +
  MAX(0, MIN(Q102, 100000) - 80000) * 0.5 +
  MAX(0, Q102 - 100000) * 0.25
)</f>
        <v>54554.45545</v>
      </c>
      <c r="R103" s="127">
        <f t="shared" si="83"/>
        <v>77524.75248</v>
      </c>
      <c r="S103" s="127">
        <f t="shared" si="83"/>
        <v>89405.94059</v>
      </c>
      <c r="T103" s="127">
        <f t="shared" si="83"/>
        <v>117524.7525</v>
      </c>
      <c r="U103" s="127">
        <f t="shared" si="83"/>
        <v>129405.9406</v>
      </c>
      <c r="V103" s="127">
        <f t="shared" si="83"/>
        <v>132376.2376</v>
      </c>
      <c r="W103" s="127">
        <f t="shared" si="83"/>
        <v>129405.9406</v>
      </c>
      <c r="X103" s="181">
        <f t="shared" si="84"/>
        <v>730198.0198</v>
      </c>
      <c r="Y103" s="407">
        <f>Y101*0.04</f>
        <v>14263.9712</v>
      </c>
      <c r="Z103" s="141">
        <f t="shared" si="82"/>
        <v>51.19177609</v>
      </c>
      <c r="AA103" s="181">
        <v>651188.1188118812</v>
      </c>
      <c r="AB103" s="3"/>
      <c r="AC103" s="3"/>
      <c r="AD103" s="3"/>
      <c r="AE103" s="3"/>
      <c r="AF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c r="AD104" s="3"/>
      <c r="AE104" s="3"/>
      <c r="AF104" s="3"/>
    </row>
    <row r="105" ht="15.75" customHeight="1">
      <c r="A105" s="25"/>
      <c r="B105" s="263">
        <v>17.0</v>
      </c>
      <c r="C105" s="264" t="s">
        <v>103</v>
      </c>
      <c r="D105" s="265">
        <f>15000*12</f>
        <v>180000</v>
      </c>
      <c r="E105" s="266">
        <v>32.0</v>
      </c>
      <c r="F105" s="267">
        <f>E105*D105</f>
        <v>5760000</v>
      </c>
      <c r="G105" s="268">
        <v>356599.2800000031</v>
      </c>
      <c r="H105" s="269">
        <v>11282.0</v>
      </c>
      <c r="I105" s="270">
        <v>31.607807126396306</v>
      </c>
      <c r="J105" s="414" t="s">
        <v>106</v>
      </c>
      <c r="K105" s="415"/>
      <c r="L105" s="416" t="s">
        <v>10</v>
      </c>
      <c r="M105" s="417" t="s">
        <v>14</v>
      </c>
      <c r="N105" s="418" t="s">
        <v>18</v>
      </c>
      <c r="O105" s="419" t="s">
        <v>22</v>
      </c>
      <c r="P105" s="418" t="s">
        <v>26</v>
      </c>
      <c r="Q105" s="419" t="s">
        <v>30</v>
      </c>
      <c r="R105" s="418" t="s">
        <v>34</v>
      </c>
      <c r="S105" s="419" t="s">
        <v>38</v>
      </c>
      <c r="T105" s="418" t="s">
        <v>42</v>
      </c>
      <c r="U105" s="419" t="s">
        <v>46</v>
      </c>
      <c r="V105" s="418" t="s">
        <v>50</v>
      </c>
      <c r="W105" s="419" t="s">
        <v>54</v>
      </c>
      <c r="X105" s="420">
        <v>2026.0</v>
      </c>
      <c r="Y105" s="421">
        <v>2025.0</v>
      </c>
      <c r="Z105" s="422"/>
      <c r="AA105" s="420"/>
      <c r="AB105" s="25"/>
      <c r="AC105" s="25"/>
      <c r="AD105" s="25"/>
      <c r="AE105" s="25"/>
      <c r="AF105" s="25"/>
    </row>
    <row r="106" ht="15.75" customHeight="1">
      <c r="A106" s="25"/>
      <c r="B106" s="272"/>
      <c r="C106" s="264"/>
      <c r="D106" s="273"/>
      <c r="E106" s="274"/>
      <c r="F106" s="275"/>
      <c r="G106" s="276"/>
      <c r="H106" s="277"/>
      <c r="I106" s="278"/>
      <c r="J106" s="423" t="s">
        <v>64</v>
      </c>
      <c r="K106" s="424"/>
      <c r="L106" s="425" t="s">
        <v>63</v>
      </c>
      <c r="M106" s="425" t="s">
        <v>63</v>
      </c>
      <c r="N106" s="426"/>
      <c r="O106" s="426"/>
      <c r="P106" s="426"/>
      <c r="Q106" s="427"/>
      <c r="R106" s="427"/>
      <c r="S106" s="427"/>
      <c r="T106" s="427"/>
      <c r="U106" s="427">
        <v>0.2</v>
      </c>
      <c r="V106" s="427">
        <v>0.3</v>
      </c>
      <c r="W106" s="427">
        <v>0.5</v>
      </c>
      <c r="X106" s="428">
        <f>SUM(N106:W106)</f>
        <v>1</v>
      </c>
      <c r="Y106" s="429" t="s">
        <v>63</v>
      </c>
      <c r="Z106" s="188"/>
      <c r="AA106" s="428"/>
      <c r="AB106" s="25"/>
      <c r="AC106" s="25"/>
      <c r="AD106" s="25"/>
      <c r="AE106" s="25"/>
      <c r="AF106" s="25"/>
    </row>
    <row r="107" ht="15.75" customHeight="1">
      <c r="A107" s="25"/>
      <c r="B107" s="272"/>
      <c r="C107" s="264"/>
      <c r="D107" s="273"/>
      <c r="E107" s="274"/>
      <c r="F107" s="275"/>
      <c r="G107" s="276"/>
      <c r="H107" s="277"/>
      <c r="I107" s="278"/>
      <c r="J107" s="423" t="s">
        <v>66</v>
      </c>
      <c r="K107" s="424"/>
      <c r="L107" s="430"/>
      <c r="M107" s="430"/>
      <c r="N107" s="431"/>
      <c r="O107" s="431"/>
      <c r="P107" s="431"/>
      <c r="Q107" s="431"/>
      <c r="R107" s="431"/>
      <c r="S107" s="431"/>
      <c r="T107" s="431"/>
      <c r="U107" s="431">
        <f t="shared" ref="U107:V107" si="85">U106*X107</f>
        <v>18000</v>
      </c>
      <c r="V107" s="431">
        <f t="shared" si="85"/>
        <v>106979.784</v>
      </c>
      <c r="W107" s="431">
        <f>W106*X107</f>
        <v>45000</v>
      </c>
      <c r="X107" s="432">
        <v>90000.0</v>
      </c>
      <c r="Y107" s="433">
        <v>356599.28</v>
      </c>
      <c r="Z107" s="434">
        <f t="shared" ref="Z107:Z109" si="86">X107/Y107</f>
        <v>0.2523841327</v>
      </c>
      <c r="AA107" s="432"/>
      <c r="AB107" s="25"/>
      <c r="AC107" s="281"/>
      <c r="AD107" s="25"/>
      <c r="AE107" s="25"/>
      <c r="AF107" s="25"/>
    </row>
    <row r="108" ht="16.5" customHeight="1">
      <c r="A108" s="25"/>
      <c r="B108" s="272"/>
      <c r="C108" s="264"/>
      <c r="D108" s="273"/>
      <c r="E108" s="274"/>
      <c r="F108" s="275"/>
      <c r="G108" s="276"/>
      <c r="H108" s="277"/>
      <c r="I108" s="278"/>
      <c r="J108" s="423" t="s">
        <v>67</v>
      </c>
      <c r="K108" s="435">
        <v>120.0</v>
      </c>
      <c r="L108" s="256"/>
      <c r="M108" s="256"/>
      <c r="N108" s="436"/>
      <c r="O108" s="436"/>
      <c r="P108" s="436"/>
      <c r="Q108" s="436"/>
      <c r="R108" s="436"/>
      <c r="S108" s="436"/>
      <c r="T108" s="436"/>
      <c r="U108" s="436">
        <f>U107/'planej.OPS-OTIMISTA_26'!$K$102</f>
        <v>178.2178218</v>
      </c>
      <c r="V108" s="436">
        <f>V107/'planej.OPS-OTIMISTA_26'!$K$102</f>
        <v>1059.205782</v>
      </c>
      <c r="W108" s="436">
        <f>W107/'planej.OPS-OTIMISTA_26'!$K$102</f>
        <v>445.5445545</v>
      </c>
      <c r="X108" s="437">
        <f t="shared" ref="X108:X109" si="88">SUM(L108:W108)</f>
        <v>1682.968158</v>
      </c>
      <c r="Y108" s="438">
        <v>11282.0</v>
      </c>
      <c r="Z108" s="434">
        <f t="shared" si="86"/>
        <v>0.1491728557</v>
      </c>
      <c r="AA108" s="437"/>
      <c r="AB108" s="25"/>
      <c r="AC108" s="25"/>
      <c r="AD108" s="25"/>
      <c r="AE108" s="25"/>
      <c r="AF108" s="25"/>
    </row>
    <row r="109" ht="15.75" customHeight="1">
      <c r="A109" s="25"/>
      <c r="B109" s="272"/>
      <c r="C109" s="264"/>
      <c r="D109" s="273"/>
      <c r="E109" s="274"/>
      <c r="F109" s="275"/>
      <c r="G109" s="276"/>
      <c r="H109" s="277"/>
      <c r="I109" s="278"/>
      <c r="J109" s="439" t="s">
        <v>69</v>
      </c>
      <c r="K109" s="440" t="s">
        <v>63</v>
      </c>
      <c r="L109" s="441"/>
      <c r="M109" s="441"/>
      <c r="N109" s="442"/>
      <c r="O109" s="442"/>
      <c r="P109" s="442"/>
      <c r="Q109" s="442"/>
      <c r="R109" s="442"/>
      <c r="S109" s="442"/>
      <c r="T109" s="442"/>
      <c r="U109" s="442">
        <f t="shared" ref="U109:W109" si="87">IF(U108=0, 0,
  MIN(U108, 10000) * 4 +
  MAX(0, MIN(U108, 20000) - 10000) * 3 +
  MAX(0, MIN(U108, 40000) - 20000) * 2 +
  MAX(0, MIN(U108, 80000) - 40000) * 1 +
  MAX(0, MIN(U108, 100000) - 80000) * 0.5 +
  MAX(0, U108 - 100000) * 0.25
)</f>
        <v>712.8712871</v>
      </c>
      <c r="V109" s="442">
        <f t="shared" si="87"/>
        <v>4236.823129</v>
      </c>
      <c r="W109" s="442">
        <f t="shared" si="87"/>
        <v>1782.178218</v>
      </c>
      <c r="X109" s="443">
        <f t="shared" si="88"/>
        <v>6731.872634</v>
      </c>
      <c r="Y109" s="444">
        <f>Y107*0.04</f>
        <v>14263.9712</v>
      </c>
      <c r="Z109" s="445">
        <f t="shared" si="86"/>
        <v>0.4719493989</v>
      </c>
      <c r="AA109" s="443"/>
      <c r="AB109" s="25"/>
      <c r="AC109" s="25"/>
      <c r="AD109" s="25"/>
      <c r="AE109" s="25"/>
      <c r="AF109" s="25"/>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c r="AD110" s="3"/>
      <c r="AE110" s="3"/>
      <c r="AF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3"/>
      <c r="AD111" s="3"/>
      <c r="AE111" s="3"/>
      <c r="AF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c r="AC112" s="3"/>
      <c r="AD112" s="3"/>
      <c r="AE112" s="3"/>
      <c r="AF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c r="AC113" s="3"/>
      <c r="AD113" s="3"/>
      <c r="AE113" s="3"/>
      <c r="AF113" s="3"/>
    </row>
    <row r="114" ht="15.75" customHeight="1">
      <c r="J114" s="15"/>
      <c r="K114" s="238"/>
      <c r="L114" s="151"/>
      <c r="M114" s="15"/>
      <c r="N114" s="15"/>
      <c r="O114" s="15"/>
      <c r="P114" s="15"/>
      <c r="Q114" s="15"/>
      <c r="R114" s="15"/>
      <c r="S114" s="15"/>
      <c r="T114" s="15"/>
      <c r="U114" s="15"/>
      <c r="V114" s="15"/>
      <c r="W114" s="446" t="s">
        <v>107</v>
      </c>
      <c r="X114" s="447" t="s">
        <v>134</v>
      </c>
      <c r="Y114" s="447" t="s">
        <v>135</v>
      </c>
      <c r="Z114" s="448" t="s">
        <v>136</v>
      </c>
      <c r="AB114" s="3"/>
      <c r="AC114" s="3"/>
      <c r="AD114" s="3"/>
    </row>
    <row r="115" ht="15.75" customHeight="1">
      <c r="J115" s="15"/>
      <c r="K115" s="238"/>
      <c r="L115" s="15"/>
      <c r="M115" s="15"/>
      <c r="N115" s="15"/>
      <c r="O115" s="15"/>
      <c r="P115" s="15"/>
      <c r="Q115" s="317"/>
      <c r="R115" s="15"/>
      <c r="S115" s="15"/>
      <c r="T115" s="15"/>
      <c r="U115" s="15"/>
      <c r="V115" s="15"/>
      <c r="W115" s="333" t="s">
        <v>66</v>
      </c>
      <c r="X115" s="449">
        <f>SUMIF($J$5:$J$109, "gmv", X5:X109)</f>
        <v>150225000</v>
      </c>
      <c r="Y115" s="449">
        <f>SUMIF($J$5:$J$109, "gmv", AA5:AA109)</f>
        <v>145963076.2</v>
      </c>
      <c r="Z115" s="450">
        <f t="shared" ref="Z115:Z117" si="89">X115/Y115-1</f>
        <v>0.02919864331</v>
      </c>
      <c r="AB115" s="3"/>
      <c r="AC115" s="3"/>
      <c r="AD115" s="3"/>
    </row>
    <row r="116" ht="15.75" customHeight="1">
      <c r="J116" s="15"/>
      <c r="K116" s="238"/>
      <c r="L116" s="15"/>
      <c r="M116" s="15"/>
      <c r="N116" s="15"/>
      <c r="O116" s="15"/>
      <c r="P116" s="15"/>
      <c r="Q116" s="332"/>
      <c r="R116" s="15"/>
      <c r="S116" s="15"/>
      <c r="T116" s="219"/>
      <c r="U116" s="15"/>
      <c r="V116" s="15"/>
      <c r="W116" s="333" t="s">
        <v>67</v>
      </c>
      <c r="X116" s="451">
        <f>SUMIF($J$6:$J$109, "Pedidos", X6:X109)</f>
        <v>2008188.387</v>
      </c>
      <c r="Y116" s="451">
        <f>SUMIF($J$6:$J$109, "Pedidos", AA6:AA109)</f>
        <v>1941822.852</v>
      </c>
      <c r="Z116" s="452">
        <f t="shared" si="89"/>
        <v>0.03417692553</v>
      </c>
      <c r="AB116" s="3"/>
      <c r="AC116" s="3"/>
      <c r="AD116" s="3"/>
    </row>
    <row r="117" ht="15.75" customHeight="1">
      <c r="J117" s="15"/>
      <c r="K117" s="238"/>
      <c r="L117" s="15"/>
      <c r="M117" s="15"/>
      <c r="N117" s="15"/>
      <c r="O117" s="15"/>
      <c r="P117" s="15"/>
      <c r="Q117" s="332"/>
      <c r="R117" s="15"/>
      <c r="S117" s="15"/>
      <c r="T117" s="15"/>
      <c r="U117" s="15"/>
      <c r="V117" s="15"/>
      <c r="W117" s="340" t="s">
        <v>69</v>
      </c>
      <c r="X117" s="449">
        <f>SUMIF($J$5:$J$109, "Receita Hanzo", X5:X109)</f>
        <v>6181052.846</v>
      </c>
      <c r="Y117" s="449">
        <f>SUMIF($J$5:$J$109, "Receita Hanzo", AA5:AA109)</f>
        <v>6542361.595</v>
      </c>
      <c r="Z117" s="450">
        <f t="shared" si="89"/>
        <v>-0.05522604394</v>
      </c>
      <c r="AB117" s="3"/>
      <c r="AC117" s="3"/>
      <c r="AD117" s="3"/>
    </row>
    <row r="118" ht="15.75" customHeight="1">
      <c r="J118" s="15"/>
      <c r="K118" s="238"/>
      <c r="L118" s="15"/>
      <c r="M118" s="15"/>
      <c r="N118" s="15"/>
      <c r="O118" s="15"/>
      <c r="P118" s="15"/>
      <c r="Q118" s="15"/>
      <c r="R118" s="15"/>
      <c r="S118" s="15"/>
      <c r="T118" s="15"/>
      <c r="U118" s="15"/>
      <c r="V118" s="15"/>
      <c r="W118" s="15"/>
      <c r="X118" s="14"/>
      <c r="Y118" s="14"/>
      <c r="Z118" s="15"/>
      <c r="AA118" s="14"/>
      <c r="AB118" s="3"/>
      <c r="AC118" s="3"/>
      <c r="AD118" s="3"/>
      <c r="AE118" s="3"/>
      <c r="AF118" s="3"/>
    </row>
    <row r="119" ht="15.75" customHeight="1">
      <c r="J119" s="15"/>
      <c r="K119" s="238"/>
      <c r="L119" s="15"/>
      <c r="M119" s="15"/>
      <c r="N119" s="15"/>
      <c r="O119" s="15"/>
      <c r="P119" s="15"/>
      <c r="Q119" s="15"/>
      <c r="R119" s="15"/>
      <c r="S119" s="15"/>
      <c r="T119" s="15"/>
      <c r="U119" s="15"/>
      <c r="V119" s="15"/>
      <c r="W119" s="15"/>
      <c r="X119" s="25"/>
      <c r="Y119" s="14"/>
      <c r="Z119" s="15"/>
      <c r="AA119" s="25"/>
      <c r="AB119" s="3"/>
      <c r="AC119" s="3"/>
      <c r="AD119" s="3"/>
      <c r="AE119" s="3"/>
      <c r="AF119" s="3"/>
    </row>
    <row r="120" ht="15.75" customHeight="1">
      <c r="J120" s="15"/>
      <c r="K120" s="238"/>
      <c r="L120" s="15"/>
      <c r="M120" s="15"/>
      <c r="N120" s="15"/>
      <c r="O120" s="15"/>
      <c r="P120" s="15"/>
      <c r="Q120" s="15"/>
      <c r="R120" s="15"/>
      <c r="S120" s="15"/>
      <c r="T120" s="332"/>
      <c r="U120" s="15"/>
      <c r="V120" s="15"/>
      <c r="W120" s="15"/>
      <c r="X120" s="14"/>
      <c r="Y120" s="14"/>
      <c r="Z120" s="15"/>
      <c r="AA120" s="14"/>
      <c r="AB120" s="3"/>
      <c r="AC120" s="3"/>
      <c r="AD120" s="3"/>
      <c r="AE120" s="3"/>
      <c r="AF120" s="3"/>
    </row>
    <row r="121" ht="15.75" customHeight="1">
      <c r="J121" s="15"/>
      <c r="K121" s="238"/>
      <c r="L121" s="15"/>
      <c r="M121" s="15"/>
      <c r="N121" s="15"/>
      <c r="O121" s="15"/>
      <c r="P121" s="15"/>
      <c r="Q121" s="15"/>
      <c r="R121" s="15"/>
      <c r="S121" s="15"/>
      <c r="T121" s="15"/>
      <c r="U121" s="15"/>
      <c r="V121" s="15"/>
      <c r="W121" s="15"/>
      <c r="X121" s="14"/>
      <c r="Y121" s="14"/>
      <c r="Z121" s="15"/>
      <c r="AA121" s="14"/>
      <c r="AB121" s="3"/>
      <c r="AC121" s="3"/>
      <c r="AD121" s="3"/>
      <c r="AE121" s="3"/>
      <c r="AF121" s="3"/>
    </row>
    <row r="122" ht="15.75" customHeight="1">
      <c r="J122" s="15"/>
      <c r="K122" s="238"/>
      <c r="L122" s="15"/>
      <c r="M122" s="15"/>
      <c r="N122" s="15"/>
      <c r="O122" s="15"/>
      <c r="P122" s="15"/>
      <c r="Q122" s="15"/>
      <c r="R122" s="15"/>
      <c r="S122" s="15"/>
      <c r="T122" s="15"/>
      <c r="U122" s="15"/>
      <c r="V122" s="15"/>
      <c r="W122" s="15"/>
      <c r="X122" s="14"/>
      <c r="Y122" s="14"/>
      <c r="Z122" s="15"/>
      <c r="AA122" s="14"/>
      <c r="AB122" s="3"/>
      <c r="AC122" s="3"/>
      <c r="AD122" s="3"/>
      <c r="AE122" s="3"/>
      <c r="AF122" s="3"/>
    </row>
    <row r="123" ht="15.75" customHeight="1">
      <c r="J123" s="15"/>
      <c r="K123" s="238"/>
      <c r="L123" s="15"/>
      <c r="M123" s="15"/>
      <c r="N123" s="15"/>
      <c r="O123" s="15"/>
      <c r="P123" s="15"/>
      <c r="Q123" s="15"/>
      <c r="R123" s="15"/>
      <c r="S123" s="15"/>
      <c r="T123" s="15"/>
      <c r="U123" s="15"/>
      <c r="V123" s="15"/>
      <c r="W123" s="15"/>
      <c r="X123" s="14"/>
      <c r="Y123" s="14"/>
      <c r="Z123" s="15"/>
      <c r="AA123" s="14"/>
      <c r="AB123" s="3"/>
      <c r="AC123" s="3"/>
      <c r="AD123" s="3"/>
      <c r="AE123" s="3"/>
      <c r="AF123" s="3"/>
    </row>
    <row r="124" ht="15.75" customHeight="1">
      <c r="J124" s="15"/>
      <c r="K124" s="238"/>
      <c r="L124" s="15"/>
      <c r="M124" s="15"/>
      <c r="N124" s="15"/>
      <c r="O124" s="15"/>
      <c r="P124" s="15"/>
      <c r="Q124" s="15"/>
      <c r="R124" s="15"/>
      <c r="S124" s="15"/>
      <c r="T124" s="15"/>
      <c r="U124" s="15"/>
      <c r="V124" s="15"/>
      <c r="W124" s="15"/>
      <c r="X124" s="14"/>
      <c r="Y124" s="14"/>
      <c r="Z124" s="15"/>
      <c r="AA124" s="14"/>
      <c r="AB124" s="3"/>
      <c r="AC124" s="3"/>
      <c r="AD124" s="3"/>
      <c r="AE124" s="3"/>
      <c r="AF124" s="3"/>
    </row>
    <row r="125" ht="15.75" customHeight="1">
      <c r="J125" s="15"/>
      <c r="K125" s="238"/>
      <c r="L125" s="15"/>
      <c r="M125" s="15"/>
      <c r="N125" s="15"/>
      <c r="O125" s="15"/>
      <c r="P125" s="15"/>
      <c r="Q125" s="15"/>
      <c r="R125" s="15"/>
      <c r="S125" s="15"/>
      <c r="T125" s="15"/>
      <c r="U125" s="15"/>
      <c r="V125" s="15"/>
      <c r="W125" s="15"/>
      <c r="X125" s="14"/>
      <c r="Y125" s="14"/>
      <c r="Z125" s="15"/>
      <c r="AA125" s="14"/>
      <c r="AB125" s="3"/>
      <c r="AC125" s="3"/>
      <c r="AD125" s="3"/>
      <c r="AE125" s="3"/>
      <c r="AF125" s="3"/>
    </row>
    <row r="126" ht="15.75" customHeight="1">
      <c r="J126" s="15"/>
      <c r="K126" s="238"/>
      <c r="L126" s="15"/>
      <c r="M126" s="15"/>
      <c r="N126" s="15"/>
      <c r="O126" s="15"/>
      <c r="P126" s="15"/>
      <c r="Q126" s="15"/>
      <c r="R126" s="15"/>
      <c r="S126" s="15"/>
      <c r="T126" s="15"/>
      <c r="U126" s="15"/>
      <c r="V126" s="15"/>
      <c r="W126" s="15"/>
      <c r="X126" s="14"/>
      <c r="Y126" s="14"/>
      <c r="Z126" s="15"/>
      <c r="AA126" s="14"/>
      <c r="AB126" s="3"/>
      <c r="AC126" s="3"/>
      <c r="AD126" s="3"/>
      <c r="AE126" s="3"/>
      <c r="AF126" s="3"/>
    </row>
    <row r="127" ht="15.75" customHeight="1">
      <c r="J127" s="15"/>
      <c r="K127" s="238"/>
      <c r="L127" s="15"/>
      <c r="M127" s="15"/>
      <c r="N127" s="15"/>
      <c r="O127" s="15"/>
      <c r="P127" s="15"/>
      <c r="Q127" s="15"/>
      <c r="R127" s="15"/>
      <c r="S127" s="15"/>
      <c r="T127" s="15"/>
      <c r="U127" s="15"/>
      <c r="V127" s="15"/>
      <c r="W127" s="15"/>
      <c r="X127" s="14"/>
      <c r="Y127" s="14"/>
      <c r="Z127" s="15"/>
      <c r="AA127" s="14"/>
      <c r="AB127" s="3"/>
      <c r="AC127" s="3"/>
      <c r="AD127" s="3"/>
      <c r="AE127" s="3"/>
      <c r="AF127" s="3"/>
    </row>
    <row r="128" ht="15.75" customHeight="1">
      <c r="J128" s="15"/>
      <c r="K128" s="238"/>
      <c r="L128" s="15"/>
      <c r="M128" s="15"/>
      <c r="N128" s="15"/>
      <c r="O128" s="15"/>
      <c r="P128" s="15"/>
      <c r="Q128" s="15"/>
      <c r="R128" s="15"/>
      <c r="S128" s="15"/>
      <c r="T128" s="15"/>
      <c r="U128" s="15"/>
      <c r="V128" s="15"/>
      <c r="W128" s="15"/>
      <c r="X128" s="14"/>
      <c r="Y128" s="14"/>
      <c r="Z128" s="15"/>
      <c r="AA128" s="14"/>
      <c r="AB128" s="3"/>
      <c r="AC128" s="3"/>
      <c r="AD128" s="3"/>
      <c r="AE128" s="3"/>
      <c r="AF128" s="3"/>
    </row>
    <row r="129" ht="15.75" customHeight="1">
      <c r="J129" s="15"/>
      <c r="K129" s="238"/>
      <c r="L129" s="15"/>
      <c r="M129" s="15"/>
      <c r="N129" s="15"/>
      <c r="O129" s="15"/>
      <c r="P129" s="15"/>
      <c r="Q129" s="15"/>
      <c r="R129" s="15"/>
      <c r="S129" s="15"/>
      <c r="T129" s="15"/>
      <c r="U129" s="15"/>
      <c r="V129" s="15"/>
      <c r="W129" s="15"/>
      <c r="X129" s="14"/>
      <c r="Y129" s="14"/>
      <c r="Z129" s="15"/>
      <c r="AA129" s="14"/>
      <c r="AB129" s="3"/>
      <c r="AC129" s="3"/>
      <c r="AD129" s="3"/>
      <c r="AE129" s="3"/>
      <c r="AF129" s="3"/>
    </row>
    <row r="130" ht="15.75" customHeight="1">
      <c r="J130" s="15"/>
      <c r="K130" s="238"/>
      <c r="L130" s="15"/>
      <c r="M130" s="15"/>
      <c r="N130" s="15"/>
      <c r="O130" s="15"/>
      <c r="P130" s="15"/>
      <c r="Q130" s="15"/>
      <c r="R130" s="15"/>
      <c r="S130" s="15"/>
      <c r="T130" s="15"/>
      <c r="U130" s="15"/>
      <c r="V130" s="15"/>
      <c r="W130" s="15"/>
      <c r="X130" s="14"/>
      <c r="Y130" s="14"/>
      <c r="Z130" s="15"/>
      <c r="AA130" s="14"/>
      <c r="AB130" s="3"/>
      <c r="AC130" s="3"/>
      <c r="AD130" s="3"/>
      <c r="AE130" s="3"/>
      <c r="AF130" s="3"/>
    </row>
    <row r="131" ht="15.75" customHeight="1">
      <c r="J131" s="15"/>
      <c r="K131" s="238"/>
      <c r="L131" s="15"/>
      <c r="M131" s="15"/>
      <c r="N131" s="15"/>
      <c r="O131" s="15"/>
      <c r="P131" s="15"/>
      <c r="Q131" s="15"/>
      <c r="R131" s="15"/>
      <c r="S131" s="15"/>
      <c r="T131" s="15"/>
      <c r="U131" s="15"/>
      <c r="V131" s="15"/>
      <c r="W131" s="15"/>
      <c r="X131" s="14"/>
      <c r="Y131" s="14"/>
      <c r="Z131" s="15"/>
      <c r="AA131" s="14"/>
      <c r="AB131" s="3"/>
      <c r="AC131" s="3"/>
      <c r="AD131" s="3"/>
      <c r="AE131" s="3"/>
      <c r="AF131" s="3"/>
    </row>
    <row r="132" ht="15.75" customHeight="1">
      <c r="J132" s="15"/>
      <c r="K132" s="238"/>
      <c r="L132" s="15"/>
      <c r="M132" s="15"/>
      <c r="N132" s="15"/>
      <c r="O132" s="15"/>
      <c r="P132" s="15"/>
      <c r="Q132" s="15"/>
      <c r="R132" s="15"/>
      <c r="S132" s="15"/>
      <c r="T132" s="15"/>
      <c r="U132" s="15"/>
      <c r="V132" s="15"/>
      <c r="W132" s="15"/>
      <c r="X132" s="14"/>
      <c r="Y132" s="14"/>
      <c r="Z132" s="15"/>
      <c r="AA132" s="14"/>
      <c r="AB132" s="3"/>
      <c r="AC132" s="3"/>
      <c r="AD132" s="3"/>
      <c r="AE132" s="3"/>
      <c r="AF132" s="3"/>
    </row>
    <row r="133" ht="15.75" customHeight="1">
      <c r="J133" s="15"/>
      <c r="K133" s="238"/>
      <c r="L133" s="15"/>
      <c r="M133" s="15"/>
      <c r="N133" s="15"/>
      <c r="O133" s="15"/>
      <c r="P133" s="15"/>
      <c r="Q133" s="15"/>
      <c r="R133" s="15"/>
      <c r="S133" s="15"/>
      <c r="T133" s="15"/>
      <c r="U133" s="15"/>
      <c r="V133" s="15"/>
      <c r="W133" s="15"/>
      <c r="X133" s="14"/>
      <c r="Y133" s="14"/>
      <c r="Z133" s="15"/>
      <c r="AA133" s="14"/>
      <c r="AB133" s="3"/>
      <c r="AC133" s="3"/>
      <c r="AD133" s="3"/>
      <c r="AE133" s="3"/>
      <c r="AF133" s="3"/>
    </row>
    <row r="134" ht="15.75" customHeight="1">
      <c r="J134" s="15"/>
      <c r="K134" s="238"/>
      <c r="L134" s="15"/>
      <c r="M134" s="15"/>
      <c r="N134" s="15"/>
      <c r="O134" s="15"/>
      <c r="P134" s="15"/>
      <c r="Q134" s="15"/>
      <c r="R134" s="15"/>
      <c r="S134" s="15"/>
      <c r="T134" s="15"/>
      <c r="U134" s="15"/>
      <c r="V134" s="15"/>
      <c r="W134" s="15"/>
      <c r="X134" s="14"/>
      <c r="Y134" s="14"/>
      <c r="Z134" s="15"/>
      <c r="AA134" s="14"/>
      <c r="AB134" s="3"/>
      <c r="AC134" s="3"/>
      <c r="AD134" s="3"/>
      <c r="AE134" s="3"/>
      <c r="AF134" s="3"/>
    </row>
    <row r="135" ht="15.75" customHeight="1">
      <c r="J135" s="15"/>
      <c r="K135" s="238"/>
      <c r="L135" s="15"/>
      <c r="M135" s="15"/>
      <c r="N135" s="15"/>
      <c r="O135" s="15"/>
      <c r="P135" s="15"/>
      <c r="Q135" s="15"/>
      <c r="R135" s="15"/>
      <c r="S135" s="15"/>
      <c r="T135" s="15"/>
      <c r="U135" s="15"/>
      <c r="V135" s="15"/>
      <c r="W135" s="15"/>
      <c r="X135" s="14"/>
      <c r="Y135" s="14"/>
      <c r="Z135" s="15"/>
      <c r="AA135" s="14"/>
      <c r="AB135" s="3"/>
      <c r="AC135" s="3"/>
      <c r="AD135" s="3"/>
      <c r="AE135" s="3"/>
      <c r="AF135" s="3"/>
    </row>
    <row r="136" ht="15.75" customHeight="1">
      <c r="J136" s="15"/>
      <c r="K136" s="238"/>
      <c r="L136" s="15"/>
      <c r="M136" s="15"/>
      <c r="N136" s="15"/>
      <c r="O136" s="15"/>
      <c r="P136" s="15"/>
      <c r="Q136" s="15"/>
      <c r="R136" s="15"/>
      <c r="S136" s="15"/>
      <c r="T136" s="15"/>
      <c r="U136" s="15"/>
      <c r="V136" s="15"/>
      <c r="W136" s="15"/>
      <c r="X136" s="14"/>
      <c r="Y136" s="14"/>
      <c r="Z136" s="15"/>
      <c r="AA136" s="14"/>
      <c r="AB136" s="3"/>
      <c r="AC136" s="3"/>
      <c r="AD136" s="3"/>
      <c r="AE136" s="3"/>
      <c r="AF136" s="3"/>
    </row>
    <row r="137" ht="15.75" customHeight="1">
      <c r="J137" s="15"/>
      <c r="K137" s="238"/>
      <c r="L137" s="15"/>
      <c r="M137" s="15"/>
      <c r="N137" s="15"/>
      <c r="O137" s="15"/>
      <c r="P137" s="15"/>
      <c r="Q137" s="15"/>
      <c r="R137" s="15"/>
      <c r="S137" s="15"/>
      <c r="T137" s="15"/>
      <c r="U137" s="15"/>
      <c r="V137" s="15"/>
      <c r="W137" s="15"/>
      <c r="X137" s="14"/>
      <c r="Y137" s="14"/>
      <c r="Z137" s="15"/>
      <c r="AA137" s="14"/>
      <c r="AB137" s="3"/>
      <c r="AC137" s="3"/>
      <c r="AD137" s="3"/>
      <c r="AE137" s="3"/>
      <c r="AF137" s="3"/>
    </row>
    <row r="138" ht="15.75" customHeight="1">
      <c r="J138" s="15"/>
      <c r="K138" s="238"/>
      <c r="L138" s="15"/>
      <c r="M138" s="15"/>
      <c r="N138" s="15"/>
      <c r="O138" s="15"/>
      <c r="P138" s="15"/>
      <c r="Q138" s="15"/>
      <c r="R138" s="15"/>
      <c r="S138" s="15"/>
      <c r="T138" s="15"/>
      <c r="U138" s="15"/>
      <c r="V138" s="15"/>
      <c r="W138" s="15"/>
      <c r="X138" s="14"/>
      <c r="Y138" s="14"/>
      <c r="Z138" s="15"/>
      <c r="AA138" s="14"/>
      <c r="AB138" s="3"/>
      <c r="AC138" s="3"/>
      <c r="AD138" s="3"/>
      <c r="AE138" s="3"/>
      <c r="AF138" s="3"/>
    </row>
    <row r="139" ht="15.75" customHeight="1">
      <c r="J139" s="15"/>
      <c r="K139" s="238"/>
      <c r="L139" s="15"/>
      <c r="M139" s="15"/>
      <c r="N139" s="15"/>
      <c r="O139" s="15"/>
      <c r="P139" s="15"/>
      <c r="Q139" s="15"/>
      <c r="R139" s="15"/>
      <c r="S139" s="15"/>
      <c r="T139" s="15"/>
      <c r="U139" s="15"/>
      <c r="V139" s="15"/>
      <c r="W139" s="15"/>
      <c r="X139" s="14"/>
      <c r="Y139" s="14"/>
      <c r="Z139" s="15"/>
      <c r="AA139" s="14"/>
      <c r="AB139" s="3"/>
      <c r="AC139" s="3"/>
      <c r="AD139" s="3"/>
      <c r="AE139" s="3"/>
      <c r="AF139" s="3"/>
    </row>
    <row r="140" ht="15.75" customHeight="1">
      <c r="J140" s="15"/>
      <c r="K140" s="238"/>
      <c r="L140" s="15"/>
      <c r="M140" s="15"/>
      <c r="N140" s="15"/>
      <c r="O140" s="15"/>
      <c r="P140" s="15"/>
      <c r="Q140" s="15"/>
      <c r="R140" s="15"/>
      <c r="S140" s="15"/>
      <c r="T140" s="15"/>
      <c r="U140" s="15"/>
      <c r="V140" s="15"/>
      <c r="W140" s="15"/>
      <c r="X140" s="14"/>
      <c r="Y140" s="14"/>
      <c r="Z140" s="15"/>
      <c r="AA140" s="14"/>
      <c r="AB140" s="3"/>
      <c r="AC140" s="3"/>
      <c r="AD140" s="3"/>
      <c r="AE140" s="3"/>
      <c r="AF140" s="3"/>
    </row>
    <row r="141" ht="15.75" customHeight="1">
      <c r="J141" s="15"/>
      <c r="K141" s="238"/>
      <c r="L141" s="15"/>
      <c r="M141" s="15"/>
      <c r="N141" s="15"/>
      <c r="O141" s="15"/>
      <c r="P141" s="15"/>
      <c r="Q141" s="15"/>
      <c r="R141" s="15"/>
      <c r="S141" s="15"/>
      <c r="T141" s="15"/>
      <c r="U141" s="15"/>
      <c r="V141" s="15"/>
      <c r="W141" s="15"/>
      <c r="X141" s="14"/>
      <c r="Y141" s="14"/>
      <c r="Z141" s="15"/>
      <c r="AA141" s="14"/>
      <c r="AB141" s="3"/>
      <c r="AC141" s="3"/>
      <c r="AD141" s="3"/>
      <c r="AE141" s="3"/>
      <c r="AF141" s="3"/>
    </row>
    <row r="142" ht="15.75" customHeight="1">
      <c r="J142" s="15"/>
      <c r="K142" s="238"/>
      <c r="L142" s="15"/>
      <c r="M142" s="15"/>
      <c r="N142" s="15"/>
      <c r="O142" s="15"/>
      <c r="P142" s="15"/>
      <c r="Q142" s="15"/>
      <c r="R142" s="15"/>
      <c r="S142" s="15"/>
      <c r="T142" s="15"/>
      <c r="U142" s="15"/>
      <c r="V142" s="15"/>
      <c r="W142" s="15"/>
      <c r="X142" s="14"/>
      <c r="Y142" s="14"/>
      <c r="Z142" s="15"/>
      <c r="AA142" s="14"/>
      <c r="AB142" s="3"/>
      <c r="AC142" s="3"/>
      <c r="AD142" s="3"/>
      <c r="AE142" s="3"/>
      <c r="AF142" s="3"/>
    </row>
    <row r="143" ht="15.75" customHeight="1">
      <c r="J143" s="15"/>
      <c r="K143" s="238"/>
      <c r="L143" s="15"/>
      <c r="M143" s="15"/>
      <c r="N143" s="15"/>
      <c r="O143" s="15"/>
      <c r="P143" s="15"/>
      <c r="Q143" s="15"/>
      <c r="R143" s="15"/>
      <c r="S143" s="15"/>
      <c r="T143" s="15"/>
      <c r="U143" s="15"/>
      <c r="V143" s="15"/>
      <c r="W143" s="15"/>
      <c r="X143" s="14"/>
      <c r="Y143" s="14"/>
      <c r="Z143" s="15"/>
      <c r="AA143" s="14"/>
      <c r="AB143" s="3"/>
      <c r="AC143" s="3"/>
      <c r="AD143" s="3"/>
      <c r="AE143" s="3"/>
      <c r="AF143" s="3"/>
    </row>
    <row r="144" ht="15.75" customHeight="1">
      <c r="J144" s="15"/>
      <c r="K144" s="238"/>
      <c r="L144" s="15"/>
      <c r="M144" s="15"/>
      <c r="N144" s="15"/>
      <c r="O144" s="15"/>
      <c r="P144" s="15"/>
      <c r="Q144" s="15"/>
      <c r="R144" s="15"/>
      <c r="S144" s="15"/>
      <c r="T144" s="15"/>
      <c r="U144" s="15"/>
      <c r="V144" s="15"/>
      <c r="W144" s="15"/>
      <c r="X144" s="14"/>
      <c r="Y144" s="14"/>
      <c r="Z144" s="15"/>
      <c r="AA144" s="14"/>
      <c r="AB144" s="3"/>
      <c r="AC144" s="3"/>
      <c r="AD144" s="3"/>
      <c r="AE144" s="3"/>
      <c r="AF144" s="3"/>
    </row>
    <row r="145" ht="15.75" customHeight="1">
      <c r="J145" s="15"/>
      <c r="K145" s="238"/>
      <c r="L145" s="15"/>
      <c r="M145" s="15"/>
      <c r="N145" s="15"/>
      <c r="O145" s="15"/>
      <c r="P145" s="15"/>
      <c r="Q145" s="15"/>
      <c r="R145" s="15"/>
      <c r="S145" s="15"/>
      <c r="T145" s="15"/>
      <c r="U145" s="15"/>
      <c r="V145" s="15"/>
      <c r="W145" s="15"/>
      <c r="X145" s="14"/>
      <c r="Y145" s="14"/>
      <c r="Z145" s="15"/>
      <c r="AA145" s="14"/>
      <c r="AB145" s="3"/>
      <c r="AC145" s="3"/>
      <c r="AD145" s="3"/>
      <c r="AE145" s="3"/>
      <c r="AF145" s="3"/>
    </row>
    <row r="146" ht="15.75" customHeight="1">
      <c r="J146" s="15"/>
      <c r="K146" s="238"/>
      <c r="L146" s="15"/>
      <c r="M146" s="15"/>
      <c r="N146" s="15"/>
      <c r="O146" s="15"/>
      <c r="P146" s="15"/>
      <c r="Q146" s="15"/>
      <c r="R146" s="15"/>
      <c r="S146" s="15"/>
      <c r="T146" s="15"/>
      <c r="U146" s="15"/>
      <c r="V146" s="15"/>
      <c r="W146" s="15"/>
      <c r="X146" s="14"/>
      <c r="Y146" s="14"/>
      <c r="Z146" s="15"/>
      <c r="AA146" s="14"/>
      <c r="AB146" s="3"/>
      <c r="AC146" s="3"/>
      <c r="AD146" s="3"/>
      <c r="AE146" s="3"/>
      <c r="AF146" s="3"/>
    </row>
    <row r="147" ht="15.75" customHeight="1">
      <c r="J147" s="15"/>
      <c r="K147" s="238"/>
      <c r="L147" s="15"/>
      <c r="M147" s="15"/>
      <c r="N147" s="15"/>
      <c r="O147" s="15"/>
      <c r="P147" s="15"/>
      <c r="Q147" s="15"/>
      <c r="R147" s="15"/>
      <c r="S147" s="15"/>
      <c r="T147" s="15"/>
      <c r="U147" s="15"/>
      <c r="V147" s="15"/>
      <c r="W147" s="15"/>
      <c r="X147" s="14"/>
      <c r="Y147" s="14"/>
      <c r="Z147" s="15"/>
      <c r="AA147" s="14"/>
      <c r="AB147" s="3"/>
      <c r="AC147" s="3"/>
      <c r="AD147" s="3"/>
      <c r="AE147" s="3"/>
      <c r="AF147" s="3"/>
    </row>
    <row r="148" ht="15.75" customHeight="1">
      <c r="J148" s="15"/>
      <c r="K148" s="238"/>
      <c r="L148" s="15"/>
      <c r="M148" s="15"/>
      <c r="N148" s="15"/>
      <c r="O148" s="15"/>
      <c r="P148" s="15"/>
      <c r="Q148" s="15"/>
      <c r="R148" s="15"/>
      <c r="S148" s="15"/>
      <c r="T148" s="15"/>
      <c r="U148" s="15"/>
      <c r="V148" s="15"/>
      <c r="W148" s="15"/>
      <c r="X148" s="14"/>
      <c r="Y148" s="14"/>
      <c r="Z148" s="15"/>
      <c r="AA148" s="14"/>
      <c r="AB148" s="3"/>
      <c r="AC148" s="3"/>
      <c r="AD148" s="3"/>
      <c r="AE148" s="3"/>
      <c r="AF148" s="3"/>
    </row>
    <row r="149" ht="15.75" customHeight="1">
      <c r="J149" s="15"/>
      <c r="K149" s="238"/>
      <c r="L149" s="15"/>
      <c r="M149" s="15"/>
      <c r="N149" s="15"/>
      <c r="O149" s="15"/>
      <c r="P149" s="15"/>
      <c r="Q149" s="15"/>
      <c r="R149" s="15"/>
      <c r="S149" s="15"/>
      <c r="T149" s="15"/>
      <c r="U149" s="15"/>
      <c r="V149" s="15"/>
      <c r="W149" s="15"/>
      <c r="X149" s="14"/>
      <c r="Y149" s="14"/>
      <c r="Z149" s="15"/>
      <c r="AA149" s="14"/>
      <c r="AB149" s="3"/>
      <c r="AC149" s="3"/>
      <c r="AD149" s="3"/>
      <c r="AE149" s="3"/>
      <c r="AF149" s="3"/>
    </row>
    <row r="150" ht="15.75" customHeight="1">
      <c r="J150" s="15"/>
      <c r="K150" s="238"/>
      <c r="L150" s="15"/>
      <c r="M150" s="15"/>
      <c r="N150" s="15"/>
      <c r="O150" s="15"/>
      <c r="P150" s="15"/>
      <c r="Q150" s="15"/>
      <c r="R150" s="15"/>
      <c r="S150" s="15"/>
      <c r="T150" s="15"/>
      <c r="U150" s="15"/>
      <c r="V150" s="15"/>
      <c r="W150" s="15"/>
      <c r="X150" s="14"/>
      <c r="Y150" s="14"/>
      <c r="Z150" s="15"/>
      <c r="AA150" s="14"/>
      <c r="AB150" s="3"/>
      <c r="AC150" s="3"/>
      <c r="AD150" s="3"/>
      <c r="AE150" s="3"/>
      <c r="AF150" s="3"/>
    </row>
    <row r="151" ht="15.75" customHeight="1">
      <c r="J151" s="15"/>
      <c r="K151" s="238"/>
      <c r="L151" s="15"/>
      <c r="M151" s="15"/>
      <c r="N151" s="15"/>
      <c r="O151" s="15"/>
      <c r="P151" s="15"/>
      <c r="Q151" s="15"/>
      <c r="R151" s="15"/>
      <c r="S151" s="15"/>
      <c r="T151" s="15"/>
      <c r="U151" s="15"/>
      <c r="V151" s="15"/>
      <c r="W151" s="15"/>
      <c r="X151" s="14"/>
      <c r="Y151" s="14"/>
      <c r="Z151" s="15"/>
      <c r="AA151" s="14"/>
      <c r="AB151" s="3"/>
      <c r="AC151" s="3"/>
      <c r="AD151" s="3"/>
      <c r="AE151" s="3"/>
      <c r="AF151" s="3"/>
    </row>
    <row r="152" ht="15.75" customHeight="1">
      <c r="J152" s="15"/>
      <c r="K152" s="238"/>
      <c r="L152" s="15"/>
      <c r="M152" s="15"/>
      <c r="N152" s="15"/>
      <c r="O152" s="15"/>
      <c r="P152" s="15"/>
      <c r="Q152" s="15"/>
      <c r="R152" s="15"/>
      <c r="S152" s="15"/>
      <c r="T152" s="15"/>
      <c r="U152" s="15"/>
      <c r="V152" s="15"/>
      <c r="W152" s="15"/>
      <c r="X152" s="14"/>
      <c r="Y152" s="14"/>
      <c r="Z152" s="15"/>
      <c r="AA152" s="14"/>
      <c r="AB152" s="3"/>
      <c r="AC152" s="3"/>
      <c r="AD152" s="3"/>
      <c r="AE152" s="3"/>
      <c r="AF152" s="3"/>
    </row>
    <row r="153" ht="15.75" customHeight="1">
      <c r="J153" s="15"/>
      <c r="K153" s="238"/>
      <c r="L153" s="15"/>
      <c r="M153" s="15"/>
      <c r="N153" s="15"/>
      <c r="O153" s="15"/>
      <c r="P153" s="15"/>
      <c r="Q153" s="15"/>
      <c r="R153" s="15"/>
      <c r="S153" s="15"/>
      <c r="T153" s="15"/>
      <c r="U153" s="15"/>
      <c r="V153" s="15"/>
      <c r="W153" s="15"/>
      <c r="X153" s="14"/>
      <c r="Y153" s="14"/>
      <c r="Z153" s="15"/>
      <c r="AA153" s="14"/>
      <c r="AB153" s="3"/>
      <c r="AC153" s="3"/>
      <c r="AD153" s="3"/>
      <c r="AE153" s="3"/>
      <c r="AF153" s="3"/>
    </row>
    <row r="154" ht="15.75" customHeight="1">
      <c r="J154" s="15"/>
      <c r="K154" s="238"/>
      <c r="L154" s="15"/>
      <c r="M154" s="15"/>
      <c r="N154" s="15"/>
      <c r="O154" s="15"/>
      <c r="P154" s="15"/>
      <c r="Q154" s="15"/>
      <c r="R154" s="15"/>
      <c r="S154" s="15"/>
      <c r="T154" s="15"/>
      <c r="U154" s="15"/>
      <c r="V154" s="15"/>
      <c r="W154" s="15"/>
      <c r="X154" s="14"/>
      <c r="Y154" s="14"/>
      <c r="Z154" s="15"/>
      <c r="AA154" s="14"/>
      <c r="AB154" s="3"/>
      <c r="AC154" s="3"/>
      <c r="AD154" s="3"/>
      <c r="AE154" s="3"/>
      <c r="AF154" s="3"/>
    </row>
    <row r="155" ht="15.75" customHeight="1">
      <c r="J155" s="15"/>
      <c r="K155" s="238"/>
      <c r="L155" s="15"/>
      <c r="M155" s="15"/>
      <c r="N155" s="15"/>
      <c r="O155" s="15"/>
      <c r="P155" s="15"/>
      <c r="Q155" s="15"/>
      <c r="R155" s="15"/>
      <c r="S155" s="15"/>
      <c r="T155" s="15"/>
      <c r="U155" s="15"/>
      <c r="V155" s="15"/>
      <c r="W155" s="15"/>
      <c r="X155" s="14"/>
      <c r="Y155" s="14"/>
      <c r="Z155" s="15"/>
      <c r="AA155" s="14"/>
      <c r="AB155" s="3"/>
      <c r="AC155" s="3"/>
      <c r="AD155" s="3"/>
      <c r="AE155" s="3"/>
      <c r="AF155" s="3"/>
    </row>
    <row r="156" ht="15.75" customHeight="1">
      <c r="J156" s="15"/>
      <c r="K156" s="238"/>
      <c r="L156" s="15"/>
      <c r="M156" s="15"/>
      <c r="N156" s="15"/>
      <c r="O156" s="15"/>
      <c r="P156" s="15"/>
      <c r="Q156" s="15"/>
      <c r="R156" s="15"/>
      <c r="S156" s="15"/>
      <c r="T156" s="15"/>
      <c r="U156" s="15"/>
      <c r="V156" s="15"/>
      <c r="W156" s="15"/>
      <c r="X156" s="14"/>
      <c r="Y156" s="14"/>
      <c r="Z156" s="15"/>
      <c r="AA156" s="14"/>
      <c r="AB156" s="3"/>
      <c r="AC156" s="3"/>
      <c r="AD156" s="3"/>
      <c r="AE156" s="3"/>
      <c r="AF156" s="3"/>
    </row>
    <row r="157" ht="15.75" customHeight="1">
      <c r="J157" s="15"/>
      <c r="K157" s="238"/>
      <c r="L157" s="15"/>
      <c r="M157" s="15"/>
      <c r="N157" s="15"/>
      <c r="O157" s="15"/>
      <c r="P157" s="15"/>
      <c r="Q157" s="15"/>
      <c r="R157" s="15"/>
      <c r="S157" s="15"/>
      <c r="T157" s="15"/>
      <c r="U157" s="15"/>
      <c r="V157" s="15"/>
      <c r="W157" s="15"/>
      <c r="X157" s="14"/>
      <c r="Y157" s="14"/>
      <c r="Z157" s="15"/>
      <c r="AA157" s="14"/>
      <c r="AB157" s="3"/>
      <c r="AC157" s="3"/>
      <c r="AD157" s="3"/>
      <c r="AE157" s="3"/>
      <c r="AF157" s="3"/>
    </row>
    <row r="158" ht="15.75" customHeight="1">
      <c r="J158" s="15"/>
      <c r="K158" s="238"/>
      <c r="L158" s="15"/>
      <c r="M158" s="15"/>
      <c r="N158" s="15"/>
      <c r="O158" s="15"/>
      <c r="P158" s="15"/>
      <c r="Q158" s="15"/>
      <c r="R158" s="15"/>
      <c r="S158" s="15"/>
      <c r="T158" s="15"/>
      <c r="U158" s="15"/>
      <c r="V158" s="15"/>
      <c r="W158" s="15"/>
      <c r="X158" s="14"/>
      <c r="Y158" s="14"/>
      <c r="Z158" s="15"/>
      <c r="AA158" s="14"/>
      <c r="AB158" s="3"/>
      <c r="AC158" s="3"/>
      <c r="AD158" s="3"/>
      <c r="AE158" s="3"/>
      <c r="AF158" s="3"/>
    </row>
    <row r="159" ht="15.75" customHeight="1">
      <c r="J159" s="15"/>
      <c r="K159" s="238"/>
      <c r="L159" s="15"/>
      <c r="M159" s="15"/>
      <c r="N159" s="15"/>
      <c r="O159" s="15"/>
      <c r="P159" s="15"/>
      <c r="Q159" s="15"/>
      <c r="R159" s="15"/>
      <c r="S159" s="15"/>
      <c r="T159" s="15"/>
      <c r="U159" s="15"/>
      <c r="V159" s="15"/>
      <c r="W159" s="15"/>
      <c r="X159" s="14"/>
      <c r="Y159" s="14"/>
      <c r="Z159" s="15"/>
      <c r="AA159" s="14"/>
      <c r="AB159" s="3"/>
      <c r="AC159" s="3"/>
      <c r="AD159" s="3"/>
      <c r="AE159" s="3"/>
      <c r="AF159" s="3"/>
    </row>
    <row r="160" ht="15.75" customHeight="1">
      <c r="J160" s="15"/>
      <c r="K160" s="238"/>
      <c r="L160" s="15"/>
      <c r="M160" s="15"/>
      <c r="N160" s="15"/>
      <c r="O160" s="15"/>
      <c r="P160" s="15"/>
      <c r="Q160" s="15"/>
      <c r="R160" s="15"/>
      <c r="S160" s="15"/>
      <c r="T160" s="15"/>
      <c r="U160" s="15"/>
      <c r="V160" s="15"/>
      <c r="W160" s="15"/>
      <c r="X160" s="14"/>
      <c r="Y160" s="14"/>
      <c r="Z160" s="15"/>
      <c r="AA160" s="14"/>
      <c r="AB160" s="3"/>
      <c r="AC160" s="3"/>
      <c r="AD160" s="3"/>
      <c r="AE160" s="3"/>
      <c r="AF160" s="3"/>
    </row>
    <row r="161" ht="15.75" customHeight="1">
      <c r="J161" s="15"/>
      <c r="K161" s="238"/>
      <c r="L161" s="15"/>
      <c r="M161" s="15"/>
      <c r="N161" s="15"/>
      <c r="O161" s="15"/>
      <c r="P161" s="15"/>
      <c r="Q161" s="15"/>
      <c r="R161" s="15"/>
      <c r="S161" s="15"/>
      <c r="T161" s="15"/>
      <c r="U161" s="15"/>
      <c r="V161" s="15"/>
      <c r="W161" s="15"/>
      <c r="X161" s="14"/>
      <c r="Y161" s="14"/>
      <c r="Z161" s="15"/>
      <c r="AA161" s="14"/>
      <c r="AB161" s="3"/>
      <c r="AC161" s="3"/>
      <c r="AD161" s="3"/>
      <c r="AE161" s="3"/>
      <c r="AF161" s="3"/>
    </row>
    <row r="162" ht="15.75" customHeight="1">
      <c r="J162" s="15"/>
      <c r="K162" s="238"/>
      <c r="L162" s="15"/>
      <c r="M162" s="15"/>
      <c r="N162" s="15"/>
      <c r="O162" s="15"/>
      <c r="P162" s="15"/>
      <c r="Q162" s="15"/>
      <c r="R162" s="15"/>
      <c r="S162" s="15"/>
      <c r="T162" s="15"/>
      <c r="U162" s="15"/>
      <c r="V162" s="15"/>
      <c r="W162" s="15"/>
      <c r="X162" s="14"/>
      <c r="Y162" s="14"/>
      <c r="Z162" s="15"/>
      <c r="AA162" s="14"/>
      <c r="AB162" s="3"/>
      <c r="AC162" s="3"/>
      <c r="AD162" s="3"/>
      <c r="AE162" s="3"/>
      <c r="AF162" s="3"/>
    </row>
    <row r="163" ht="15.75" customHeight="1">
      <c r="J163" s="15"/>
      <c r="K163" s="238"/>
      <c r="L163" s="15"/>
      <c r="M163" s="15"/>
      <c r="N163" s="15"/>
      <c r="O163" s="15"/>
      <c r="P163" s="15"/>
      <c r="Q163" s="15"/>
      <c r="R163" s="15"/>
      <c r="S163" s="15"/>
      <c r="T163" s="15"/>
      <c r="U163" s="15"/>
      <c r="V163" s="15"/>
      <c r="W163" s="15"/>
      <c r="X163" s="14"/>
      <c r="Y163" s="14"/>
      <c r="Z163" s="15"/>
      <c r="AA163" s="14"/>
      <c r="AB163" s="3"/>
      <c r="AC163" s="3"/>
      <c r="AD163" s="3"/>
      <c r="AE163" s="3"/>
      <c r="AF163" s="3"/>
    </row>
    <row r="164" ht="15.75" customHeight="1">
      <c r="J164" s="15"/>
      <c r="K164" s="238"/>
      <c r="L164" s="15"/>
      <c r="M164" s="15"/>
      <c r="N164" s="15"/>
      <c r="O164" s="15"/>
      <c r="P164" s="15"/>
      <c r="Q164" s="15"/>
      <c r="R164" s="15"/>
      <c r="S164" s="15"/>
      <c r="T164" s="15"/>
      <c r="U164" s="15"/>
      <c r="V164" s="15"/>
      <c r="W164" s="15"/>
      <c r="X164" s="14"/>
      <c r="Y164" s="14"/>
      <c r="Z164" s="15"/>
      <c r="AA164" s="14"/>
      <c r="AB164" s="3"/>
      <c r="AC164" s="3"/>
      <c r="AD164" s="3"/>
      <c r="AE164" s="3"/>
      <c r="AF164" s="3"/>
    </row>
    <row r="165" ht="15.75" customHeight="1">
      <c r="J165" s="15"/>
      <c r="K165" s="238"/>
      <c r="L165" s="15"/>
      <c r="M165" s="15"/>
      <c r="N165" s="15"/>
      <c r="O165" s="15"/>
      <c r="P165" s="15"/>
      <c r="Q165" s="15"/>
      <c r="R165" s="15"/>
      <c r="S165" s="15"/>
      <c r="T165" s="15"/>
      <c r="U165" s="15"/>
      <c r="V165" s="15"/>
      <c r="W165" s="15"/>
      <c r="X165" s="14"/>
      <c r="Y165" s="14"/>
      <c r="Z165" s="15"/>
      <c r="AA165" s="14"/>
      <c r="AB165" s="3"/>
      <c r="AC165" s="3"/>
      <c r="AD165" s="3"/>
      <c r="AE165" s="3"/>
      <c r="AF165" s="3"/>
    </row>
    <row r="166" ht="15.75" customHeight="1">
      <c r="J166" s="15"/>
      <c r="K166" s="238"/>
      <c r="L166" s="15"/>
      <c r="M166" s="15"/>
      <c r="N166" s="15"/>
      <c r="O166" s="15"/>
      <c r="P166" s="15"/>
      <c r="Q166" s="15"/>
      <c r="R166" s="15"/>
      <c r="S166" s="15"/>
      <c r="T166" s="15"/>
      <c r="U166" s="15"/>
      <c r="V166" s="15"/>
      <c r="W166" s="15"/>
      <c r="X166" s="14"/>
      <c r="Y166" s="14"/>
      <c r="Z166" s="15"/>
      <c r="AA166" s="14"/>
      <c r="AB166" s="3"/>
      <c r="AC166" s="3"/>
      <c r="AD166" s="3"/>
      <c r="AE166" s="3"/>
      <c r="AF166" s="3"/>
    </row>
    <row r="167" ht="15.75" customHeight="1">
      <c r="J167" s="15"/>
      <c r="K167" s="238"/>
      <c r="L167" s="15"/>
      <c r="M167" s="15"/>
      <c r="N167" s="15"/>
      <c r="O167" s="15"/>
      <c r="P167" s="15"/>
      <c r="Q167" s="15"/>
      <c r="R167" s="15"/>
      <c r="S167" s="15"/>
      <c r="T167" s="15"/>
      <c r="U167" s="15"/>
      <c r="V167" s="15"/>
      <c r="W167" s="15"/>
      <c r="X167" s="14"/>
      <c r="Y167" s="14"/>
      <c r="Z167" s="15"/>
      <c r="AA167" s="14"/>
      <c r="AB167" s="3"/>
      <c r="AC167" s="3"/>
      <c r="AD167" s="3"/>
      <c r="AE167" s="3"/>
      <c r="AF167" s="3"/>
    </row>
    <row r="168" ht="15.75" customHeight="1">
      <c r="J168" s="15"/>
      <c r="K168" s="238"/>
      <c r="L168" s="15"/>
      <c r="M168" s="15"/>
      <c r="N168" s="15"/>
      <c r="O168" s="15"/>
      <c r="P168" s="15"/>
      <c r="Q168" s="15"/>
      <c r="R168" s="15"/>
      <c r="S168" s="15"/>
      <c r="T168" s="15"/>
      <c r="U168" s="15"/>
      <c r="V168" s="15"/>
      <c r="W168" s="15"/>
      <c r="X168" s="14"/>
      <c r="Y168" s="14"/>
      <c r="Z168" s="15"/>
      <c r="AA168" s="14"/>
      <c r="AB168" s="3"/>
      <c r="AC168" s="3"/>
      <c r="AD168" s="3"/>
      <c r="AE168" s="3"/>
      <c r="AF168" s="3"/>
    </row>
    <row r="169" ht="15.75" customHeight="1">
      <c r="J169" s="15"/>
      <c r="K169" s="238"/>
      <c r="L169" s="15"/>
      <c r="M169" s="15"/>
      <c r="N169" s="15"/>
      <c r="O169" s="15"/>
      <c r="P169" s="15"/>
      <c r="Q169" s="15"/>
      <c r="R169" s="15"/>
      <c r="S169" s="15"/>
      <c r="T169" s="15"/>
      <c r="U169" s="15"/>
      <c r="V169" s="15"/>
      <c r="W169" s="15"/>
      <c r="X169" s="14"/>
      <c r="Y169" s="14"/>
      <c r="Z169" s="15"/>
      <c r="AA169" s="14"/>
      <c r="AB169" s="3"/>
      <c r="AC169" s="3"/>
      <c r="AD169" s="3"/>
      <c r="AE169" s="3"/>
      <c r="AF169" s="3"/>
    </row>
    <row r="170" ht="15.75" customHeight="1">
      <c r="J170" s="15"/>
      <c r="K170" s="238"/>
      <c r="L170" s="15"/>
      <c r="M170" s="15"/>
      <c r="N170" s="15"/>
      <c r="O170" s="15"/>
      <c r="P170" s="15"/>
      <c r="Q170" s="15"/>
      <c r="R170" s="15"/>
      <c r="S170" s="15"/>
      <c r="T170" s="15"/>
      <c r="U170" s="15"/>
      <c r="V170" s="15"/>
      <c r="W170" s="15"/>
      <c r="X170" s="14"/>
      <c r="Y170" s="14"/>
      <c r="Z170" s="15"/>
      <c r="AA170" s="14"/>
      <c r="AB170" s="3"/>
      <c r="AC170" s="3"/>
      <c r="AD170" s="3"/>
      <c r="AE170" s="3"/>
      <c r="AF170" s="3"/>
    </row>
    <row r="171" ht="15.75" customHeight="1">
      <c r="J171" s="15"/>
      <c r="K171" s="238"/>
      <c r="L171" s="15"/>
      <c r="M171" s="15"/>
      <c r="N171" s="15"/>
      <c r="O171" s="15"/>
      <c r="P171" s="15"/>
      <c r="Q171" s="15"/>
      <c r="R171" s="15"/>
      <c r="S171" s="15"/>
      <c r="T171" s="15"/>
      <c r="U171" s="15"/>
      <c r="V171" s="15"/>
      <c r="W171" s="15"/>
      <c r="X171" s="14"/>
      <c r="Y171" s="14"/>
      <c r="Z171" s="15"/>
      <c r="AA171" s="14"/>
      <c r="AB171" s="3"/>
      <c r="AC171" s="3"/>
      <c r="AD171" s="3"/>
      <c r="AE171" s="3"/>
      <c r="AF171" s="3"/>
    </row>
    <row r="172" ht="15.75" customHeight="1">
      <c r="J172" s="15"/>
      <c r="K172" s="238"/>
      <c r="L172" s="15"/>
      <c r="M172" s="15"/>
      <c r="N172" s="15"/>
      <c r="O172" s="15"/>
      <c r="P172" s="15"/>
      <c r="Q172" s="15"/>
      <c r="R172" s="15"/>
      <c r="S172" s="15"/>
      <c r="T172" s="15"/>
      <c r="U172" s="15"/>
      <c r="V172" s="15"/>
      <c r="W172" s="15"/>
      <c r="X172" s="14"/>
      <c r="Y172" s="14"/>
      <c r="Z172" s="15"/>
      <c r="AA172" s="14"/>
      <c r="AB172" s="3"/>
      <c r="AC172" s="3"/>
      <c r="AD172" s="3"/>
      <c r="AE172" s="3"/>
      <c r="AF172" s="3"/>
    </row>
    <row r="173" ht="15.75" customHeight="1">
      <c r="J173" s="15"/>
      <c r="K173" s="238"/>
      <c r="L173" s="15"/>
      <c r="M173" s="15"/>
      <c r="N173" s="15"/>
      <c r="O173" s="15"/>
      <c r="P173" s="15"/>
      <c r="Q173" s="15"/>
      <c r="R173" s="15"/>
      <c r="S173" s="15"/>
      <c r="T173" s="15"/>
      <c r="U173" s="15"/>
      <c r="V173" s="15"/>
      <c r="W173" s="15"/>
      <c r="X173" s="14"/>
      <c r="Y173" s="14"/>
      <c r="Z173" s="15"/>
      <c r="AA173" s="14"/>
      <c r="AB173" s="3"/>
      <c r="AC173" s="3"/>
      <c r="AD173" s="3"/>
      <c r="AE173" s="3"/>
      <c r="AF173" s="3"/>
    </row>
    <row r="174" ht="15.75" customHeight="1">
      <c r="J174" s="15"/>
      <c r="K174" s="238"/>
      <c r="L174" s="15"/>
      <c r="M174" s="15"/>
      <c r="N174" s="15"/>
      <c r="O174" s="15"/>
      <c r="P174" s="15"/>
      <c r="Q174" s="15"/>
      <c r="R174" s="15"/>
      <c r="S174" s="15"/>
      <c r="T174" s="15"/>
      <c r="U174" s="15"/>
      <c r="V174" s="15"/>
      <c r="W174" s="15"/>
      <c r="X174" s="14"/>
      <c r="Y174" s="14"/>
      <c r="Z174" s="15"/>
      <c r="AA174" s="14"/>
      <c r="AB174" s="3"/>
      <c r="AC174" s="3"/>
      <c r="AD174" s="3"/>
      <c r="AE174" s="3"/>
      <c r="AF174" s="3"/>
    </row>
    <row r="175" ht="15.75" customHeight="1">
      <c r="J175" s="15"/>
      <c r="K175" s="238"/>
      <c r="L175" s="15"/>
      <c r="M175" s="15"/>
      <c r="N175" s="15"/>
      <c r="O175" s="15"/>
      <c r="P175" s="15"/>
      <c r="Q175" s="15"/>
      <c r="R175" s="15"/>
      <c r="S175" s="15"/>
      <c r="T175" s="15"/>
      <c r="U175" s="15"/>
      <c r="V175" s="15"/>
      <c r="W175" s="15"/>
      <c r="X175" s="14"/>
      <c r="Y175" s="14"/>
      <c r="Z175" s="15"/>
      <c r="AA175" s="14"/>
      <c r="AB175" s="3"/>
      <c r="AC175" s="3"/>
      <c r="AD175" s="3"/>
      <c r="AE175" s="3"/>
      <c r="AF175" s="3"/>
    </row>
    <row r="176" ht="15.75" customHeight="1">
      <c r="J176" s="15"/>
      <c r="K176" s="238"/>
      <c r="L176" s="15"/>
      <c r="M176" s="15"/>
      <c r="N176" s="15"/>
      <c r="O176" s="15"/>
      <c r="P176" s="15"/>
      <c r="Q176" s="15"/>
      <c r="R176" s="15"/>
      <c r="S176" s="15"/>
      <c r="T176" s="15"/>
      <c r="U176" s="15"/>
      <c r="V176" s="15"/>
      <c r="W176" s="15"/>
      <c r="X176" s="14"/>
      <c r="Y176" s="14"/>
      <c r="Z176" s="15"/>
      <c r="AA176" s="14"/>
      <c r="AB176" s="3"/>
      <c r="AC176" s="3"/>
      <c r="AD176" s="3"/>
      <c r="AE176" s="3"/>
      <c r="AF176" s="3"/>
    </row>
    <row r="177" ht="15.75" customHeight="1">
      <c r="J177" s="15"/>
      <c r="K177" s="238"/>
      <c r="L177" s="15"/>
      <c r="M177" s="15"/>
      <c r="N177" s="15"/>
      <c r="O177" s="15"/>
      <c r="P177" s="15"/>
      <c r="Q177" s="15"/>
      <c r="R177" s="15"/>
      <c r="S177" s="15"/>
      <c r="T177" s="15"/>
      <c r="U177" s="15"/>
      <c r="V177" s="15"/>
      <c r="W177" s="15"/>
      <c r="X177" s="14"/>
      <c r="Y177" s="14"/>
      <c r="Z177" s="15"/>
      <c r="AA177" s="14"/>
      <c r="AB177" s="3"/>
      <c r="AC177" s="3"/>
      <c r="AD177" s="3"/>
      <c r="AE177" s="3"/>
      <c r="AF177" s="3"/>
    </row>
    <row r="178" ht="15.75" customHeight="1">
      <c r="J178" s="15"/>
      <c r="K178" s="238"/>
      <c r="L178" s="15"/>
      <c r="M178" s="15"/>
      <c r="N178" s="15"/>
      <c r="O178" s="15"/>
      <c r="P178" s="15"/>
      <c r="Q178" s="15"/>
      <c r="R178" s="15"/>
      <c r="S178" s="15"/>
      <c r="T178" s="15"/>
      <c r="U178" s="15"/>
      <c r="V178" s="15"/>
      <c r="W178" s="15"/>
      <c r="X178" s="14"/>
      <c r="Y178" s="14"/>
      <c r="Z178" s="15"/>
      <c r="AA178" s="14"/>
      <c r="AB178" s="3"/>
      <c r="AC178" s="3"/>
      <c r="AD178" s="3"/>
      <c r="AE178" s="3"/>
      <c r="AF178" s="3"/>
    </row>
    <row r="179" ht="15.75" customHeight="1">
      <c r="J179" s="15"/>
      <c r="K179" s="238"/>
      <c r="L179" s="15"/>
      <c r="M179" s="15"/>
      <c r="N179" s="15"/>
      <c r="O179" s="15"/>
      <c r="P179" s="15"/>
      <c r="Q179" s="15"/>
      <c r="R179" s="15"/>
      <c r="S179" s="15"/>
      <c r="T179" s="15"/>
      <c r="U179" s="15"/>
      <c r="V179" s="15"/>
      <c r="W179" s="15"/>
      <c r="X179" s="14"/>
      <c r="Y179" s="14"/>
      <c r="Z179" s="15"/>
      <c r="AA179" s="14"/>
      <c r="AB179" s="3"/>
      <c r="AC179" s="3"/>
      <c r="AD179" s="3"/>
      <c r="AE179" s="3"/>
      <c r="AF179" s="3"/>
    </row>
    <row r="180" ht="15.75" customHeight="1">
      <c r="J180" s="15"/>
      <c r="K180" s="238"/>
      <c r="L180" s="15"/>
      <c r="M180" s="15"/>
      <c r="N180" s="15"/>
      <c r="O180" s="15"/>
      <c r="P180" s="15"/>
      <c r="Q180" s="15"/>
      <c r="R180" s="15"/>
      <c r="S180" s="15"/>
      <c r="T180" s="15"/>
      <c r="U180" s="15"/>
      <c r="V180" s="15"/>
      <c r="W180" s="15"/>
      <c r="X180" s="14"/>
      <c r="Y180" s="14"/>
      <c r="Z180" s="15"/>
      <c r="AA180" s="14"/>
      <c r="AB180" s="3"/>
      <c r="AC180" s="3"/>
      <c r="AD180" s="3"/>
      <c r="AE180" s="3"/>
      <c r="AF180" s="3"/>
    </row>
    <row r="181" ht="15.75" customHeight="1">
      <c r="J181" s="15"/>
      <c r="K181" s="238"/>
      <c r="L181" s="15"/>
      <c r="M181" s="15"/>
      <c r="N181" s="15"/>
      <c r="O181" s="15"/>
      <c r="P181" s="15"/>
      <c r="Q181" s="15"/>
      <c r="R181" s="15"/>
      <c r="S181" s="15"/>
      <c r="T181" s="15"/>
      <c r="U181" s="15"/>
      <c r="V181" s="15"/>
      <c r="W181" s="15"/>
      <c r="X181" s="14"/>
      <c r="Y181" s="14"/>
      <c r="Z181" s="15"/>
      <c r="AA181" s="14"/>
      <c r="AB181" s="3"/>
      <c r="AC181" s="3"/>
      <c r="AD181" s="3"/>
      <c r="AE181" s="3"/>
      <c r="AF181" s="3"/>
    </row>
    <row r="182" ht="15.75" customHeight="1">
      <c r="J182" s="15"/>
      <c r="K182" s="238"/>
      <c r="L182" s="15"/>
      <c r="M182" s="15"/>
      <c r="N182" s="15"/>
      <c r="O182" s="15"/>
      <c r="P182" s="15"/>
      <c r="Q182" s="15"/>
      <c r="R182" s="15"/>
      <c r="S182" s="15"/>
      <c r="T182" s="15"/>
      <c r="U182" s="15"/>
      <c r="V182" s="15"/>
      <c r="W182" s="15"/>
      <c r="X182" s="14"/>
      <c r="Y182" s="14"/>
      <c r="Z182" s="15"/>
      <c r="AA182" s="14"/>
      <c r="AB182" s="3"/>
      <c r="AC182" s="3"/>
      <c r="AD182" s="3"/>
      <c r="AE182" s="3"/>
      <c r="AF182" s="3"/>
    </row>
    <row r="183" ht="15.75" customHeight="1">
      <c r="J183" s="15"/>
      <c r="K183" s="238"/>
      <c r="L183" s="15"/>
      <c r="M183" s="15"/>
      <c r="N183" s="15"/>
      <c r="O183" s="15"/>
      <c r="P183" s="15"/>
      <c r="Q183" s="15"/>
      <c r="R183" s="15"/>
      <c r="S183" s="15"/>
      <c r="T183" s="15"/>
      <c r="U183" s="15"/>
      <c r="V183" s="15"/>
      <c r="W183" s="15"/>
      <c r="X183" s="14"/>
      <c r="Y183" s="14"/>
      <c r="Z183" s="15"/>
      <c r="AA183" s="14"/>
      <c r="AB183" s="3"/>
      <c r="AC183" s="3"/>
      <c r="AD183" s="3"/>
      <c r="AE183" s="3"/>
      <c r="AF183" s="3"/>
    </row>
    <row r="184" ht="15.75" customHeight="1">
      <c r="J184" s="15"/>
      <c r="K184" s="238"/>
      <c r="L184" s="15"/>
      <c r="M184" s="15"/>
      <c r="N184" s="15"/>
      <c r="O184" s="15"/>
      <c r="P184" s="15"/>
      <c r="Q184" s="15"/>
      <c r="R184" s="15"/>
      <c r="S184" s="15"/>
      <c r="T184" s="15"/>
      <c r="U184" s="15"/>
      <c r="V184" s="15"/>
      <c r="W184" s="15"/>
      <c r="X184" s="14"/>
      <c r="Y184" s="14"/>
      <c r="Z184" s="15"/>
      <c r="AA184" s="14"/>
      <c r="AB184" s="3"/>
      <c r="AC184" s="3"/>
      <c r="AD184" s="3"/>
      <c r="AE184" s="3"/>
      <c r="AF184" s="3"/>
    </row>
    <row r="185" ht="15.75" customHeight="1">
      <c r="J185" s="15"/>
      <c r="K185" s="238"/>
      <c r="L185" s="15"/>
      <c r="M185" s="15"/>
      <c r="N185" s="15"/>
      <c r="O185" s="15"/>
      <c r="P185" s="15"/>
      <c r="Q185" s="15"/>
      <c r="R185" s="15"/>
      <c r="S185" s="15"/>
      <c r="T185" s="15"/>
      <c r="U185" s="15"/>
      <c r="V185" s="15"/>
      <c r="W185" s="15"/>
      <c r="X185" s="14"/>
      <c r="Y185" s="14"/>
      <c r="Z185" s="15"/>
      <c r="AA185" s="14"/>
      <c r="AB185" s="3"/>
      <c r="AC185" s="3"/>
      <c r="AD185" s="3"/>
      <c r="AE185" s="3"/>
      <c r="AF185" s="3"/>
    </row>
    <row r="186" ht="15.75" customHeight="1">
      <c r="J186" s="15"/>
      <c r="K186" s="238"/>
      <c r="L186" s="15"/>
      <c r="M186" s="15"/>
      <c r="N186" s="15"/>
      <c r="O186" s="15"/>
      <c r="P186" s="15"/>
      <c r="Q186" s="15"/>
      <c r="R186" s="15"/>
      <c r="S186" s="15"/>
      <c r="T186" s="15"/>
      <c r="U186" s="15"/>
      <c r="V186" s="15"/>
      <c r="W186" s="15"/>
      <c r="X186" s="14"/>
      <c r="Y186" s="14"/>
      <c r="Z186" s="15"/>
      <c r="AA186" s="14"/>
      <c r="AB186" s="3"/>
      <c r="AC186" s="3"/>
      <c r="AD186" s="3"/>
      <c r="AE186" s="3"/>
      <c r="AF186" s="3"/>
    </row>
    <row r="187" ht="15.75" customHeight="1">
      <c r="J187" s="15"/>
      <c r="K187" s="238"/>
      <c r="L187" s="15"/>
      <c r="M187" s="15"/>
      <c r="N187" s="15"/>
      <c r="O187" s="15"/>
      <c r="P187" s="15"/>
      <c r="Q187" s="15"/>
      <c r="R187" s="15"/>
      <c r="S187" s="15"/>
      <c r="T187" s="15"/>
      <c r="U187" s="15"/>
      <c r="V187" s="15"/>
      <c r="W187" s="15"/>
      <c r="X187" s="14"/>
      <c r="Y187" s="14"/>
      <c r="Z187" s="15"/>
      <c r="AA187" s="14"/>
      <c r="AB187" s="3"/>
      <c r="AC187" s="3"/>
      <c r="AD187" s="3"/>
      <c r="AE187" s="3"/>
      <c r="AF187" s="3"/>
    </row>
    <row r="188" ht="15.75" customHeight="1">
      <c r="J188" s="15"/>
      <c r="K188" s="238"/>
      <c r="L188" s="15"/>
      <c r="M188" s="15"/>
      <c r="N188" s="15"/>
      <c r="O188" s="15"/>
      <c r="P188" s="15"/>
      <c r="Q188" s="15"/>
      <c r="R188" s="15"/>
      <c r="S188" s="15"/>
      <c r="T188" s="15"/>
      <c r="U188" s="15"/>
      <c r="V188" s="15"/>
      <c r="W188" s="15"/>
      <c r="X188" s="14"/>
      <c r="Y188" s="14"/>
      <c r="Z188" s="15"/>
      <c r="AA188" s="14"/>
      <c r="AB188" s="3"/>
      <c r="AC188" s="3"/>
      <c r="AD188" s="3"/>
      <c r="AE188" s="3"/>
      <c r="AF188" s="3"/>
    </row>
    <row r="189" ht="15.75" customHeight="1">
      <c r="J189" s="15"/>
      <c r="K189" s="238"/>
      <c r="L189" s="15"/>
      <c r="M189" s="15"/>
      <c r="N189" s="15"/>
      <c r="O189" s="15"/>
      <c r="P189" s="15"/>
      <c r="Q189" s="15"/>
      <c r="R189" s="15"/>
      <c r="S189" s="15"/>
      <c r="T189" s="15"/>
      <c r="U189" s="15"/>
      <c r="V189" s="15"/>
      <c r="W189" s="15"/>
      <c r="X189" s="14"/>
      <c r="Y189" s="14"/>
      <c r="Z189" s="15"/>
      <c r="AA189" s="14"/>
      <c r="AB189" s="3"/>
      <c r="AC189" s="3"/>
      <c r="AD189" s="3"/>
      <c r="AE189" s="3"/>
      <c r="AF189" s="3"/>
    </row>
    <row r="190" ht="15.75" customHeight="1">
      <c r="J190" s="15"/>
      <c r="K190" s="238"/>
      <c r="L190" s="15"/>
      <c r="M190" s="15"/>
      <c r="N190" s="15"/>
      <c r="O190" s="15"/>
      <c r="P190" s="15"/>
      <c r="Q190" s="15"/>
      <c r="R190" s="15"/>
      <c r="S190" s="15"/>
      <c r="T190" s="15"/>
      <c r="U190" s="15"/>
      <c r="V190" s="15"/>
      <c r="W190" s="15"/>
      <c r="X190" s="14"/>
      <c r="Y190" s="14"/>
      <c r="Z190" s="15"/>
      <c r="AA190" s="14"/>
      <c r="AB190" s="3"/>
      <c r="AC190" s="3"/>
      <c r="AD190" s="3"/>
      <c r="AE190" s="3"/>
      <c r="AF190" s="3"/>
    </row>
    <row r="191" ht="15.75" customHeight="1">
      <c r="J191" s="15"/>
      <c r="K191" s="238"/>
      <c r="L191" s="15"/>
      <c r="M191" s="15"/>
      <c r="N191" s="15"/>
      <c r="O191" s="15"/>
      <c r="P191" s="15"/>
      <c r="Q191" s="15"/>
      <c r="R191" s="15"/>
      <c r="S191" s="15"/>
      <c r="T191" s="15"/>
      <c r="U191" s="15"/>
      <c r="V191" s="15"/>
      <c r="W191" s="15"/>
      <c r="X191" s="14"/>
      <c r="Y191" s="14"/>
      <c r="Z191" s="15"/>
      <c r="AA191" s="14"/>
      <c r="AB191" s="3"/>
      <c r="AC191" s="3"/>
      <c r="AD191" s="3"/>
      <c r="AE191" s="3"/>
      <c r="AF191" s="3"/>
    </row>
    <row r="192" ht="15.75" customHeight="1">
      <c r="J192" s="15"/>
      <c r="K192" s="238"/>
      <c r="L192" s="15"/>
      <c r="M192" s="15"/>
      <c r="N192" s="15"/>
      <c r="O192" s="15"/>
      <c r="P192" s="15"/>
      <c r="Q192" s="15"/>
      <c r="R192" s="15"/>
      <c r="S192" s="15"/>
      <c r="T192" s="15"/>
      <c r="U192" s="15"/>
      <c r="V192" s="15"/>
      <c r="W192" s="15"/>
      <c r="X192" s="14"/>
      <c r="Y192" s="14"/>
      <c r="Z192" s="15"/>
      <c r="AA192" s="14"/>
      <c r="AB192" s="3"/>
      <c r="AC192" s="3"/>
      <c r="AD192" s="3"/>
      <c r="AE192" s="3"/>
      <c r="AF192" s="3"/>
    </row>
    <row r="193" ht="15.75" customHeight="1">
      <c r="J193" s="15"/>
      <c r="K193" s="238"/>
      <c r="L193" s="15"/>
      <c r="M193" s="15"/>
      <c r="N193" s="15"/>
      <c r="O193" s="15"/>
      <c r="P193" s="15"/>
      <c r="Q193" s="15"/>
      <c r="R193" s="15"/>
      <c r="S193" s="15"/>
      <c r="T193" s="15"/>
      <c r="U193" s="15"/>
      <c r="V193" s="15"/>
      <c r="W193" s="15"/>
      <c r="X193" s="14"/>
      <c r="Y193" s="14"/>
      <c r="Z193" s="15"/>
      <c r="AA193" s="14"/>
      <c r="AB193" s="3"/>
      <c r="AC193" s="3"/>
      <c r="AD193" s="3"/>
      <c r="AE193" s="3"/>
      <c r="AF193" s="3"/>
    </row>
    <row r="194" ht="15.75" customHeight="1">
      <c r="J194" s="15"/>
      <c r="K194" s="238"/>
      <c r="L194" s="15"/>
      <c r="M194" s="15"/>
      <c r="N194" s="15"/>
      <c r="O194" s="15"/>
      <c r="P194" s="15"/>
      <c r="Q194" s="15"/>
      <c r="R194" s="15"/>
      <c r="S194" s="15"/>
      <c r="T194" s="15"/>
      <c r="U194" s="15"/>
      <c r="V194" s="15"/>
      <c r="W194" s="15"/>
      <c r="X194" s="14"/>
      <c r="Y194" s="14"/>
      <c r="Z194" s="15"/>
      <c r="AA194" s="14"/>
      <c r="AB194" s="3"/>
      <c r="AC194" s="3"/>
      <c r="AD194" s="3"/>
      <c r="AE194" s="3"/>
      <c r="AF194" s="3"/>
    </row>
    <row r="195" ht="15.75" customHeight="1">
      <c r="J195" s="15"/>
      <c r="K195" s="238"/>
      <c r="L195" s="15"/>
      <c r="M195" s="15"/>
      <c r="N195" s="15"/>
      <c r="O195" s="15"/>
      <c r="P195" s="15"/>
      <c r="Q195" s="15"/>
      <c r="R195" s="15"/>
      <c r="S195" s="15"/>
      <c r="T195" s="15"/>
      <c r="U195" s="15"/>
      <c r="V195" s="15"/>
      <c r="W195" s="15"/>
      <c r="X195" s="14"/>
      <c r="Y195" s="14"/>
      <c r="Z195" s="15"/>
      <c r="AA195" s="14"/>
      <c r="AB195" s="3"/>
      <c r="AC195" s="3"/>
      <c r="AD195" s="3"/>
      <c r="AE195" s="3"/>
      <c r="AF195" s="3"/>
    </row>
    <row r="196" ht="15.75" customHeight="1">
      <c r="J196" s="15"/>
      <c r="K196" s="238"/>
      <c r="L196" s="15"/>
      <c r="M196" s="15"/>
      <c r="N196" s="15"/>
      <c r="O196" s="15"/>
      <c r="P196" s="15"/>
      <c r="Q196" s="15"/>
      <c r="R196" s="15"/>
      <c r="S196" s="15"/>
      <c r="T196" s="15"/>
      <c r="U196" s="15"/>
      <c r="V196" s="15"/>
      <c r="W196" s="15"/>
      <c r="X196" s="14"/>
      <c r="Y196" s="14"/>
      <c r="Z196" s="15"/>
      <c r="AA196" s="14"/>
      <c r="AB196" s="3"/>
      <c r="AC196" s="3"/>
      <c r="AD196" s="3"/>
      <c r="AE196" s="3"/>
      <c r="AF196" s="3"/>
    </row>
    <row r="197" ht="15.75" customHeight="1">
      <c r="J197" s="15"/>
      <c r="K197" s="238"/>
      <c r="L197" s="15"/>
      <c r="M197" s="15"/>
      <c r="N197" s="15"/>
      <c r="O197" s="15"/>
      <c r="P197" s="15"/>
      <c r="Q197" s="15"/>
      <c r="R197" s="15"/>
      <c r="S197" s="15"/>
      <c r="T197" s="15"/>
      <c r="U197" s="15"/>
      <c r="V197" s="15"/>
      <c r="W197" s="15"/>
      <c r="X197" s="14"/>
      <c r="Y197" s="14"/>
      <c r="Z197" s="15"/>
      <c r="AA197" s="14"/>
      <c r="AB197" s="3"/>
      <c r="AC197" s="3"/>
      <c r="AD197" s="3"/>
      <c r="AE197" s="3"/>
      <c r="AF197" s="3"/>
    </row>
    <row r="198" ht="15.75" customHeight="1">
      <c r="J198" s="15"/>
      <c r="K198" s="238"/>
      <c r="L198" s="15"/>
      <c r="M198" s="15"/>
      <c r="N198" s="15"/>
      <c r="O198" s="15"/>
      <c r="P198" s="15"/>
      <c r="Q198" s="15"/>
      <c r="R198" s="15"/>
      <c r="S198" s="15"/>
      <c r="T198" s="15"/>
      <c r="U198" s="15"/>
      <c r="V198" s="15"/>
      <c r="W198" s="15"/>
      <c r="X198" s="14"/>
      <c r="Y198" s="14"/>
      <c r="Z198" s="15"/>
      <c r="AA198" s="14"/>
      <c r="AB198" s="3"/>
      <c r="AC198" s="3"/>
      <c r="AD198" s="3"/>
      <c r="AE198" s="3"/>
      <c r="AF198" s="3"/>
    </row>
    <row r="199" ht="15.75" customHeight="1">
      <c r="J199" s="15"/>
      <c r="K199" s="238"/>
      <c r="L199" s="15"/>
      <c r="M199" s="15"/>
      <c r="N199" s="15"/>
      <c r="O199" s="15"/>
      <c r="P199" s="15"/>
      <c r="Q199" s="15"/>
      <c r="R199" s="15"/>
      <c r="S199" s="15"/>
      <c r="T199" s="15"/>
      <c r="U199" s="15"/>
      <c r="V199" s="15"/>
      <c r="W199" s="15"/>
      <c r="X199" s="14"/>
      <c r="Y199" s="14"/>
      <c r="Z199" s="15"/>
      <c r="AA199" s="14"/>
      <c r="AB199" s="3"/>
      <c r="AC199" s="3"/>
      <c r="AD199" s="3"/>
      <c r="AE199" s="3"/>
      <c r="AF199" s="3"/>
    </row>
    <row r="200" ht="15.75" customHeight="1">
      <c r="J200" s="15"/>
      <c r="K200" s="238"/>
      <c r="L200" s="15"/>
      <c r="M200" s="15"/>
      <c r="N200" s="15"/>
      <c r="O200" s="15"/>
      <c r="P200" s="15"/>
      <c r="Q200" s="15"/>
      <c r="R200" s="15"/>
      <c r="S200" s="15"/>
      <c r="T200" s="15"/>
      <c r="U200" s="15"/>
      <c r="V200" s="15"/>
      <c r="W200" s="15"/>
      <c r="X200" s="14"/>
      <c r="Y200" s="14"/>
      <c r="Z200" s="15"/>
      <c r="AA200" s="14"/>
      <c r="AB200" s="3"/>
      <c r="AC200" s="3"/>
      <c r="AD200" s="3"/>
      <c r="AE200" s="3"/>
      <c r="AF200" s="3"/>
    </row>
    <row r="201" ht="15.75" customHeight="1">
      <c r="J201" s="15"/>
      <c r="K201" s="238"/>
      <c r="L201" s="15"/>
      <c r="M201" s="15"/>
      <c r="N201" s="15"/>
      <c r="O201" s="15"/>
      <c r="P201" s="15"/>
      <c r="Q201" s="15"/>
      <c r="R201" s="15"/>
      <c r="S201" s="15"/>
      <c r="T201" s="15"/>
      <c r="U201" s="15"/>
      <c r="V201" s="15"/>
      <c r="W201" s="15"/>
      <c r="X201" s="14"/>
      <c r="Y201" s="14"/>
      <c r="Z201" s="15"/>
      <c r="AA201" s="14"/>
      <c r="AB201" s="3"/>
      <c r="AC201" s="3"/>
      <c r="AD201" s="3"/>
      <c r="AE201" s="3"/>
      <c r="AF201" s="3"/>
    </row>
    <row r="202" ht="15.75" customHeight="1">
      <c r="J202" s="15"/>
      <c r="K202" s="238"/>
      <c r="L202" s="15"/>
      <c r="M202" s="15"/>
      <c r="N202" s="15"/>
      <c r="O202" s="15"/>
      <c r="P202" s="15"/>
      <c r="Q202" s="15"/>
      <c r="R202" s="15"/>
      <c r="S202" s="15"/>
      <c r="T202" s="15"/>
      <c r="U202" s="15"/>
      <c r="V202" s="15"/>
      <c r="W202" s="15"/>
      <c r="X202" s="14"/>
      <c r="Y202" s="14"/>
      <c r="Z202" s="15"/>
      <c r="AA202" s="14"/>
      <c r="AB202" s="3"/>
      <c r="AC202" s="3"/>
      <c r="AD202" s="3"/>
      <c r="AE202" s="3"/>
      <c r="AF202" s="3"/>
    </row>
    <row r="203" ht="15.75" customHeight="1">
      <c r="J203" s="15"/>
      <c r="K203" s="238"/>
      <c r="L203" s="15"/>
      <c r="M203" s="15"/>
      <c r="N203" s="15"/>
      <c r="O203" s="15"/>
      <c r="P203" s="15"/>
      <c r="Q203" s="15"/>
      <c r="R203" s="15"/>
      <c r="S203" s="15"/>
      <c r="T203" s="15"/>
      <c r="U203" s="15"/>
      <c r="V203" s="15"/>
      <c r="W203" s="15"/>
      <c r="X203" s="14"/>
      <c r="Y203" s="14"/>
      <c r="Z203" s="15"/>
      <c r="AA203" s="14"/>
      <c r="AB203" s="3"/>
      <c r="AC203" s="3"/>
      <c r="AD203" s="3"/>
      <c r="AE203" s="3"/>
      <c r="AF203" s="3"/>
    </row>
    <row r="204" ht="15.75" customHeight="1">
      <c r="J204" s="15"/>
      <c r="K204" s="238"/>
      <c r="L204" s="15"/>
      <c r="M204" s="15"/>
      <c r="N204" s="15"/>
      <c r="O204" s="15"/>
      <c r="P204" s="15"/>
      <c r="Q204" s="15"/>
      <c r="R204" s="15"/>
      <c r="S204" s="15"/>
      <c r="T204" s="15"/>
      <c r="U204" s="15"/>
      <c r="V204" s="15"/>
      <c r="W204" s="15"/>
      <c r="X204" s="14"/>
      <c r="Y204" s="14"/>
      <c r="Z204" s="15"/>
      <c r="AA204" s="14"/>
      <c r="AB204" s="3"/>
      <c r="AC204" s="3"/>
      <c r="AD204" s="3"/>
      <c r="AE204" s="3"/>
      <c r="AF204" s="3"/>
    </row>
    <row r="205" ht="15.75" customHeight="1">
      <c r="J205" s="15"/>
      <c r="K205" s="238"/>
      <c r="L205" s="15"/>
      <c r="M205" s="15"/>
      <c r="N205" s="15"/>
      <c r="O205" s="15"/>
      <c r="P205" s="15"/>
      <c r="Q205" s="15"/>
      <c r="R205" s="15"/>
      <c r="S205" s="15"/>
      <c r="T205" s="15"/>
      <c r="U205" s="15"/>
      <c r="V205" s="15"/>
      <c r="W205" s="15"/>
      <c r="X205" s="14"/>
      <c r="Y205" s="14"/>
      <c r="Z205" s="15"/>
      <c r="AA205" s="14"/>
      <c r="AB205" s="3"/>
      <c r="AC205" s="3"/>
      <c r="AD205" s="3"/>
      <c r="AE205" s="3"/>
      <c r="AF205" s="3"/>
    </row>
    <row r="206" ht="15.75" customHeight="1">
      <c r="J206" s="15"/>
      <c r="K206" s="238"/>
      <c r="L206" s="15"/>
      <c r="M206" s="15"/>
      <c r="N206" s="15"/>
      <c r="O206" s="15"/>
      <c r="P206" s="15"/>
      <c r="Q206" s="15"/>
      <c r="R206" s="15"/>
      <c r="S206" s="15"/>
      <c r="T206" s="15"/>
      <c r="U206" s="15"/>
      <c r="V206" s="15"/>
      <c r="W206" s="15"/>
      <c r="X206" s="14"/>
      <c r="Y206" s="14"/>
      <c r="Z206" s="15"/>
      <c r="AA206" s="14"/>
      <c r="AB206" s="3"/>
      <c r="AC206" s="3"/>
      <c r="AD206" s="3"/>
      <c r="AE206" s="3"/>
      <c r="AF206" s="3"/>
    </row>
    <row r="207" ht="15.75" customHeight="1">
      <c r="J207" s="15"/>
      <c r="K207" s="238"/>
      <c r="L207" s="15"/>
      <c r="M207" s="15"/>
      <c r="N207" s="15"/>
      <c r="O207" s="15"/>
      <c r="P207" s="15"/>
      <c r="Q207" s="15"/>
      <c r="R207" s="15"/>
      <c r="S207" s="15"/>
      <c r="T207" s="15"/>
      <c r="U207" s="15"/>
      <c r="V207" s="15"/>
      <c r="W207" s="15"/>
      <c r="X207" s="14"/>
      <c r="Y207" s="14"/>
      <c r="Z207" s="15"/>
      <c r="AA207" s="14"/>
      <c r="AB207" s="3"/>
      <c r="AC207" s="3"/>
      <c r="AD207" s="3"/>
      <c r="AE207" s="3"/>
      <c r="AF207" s="3"/>
    </row>
    <row r="208" ht="15.75" customHeight="1">
      <c r="J208" s="15"/>
      <c r="K208" s="238"/>
      <c r="L208" s="15"/>
      <c r="M208" s="15"/>
      <c r="N208" s="15"/>
      <c r="O208" s="15"/>
      <c r="P208" s="15"/>
      <c r="Q208" s="15"/>
      <c r="R208" s="15"/>
      <c r="S208" s="15"/>
      <c r="T208" s="15"/>
      <c r="U208" s="15"/>
      <c r="V208" s="15"/>
      <c r="W208" s="15"/>
      <c r="X208" s="14"/>
      <c r="Y208" s="14"/>
      <c r="Z208" s="15"/>
      <c r="AA208" s="14"/>
      <c r="AB208" s="3"/>
      <c r="AC208" s="3"/>
      <c r="AD208" s="3"/>
      <c r="AE208" s="3"/>
      <c r="AF208" s="3"/>
    </row>
    <row r="209" ht="15.75" customHeight="1">
      <c r="J209" s="15"/>
      <c r="K209" s="238"/>
      <c r="L209" s="15"/>
      <c r="M209" s="15"/>
      <c r="N209" s="15"/>
      <c r="O209" s="15"/>
      <c r="P209" s="15"/>
      <c r="Q209" s="15"/>
      <c r="R209" s="15"/>
      <c r="S209" s="15"/>
      <c r="T209" s="15"/>
      <c r="U209" s="15"/>
      <c r="V209" s="15"/>
      <c r="W209" s="15"/>
      <c r="X209" s="14"/>
      <c r="Y209" s="14"/>
      <c r="Z209" s="15"/>
      <c r="AA209" s="14"/>
      <c r="AB209" s="3"/>
      <c r="AC209" s="3"/>
      <c r="AD209" s="3"/>
      <c r="AE209" s="3"/>
      <c r="AF209" s="3"/>
    </row>
    <row r="210" ht="15.75" customHeight="1">
      <c r="J210" s="15"/>
      <c r="K210" s="238"/>
      <c r="L210" s="15"/>
      <c r="M210" s="15"/>
      <c r="N210" s="15"/>
      <c r="O210" s="15"/>
      <c r="P210" s="15"/>
      <c r="Q210" s="15"/>
      <c r="R210" s="15"/>
      <c r="S210" s="15"/>
      <c r="T210" s="15"/>
      <c r="U210" s="15"/>
      <c r="V210" s="15"/>
      <c r="W210" s="15"/>
      <c r="X210" s="14"/>
      <c r="Y210" s="14"/>
      <c r="Z210" s="15"/>
      <c r="AA210" s="14"/>
      <c r="AB210" s="3"/>
      <c r="AC210" s="3"/>
      <c r="AD210" s="3"/>
      <c r="AE210" s="3"/>
      <c r="AF210" s="3"/>
    </row>
    <row r="211" ht="15.75" customHeight="1">
      <c r="J211" s="15"/>
      <c r="K211" s="238"/>
      <c r="L211" s="15"/>
      <c r="M211" s="15"/>
      <c r="N211" s="15"/>
      <c r="O211" s="15"/>
      <c r="P211" s="15"/>
      <c r="Q211" s="15"/>
      <c r="R211" s="15"/>
      <c r="S211" s="15"/>
      <c r="T211" s="15"/>
      <c r="U211" s="15"/>
      <c r="V211" s="15"/>
      <c r="W211" s="15"/>
      <c r="X211" s="14"/>
      <c r="Y211" s="14"/>
      <c r="Z211" s="15"/>
      <c r="AA211" s="14"/>
      <c r="AB211" s="3"/>
      <c r="AC211" s="3"/>
      <c r="AD211" s="3"/>
      <c r="AE211" s="3"/>
      <c r="AF211" s="3"/>
    </row>
    <row r="212" ht="15.75" customHeight="1">
      <c r="J212" s="15"/>
      <c r="K212" s="238"/>
      <c r="L212" s="15"/>
      <c r="M212" s="15"/>
      <c r="N212" s="15"/>
      <c r="O212" s="15"/>
      <c r="P212" s="15"/>
      <c r="Q212" s="15"/>
      <c r="R212" s="15"/>
      <c r="S212" s="15"/>
      <c r="T212" s="15"/>
      <c r="U212" s="15"/>
      <c r="V212" s="15"/>
      <c r="W212" s="15"/>
      <c r="X212" s="14"/>
      <c r="Y212" s="14"/>
      <c r="Z212" s="15"/>
      <c r="AA212" s="14"/>
      <c r="AB212" s="3"/>
      <c r="AC212" s="3"/>
      <c r="AD212" s="3"/>
      <c r="AE212" s="3"/>
      <c r="AF212" s="3"/>
    </row>
    <row r="213" ht="15.75" customHeight="1">
      <c r="J213" s="15"/>
      <c r="K213" s="238"/>
      <c r="L213" s="15"/>
      <c r="M213" s="15"/>
      <c r="N213" s="15"/>
      <c r="O213" s="15"/>
      <c r="P213" s="15"/>
      <c r="Q213" s="15"/>
      <c r="R213" s="15"/>
      <c r="S213" s="15"/>
      <c r="T213" s="15"/>
      <c r="U213" s="15"/>
      <c r="V213" s="15"/>
      <c r="W213" s="15"/>
      <c r="X213" s="14"/>
      <c r="Y213" s="14"/>
      <c r="Z213" s="15"/>
      <c r="AA213" s="14"/>
      <c r="AB213" s="3"/>
      <c r="AC213" s="3"/>
      <c r="AD213" s="3"/>
      <c r="AE213" s="3"/>
      <c r="AF213" s="3"/>
    </row>
    <row r="214" ht="15.75" customHeight="1">
      <c r="J214" s="15"/>
      <c r="K214" s="238"/>
      <c r="L214" s="15"/>
      <c r="M214" s="15"/>
      <c r="N214" s="15"/>
      <c r="O214" s="15"/>
      <c r="P214" s="15"/>
      <c r="Q214" s="15"/>
      <c r="R214" s="15"/>
      <c r="S214" s="15"/>
      <c r="T214" s="15"/>
      <c r="U214" s="15"/>
      <c r="V214" s="15"/>
      <c r="W214" s="15"/>
      <c r="X214" s="14"/>
      <c r="Y214" s="14"/>
      <c r="Z214" s="15"/>
      <c r="AA214" s="14"/>
      <c r="AB214" s="3"/>
      <c r="AC214" s="3"/>
      <c r="AD214" s="3"/>
      <c r="AE214" s="3"/>
      <c r="AF214" s="3"/>
    </row>
    <row r="215" ht="15.75" customHeight="1">
      <c r="J215" s="15"/>
      <c r="K215" s="238"/>
      <c r="L215" s="15"/>
      <c r="M215" s="15"/>
      <c r="N215" s="15"/>
      <c r="O215" s="15"/>
      <c r="P215" s="15"/>
      <c r="Q215" s="15"/>
      <c r="R215" s="15"/>
      <c r="S215" s="15"/>
      <c r="T215" s="15"/>
      <c r="U215" s="15"/>
      <c r="V215" s="15"/>
      <c r="W215" s="15"/>
      <c r="X215" s="14"/>
      <c r="Y215" s="14"/>
      <c r="Z215" s="15"/>
      <c r="AA215" s="14"/>
      <c r="AB215" s="3"/>
      <c r="AC215" s="3"/>
      <c r="AD215" s="3"/>
      <c r="AE215" s="3"/>
      <c r="AF215" s="3"/>
    </row>
    <row r="216" ht="15.75" customHeight="1">
      <c r="J216" s="15"/>
      <c r="K216" s="238"/>
      <c r="L216" s="15"/>
      <c r="M216" s="15"/>
      <c r="N216" s="15"/>
      <c r="O216" s="15"/>
      <c r="P216" s="15"/>
      <c r="Q216" s="15"/>
      <c r="R216" s="15"/>
      <c r="S216" s="15"/>
      <c r="T216" s="15"/>
      <c r="U216" s="15"/>
      <c r="V216" s="15"/>
      <c r="W216" s="15"/>
      <c r="X216" s="14"/>
      <c r="Y216" s="14"/>
      <c r="Z216" s="15"/>
      <c r="AA216" s="14"/>
      <c r="AB216" s="3"/>
      <c r="AC216" s="3"/>
      <c r="AD216" s="3"/>
      <c r="AE216" s="3"/>
      <c r="AF216" s="3"/>
    </row>
    <row r="217" ht="15.75" customHeight="1">
      <c r="J217" s="15"/>
      <c r="K217" s="238"/>
      <c r="L217" s="15"/>
      <c r="M217" s="15"/>
      <c r="N217" s="15"/>
      <c r="O217" s="15"/>
      <c r="P217" s="15"/>
      <c r="Q217" s="15"/>
      <c r="R217" s="15"/>
      <c r="S217" s="15"/>
      <c r="T217" s="15"/>
      <c r="U217" s="15"/>
      <c r="V217" s="15"/>
      <c r="W217" s="15"/>
      <c r="X217" s="14"/>
      <c r="Y217" s="14"/>
      <c r="Z217" s="15"/>
      <c r="AA217" s="14"/>
      <c r="AB217" s="3"/>
      <c r="AC217" s="3"/>
      <c r="AD217" s="3"/>
      <c r="AE217" s="3"/>
      <c r="AF217" s="3"/>
    </row>
    <row r="218" ht="15.75" customHeight="1">
      <c r="J218" s="15"/>
      <c r="K218" s="238"/>
      <c r="L218" s="15"/>
      <c r="M218" s="15"/>
      <c r="N218" s="15"/>
      <c r="O218" s="15"/>
      <c r="P218" s="15"/>
      <c r="Q218" s="15"/>
      <c r="R218" s="15"/>
      <c r="S218" s="15"/>
      <c r="T218" s="15"/>
      <c r="U218" s="15"/>
      <c r="V218" s="15"/>
      <c r="W218" s="15"/>
      <c r="X218" s="14"/>
      <c r="Y218" s="14"/>
      <c r="Z218" s="15"/>
      <c r="AA218" s="14"/>
      <c r="AB218" s="3"/>
      <c r="AC218" s="3"/>
      <c r="AD218" s="3"/>
      <c r="AE218" s="3"/>
      <c r="AF218" s="3"/>
    </row>
    <row r="219" ht="15.75" customHeight="1">
      <c r="J219" s="15"/>
      <c r="K219" s="238"/>
      <c r="L219" s="15"/>
      <c r="M219" s="15"/>
      <c r="N219" s="15"/>
      <c r="O219" s="15"/>
      <c r="P219" s="15"/>
      <c r="Q219" s="15"/>
      <c r="R219" s="15"/>
      <c r="S219" s="15"/>
      <c r="T219" s="15"/>
      <c r="U219" s="15"/>
      <c r="V219" s="15"/>
      <c r="W219" s="15"/>
      <c r="X219" s="14"/>
      <c r="Y219" s="14"/>
      <c r="Z219" s="15"/>
      <c r="AA219" s="14"/>
      <c r="AB219" s="3"/>
      <c r="AC219" s="3"/>
      <c r="AD219" s="3"/>
      <c r="AE219" s="3"/>
      <c r="AF219" s="3"/>
    </row>
    <row r="220" ht="15.75" customHeight="1">
      <c r="J220" s="15"/>
      <c r="K220" s="238"/>
      <c r="L220" s="15"/>
      <c r="M220" s="15"/>
      <c r="N220" s="15"/>
      <c r="O220" s="15"/>
      <c r="P220" s="15"/>
      <c r="Q220" s="15"/>
      <c r="R220" s="15"/>
      <c r="S220" s="15"/>
      <c r="T220" s="15"/>
      <c r="U220" s="15"/>
      <c r="V220" s="15"/>
      <c r="W220" s="15"/>
      <c r="X220" s="14"/>
      <c r="Y220" s="14"/>
      <c r="Z220" s="15"/>
      <c r="AA220" s="14"/>
      <c r="AB220" s="3"/>
      <c r="AC220" s="3"/>
      <c r="AD220" s="3"/>
      <c r="AE220" s="3"/>
      <c r="AF220" s="3"/>
    </row>
    <row r="221" ht="15.75" customHeight="1">
      <c r="J221" s="15"/>
      <c r="K221" s="238"/>
      <c r="L221" s="15"/>
      <c r="M221" s="15"/>
      <c r="N221" s="15"/>
      <c r="O221" s="15"/>
      <c r="P221" s="15"/>
      <c r="Q221" s="15"/>
      <c r="R221" s="15"/>
      <c r="S221" s="15"/>
      <c r="T221" s="15"/>
      <c r="U221" s="15"/>
      <c r="V221" s="15"/>
      <c r="W221" s="15"/>
      <c r="X221" s="14"/>
      <c r="Y221" s="14"/>
      <c r="Z221" s="15"/>
      <c r="AA221" s="14"/>
      <c r="AB221" s="3"/>
      <c r="AC221" s="3"/>
      <c r="AD221" s="3"/>
      <c r="AE221" s="3"/>
      <c r="AF221" s="3"/>
    </row>
    <row r="222" ht="15.75" customHeight="1">
      <c r="J222" s="15"/>
      <c r="K222" s="238"/>
      <c r="L222" s="15"/>
      <c r="M222" s="15"/>
      <c r="N222" s="15"/>
      <c r="O222" s="15"/>
      <c r="P222" s="15"/>
      <c r="Q222" s="15"/>
      <c r="R222" s="15"/>
      <c r="S222" s="15"/>
      <c r="T222" s="15"/>
      <c r="U222" s="15"/>
      <c r="V222" s="15"/>
      <c r="W222" s="15"/>
      <c r="X222" s="14"/>
      <c r="Y222" s="14"/>
      <c r="Z222" s="15"/>
      <c r="AA222" s="14"/>
      <c r="AB222" s="3"/>
      <c r="AC222" s="3"/>
      <c r="AD222" s="3"/>
      <c r="AE222" s="3"/>
      <c r="AF222" s="3"/>
    </row>
    <row r="223" ht="15.75" customHeight="1">
      <c r="J223" s="15"/>
      <c r="K223" s="238"/>
      <c r="L223" s="15"/>
      <c r="M223" s="15"/>
      <c r="N223" s="15"/>
      <c r="O223" s="15"/>
      <c r="P223" s="15"/>
      <c r="Q223" s="15"/>
      <c r="R223" s="15"/>
      <c r="S223" s="15"/>
      <c r="T223" s="15"/>
      <c r="U223" s="15"/>
      <c r="V223" s="15"/>
      <c r="W223" s="15"/>
      <c r="X223" s="14"/>
      <c r="Y223" s="14"/>
      <c r="Z223" s="15"/>
      <c r="AA223" s="14"/>
      <c r="AB223" s="3"/>
      <c r="AC223" s="3"/>
      <c r="AD223" s="3"/>
      <c r="AE223" s="3"/>
      <c r="AF223" s="3"/>
    </row>
    <row r="224" ht="15.75" customHeight="1">
      <c r="J224" s="15"/>
      <c r="K224" s="238"/>
      <c r="L224" s="15"/>
      <c r="M224" s="15"/>
      <c r="N224" s="15"/>
      <c r="O224" s="15"/>
      <c r="P224" s="15"/>
      <c r="Q224" s="15"/>
      <c r="R224" s="15"/>
      <c r="S224" s="15"/>
      <c r="T224" s="15"/>
      <c r="U224" s="15"/>
      <c r="V224" s="15"/>
      <c r="W224" s="15"/>
      <c r="X224" s="14"/>
      <c r="Y224" s="14"/>
      <c r="Z224" s="15"/>
      <c r="AA224" s="14"/>
      <c r="AB224" s="3"/>
      <c r="AC224" s="3"/>
      <c r="AD224" s="3"/>
      <c r="AE224" s="3"/>
      <c r="AF224" s="3"/>
    </row>
    <row r="225" ht="15.75" customHeight="1">
      <c r="J225" s="15"/>
      <c r="K225" s="238"/>
      <c r="L225" s="15"/>
      <c r="M225" s="15"/>
      <c r="N225" s="15"/>
      <c r="O225" s="15"/>
      <c r="P225" s="15"/>
      <c r="Q225" s="15"/>
      <c r="R225" s="15"/>
      <c r="S225" s="15"/>
      <c r="T225" s="15"/>
      <c r="U225" s="15"/>
      <c r="V225" s="15"/>
      <c r="W225" s="15"/>
      <c r="X225" s="14"/>
      <c r="Y225" s="14"/>
      <c r="Z225" s="15"/>
      <c r="AA225" s="14"/>
      <c r="AB225" s="3"/>
      <c r="AC225" s="3"/>
      <c r="AD225" s="3"/>
      <c r="AE225" s="3"/>
      <c r="AF225" s="3"/>
    </row>
    <row r="226" ht="15.75" customHeight="1">
      <c r="J226" s="15"/>
      <c r="K226" s="238"/>
      <c r="L226" s="15"/>
      <c r="M226" s="15"/>
      <c r="N226" s="15"/>
      <c r="O226" s="15"/>
      <c r="P226" s="15"/>
      <c r="Q226" s="15"/>
      <c r="R226" s="15"/>
      <c r="S226" s="15"/>
      <c r="T226" s="15"/>
      <c r="U226" s="15"/>
      <c r="V226" s="15"/>
      <c r="W226" s="15"/>
      <c r="X226" s="14"/>
      <c r="Y226" s="14"/>
      <c r="Z226" s="15"/>
      <c r="AA226" s="14"/>
      <c r="AB226" s="3"/>
      <c r="AC226" s="3"/>
      <c r="AD226" s="3"/>
      <c r="AE226" s="3"/>
      <c r="AF226" s="3"/>
    </row>
    <row r="227" ht="15.75" customHeight="1">
      <c r="J227" s="15"/>
      <c r="K227" s="238"/>
      <c r="L227" s="15"/>
      <c r="M227" s="15"/>
      <c r="N227" s="15"/>
      <c r="O227" s="15"/>
      <c r="P227" s="15"/>
      <c r="Q227" s="15"/>
      <c r="R227" s="15"/>
      <c r="S227" s="15"/>
      <c r="T227" s="15"/>
      <c r="U227" s="15"/>
      <c r="V227" s="15"/>
      <c r="W227" s="15"/>
      <c r="X227" s="14"/>
      <c r="Y227" s="14"/>
      <c r="Z227" s="15"/>
      <c r="AA227" s="14"/>
      <c r="AB227" s="3"/>
      <c r="AC227" s="3"/>
      <c r="AD227" s="3"/>
      <c r="AE227" s="3"/>
      <c r="AF227" s="3"/>
    </row>
    <row r="228" ht="15.75" customHeight="1">
      <c r="J228" s="15"/>
      <c r="K228" s="238"/>
      <c r="L228" s="15"/>
      <c r="M228" s="15"/>
      <c r="N228" s="15"/>
      <c r="O228" s="15"/>
      <c r="P228" s="15"/>
      <c r="Q228" s="15"/>
      <c r="R228" s="15"/>
      <c r="S228" s="15"/>
      <c r="T228" s="15"/>
      <c r="U228" s="15"/>
      <c r="V228" s="15"/>
      <c r="W228" s="15"/>
      <c r="X228" s="14"/>
      <c r="Y228" s="14"/>
      <c r="Z228" s="15"/>
      <c r="AA228" s="14"/>
      <c r="AB228" s="3"/>
      <c r="AC228" s="3"/>
      <c r="AD228" s="3"/>
      <c r="AE228" s="3"/>
      <c r="AF228" s="3"/>
    </row>
    <row r="229" ht="15.75" customHeight="1">
      <c r="J229" s="15"/>
      <c r="K229" s="238"/>
      <c r="L229" s="15"/>
      <c r="M229" s="15"/>
      <c r="N229" s="15"/>
      <c r="O229" s="15"/>
      <c r="P229" s="15"/>
      <c r="Q229" s="15"/>
      <c r="R229" s="15"/>
      <c r="S229" s="15"/>
      <c r="T229" s="15"/>
      <c r="U229" s="15"/>
      <c r="V229" s="15"/>
      <c r="W229" s="15"/>
      <c r="X229" s="14"/>
      <c r="Y229" s="14"/>
      <c r="Z229" s="15"/>
      <c r="AA229" s="14"/>
      <c r="AB229" s="3"/>
      <c r="AC229" s="3"/>
      <c r="AD229" s="3"/>
      <c r="AE229" s="3"/>
      <c r="AF229" s="3"/>
    </row>
    <row r="230" ht="15.75" customHeight="1">
      <c r="J230" s="15"/>
      <c r="K230" s="238"/>
      <c r="L230" s="15"/>
      <c r="M230" s="15"/>
      <c r="N230" s="15"/>
      <c r="O230" s="15"/>
      <c r="P230" s="15"/>
      <c r="Q230" s="15"/>
      <c r="R230" s="15"/>
      <c r="S230" s="15"/>
      <c r="T230" s="15"/>
      <c r="U230" s="15"/>
      <c r="V230" s="15"/>
      <c r="W230" s="15"/>
      <c r="X230" s="14"/>
      <c r="Y230" s="14"/>
      <c r="Z230" s="15"/>
      <c r="AA230" s="14"/>
      <c r="AB230" s="3"/>
      <c r="AC230" s="3"/>
      <c r="AD230" s="3"/>
      <c r="AE230" s="3"/>
      <c r="AF230" s="3"/>
    </row>
    <row r="231" ht="15.75" customHeight="1">
      <c r="J231" s="15"/>
      <c r="K231" s="238"/>
      <c r="L231" s="15"/>
      <c r="M231" s="15"/>
      <c r="N231" s="15"/>
      <c r="O231" s="15"/>
      <c r="P231" s="15"/>
      <c r="Q231" s="15"/>
      <c r="R231" s="15"/>
      <c r="S231" s="15"/>
      <c r="T231" s="15"/>
      <c r="U231" s="15"/>
      <c r="V231" s="15"/>
      <c r="W231" s="15"/>
      <c r="X231" s="14"/>
      <c r="Y231" s="14"/>
      <c r="Z231" s="15"/>
      <c r="AA231" s="14"/>
      <c r="AB231" s="3"/>
      <c r="AC231" s="3"/>
      <c r="AD231" s="3"/>
      <c r="AE231" s="3"/>
      <c r="AF231" s="3"/>
    </row>
    <row r="232" ht="15.75" customHeight="1">
      <c r="J232" s="15"/>
      <c r="K232" s="238"/>
      <c r="L232" s="15"/>
      <c r="M232" s="15"/>
      <c r="N232" s="15"/>
      <c r="O232" s="15"/>
      <c r="P232" s="15"/>
      <c r="Q232" s="15"/>
      <c r="R232" s="15"/>
      <c r="S232" s="15"/>
      <c r="T232" s="15"/>
      <c r="U232" s="15"/>
      <c r="V232" s="15"/>
      <c r="W232" s="15"/>
      <c r="X232" s="14"/>
      <c r="Y232" s="14"/>
      <c r="Z232" s="15"/>
      <c r="AA232" s="14"/>
      <c r="AB232" s="3"/>
      <c r="AC232" s="3"/>
      <c r="AD232" s="3"/>
      <c r="AE232" s="3"/>
      <c r="AF232" s="3"/>
    </row>
    <row r="233" ht="15.75" customHeight="1">
      <c r="J233" s="15"/>
      <c r="K233" s="238"/>
      <c r="L233" s="15"/>
      <c r="M233" s="15"/>
      <c r="N233" s="15"/>
      <c r="O233" s="15"/>
      <c r="P233" s="15"/>
      <c r="Q233" s="15"/>
      <c r="R233" s="15"/>
      <c r="S233" s="15"/>
      <c r="T233" s="15"/>
      <c r="U233" s="15"/>
      <c r="V233" s="15"/>
      <c r="W233" s="15"/>
      <c r="X233" s="14"/>
      <c r="Y233" s="14"/>
      <c r="Z233" s="15"/>
      <c r="AA233" s="14"/>
      <c r="AB233" s="3"/>
      <c r="AC233" s="3"/>
      <c r="AD233" s="3"/>
      <c r="AE233" s="3"/>
      <c r="AF233" s="3"/>
    </row>
    <row r="234" ht="15.75" customHeight="1">
      <c r="J234" s="15"/>
      <c r="K234" s="238"/>
      <c r="L234" s="15"/>
      <c r="M234" s="15"/>
      <c r="N234" s="15"/>
      <c r="O234" s="15"/>
      <c r="P234" s="15"/>
      <c r="Q234" s="15"/>
      <c r="R234" s="15"/>
      <c r="S234" s="15"/>
      <c r="T234" s="15"/>
      <c r="U234" s="15"/>
      <c r="V234" s="15"/>
      <c r="W234" s="15"/>
      <c r="X234" s="14"/>
      <c r="Y234" s="14"/>
      <c r="Z234" s="15"/>
      <c r="AA234" s="14"/>
      <c r="AB234" s="3"/>
      <c r="AC234" s="3"/>
      <c r="AD234" s="3"/>
      <c r="AE234" s="3"/>
      <c r="AF234" s="3"/>
    </row>
    <row r="235" ht="15.75" customHeight="1">
      <c r="J235" s="15"/>
      <c r="K235" s="238"/>
      <c r="L235" s="15"/>
      <c r="M235" s="15"/>
      <c r="N235" s="15"/>
      <c r="O235" s="15"/>
      <c r="P235" s="15"/>
      <c r="Q235" s="15"/>
      <c r="R235" s="15"/>
      <c r="S235" s="15"/>
      <c r="T235" s="15"/>
      <c r="U235" s="15"/>
      <c r="V235" s="15"/>
      <c r="W235" s="15"/>
      <c r="X235" s="14"/>
      <c r="Y235" s="14"/>
      <c r="Z235" s="15"/>
      <c r="AA235" s="14"/>
      <c r="AB235" s="3"/>
      <c r="AC235" s="3"/>
      <c r="AD235" s="3"/>
      <c r="AE235" s="3"/>
      <c r="AF235" s="3"/>
    </row>
    <row r="236" ht="15.75" customHeight="1">
      <c r="J236" s="15"/>
      <c r="K236" s="238"/>
      <c r="L236" s="15"/>
      <c r="M236" s="15"/>
      <c r="N236" s="15"/>
      <c r="O236" s="15"/>
      <c r="P236" s="15"/>
      <c r="Q236" s="15"/>
      <c r="R236" s="15"/>
      <c r="S236" s="15"/>
      <c r="T236" s="15"/>
      <c r="U236" s="15"/>
      <c r="V236" s="15"/>
      <c r="W236" s="15"/>
      <c r="X236" s="14"/>
      <c r="Y236" s="14"/>
      <c r="Z236" s="15"/>
      <c r="AA236" s="14"/>
      <c r="AB236" s="3"/>
      <c r="AC236" s="3"/>
      <c r="AD236" s="3"/>
      <c r="AE236" s="3"/>
      <c r="AF236" s="3"/>
    </row>
    <row r="237" ht="15.75" customHeight="1">
      <c r="J237" s="15"/>
      <c r="K237" s="238"/>
      <c r="L237" s="15"/>
      <c r="M237" s="15"/>
      <c r="N237" s="15"/>
      <c r="O237" s="15"/>
      <c r="P237" s="15"/>
      <c r="Q237" s="15"/>
      <c r="R237" s="15"/>
      <c r="S237" s="15"/>
      <c r="T237" s="15"/>
      <c r="U237" s="15"/>
      <c r="V237" s="15"/>
      <c r="W237" s="15"/>
      <c r="X237" s="14"/>
      <c r="Y237" s="14"/>
      <c r="Z237" s="15"/>
      <c r="AA237" s="14"/>
      <c r="AB237" s="3"/>
      <c r="AC237" s="3"/>
      <c r="AD237" s="3"/>
      <c r="AE237" s="3"/>
      <c r="AF237" s="3"/>
    </row>
    <row r="238" ht="15.75" customHeight="1">
      <c r="J238" s="15"/>
      <c r="K238" s="238"/>
      <c r="L238" s="15"/>
      <c r="M238" s="15"/>
      <c r="N238" s="15"/>
      <c r="O238" s="15"/>
      <c r="P238" s="15"/>
      <c r="Q238" s="15"/>
      <c r="R238" s="15"/>
      <c r="S238" s="15"/>
      <c r="T238" s="15"/>
      <c r="U238" s="15"/>
      <c r="V238" s="15"/>
      <c r="W238" s="15"/>
      <c r="X238" s="14"/>
      <c r="Y238" s="14"/>
      <c r="Z238" s="15"/>
      <c r="AA238" s="14"/>
      <c r="AB238" s="3"/>
      <c r="AC238" s="3"/>
      <c r="AD238" s="3"/>
      <c r="AE238" s="3"/>
      <c r="AF238" s="3"/>
    </row>
    <row r="239" ht="15.75" customHeight="1">
      <c r="J239" s="15"/>
      <c r="K239" s="238"/>
      <c r="L239" s="15"/>
      <c r="M239" s="15"/>
      <c r="N239" s="15"/>
      <c r="O239" s="15"/>
      <c r="P239" s="15"/>
      <c r="Q239" s="15"/>
      <c r="R239" s="15"/>
      <c r="S239" s="15"/>
      <c r="T239" s="15"/>
      <c r="U239" s="15"/>
      <c r="V239" s="15"/>
      <c r="W239" s="15"/>
      <c r="X239" s="14"/>
      <c r="Y239" s="14"/>
      <c r="Z239" s="15"/>
      <c r="AA239" s="14"/>
      <c r="AB239" s="3"/>
      <c r="AC239" s="3"/>
      <c r="AD239" s="3"/>
      <c r="AE239" s="3"/>
      <c r="AF239" s="3"/>
    </row>
    <row r="240" ht="15.75" customHeight="1">
      <c r="J240" s="15"/>
      <c r="K240" s="238"/>
      <c r="L240" s="15"/>
      <c r="M240" s="15"/>
      <c r="N240" s="15"/>
      <c r="O240" s="15"/>
      <c r="P240" s="15"/>
      <c r="Q240" s="15"/>
      <c r="R240" s="15"/>
      <c r="S240" s="15"/>
      <c r="T240" s="15"/>
      <c r="U240" s="15"/>
      <c r="V240" s="15"/>
      <c r="W240" s="15"/>
      <c r="X240" s="14"/>
      <c r="Y240" s="14"/>
      <c r="Z240" s="15"/>
      <c r="AA240" s="14"/>
      <c r="AB240" s="3"/>
      <c r="AC240" s="3"/>
      <c r="AD240" s="3"/>
      <c r="AE240" s="3"/>
      <c r="AF240" s="3"/>
    </row>
    <row r="241" ht="15.75" customHeight="1">
      <c r="J241" s="15"/>
      <c r="K241" s="238"/>
      <c r="L241" s="15"/>
      <c r="M241" s="15"/>
      <c r="N241" s="15"/>
      <c r="O241" s="15"/>
      <c r="P241" s="15"/>
      <c r="Q241" s="15"/>
      <c r="R241" s="15"/>
      <c r="S241" s="15"/>
      <c r="T241" s="15"/>
      <c r="U241" s="15"/>
      <c r="V241" s="15"/>
      <c r="W241" s="15"/>
      <c r="X241" s="14"/>
      <c r="Y241" s="14"/>
      <c r="Z241" s="15"/>
      <c r="AA241" s="14"/>
      <c r="AB241" s="3"/>
      <c r="AC241" s="3"/>
      <c r="AD241" s="3"/>
      <c r="AE241" s="3"/>
      <c r="AF241" s="3"/>
    </row>
    <row r="242" ht="15.75" customHeight="1">
      <c r="J242" s="15"/>
      <c r="K242" s="238"/>
      <c r="L242" s="15"/>
      <c r="M242" s="15"/>
      <c r="N242" s="15"/>
      <c r="O242" s="15"/>
      <c r="P242" s="15"/>
      <c r="Q242" s="15"/>
      <c r="R242" s="15"/>
      <c r="S242" s="15"/>
      <c r="T242" s="15"/>
      <c r="U242" s="15"/>
      <c r="V242" s="15"/>
      <c r="W242" s="15"/>
      <c r="X242" s="14"/>
      <c r="Y242" s="14"/>
      <c r="Z242" s="15"/>
      <c r="AA242" s="14"/>
      <c r="AB242" s="3"/>
      <c r="AC242" s="3"/>
      <c r="AD242" s="3"/>
      <c r="AE242" s="3"/>
      <c r="AF242" s="3"/>
    </row>
    <row r="243" ht="15.75" customHeight="1">
      <c r="J243" s="15"/>
      <c r="K243" s="238"/>
      <c r="L243" s="15"/>
      <c r="M243" s="15"/>
      <c r="N243" s="15"/>
      <c r="O243" s="15"/>
      <c r="P243" s="15"/>
      <c r="Q243" s="15"/>
      <c r="R243" s="15"/>
      <c r="S243" s="15"/>
      <c r="T243" s="15"/>
      <c r="U243" s="15"/>
      <c r="V243" s="15"/>
      <c r="W243" s="15"/>
      <c r="X243" s="14"/>
      <c r="Y243" s="14"/>
      <c r="Z243" s="15"/>
      <c r="AA243" s="14"/>
      <c r="AB243" s="3"/>
      <c r="AC243" s="3"/>
      <c r="AD243" s="3"/>
      <c r="AE243" s="3"/>
      <c r="AF243" s="3"/>
    </row>
    <row r="244" ht="15.75" customHeight="1">
      <c r="J244" s="15"/>
      <c r="K244" s="238"/>
      <c r="L244" s="15"/>
      <c r="M244" s="15"/>
      <c r="N244" s="15"/>
      <c r="O244" s="15"/>
      <c r="P244" s="15"/>
      <c r="Q244" s="15"/>
      <c r="R244" s="15"/>
      <c r="S244" s="15"/>
      <c r="T244" s="15"/>
      <c r="U244" s="15"/>
      <c r="V244" s="15"/>
      <c r="W244" s="15"/>
      <c r="X244" s="14"/>
      <c r="Y244" s="14"/>
      <c r="Z244" s="15"/>
      <c r="AA244" s="14"/>
      <c r="AB244" s="3"/>
      <c r="AC244" s="3"/>
      <c r="AD244" s="3"/>
      <c r="AE244" s="3"/>
      <c r="AF244" s="3"/>
    </row>
    <row r="245" ht="15.75" customHeight="1">
      <c r="J245" s="15"/>
      <c r="K245" s="238"/>
      <c r="L245" s="15"/>
      <c r="M245" s="15"/>
      <c r="N245" s="15"/>
      <c r="O245" s="15"/>
      <c r="P245" s="15"/>
      <c r="Q245" s="15"/>
      <c r="R245" s="15"/>
      <c r="S245" s="15"/>
      <c r="T245" s="15"/>
      <c r="U245" s="15"/>
      <c r="V245" s="15"/>
      <c r="W245" s="15"/>
      <c r="X245" s="14"/>
      <c r="Y245" s="14"/>
      <c r="Z245" s="15"/>
      <c r="AA245" s="14"/>
      <c r="AB245" s="3"/>
      <c r="AC245" s="3"/>
      <c r="AD245" s="3"/>
      <c r="AE245" s="3"/>
      <c r="AF245" s="3"/>
    </row>
    <row r="246" ht="15.75" customHeight="1">
      <c r="J246" s="15"/>
      <c r="K246" s="238"/>
      <c r="L246" s="15"/>
      <c r="M246" s="15"/>
      <c r="N246" s="15"/>
      <c r="O246" s="15"/>
      <c r="P246" s="15"/>
      <c r="Q246" s="15"/>
      <c r="R246" s="15"/>
      <c r="S246" s="15"/>
      <c r="T246" s="15"/>
      <c r="U246" s="15"/>
      <c r="V246" s="15"/>
      <c r="W246" s="15"/>
      <c r="X246" s="14"/>
      <c r="Y246" s="14"/>
      <c r="Z246" s="15"/>
      <c r="AA246" s="14"/>
      <c r="AB246" s="3"/>
      <c r="AC246" s="3"/>
      <c r="AD246" s="3"/>
      <c r="AE246" s="3"/>
      <c r="AF246" s="3"/>
    </row>
    <row r="247" ht="15.75" customHeight="1">
      <c r="J247" s="15"/>
      <c r="K247" s="238"/>
      <c r="L247" s="15"/>
      <c r="M247" s="15"/>
      <c r="N247" s="15"/>
      <c r="O247" s="15"/>
      <c r="P247" s="15"/>
      <c r="Q247" s="15"/>
      <c r="R247" s="15"/>
      <c r="S247" s="15"/>
      <c r="T247" s="15"/>
      <c r="U247" s="15"/>
      <c r="V247" s="15"/>
      <c r="W247" s="15"/>
      <c r="X247" s="14"/>
      <c r="Y247" s="14"/>
      <c r="Z247" s="15"/>
      <c r="AA247" s="14"/>
      <c r="AB247" s="3"/>
      <c r="AC247" s="3"/>
      <c r="AD247" s="3"/>
      <c r="AE247" s="3"/>
      <c r="AF247" s="3"/>
    </row>
    <row r="248" ht="15.75" customHeight="1">
      <c r="J248" s="15"/>
      <c r="K248" s="238"/>
      <c r="L248" s="15"/>
      <c r="M248" s="15"/>
      <c r="N248" s="15"/>
      <c r="O248" s="15"/>
      <c r="P248" s="15"/>
      <c r="Q248" s="15"/>
      <c r="R248" s="15"/>
      <c r="S248" s="15"/>
      <c r="T248" s="15"/>
      <c r="U248" s="15"/>
      <c r="V248" s="15"/>
      <c r="W248" s="15"/>
      <c r="X248" s="14"/>
      <c r="Y248" s="14"/>
      <c r="Z248" s="15"/>
      <c r="AA248" s="14"/>
      <c r="AB248" s="3"/>
      <c r="AC248" s="3"/>
      <c r="AD248" s="3"/>
      <c r="AE248" s="3"/>
      <c r="AF248" s="3"/>
    </row>
    <row r="249" ht="15.75" customHeight="1">
      <c r="J249" s="15"/>
      <c r="K249" s="238"/>
      <c r="L249" s="15"/>
      <c r="M249" s="15"/>
      <c r="N249" s="15"/>
      <c r="O249" s="15"/>
      <c r="P249" s="15"/>
      <c r="Q249" s="15"/>
      <c r="R249" s="15"/>
      <c r="S249" s="15"/>
      <c r="T249" s="15"/>
      <c r="U249" s="15"/>
      <c r="V249" s="15"/>
      <c r="W249" s="15"/>
      <c r="X249" s="14"/>
      <c r="Y249" s="14"/>
      <c r="Z249" s="15"/>
      <c r="AA249" s="14"/>
      <c r="AB249" s="3"/>
      <c r="AC249" s="3"/>
      <c r="AD249" s="3"/>
      <c r="AE249" s="3"/>
      <c r="AF249" s="3"/>
    </row>
    <row r="250" ht="15.75" customHeight="1">
      <c r="J250" s="15"/>
      <c r="K250" s="238"/>
      <c r="L250" s="15"/>
      <c r="M250" s="15"/>
      <c r="N250" s="15"/>
      <c r="O250" s="15"/>
      <c r="P250" s="15"/>
      <c r="Q250" s="15"/>
      <c r="R250" s="15"/>
      <c r="S250" s="15"/>
      <c r="T250" s="15"/>
      <c r="U250" s="15"/>
      <c r="V250" s="15"/>
      <c r="W250" s="15"/>
      <c r="X250" s="14"/>
      <c r="Y250" s="14"/>
      <c r="Z250" s="15"/>
      <c r="AA250" s="14"/>
      <c r="AB250" s="3"/>
      <c r="AC250" s="3"/>
      <c r="AD250" s="3"/>
      <c r="AE250" s="3"/>
      <c r="AF250" s="3"/>
    </row>
    <row r="251" ht="15.75" customHeight="1">
      <c r="J251" s="15"/>
      <c r="K251" s="238"/>
      <c r="L251" s="15"/>
      <c r="M251" s="15"/>
      <c r="N251" s="15"/>
      <c r="O251" s="15"/>
      <c r="P251" s="15"/>
      <c r="Q251" s="15"/>
      <c r="R251" s="15"/>
      <c r="S251" s="15"/>
      <c r="T251" s="15"/>
      <c r="U251" s="15"/>
      <c r="V251" s="15"/>
      <c r="W251" s="15"/>
      <c r="X251" s="14"/>
      <c r="Y251" s="14"/>
      <c r="Z251" s="15"/>
      <c r="AA251" s="14"/>
      <c r="AB251" s="3"/>
      <c r="AC251" s="3"/>
      <c r="AD251" s="3"/>
      <c r="AE251" s="3"/>
      <c r="AF251" s="3"/>
    </row>
    <row r="252" ht="15.75" customHeight="1">
      <c r="J252" s="15"/>
      <c r="K252" s="238"/>
      <c r="L252" s="15"/>
      <c r="M252" s="15"/>
      <c r="N252" s="15"/>
      <c r="O252" s="15"/>
      <c r="P252" s="15"/>
      <c r="Q252" s="15"/>
      <c r="R252" s="15"/>
      <c r="S252" s="15"/>
      <c r="T252" s="15"/>
      <c r="U252" s="15"/>
      <c r="V252" s="15"/>
      <c r="W252" s="15"/>
      <c r="X252" s="14"/>
      <c r="Y252" s="14"/>
      <c r="Z252" s="15"/>
      <c r="AA252" s="14"/>
      <c r="AB252" s="3"/>
      <c r="AC252" s="3"/>
      <c r="AD252" s="3"/>
      <c r="AE252" s="3"/>
      <c r="AF252" s="3"/>
    </row>
    <row r="253" ht="15.75" customHeight="1">
      <c r="J253" s="15"/>
      <c r="K253" s="238"/>
      <c r="L253" s="15"/>
      <c r="M253" s="15"/>
      <c r="N253" s="15"/>
      <c r="O253" s="15"/>
      <c r="P253" s="15"/>
      <c r="Q253" s="15"/>
      <c r="R253" s="15"/>
      <c r="S253" s="15"/>
      <c r="T253" s="15"/>
      <c r="U253" s="15"/>
      <c r="V253" s="15"/>
      <c r="W253" s="15"/>
      <c r="X253" s="14"/>
      <c r="Y253" s="14"/>
      <c r="Z253" s="15"/>
      <c r="AA253" s="14"/>
      <c r="AB253" s="3"/>
      <c r="AC253" s="3"/>
      <c r="AD253" s="3"/>
      <c r="AE253" s="3"/>
      <c r="AF253" s="3"/>
    </row>
    <row r="254" ht="15.75" customHeight="1">
      <c r="J254" s="15"/>
      <c r="K254" s="238"/>
      <c r="L254" s="15"/>
      <c r="M254" s="15"/>
      <c r="N254" s="15"/>
      <c r="O254" s="15"/>
      <c r="P254" s="15"/>
      <c r="Q254" s="15"/>
      <c r="R254" s="15"/>
      <c r="S254" s="15"/>
      <c r="T254" s="15"/>
      <c r="U254" s="15"/>
      <c r="V254" s="15"/>
      <c r="W254" s="15"/>
      <c r="X254" s="14"/>
      <c r="Y254" s="14"/>
      <c r="Z254" s="15"/>
      <c r="AA254" s="14"/>
      <c r="AB254" s="3"/>
      <c r="AC254" s="3"/>
      <c r="AD254" s="3"/>
      <c r="AE254" s="3"/>
      <c r="AF254" s="3"/>
    </row>
    <row r="255" ht="15.75" customHeight="1">
      <c r="J255" s="15"/>
      <c r="K255" s="238"/>
      <c r="L255" s="15"/>
      <c r="M255" s="15"/>
      <c r="N255" s="15"/>
      <c r="O255" s="15"/>
      <c r="P255" s="15"/>
      <c r="Q255" s="15"/>
      <c r="R255" s="15"/>
      <c r="S255" s="15"/>
      <c r="T255" s="15"/>
      <c r="U255" s="15"/>
      <c r="V255" s="15"/>
      <c r="W255" s="15"/>
      <c r="X255" s="14"/>
      <c r="Y255" s="14"/>
      <c r="Z255" s="15"/>
      <c r="AA255" s="14"/>
      <c r="AB255" s="3"/>
      <c r="AC255" s="3"/>
      <c r="AD255" s="3"/>
      <c r="AE255" s="3"/>
      <c r="AF255" s="3"/>
    </row>
    <row r="256" ht="15.75" customHeight="1">
      <c r="J256" s="15"/>
      <c r="K256" s="238"/>
      <c r="L256" s="15"/>
      <c r="M256" s="15"/>
      <c r="N256" s="15"/>
      <c r="O256" s="15"/>
      <c r="P256" s="15"/>
      <c r="Q256" s="15"/>
      <c r="R256" s="15"/>
      <c r="S256" s="15"/>
      <c r="T256" s="15"/>
      <c r="U256" s="15"/>
      <c r="V256" s="15"/>
      <c r="W256" s="15"/>
      <c r="X256" s="14"/>
      <c r="Y256" s="14"/>
      <c r="Z256" s="15"/>
      <c r="AA256" s="14"/>
      <c r="AB256" s="3"/>
      <c r="AC256" s="3"/>
      <c r="AD256" s="3"/>
      <c r="AE256" s="3"/>
      <c r="AF256" s="3"/>
    </row>
    <row r="257" ht="15.75" customHeight="1">
      <c r="J257" s="15"/>
      <c r="K257" s="238"/>
      <c r="L257" s="15"/>
      <c r="M257" s="15"/>
      <c r="N257" s="15"/>
      <c r="O257" s="15"/>
      <c r="P257" s="15"/>
      <c r="Q257" s="15"/>
      <c r="R257" s="15"/>
      <c r="S257" s="15"/>
      <c r="T257" s="15"/>
      <c r="U257" s="15"/>
      <c r="V257" s="15"/>
      <c r="W257" s="15"/>
      <c r="X257" s="14"/>
      <c r="Y257" s="14"/>
      <c r="Z257" s="15"/>
      <c r="AA257" s="14"/>
      <c r="AB257" s="3"/>
      <c r="AC257" s="3"/>
      <c r="AD257" s="3"/>
      <c r="AE257" s="3"/>
      <c r="AF257" s="3"/>
    </row>
    <row r="258" ht="15.75" customHeight="1">
      <c r="J258" s="15"/>
      <c r="K258" s="238"/>
      <c r="L258" s="15"/>
      <c r="M258" s="15"/>
      <c r="N258" s="15"/>
      <c r="O258" s="15"/>
      <c r="P258" s="15"/>
      <c r="Q258" s="15"/>
      <c r="R258" s="15"/>
      <c r="S258" s="15"/>
      <c r="T258" s="15"/>
      <c r="U258" s="15"/>
      <c r="V258" s="15"/>
      <c r="W258" s="15"/>
      <c r="X258" s="14"/>
      <c r="Y258" s="14"/>
      <c r="Z258" s="15"/>
      <c r="AA258" s="14"/>
      <c r="AB258" s="3"/>
      <c r="AC258" s="3"/>
      <c r="AD258" s="3"/>
      <c r="AE258" s="3"/>
      <c r="AF258" s="3"/>
    </row>
    <row r="259" ht="15.75" customHeight="1">
      <c r="J259" s="15"/>
      <c r="K259" s="238"/>
      <c r="L259" s="15"/>
      <c r="M259" s="15"/>
      <c r="N259" s="15"/>
      <c r="O259" s="15"/>
      <c r="P259" s="15"/>
      <c r="Q259" s="15"/>
      <c r="R259" s="15"/>
      <c r="S259" s="15"/>
      <c r="T259" s="15"/>
      <c r="U259" s="15"/>
      <c r="V259" s="15"/>
      <c r="W259" s="15"/>
      <c r="X259" s="14"/>
      <c r="Y259" s="14"/>
      <c r="Z259" s="15"/>
      <c r="AA259" s="14"/>
      <c r="AB259" s="3"/>
      <c r="AC259" s="3"/>
      <c r="AD259" s="3"/>
      <c r="AE259" s="3"/>
      <c r="AF259" s="3"/>
    </row>
    <row r="260" ht="15.75" customHeight="1">
      <c r="J260" s="15"/>
      <c r="K260" s="238"/>
      <c r="L260" s="15"/>
      <c r="M260" s="15"/>
      <c r="N260" s="15"/>
      <c r="O260" s="15"/>
      <c r="P260" s="15"/>
      <c r="Q260" s="15"/>
      <c r="R260" s="15"/>
      <c r="S260" s="15"/>
      <c r="T260" s="15"/>
      <c r="U260" s="15"/>
      <c r="V260" s="15"/>
      <c r="W260" s="15"/>
      <c r="X260" s="14"/>
      <c r="Y260" s="14"/>
      <c r="Z260" s="15"/>
      <c r="AA260" s="14"/>
      <c r="AB260" s="3"/>
      <c r="AC260" s="3"/>
      <c r="AD260" s="3"/>
      <c r="AE260" s="3"/>
      <c r="AF260" s="3"/>
    </row>
    <row r="261" ht="15.75" customHeight="1">
      <c r="J261" s="15"/>
      <c r="K261" s="238"/>
      <c r="L261" s="15"/>
      <c r="M261" s="15"/>
      <c r="N261" s="15"/>
      <c r="O261" s="15"/>
      <c r="P261" s="15"/>
      <c r="Q261" s="15"/>
      <c r="R261" s="15"/>
      <c r="S261" s="15"/>
      <c r="T261" s="15"/>
      <c r="U261" s="15"/>
      <c r="V261" s="15"/>
      <c r="W261" s="15"/>
      <c r="X261" s="14"/>
      <c r="Y261" s="14"/>
      <c r="Z261" s="15"/>
      <c r="AA261" s="14"/>
      <c r="AB261" s="3"/>
      <c r="AC261" s="3"/>
      <c r="AD261" s="3"/>
      <c r="AE261" s="3"/>
      <c r="AF261" s="3"/>
    </row>
    <row r="262" ht="15.75" customHeight="1">
      <c r="J262" s="15"/>
      <c r="K262" s="238"/>
      <c r="L262" s="15"/>
      <c r="M262" s="15"/>
      <c r="N262" s="15"/>
      <c r="O262" s="15"/>
      <c r="P262" s="15"/>
      <c r="Q262" s="15"/>
      <c r="R262" s="15"/>
      <c r="S262" s="15"/>
      <c r="T262" s="15"/>
      <c r="U262" s="15"/>
      <c r="V262" s="15"/>
      <c r="W262" s="15"/>
      <c r="X262" s="14"/>
      <c r="Y262" s="14"/>
      <c r="Z262" s="15"/>
      <c r="AA262" s="14"/>
      <c r="AB262" s="3"/>
      <c r="AC262" s="3"/>
      <c r="AD262" s="3"/>
      <c r="AE262" s="3"/>
      <c r="AF262" s="3"/>
    </row>
    <row r="263" ht="15.75" customHeight="1">
      <c r="J263" s="15"/>
      <c r="K263" s="238"/>
      <c r="L263" s="15"/>
      <c r="M263" s="15"/>
      <c r="N263" s="15"/>
      <c r="O263" s="15"/>
      <c r="P263" s="15"/>
      <c r="Q263" s="15"/>
      <c r="R263" s="15"/>
      <c r="S263" s="15"/>
      <c r="T263" s="15"/>
      <c r="U263" s="15"/>
      <c r="V263" s="15"/>
      <c r="W263" s="15"/>
      <c r="X263" s="14"/>
      <c r="Y263" s="14"/>
      <c r="Z263" s="15"/>
      <c r="AA263" s="14"/>
      <c r="AB263" s="3"/>
      <c r="AC263" s="3"/>
      <c r="AD263" s="3"/>
      <c r="AE263" s="3"/>
      <c r="AF263" s="3"/>
    </row>
    <row r="264" ht="15.75" customHeight="1">
      <c r="J264" s="15"/>
      <c r="K264" s="238"/>
      <c r="L264" s="15"/>
      <c r="M264" s="15"/>
      <c r="N264" s="15"/>
      <c r="O264" s="15"/>
      <c r="P264" s="15"/>
      <c r="Q264" s="15"/>
      <c r="R264" s="15"/>
      <c r="S264" s="15"/>
      <c r="T264" s="15"/>
      <c r="U264" s="15"/>
      <c r="V264" s="15"/>
      <c r="W264" s="15"/>
      <c r="X264" s="14"/>
      <c r="Y264" s="14"/>
      <c r="Z264" s="15"/>
      <c r="AA264" s="14"/>
      <c r="AB264" s="3"/>
      <c r="AC264" s="3"/>
      <c r="AD264" s="3"/>
      <c r="AE264" s="3"/>
      <c r="AF264" s="3"/>
    </row>
    <row r="265" ht="15.75" customHeight="1">
      <c r="J265" s="15"/>
      <c r="K265" s="238"/>
      <c r="L265" s="15"/>
      <c r="M265" s="15"/>
      <c r="N265" s="15"/>
      <c r="O265" s="15"/>
      <c r="P265" s="15"/>
      <c r="Q265" s="15"/>
      <c r="R265" s="15"/>
      <c r="S265" s="15"/>
      <c r="T265" s="15"/>
      <c r="U265" s="15"/>
      <c r="V265" s="15"/>
      <c r="W265" s="15"/>
      <c r="X265" s="14"/>
      <c r="Y265" s="14"/>
      <c r="Z265" s="15"/>
      <c r="AA265" s="14"/>
      <c r="AB265" s="3"/>
      <c r="AC265" s="3"/>
      <c r="AD265" s="3"/>
      <c r="AE265" s="3"/>
      <c r="AF265" s="3"/>
    </row>
    <row r="266" ht="15.75" customHeight="1">
      <c r="J266" s="15"/>
      <c r="K266" s="238"/>
      <c r="L266" s="15"/>
      <c r="M266" s="15"/>
      <c r="N266" s="15"/>
      <c r="O266" s="15"/>
      <c r="P266" s="15"/>
      <c r="Q266" s="15"/>
      <c r="R266" s="15"/>
      <c r="S266" s="15"/>
      <c r="T266" s="15"/>
      <c r="U266" s="15"/>
      <c r="V266" s="15"/>
      <c r="W266" s="15"/>
      <c r="X266" s="14"/>
      <c r="Y266" s="14"/>
      <c r="Z266" s="15"/>
      <c r="AA266" s="14"/>
      <c r="AB266" s="3"/>
      <c r="AC266" s="3"/>
      <c r="AD266" s="3"/>
      <c r="AE266" s="3"/>
      <c r="AF266" s="3"/>
    </row>
    <row r="267" ht="15.75" customHeight="1">
      <c r="J267" s="15"/>
      <c r="K267" s="238"/>
      <c r="L267" s="15"/>
      <c r="M267" s="15"/>
      <c r="N267" s="15"/>
      <c r="O267" s="15"/>
      <c r="P267" s="15"/>
      <c r="Q267" s="15"/>
      <c r="R267" s="15"/>
      <c r="S267" s="15"/>
      <c r="T267" s="15"/>
      <c r="U267" s="15"/>
      <c r="V267" s="15"/>
      <c r="W267" s="15"/>
      <c r="X267" s="14"/>
      <c r="Y267" s="14"/>
      <c r="Z267" s="15"/>
      <c r="AA267" s="14"/>
      <c r="AB267" s="3"/>
      <c r="AC267" s="3"/>
      <c r="AD267" s="3"/>
      <c r="AE267" s="3"/>
      <c r="AF267" s="3"/>
    </row>
    <row r="268" ht="15.75" customHeight="1">
      <c r="J268" s="15"/>
      <c r="K268" s="238"/>
      <c r="L268" s="15"/>
      <c r="M268" s="15"/>
      <c r="N268" s="15"/>
      <c r="O268" s="15"/>
      <c r="P268" s="15"/>
      <c r="Q268" s="15"/>
      <c r="R268" s="15"/>
      <c r="S268" s="15"/>
      <c r="T268" s="15"/>
      <c r="U268" s="15"/>
      <c r="V268" s="15"/>
      <c r="W268" s="15"/>
      <c r="X268" s="14"/>
      <c r="Y268" s="14"/>
      <c r="Z268" s="15"/>
      <c r="AA268" s="14"/>
      <c r="AB268" s="3"/>
      <c r="AC268" s="3"/>
      <c r="AD268" s="3"/>
      <c r="AE268" s="3"/>
      <c r="AF268" s="3"/>
    </row>
    <row r="269" ht="15.75" customHeight="1">
      <c r="J269" s="15"/>
      <c r="K269" s="238"/>
      <c r="L269" s="15"/>
      <c r="M269" s="15"/>
      <c r="N269" s="15"/>
      <c r="O269" s="15"/>
      <c r="P269" s="15"/>
      <c r="Q269" s="15"/>
      <c r="R269" s="15"/>
      <c r="S269" s="15"/>
      <c r="T269" s="15"/>
      <c r="U269" s="15"/>
      <c r="V269" s="15"/>
      <c r="W269" s="15"/>
      <c r="X269" s="14"/>
      <c r="Y269" s="14"/>
      <c r="Z269" s="15"/>
      <c r="AA269" s="14"/>
      <c r="AB269" s="3"/>
      <c r="AC269" s="3"/>
      <c r="AD269" s="3"/>
      <c r="AE269" s="3"/>
      <c r="AF269" s="3"/>
    </row>
    <row r="270" ht="15.75" customHeight="1">
      <c r="J270" s="15"/>
      <c r="K270" s="238"/>
      <c r="L270" s="15"/>
      <c r="M270" s="15"/>
      <c r="N270" s="15"/>
      <c r="O270" s="15"/>
      <c r="P270" s="15"/>
      <c r="Q270" s="15"/>
      <c r="R270" s="15"/>
      <c r="S270" s="15"/>
      <c r="T270" s="15"/>
      <c r="U270" s="15"/>
      <c r="V270" s="15"/>
      <c r="W270" s="15"/>
      <c r="X270" s="14"/>
      <c r="Y270" s="14"/>
      <c r="Z270" s="15"/>
      <c r="AA270" s="14"/>
      <c r="AB270" s="3"/>
      <c r="AC270" s="3"/>
      <c r="AD270" s="3"/>
      <c r="AE270" s="3"/>
      <c r="AF270" s="3"/>
    </row>
    <row r="271" ht="15.75" customHeight="1">
      <c r="J271" s="15"/>
      <c r="K271" s="238"/>
      <c r="L271" s="15"/>
      <c r="M271" s="15"/>
      <c r="N271" s="15"/>
      <c r="O271" s="15"/>
      <c r="P271" s="15"/>
      <c r="Q271" s="15"/>
      <c r="R271" s="15"/>
      <c r="S271" s="15"/>
      <c r="T271" s="15"/>
      <c r="U271" s="15"/>
      <c r="V271" s="15"/>
      <c r="W271" s="15"/>
      <c r="X271" s="14"/>
      <c r="Y271" s="14"/>
      <c r="Z271" s="15"/>
      <c r="AA271" s="14"/>
      <c r="AB271" s="3"/>
      <c r="AC271" s="3"/>
      <c r="AD271" s="3"/>
      <c r="AE271" s="3"/>
      <c r="AF271" s="3"/>
    </row>
    <row r="272" ht="15.75" customHeight="1">
      <c r="J272" s="15"/>
      <c r="K272" s="238"/>
      <c r="L272" s="15"/>
      <c r="M272" s="15"/>
      <c r="N272" s="15"/>
      <c r="O272" s="15"/>
      <c r="P272" s="15"/>
      <c r="Q272" s="15"/>
      <c r="R272" s="15"/>
      <c r="S272" s="15"/>
      <c r="T272" s="15"/>
      <c r="U272" s="15"/>
      <c r="V272" s="15"/>
      <c r="W272" s="15"/>
      <c r="X272" s="14"/>
      <c r="Y272" s="14"/>
      <c r="Z272" s="15"/>
      <c r="AA272" s="14"/>
      <c r="AB272" s="3"/>
      <c r="AC272" s="3"/>
      <c r="AD272" s="3"/>
      <c r="AE272" s="3"/>
      <c r="AF272" s="3"/>
    </row>
    <row r="273" ht="15.75" customHeight="1">
      <c r="J273" s="15"/>
      <c r="K273" s="238"/>
      <c r="L273" s="15"/>
      <c r="M273" s="15"/>
      <c r="N273" s="15"/>
      <c r="O273" s="15"/>
      <c r="P273" s="15"/>
      <c r="Q273" s="15"/>
      <c r="R273" s="15"/>
      <c r="S273" s="15"/>
      <c r="T273" s="15"/>
      <c r="U273" s="15"/>
      <c r="V273" s="15"/>
      <c r="W273" s="15"/>
      <c r="X273" s="14"/>
      <c r="Y273" s="14"/>
      <c r="Z273" s="15"/>
      <c r="AA273" s="14"/>
      <c r="AB273" s="3"/>
      <c r="AC273" s="3"/>
      <c r="AD273" s="3"/>
      <c r="AE273" s="3"/>
      <c r="AF273" s="3"/>
    </row>
    <row r="274" ht="15.75" customHeight="1">
      <c r="J274" s="15"/>
      <c r="K274" s="238"/>
      <c r="L274" s="15"/>
      <c r="M274" s="15"/>
      <c r="N274" s="15"/>
      <c r="O274" s="15"/>
      <c r="P274" s="15"/>
      <c r="Q274" s="15"/>
      <c r="R274" s="15"/>
      <c r="S274" s="15"/>
      <c r="T274" s="15"/>
      <c r="U274" s="15"/>
      <c r="V274" s="15"/>
      <c r="W274" s="15"/>
      <c r="X274" s="14"/>
      <c r="Y274" s="14"/>
      <c r="Z274" s="15"/>
      <c r="AA274" s="14"/>
      <c r="AB274" s="3"/>
      <c r="AC274" s="3"/>
      <c r="AD274" s="3"/>
      <c r="AE274" s="3"/>
      <c r="AF274" s="3"/>
    </row>
    <row r="275" ht="15.75" customHeight="1">
      <c r="J275" s="15"/>
      <c r="K275" s="238"/>
      <c r="L275" s="15"/>
      <c r="M275" s="15"/>
      <c r="N275" s="15"/>
      <c r="O275" s="15"/>
      <c r="P275" s="15"/>
      <c r="Q275" s="15"/>
      <c r="R275" s="15"/>
      <c r="S275" s="15"/>
      <c r="T275" s="15"/>
      <c r="U275" s="15"/>
      <c r="V275" s="15"/>
      <c r="W275" s="15"/>
      <c r="X275" s="14"/>
      <c r="Y275" s="14"/>
      <c r="Z275" s="15"/>
      <c r="AA275" s="14"/>
      <c r="AB275" s="3"/>
      <c r="AC275" s="3"/>
      <c r="AD275" s="3"/>
      <c r="AE275" s="3"/>
      <c r="AF275" s="3"/>
    </row>
    <row r="276" ht="15.75" customHeight="1">
      <c r="J276" s="15"/>
      <c r="K276" s="238"/>
      <c r="L276" s="15"/>
      <c r="M276" s="15"/>
      <c r="N276" s="15"/>
      <c r="O276" s="15"/>
      <c r="P276" s="15"/>
      <c r="Q276" s="15"/>
      <c r="R276" s="15"/>
      <c r="S276" s="15"/>
      <c r="T276" s="15"/>
      <c r="U276" s="15"/>
      <c r="V276" s="15"/>
      <c r="W276" s="15"/>
      <c r="X276" s="14"/>
      <c r="Y276" s="14"/>
      <c r="Z276" s="15"/>
      <c r="AA276" s="14"/>
      <c r="AB276" s="3"/>
      <c r="AC276" s="3"/>
      <c r="AD276" s="3"/>
      <c r="AE276" s="3"/>
      <c r="AF276" s="3"/>
    </row>
    <row r="277" ht="15.75" customHeight="1">
      <c r="J277" s="15"/>
      <c r="K277" s="238"/>
      <c r="L277" s="15"/>
      <c r="M277" s="15"/>
      <c r="N277" s="15"/>
      <c r="O277" s="15"/>
      <c r="P277" s="15"/>
      <c r="Q277" s="15"/>
      <c r="R277" s="15"/>
      <c r="S277" s="15"/>
      <c r="T277" s="15"/>
      <c r="U277" s="15"/>
      <c r="V277" s="15"/>
      <c r="W277" s="15"/>
      <c r="X277" s="14"/>
      <c r="Y277" s="14"/>
      <c r="Z277" s="15"/>
      <c r="AA277" s="14"/>
      <c r="AB277" s="3"/>
      <c r="AC277" s="3"/>
      <c r="AD277" s="3"/>
      <c r="AE277" s="3"/>
      <c r="AF277" s="3"/>
    </row>
    <row r="278" ht="15.75" customHeight="1">
      <c r="J278" s="15"/>
      <c r="K278" s="238"/>
      <c r="L278" s="15"/>
      <c r="M278" s="15"/>
      <c r="N278" s="15"/>
      <c r="O278" s="15"/>
      <c r="P278" s="15"/>
      <c r="Q278" s="15"/>
      <c r="R278" s="15"/>
      <c r="S278" s="15"/>
      <c r="T278" s="15"/>
      <c r="U278" s="15"/>
      <c r="V278" s="15"/>
      <c r="W278" s="15"/>
      <c r="X278" s="14"/>
      <c r="Y278" s="14"/>
      <c r="Z278" s="15"/>
      <c r="AA278" s="14"/>
      <c r="AB278" s="3"/>
      <c r="AC278" s="3"/>
      <c r="AD278" s="3"/>
      <c r="AE278" s="3"/>
      <c r="AF278" s="3"/>
    </row>
    <row r="279" ht="15.75" customHeight="1">
      <c r="J279" s="15"/>
      <c r="K279" s="238"/>
      <c r="L279" s="15"/>
      <c r="M279" s="15"/>
      <c r="N279" s="15"/>
      <c r="O279" s="15"/>
      <c r="P279" s="15"/>
      <c r="Q279" s="15"/>
      <c r="R279" s="15"/>
      <c r="S279" s="15"/>
      <c r="T279" s="15"/>
      <c r="U279" s="15"/>
      <c r="V279" s="15"/>
      <c r="W279" s="15"/>
      <c r="X279" s="14"/>
      <c r="Y279" s="14"/>
      <c r="Z279" s="15"/>
      <c r="AA279" s="14"/>
      <c r="AB279" s="3"/>
      <c r="AC279" s="3"/>
      <c r="AD279" s="3"/>
      <c r="AE279" s="3"/>
      <c r="AF279" s="3"/>
    </row>
    <row r="280" ht="15.75" customHeight="1">
      <c r="J280" s="15"/>
      <c r="K280" s="238"/>
      <c r="L280" s="15"/>
      <c r="M280" s="15"/>
      <c r="N280" s="15"/>
      <c r="O280" s="15"/>
      <c r="P280" s="15"/>
      <c r="Q280" s="15"/>
      <c r="R280" s="15"/>
      <c r="S280" s="15"/>
      <c r="T280" s="15"/>
      <c r="U280" s="15"/>
      <c r="V280" s="15"/>
      <c r="W280" s="15"/>
      <c r="X280" s="14"/>
      <c r="Y280" s="14"/>
      <c r="Z280" s="15"/>
      <c r="AA280" s="14"/>
      <c r="AB280" s="3"/>
      <c r="AC280" s="3"/>
      <c r="AD280" s="3"/>
      <c r="AE280" s="3"/>
      <c r="AF280" s="3"/>
    </row>
    <row r="281" ht="15.75" customHeight="1">
      <c r="J281" s="15"/>
      <c r="K281" s="238"/>
      <c r="L281" s="15"/>
      <c r="M281" s="15"/>
      <c r="N281" s="15"/>
      <c r="O281" s="15"/>
      <c r="P281" s="15"/>
      <c r="Q281" s="15"/>
      <c r="R281" s="15"/>
      <c r="S281" s="15"/>
      <c r="T281" s="15"/>
      <c r="U281" s="15"/>
      <c r="V281" s="15"/>
      <c r="W281" s="15"/>
      <c r="X281" s="14"/>
      <c r="Y281" s="14"/>
      <c r="Z281" s="15"/>
      <c r="AA281" s="14"/>
      <c r="AB281" s="3"/>
      <c r="AC281" s="3"/>
      <c r="AD281" s="3"/>
      <c r="AE281" s="3"/>
      <c r="AF281" s="3"/>
    </row>
    <row r="282" ht="15.75" customHeight="1">
      <c r="J282" s="15"/>
      <c r="K282" s="238"/>
      <c r="L282" s="15"/>
      <c r="M282" s="15"/>
      <c r="N282" s="15"/>
      <c r="O282" s="15"/>
      <c r="P282" s="15"/>
      <c r="Q282" s="15"/>
      <c r="R282" s="15"/>
      <c r="S282" s="15"/>
      <c r="T282" s="15"/>
      <c r="U282" s="15"/>
      <c r="V282" s="15"/>
      <c r="W282" s="15"/>
      <c r="X282" s="14"/>
      <c r="Y282" s="14"/>
      <c r="Z282" s="15"/>
      <c r="AA282" s="14"/>
      <c r="AB282" s="3"/>
      <c r="AC282" s="3"/>
      <c r="AD282" s="3"/>
      <c r="AE282" s="3"/>
      <c r="AF282" s="3"/>
    </row>
    <row r="283" ht="15.75" customHeight="1">
      <c r="J283" s="15"/>
      <c r="K283" s="238"/>
      <c r="L283" s="15"/>
      <c r="M283" s="15"/>
      <c r="N283" s="15"/>
      <c r="O283" s="15"/>
      <c r="P283" s="15"/>
      <c r="Q283" s="15"/>
      <c r="R283" s="15"/>
      <c r="S283" s="15"/>
      <c r="T283" s="15"/>
      <c r="U283" s="15"/>
      <c r="V283" s="15"/>
      <c r="W283" s="15"/>
      <c r="X283" s="14"/>
      <c r="Y283" s="14"/>
      <c r="Z283" s="15"/>
      <c r="AA283" s="14"/>
      <c r="AB283" s="3"/>
      <c r="AC283" s="3"/>
      <c r="AD283" s="3"/>
      <c r="AE283" s="3"/>
      <c r="AF283" s="3"/>
    </row>
    <row r="284" ht="15.75" customHeight="1">
      <c r="J284" s="15"/>
      <c r="K284" s="238"/>
      <c r="L284" s="15"/>
      <c r="M284" s="15"/>
      <c r="N284" s="15"/>
      <c r="O284" s="15"/>
      <c r="P284" s="15"/>
      <c r="Q284" s="15"/>
      <c r="R284" s="15"/>
      <c r="S284" s="15"/>
      <c r="T284" s="15"/>
      <c r="U284" s="15"/>
      <c r="V284" s="15"/>
      <c r="W284" s="15"/>
      <c r="X284" s="14"/>
      <c r="Y284" s="14"/>
      <c r="Z284" s="15"/>
      <c r="AA284" s="14"/>
      <c r="AB284" s="3"/>
      <c r="AC284" s="3"/>
      <c r="AD284" s="3"/>
      <c r="AE284" s="3"/>
      <c r="AF284" s="3"/>
    </row>
    <row r="285" ht="15.75" customHeight="1">
      <c r="J285" s="15"/>
      <c r="K285" s="238"/>
      <c r="L285" s="15"/>
      <c r="M285" s="15"/>
      <c r="N285" s="15"/>
      <c r="O285" s="15"/>
      <c r="P285" s="15"/>
      <c r="Q285" s="15"/>
      <c r="R285" s="15"/>
      <c r="S285" s="15"/>
      <c r="T285" s="15"/>
      <c r="U285" s="15"/>
      <c r="V285" s="15"/>
      <c r="W285" s="15"/>
      <c r="X285" s="14"/>
      <c r="Y285" s="14"/>
      <c r="Z285" s="15"/>
      <c r="AA285" s="14"/>
      <c r="AB285" s="3"/>
      <c r="AC285" s="3"/>
      <c r="AD285" s="3"/>
      <c r="AE285" s="3"/>
      <c r="AF285" s="3"/>
    </row>
    <row r="286" ht="15.75" customHeight="1">
      <c r="J286" s="15"/>
      <c r="K286" s="238"/>
      <c r="L286" s="15"/>
      <c r="M286" s="15"/>
      <c r="N286" s="15"/>
      <c r="O286" s="15"/>
      <c r="P286" s="15"/>
      <c r="Q286" s="15"/>
      <c r="R286" s="15"/>
      <c r="S286" s="15"/>
      <c r="T286" s="15"/>
      <c r="U286" s="15"/>
      <c r="V286" s="15"/>
      <c r="W286" s="15"/>
      <c r="X286" s="14"/>
      <c r="Y286" s="14"/>
      <c r="Z286" s="15"/>
      <c r="AA286" s="14"/>
      <c r="AB286" s="3"/>
      <c r="AC286" s="3"/>
      <c r="AD286" s="3"/>
      <c r="AE286" s="3"/>
      <c r="AF286" s="3"/>
    </row>
    <row r="287" ht="15.75" customHeight="1">
      <c r="J287" s="15"/>
      <c r="K287" s="238"/>
      <c r="L287" s="15"/>
      <c r="M287" s="15"/>
      <c r="N287" s="15"/>
      <c r="O287" s="15"/>
      <c r="P287" s="15"/>
      <c r="Q287" s="15"/>
      <c r="R287" s="15"/>
      <c r="S287" s="15"/>
      <c r="T287" s="15"/>
      <c r="U287" s="15"/>
      <c r="V287" s="15"/>
      <c r="W287" s="15"/>
      <c r="X287" s="14"/>
      <c r="Y287" s="14"/>
      <c r="Z287" s="15"/>
      <c r="AA287" s="14"/>
      <c r="AB287" s="3"/>
      <c r="AC287" s="3"/>
      <c r="AD287" s="3"/>
      <c r="AE287" s="3"/>
      <c r="AF287" s="3"/>
    </row>
    <row r="288" ht="15.75" customHeight="1">
      <c r="J288" s="15"/>
      <c r="K288" s="238"/>
      <c r="L288" s="15"/>
      <c r="M288" s="15"/>
      <c r="N288" s="15"/>
      <c r="O288" s="15"/>
      <c r="P288" s="15"/>
      <c r="Q288" s="15"/>
      <c r="R288" s="15"/>
      <c r="S288" s="15"/>
      <c r="T288" s="15"/>
      <c r="U288" s="15"/>
      <c r="V288" s="15"/>
      <c r="W288" s="15"/>
      <c r="X288" s="14"/>
      <c r="Y288" s="14"/>
      <c r="Z288" s="15"/>
      <c r="AA288" s="14"/>
      <c r="AB288" s="3"/>
      <c r="AC288" s="3"/>
      <c r="AD288" s="3"/>
      <c r="AE288" s="3"/>
      <c r="AF288" s="3"/>
    </row>
    <row r="289" ht="15.75" customHeight="1">
      <c r="J289" s="15"/>
      <c r="K289" s="238"/>
      <c r="L289" s="15"/>
      <c r="M289" s="15"/>
      <c r="N289" s="15"/>
      <c r="O289" s="15"/>
      <c r="P289" s="15"/>
      <c r="Q289" s="15"/>
      <c r="R289" s="15"/>
      <c r="S289" s="15"/>
      <c r="T289" s="15"/>
      <c r="U289" s="15"/>
      <c r="V289" s="15"/>
      <c r="W289" s="15"/>
      <c r="X289" s="14"/>
      <c r="Y289" s="14"/>
      <c r="Z289" s="15"/>
      <c r="AA289" s="14"/>
      <c r="AB289" s="3"/>
      <c r="AC289" s="3"/>
      <c r="AD289" s="3"/>
      <c r="AE289" s="3"/>
      <c r="AF289" s="3"/>
    </row>
    <row r="290" ht="15.75" customHeight="1">
      <c r="J290" s="15"/>
      <c r="K290" s="238"/>
      <c r="L290" s="15"/>
      <c r="M290" s="15"/>
      <c r="N290" s="15"/>
      <c r="O290" s="15"/>
      <c r="P290" s="15"/>
      <c r="Q290" s="15"/>
      <c r="R290" s="15"/>
      <c r="S290" s="15"/>
      <c r="T290" s="15"/>
      <c r="U290" s="15"/>
      <c r="V290" s="15"/>
      <c r="W290" s="15"/>
      <c r="X290" s="14"/>
      <c r="Y290" s="14"/>
      <c r="Z290" s="15"/>
      <c r="AA290" s="14"/>
      <c r="AB290" s="3"/>
      <c r="AC290" s="3"/>
      <c r="AD290" s="3"/>
      <c r="AE290" s="3"/>
      <c r="AF290" s="3"/>
    </row>
    <row r="291" ht="15.75" customHeight="1">
      <c r="J291" s="15"/>
      <c r="K291" s="238"/>
      <c r="L291" s="15"/>
      <c r="M291" s="15"/>
      <c r="N291" s="15"/>
      <c r="O291" s="15"/>
      <c r="P291" s="15"/>
      <c r="Q291" s="15"/>
      <c r="R291" s="15"/>
      <c r="S291" s="15"/>
      <c r="T291" s="15"/>
      <c r="U291" s="15"/>
      <c r="V291" s="15"/>
      <c r="W291" s="15"/>
      <c r="X291" s="14"/>
      <c r="Y291" s="14"/>
      <c r="Z291" s="15"/>
      <c r="AA291" s="14"/>
      <c r="AB291" s="3"/>
      <c r="AC291" s="3"/>
      <c r="AD291" s="3"/>
      <c r="AE291" s="3"/>
      <c r="AF291" s="3"/>
    </row>
    <row r="292" ht="15.75" customHeight="1">
      <c r="J292" s="15"/>
      <c r="K292" s="238"/>
      <c r="L292" s="15"/>
      <c r="M292" s="15"/>
      <c r="N292" s="15"/>
      <c r="O292" s="15"/>
      <c r="P292" s="15"/>
      <c r="Q292" s="15"/>
      <c r="R292" s="15"/>
      <c r="S292" s="15"/>
      <c r="T292" s="15"/>
      <c r="U292" s="15"/>
      <c r="V292" s="15"/>
      <c r="W292" s="15"/>
      <c r="X292" s="14"/>
      <c r="Y292" s="14"/>
      <c r="Z292" s="15"/>
      <c r="AA292" s="14"/>
      <c r="AB292" s="3"/>
      <c r="AC292" s="3"/>
      <c r="AD292" s="3"/>
      <c r="AE292" s="3"/>
      <c r="AF292" s="3"/>
    </row>
    <row r="293" ht="15.75" customHeight="1">
      <c r="J293" s="15"/>
      <c r="K293" s="238"/>
      <c r="L293" s="15"/>
      <c r="M293" s="15"/>
      <c r="N293" s="15"/>
      <c r="O293" s="15"/>
      <c r="P293" s="15"/>
      <c r="Q293" s="15"/>
      <c r="R293" s="15"/>
      <c r="S293" s="15"/>
      <c r="T293" s="15"/>
      <c r="U293" s="15"/>
      <c r="V293" s="15"/>
      <c r="W293" s="15"/>
      <c r="X293" s="14"/>
      <c r="Y293" s="14"/>
      <c r="Z293" s="15"/>
      <c r="AA293" s="14"/>
      <c r="AB293" s="3"/>
      <c r="AC293" s="3"/>
      <c r="AD293" s="3"/>
      <c r="AE293" s="3"/>
      <c r="AF293" s="3"/>
    </row>
    <row r="294" ht="15.75" customHeight="1">
      <c r="J294" s="15"/>
      <c r="K294" s="238"/>
      <c r="L294" s="15"/>
      <c r="M294" s="15"/>
      <c r="N294" s="15"/>
      <c r="O294" s="15"/>
      <c r="P294" s="15"/>
      <c r="Q294" s="15"/>
      <c r="R294" s="15"/>
      <c r="S294" s="15"/>
      <c r="T294" s="15"/>
      <c r="U294" s="15"/>
      <c r="V294" s="15"/>
      <c r="W294" s="15"/>
      <c r="X294" s="14"/>
      <c r="Y294" s="14"/>
      <c r="Z294" s="15"/>
      <c r="AA294" s="14"/>
      <c r="AB294" s="3"/>
      <c r="AC294" s="3"/>
      <c r="AD294" s="3"/>
      <c r="AE294" s="3"/>
      <c r="AF294" s="3"/>
    </row>
    <row r="295" ht="15.75" customHeight="1">
      <c r="J295" s="15"/>
      <c r="K295" s="238"/>
      <c r="L295" s="15"/>
      <c r="M295" s="15"/>
      <c r="N295" s="15"/>
      <c r="O295" s="15"/>
      <c r="P295" s="15"/>
      <c r="Q295" s="15"/>
      <c r="R295" s="15"/>
      <c r="S295" s="15"/>
      <c r="T295" s="15"/>
      <c r="U295" s="15"/>
      <c r="V295" s="15"/>
      <c r="W295" s="15"/>
      <c r="X295" s="14"/>
      <c r="Y295" s="14"/>
      <c r="Z295" s="15"/>
      <c r="AA295" s="14"/>
      <c r="AB295" s="3"/>
      <c r="AC295" s="3"/>
      <c r="AD295" s="3"/>
      <c r="AE295" s="3"/>
      <c r="AF295" s="3"/>
    </row>
    <row r="296" ht="15.75" customHeight="1">
      <c r="J296" s="15"/>
      <c r="K296" s="238"/>
      <c r="L296" s="15"/>
      <c r="M296" s="15"/>
      <c r="N296" s="15"/>
      <c r="O296" s="15"/>
      <c r="P296" s="15"/>
      <c r="Q296" s="15"/>
      <c r="R296" s="15"/>
      <c r="S296" s="15"/>
      <c r="T296" s="15"/>
      <c r="U296" s="15"/>
      <c r="V296" s="15"/>
      <c r="W296" s="15"/>
      <c r="X296" s="14"/>
      <c r="Y296" s="14"/>
      <c r="Z296" s="15"/>
      <c r="AA296" s="14"/>
      <c r="AB296" s="3"/>
      <c r="AC296" s="3"/>
      <c r="AD296" s="3"/>
      <c r="AE296" s="3"/>
      <c r="AF296" s="3"/>
    </row>
    <row r="297" ht="15.75" customHeight="1">
      <c r="J297" s="15"/>
      <c r="K297" s="238"/>
      <c r="L297" s="15"/>
      <c r="M297" s="15"/>
      <c r="N297" s="15"/>
      <c r="O297" s="15"/>
      <c r="P297" s="15"/>
      <c r="Q297" s="15"/>
      <c r="R297" s="15"/>
      <c r="S297" s="15"/>
      <c r="T297" s="15"/>
      <c r="U297" s="15"/>
      <c r="V297" s="15"/>
      <c r="W297" s="15"/>
      <c r="X297" s="14"/>
      <c r="Y297" s="14"/>
      <c r="Z297" s="15"/>
      <c r="AA297" s="14"/>
      <c r="AB297" s="3"/>
      <c r="AC297" s="3"/>
      <c r="AD297" s="3"/>
      <c r="AE297" s="3"/>
      <c r="AF297" s="3"/>
    </row>
    <row r="298" ht="15.75" customHeight="1">
      <c r="J298" s="15"/>
      <c r="K298" s="238"/>
      <c r="L298" s="15"/>
      <c r="M298" s="15"/>
      <c r="N298" s="15"/>
      <c r="O298" s="15"/>
      <c r="P298" s="15"/>
      <c r="Q298" s="15"/>
      <c r="R298" s="15"/>
      <c r="S298" s="15"/>
      <c r="T298" s="15"/>
      <c r="U298" s="15"/>
      <c r="V298" s="15"/>
      <c r="W298" s="15"/>
      <c r="X298" s="14"/>
      <c r="Y298" s="14"/>
      <c r="Z298" s="15"/>
      <c r="AA298" s="14"/>
      <c r="AB298" s="3"/>
      <c r="AC298" s="3"/>
      <c r="AD298" s="3"/>
      <c r="AE298" s="3"/>
      <c r="AF298" s="3"/>
    </row>
    <row r="299" ht="15.75" customHeight="1">
      <c r="J299" s="15"/>
      <c r="K299" s="238"/>
      <c r="L299" s="15"/>
      <c r="M299" s="15"/>
      <c r="N299" s="15"/>
      <c r="O299" s="15"/>
      <c r="P299" s="15"/>
      <c r="Q299" s="15"/>
      <c r="R299" s="15"/>
      <c r="S299" s="15"/>
      <c r="T299" s="15"/>
      <c r="U299" s="15"/>
      <c r="V299" s="15"/>
      <c r="W299" s="15"/>
      <c r="X299" s="14"/>
      <c r="Y299" s="14"/>
      <c r="Z299" s="15"/>
      <c r="AA299" s="14"/>
      <c r="AB299" s="3"/>
      <c r="AC299" s="3"/>
      <c r="AD299" s="3"/>
      <c r="AE299" s="3"/>
      <c r="AF299" s="3"/>
    </row>
    <row r="300" ht="15.75" customHeight="1">
      <c r="J300" s="15"/>
      <c r="K300" s="238"/>
      <c r="L300" s="15"/>
      <c r="M300" s="15"/>
      <c r="N300" s="15"/>
      <c r="O300" s="15"/>
      <c r="P300" s="15"/>
      <c r="Q300" s="15"/>
      <c r="R300" s="15"/>
      <c r="S300" s="15"/>
      <c r="T300" s="15"/>
      <c r="U300" s="15"/>
      <c r="V300" s="15"/>
      <c r="W300" s="15"/>
      <c r="X300" s="14"/>
      <c r="Y300" s="14"/>
      <c r="Z300" s="15"/>
      <c r="AA300" s="14"/>
      <c r="AB300" s="3"/>
      <c r="AC300" s="3"/>
      <c r="AD300" s="3"/>
      <c r="AE300" s="3"/>
      <c r="AF300" s="3"/>
    </row>
    <row r="301" ht="15.75" customHeight="1">
      <c r="J301" s="15"/>
      <c r="K301" s="238"/>
      <c r="L301" s="15"/>
      <c r="M301" s="15"/>
      <c r="N301" s="15"/>
      <c r="O301" s="15"/>
      <c r="P301" s="15"/>
      <c r="Q301" s="15"/>
      <c r="R301" s="15"/>
      <c r="S301" s="15"/>
      <c r="T301" s="15"/>
      <c r="U301" s="15"/>
      <c r="V301" s="15"/>
      <c r="W301" s="15"/>
      <c r="X301" s="14"/>
      <c r="Y301" s="14"/>
      <c r="Z301" s="15"/>
      <c r="AA301" s="14"/>
      <c r="AB301" s="3"/>
      <c r="AC301" s="3"/>
      <c r="AD301" s="3"/>
      <c r="AE301" s="3"/>
      <c r="AF301" s="3"/>
    </row>
    <row r="302" ht="15.75" customHeight="1">
      <c r="J302" s="15"/>
      <c r="K302" s="238"/>
      <c r="L302" s="15"/>
      <c r="M302" s="15"/>
      <c r="N302" s="15"/>
      <c r="O302" s="15"/>
      <c r="P302" s="15"/>
      <c r="Q302" s="15"/>
      <c r="R302" s="15"/>
      <c r="S302" s="15"/>
      <c r="T302" s="15"/>
      <c r="U302" s="15"/>
      <c r="V302" s="15"/>
      <c r="W302" s="15"/>
      <c r="X302" s="14"/>
      <c r="Y302" s="14"/>
      <c r="Z302" s="15"/>
      <c r="AA302" s="14"/>
      <c r="AB302" s="3"/>
      <c r="AC302" s="3"/>
      <c r="AD302" s="3"/>
      <c r="AE302" s="3"/>
      <c r="AF302" s="3"/>
    </row>
    <row r="303" ht="15.75" customHeight="1">
      <c r="J303" s="15"/>
      <c r="K303" s="238"/>
      <c r="L303" s="15"/>
      <c r="M303" s="15"/>
      <c r="N303" s="15"/>
      <c r="O303" s="15"/>
      <c r="P303" s="15"/>
      <c r="Q303" s="15"/>
      <c r="R303" s="15"/>
      <c r="S303" s="15"/>
      <c r="T303" s="15"/>
      <c r="U303" s="15"/>
      <c r="V303" s="15"/>
      <c r="W303" s="15"/>
      <c r="X303" s="14"/>
      <c r="Y303" s="14"/>
      <c r="Z303" s="15"/>
      <c r="AA303" s="14"/>
      <c r="AB303" s="3"/>
      <c r="AC303" s="3"/>
      <c r="AD303" s="3"/>
      <c r="AE303" s="3"/>
      <c r="AF303" s="3"/>
    </row>
    <row r="304" ht="15.75" customHeight="1">
      <c r="J304" s="15"/>
      <c r="K304" s="238"/>
      <c r="L304" s="15"/>
      <c r="M304" s="15"/>
      <c r="N304" s="15"/>
      <c r="O304" s="15"/>
      <c r="P304" s="15"/>
      <c r="Q304" s="15"/>
      <c r="R304" s="15"/>
      <c r="S304" s="15"/>
      <c r="T304" s="15"/>
      <c r="U304" s="15"/>
      <c r="V304" s="15"/>
      <c r="W304" s="15"/>
      <c r="X304" s="14"/>
      <c r="Y304" s="14"/>
      <c r="Z304" s="15"/>
      <c r="AA304" s="14"/>
      <c r="AB304" s="3"/>
      <c r="AC304" s="3"/>
      <c r="AD304" s="3"/>
      <c r="AE304" s="3"/>
      <c r="AF304" s="3"/>
    </row>
    <row r="305" ht="15.75" customHeight="1">
      <c r="J305" s="15"/>
      <c r="K305" s="238"/>
      <c r="L305" s="15"/>
      <c r="M305" s="15"/>
      <c r="N305" s="15"/>
      <c r="O305" s="15"/>
      <c r="P305" s="15"/>
      <c r="Q305" s="15"/>
      <c r="R305" s="15"/>
      <c r="S305" s="15"/>
      <c r="T305" s="15"/>
      <c r="U305" s="15"/>
      <c r="V305" s="15"/>
      <c r="W305" s="15"/>
      <c r="X305" s="14"/>
      <c r="Y305" s="14"/>
      <c r="Z305" s="15"/>
      <c r="AA305" s="14"/>
      <c r="AB305" s="3"/>
      <c r="AC305" s="3"/>
      <c r="AD305" s="3"/>
      <c r="AE305" s="3"/>
      <c r="AF305" s="3"/>
    </row>
    <row r="306" ht="15.75" customHeight="1">
      <c r="J306" s="15"/>
      <c r="K306" s="238"/>
      <c r="L306" s="15"/>
      <c r="M306" s="15"/>
      <c r="N306" s="15"/>
      <c r="O306" s="15"/>
      <c r="P306" s="15"/>
      <c r="Q306" s="15"/>
      <c r="R306" s="15"/>
      <c r="S306" s="15"/>
      <c r="T306" s="15"/>
      <c r="U306" s="15"/>
      <c r="V306" s="15"/>
      <c r="W306" s="15"/>
      <c r="X306" s="14"/>
      <c r="Y306" s="14"/>
      <c r="Z306" s="15"/>
      <c r="AA306" s="14"/>
      <c r="AB306" s="3"/>
      <c r="AC306" s="3"/>
      <c r="AD306" s="3"/>
      <c r="AE306" s="3"/>
      <c r="AF306" s="3"/>
    </row>
    <row r="307" ht="15.75" customHeight="1">
      <c r="J307" s="15"/>
      <c r="K307" s="238"/>
      <c r="L307" s="15"/>
      <c r="M307" s="15"/>
      <c r="N307" s="15"/>
      <c r="O307" s="15"/>
      <c r="P307" s="15"/>
      <c r="Q307" s="15"/>
      <c r="R307" s="15"/>
      <c r="S307" s="15"/>
      <c r="T307" s="15"/>
      <c r="U307" s="15"/>
      <c r="V307" s="15"/>
      <c r="W307" s="15"/>
      <c r="X307" s="14"/>
      <c r="Y307" s="14"/>
      <c r="Z307" s="15"/>
      <c r="AA307" s="14"/>
      <c r="AB307" s="3"/>
      <c r="AC307" s="3"/>
      <c r="AD307" s="3"/>
      <c r="AE307" s="3"/>
      <c r="AF307" s="3"/>
    </row>
    <row r="308" ht="15.75" customHeight="1">
      <c r="J308" s="15"/>
      <c r="K308" s="238"/>
      <c r="L308" s="15"/>
      <c r="M308" s="15"/>
      <c r="N308" s="15"/>
      <c r="O308" s="15"/>
      <c r="P308" s="15"/>
      <c r="Q308" s="15"/>
      <c r="R308" s="15"/>
      <c r="S308" s="15"/>
      <c r="T308" s="15"/>
      <c r="U308" s="15"/>
      <c r="V308" s="15"/>
      <c r="W308" s="15"/>
      <c r="X308" s="14"/>
      <c r="Y308" s="14"/>
      <c r="Z308" s="15"/>
      <c r="AA308" s="14"/>
      <c r="AB308" s="3"/>
      <c r="AC308" s="3"/>
      <c r="AD308" s="3"/>
      <c r="AE308" s="3"/>
      <c r="AF308" s="3"/>
    </row>
    <row r="309" ht="15.75" customHeight="1">
      <c r="J309" s="15"/>
      <c r="K309" s="238"/>
      <c r="L309" s="15"/>
      <c r="M309" s="15"/>
      <c r="N309" s="15"/>
      <c r="O309" s="15"/>
      <c r="P309" s="15"/>
      <c r="Q309" s="15"/>
      <c r="R309" s="15"/>
      <c r="S309" s="15"/>
      <c r="T309" s="15"/>
      <c r="U309" s="15"/>
      <c r="V309" s="15"/>
      <c r="W309" s="15"/>
      <c r="X309" s="14"/>
      <c r="Y309" s="14"/>
      <c r="Z309" s="15"/>
      <c r="AA309" s="14"/>
      <c r="AB309" s="3"/>
      <c r="AC309" s="3"/>
      <c r="AD309" s="3"/>
      <c r="AE309" s="3"/>
      <c r="AF309" s="3"/>
    </row>
    <row r="310" ht="15.75" customHeight="1">
      <c r="J310" s="15"/>
      <c r="K310" s="238"/>
      <c r="L310" s="15"/>
      <c r="M310" s="15"/>
      <c r="N310" s="15"/>
      <c r="O310" s="15"/>
      <c r="P310" s="15"/>
      <c r="Q310" s="15"/>
      <c r="R310" s="15"/>
      <c r="S310" s="15"/>
      <c r="T310" s="15"/>
      <c r="U310" s="15"/>
      <c r="V310" s="15"/>
      <c r="W310" s="15"/>
      <c r="X310" s="14"/>
      <c r="Y310" s="14"/>
      <c r="Z310" s="15"/>
      <c r="AA310" s="14"/>
      <c r="AB310" s="3"/>
      <c r="AC310" s="3"/>
      <c r="AD310" s="3"/>
      <c r="AE310" s="3"/>
      <c r="AF310" s="3"/>
    </row>
    <row r="311" ht="15.75" customHeight="1">
      <c r="J311" s="15"/>
      <c r="K311" s="238"/>
      <c r="L311" s="15"/>
      <c r="M311" s="15"/>
      <c r="N311" s="15"/>
      <c r="O311" s="15"/>
      <c r="P311" s="15"/>
      <c r="Q311" s="15"/>
      <c r="R311" s="15"/>
      <c r="S311" s="15"/>
      <c r="T311" s="15"/>
      <c r="U311" s="15"/>
      <c r="V311" s="15"/>
      <c r="W311" s="15"/>
      <c r="X311" s="14"/>
      <c r="Y311" s="14"/>
      <c r="Z311" s="15"/>
      <c r="AA311" s="14"/>
      <c r="AB311" s="3"/>
      <c r="AC311" s="3"/>
      <c r="AD311" s="3"/>
      <c r="AE311" s="3"/>
      <c r="AF311" s="3"/>
    </row>
    <row r="312" ht="15.75" customHeight="1">
      <c r="J312" s="15"/>
      <c r="K312" s="238"/>
      <c r="L312" s="15"/>
      <c r="M312" s="15"/>
      <c r="N312" s="15"/>
      <c r="O312" s="15"/>
      <c r="P312" s="15"/>
      <c r="Q312" s="15"/>
      <c r="R312" s="15"/>
      <c r="S312" s="15"/>
      <c r="T312" s="15"/>
      <c r="U312" s="15"/>
      <c r="V312" s="15"/>
      <c r="W312" s="15"/>
      <c r="X312" s="14"/>
      <c r="Y312" s="14"/>
      <c r="Z312" s="15"/>
      <c r="AA312" s="14"/>
      <c r="AB312" s="3"/>
      <c r="AC312" s="3"/>
      <c r="AD312" s="3"/>
      <c r="AE312" s="3"/>
      <c r="AF312" s="3"/>
    </row>
    <row r="313" ht="15.75" customHeight="1">
      <c r="J313" s="15"/>
      <c r="K313" s="238"/>
      <c r="L313" s="15"/>
      <c r="M313" s="15"/>
      <c r="N313" s="15"/>
      <c r="O313" s="15"/>
      <c r="P313" s="15"/>
      <c r="Q313" s="15"/>
      <c r="R313" s="15"/>
      <c r="S313" s="15"/>
      <c r="T313" s="15"/>
      <c r="U313" s="15"/>
      <c r="V313" s="15"/>
      <c r="W313" s="15"/>
      <c r="X313" s="14"/>
      <c r="Y313" s="14"/>
      <c r="Z313" s="15"/>
      <c r="AA313" s="14"/>
      <c r="AB313" s="3"/>
      <c r="AC313" s="3"/>
      <c r="AD313" s="3"/>
      <c r="AE313" s="3"/>
      <c r="AF313" s="3"/>
    </row>
    <row r="314" ht="15.75" customHeight="1">
      <c r="J314" s="15"/>
      <c r="K314" s="238"/>
      <c r="L314" s="15"/>
      <c r="M314" s="15"/>
      <c r="N314" s="15"/>
      <c r="O314" s="15"/>
      <c r="P314" s="15"/>
      <c r="Q314" s="15"/>
      <c r="R314" s="15"/>
      <c r="S314" s="15"/>
      <c r="T314" s="15"/>
      <c r="U314" s="15"/>
      <c r="V314" s="15"/>
      <c r="W314" s="15"/>
      <c r="X314" s="14"/>
      <c r="Y314" s="14"/>
      <c r="Z314" s="15"/>
      <c r="AA314" s="14"/>
      <c r="AB314" s="3"/>
      <c r="AC314" s="3"/>
      <c r="AD314" s="3"/>
      <c r="AE314" s="3"/>
      <c r="AF314" s="3"/>
    </row>
    <row r="315" ht="15.75" customHeight="1">
      <c r="J315" s="15"/>
      <c r="K315" s="238"/>
      <c r="L315" s="15"/>
      <c r="M315" s="15"/>
      <c r="N315" s="15"/>
      <c r="O315" s="15"/>
      <c r="P315" s="15"/>
      <c r="Q315" s="15"/>
      <c r="R315" s="15"/>
      <c r="S315" s="15"/>
      <c r="T315" s="15"/>
      <c r="U315" s="15"/>
      <c r="V315" s="15"/>
      <c r="W315" s="15"/>
      <c r="X315" s="14"/>
      <c r="Y315" s="14"/>
      <c r="Z315" s="15"/>
      <c r="AA315" s="14"/>
      <c r="AB315" s="3"/>
      <c r="AC315" s="3"/>
      <c r="AD315" s="3"/>
      <c r="AE315" s="3"/>
      <c r="AF315" s="3"/>
    </row>
    <row r="316" ht="15.75" customHeight="1">
      <c r="J316" s="15"/>
      <c r="K316" s="238"/>
      <c r="L316" s="15"/>
      <c r="M316" s="15"/>
      <c r="N316" s="15"/>
      <c r="O316" s="15"/>
      <c r="P316" s="15"/>
      <c r="Q316" s="15"/>
      <c r="R316" s="15"/>
      <c r="S316" s="15"/>
      <c r="T316" s="15"/>
      <c r="U316" s="15"/>
      <c r="V316" s="15"/>
      <c r="W316" s="15"/>
      <c r="X316" s="14"/>
      <c r="Y316" s="14"/>
      <c r="Z316" s="15"/>
      <c r="AA316" s="14"/>
      <c r="AB316" s="3"/>
      <c r="AC316" s="3"/>
      <c r="AD316" s="3"/>
      <c r="AE316" s="3"/>
      <c r="AF316" s="3"/>
    </row>
    <row r="317" ht="15.75" customHeight="1">
      <c r="J317" s="15"/>
      <c r="K317" s="238"/>
      <c r="L317" s="15"/>
      <c r="M317" s="15"/>
      <c r="N317" s="15"/>
      <c r="O317" s="15"/>
      <c r="P317" s="15"/>
      <c r="Q317" s="15"/>
      <c r="R317" s="15"/>
      <c r="S317" s="15"/>
      <c r="T317" s="15"/>
      <c r="U317" s="15"/>
      <c r="V317" s="15"/>
      <c r="W317" s="15"/>
      <c r="X317" s="14"/>
      <c r="Y317" s="14"/>
      <c r="Z317" s="15"/>
      <c r="AA317" s="14"/>
      <c r="AB317" s="3"/>
      <c r="AC317" s="3"/>
      <c r="AD317" s="3"/>
      <c r="AE317" s="3"/>
      <c r="AF317" s="3"/>
    </row>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sheetData>
  <mergeCells count="1">
    <mergeCell ref="G1:I1"/>
  </mergeCells>
  <printOptions/>
  <pageMargins bottom="0.787401575" footer="0.0" header="0.0" left="0.511811024" right="0.511811024" top="0.787401575"/>
  <pageSetup orientation="landscape"/>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10.0" ySplit="2.0" topLeftCell="K3" activePane="bottomRight" state="frozen"/>
      <selection activeCell="K1" sqref="K1" pane="topRight"/>
      <selection activeCell="A3" sqref="A3" pane="bottomLeft"/>
      <selection activeCell="K3" sqref="K3" pane="bottomRight"/>
    </sheetView>
  </sheetViews>
  <sheetFormatPr customHeight="1" defaultColWidth="14.43" defaultRowHeight="15.0"/>
  <cols>
    <col customWidth="1" hidden="1" min="1" max="1" width="1.43"/>
    <col customWidth="1" hidden="1" min="2" max="2" width="3.0"/>
    <col customWidth="1" hidden="1" min="3" max="3" width="20.29"/>
    <col customWidth="1" hidden="1" min="4" max="5" width="8.86"/>
    <col customWidth="1" hidden="1" min="6" max="6" width="13.43"/>
    <col customWidth="1" hidden="1" min="7" max="7" width="13.29"/>
    <col customWidth="1" hidden="1" min="8" max="8" width="7.43"/>
    <col customWidth="1" hidden="1" min="9" max="9" width="6.43"/>
    <col customWidth="1" hidden="1" min="10" max="10" width="21.0"/>
    <col customWidth="1" min="11" max="11" width="8.29"/>
    <col customWidth="1" min="12" max="12" width="15.14"/>
    <col customWidth="1" min="13" max="16" width="15.0"/>
    <col customWidth="1" min="17" max="23" width="16.43"/>
    <col customWidth="1" min="24" max="25" width="16.14"/>
    <col customWidth="1" min="26" max="26" width="14.86"/>
    <col customWidth="1" min="27" max="27" width="13.0"/>
    <col customWidth="1" min="28" max="28" width="11.57"/>
    <col customWidth="1" min="29" max="29" width="12.29"/>
    <col customWidth="1" min="30" max="31" width="11.57"/>
    <col customWidth="1" min="32" max="36" width="9.14"/>
  </cols>
  <sheetData>
    <row r="1" ht="15.75" customHeight="1">
      <c r="A1" s="1"/>
      <c r="B1" s="2"/>
      <c r="C1" s="1"/>
      <c r="D1" s="1"/>
      <c r="E1" s="3"/>
      <c r="F1" s="4"/>
      <c r="G1" s="453">
        <v>2025.0</v>
      </c>
      <c r="H1" s="6"/>
      <c r="I1" s="7"/>
      <c r="J1" s="8"/>
      <c r="K1" s="9"/>
      <c r="L1" s="12"/>
      <c r="M1" s="196"/>
      <c r="N1" s="11"/>
      <c r="O1" s="11"/>
      <c r="P1" s="11"/>
      <c r="Q1" s="11"/>
      <c r="R1" s="11"/>
      <c r="S1" s="11"/>
      <c r="T1" s="11"/>
      <c r="U1" s="11"/>
      <c r="V1" s="11"/>
      <c r="W1" s="12"/>
      <c r="X1" s="13"/>
      <c r="Y1" s="13"/>
      <c r="Z1" s="14"/>
      <c r="AA1" s="15"/>
      <c r="AB1" s="3"/>
      <c r="AC1" s="3"/>
      <c r="AD1" s="3"/>
      <c r="AE1" s="3"/>
      <c r="AF1" s="3"/>
      <c r="AG1" s="3"/>
      <c r="AH1" s="3"/>
      <c r="AI1" s="3"/>
      <c r="AJ1" s="3"/>
    </row>
    <row r="2" ht="15.75" customHeight="1">
      <c r="A2" s="1"/>
      <c r="B2" s="2"/>
      <c r="C2" s="16" t="s">
        <v>1</v>
      </c>
      <c r="D2" s="17" t="s">
        <v>2</v>
      </c>
      <c r="E2" s="18" t="s">
        <v>3</v>
      </c>
      <c r="F2" s="454" t="s">
        <v>137</v>
      </c>
      <c r="G2" s="455" t="s">
        <v>5</v>
      </c>
      <c r="H2" s="20" t="s">
        <v>6</v>
      </c>
      <c r="I2" s="20" t="s">
        <v>7</v>
      </c>
      <c r="J2" s="21"/>
      <c r="K2" s="22"/>
      <c r="L2" s="456"/>
      <c r="M2" s="456"/>
      <c r="N2" s="24"/>
      <c r="O2" s="24"/>
      <c r="P2" s="24"/>
      <c r="Q2" s="214"/>
      <c r="R2" s="24"/>
      <c r="S2" s="24"/>
      <c r="T2" s="24"/>
      <c r="U2" s="24"/>
      <c r="V2" s="24"/>
      <c r="W2" s="12"/>
      <c r="X2" s="457"/>
      <c r="Y2" s="364">
        <v>2027.0</v>
      </c>
      <c r="Z2" s="399">
        <v>2026.0</v>
      </c>
      <c r="AA2" s="238" t="s">
        <v>136</v>
      </c>
      <c r="AB2" s="238" t="s">
        <v>138</v>
      </c>
      <c r="AC2" s="238">
        <v>2028.0</v>
      </c>
      <c r="AD2" s="3"/>
      <c r="AE2" s="3"/>
      <c r="AF2" s="3"/>
      <c r="AG2" s="3"/>
      <c r="AH2" s="3"/>
      <c r="AI2" s="3"/>
      <c r="AJ2" s="3"/>
    </row>
    <row r="3">
      <c r="A3" s="1"/>
      <c r="B3" s="26">
        <v>1.0</v>
      </c>
      <c r="C3" s="27" t="s">
        <v>8</v>
      </c>
      <c r="D3" s="28"/>
      <c r="E3" s="29"/>
      <c r="F3" s="30"/>
      <c r="G3" s="458">
        <v>3.442912982002714E7</v>
      </c>
      <c r="H3" s="32">
        <v>329237.0</v>
      </c>
      <c r="I3" s="33">
        <v>104.57248067509771</v>
      </c>
      <c r="J3" s="459" t="s">
        <v>9</v>
      </c>
      <c r="K3" s="395">
        <v>7.0</v>
      </c>
      <c r="L3" s="397" t="s">
        <v>10</v>
      </c>
      <c r="M3" s="398" t="s">
        <v>14</v>
      </c>
      <c r="N3" s="397" t="s">
        <v>18</v>
      </c>
      <c r="O3" s="398" t="s">
        <v>22</v>
      </c>
      <c r="P3" s="397" t="s">
        <v>26</v>
      </c>
      <c r="Q3" s="398" t="s">
        <v>30</v>
      </c>
      <c r="R3" s="397" t="s">
        <v>34</v>
      </c>
      <c r="S3" s="398" t="s">
        <v>38</v>
      </c>
      <c r="T3" s="397" t="s">
        <v>42</v>
      </c>
      <c r="U3" s="398" t="s">
        <v>46</v>
      </c>
      <c r="V3" s="397" t="s">
        <v>50</v>
      </c>
      <c r="W3" s="398" t="s">
        <v>54</v>
      </c>
      <c r="X3" s="378"/>
      <c r="Y3" s="364">
        <v>2027.0</v>
      </c>
      <c r="Z3" s="399">
        <v>2026.0</v>
      </c>
      <c r="AA3" s="53" t="s">
        <v>63</v>
      </c>
      <c r="AB3" s="3"/>
      <c r="AC3" s="3"/>
      <c r="AD3" s="3"/>
      <c r="AE3" s="3"/>
      <c r="AF3" s="3"/>
      <c r="AG3" s="3"/>
      <c r="AH3" s="3"/>
      <c r="AI3" s="3"/>
      <c r="AJ3" s="3"/>
    </row>
    <row r="4">
      <c r="A4" s="1"/>
      <c r="B4" s="26"/>
      <c r="C4" s="27"/>
      <c r="D4" s="28"/>
      <c r="E4" s="29"/>
      <c r="F4" s="30"/>
      <c r="G4" s="458"/>
      <c r="H4" s="32"/>
      <c r="I4" s="33"/>
      <c r="J4" s="72" t="s">
        <v>64</v>
      </c>
      <c r="K4" s="400"/>
      <c r="L4" s="401">
        <v>0.08</v>
      </c>
      <c r="M4" s="401">
        <v>0.04</v>
      </c>
      <c r="N4" s="401">
        <v>0.05</v>
      </c>
      <c r="O4" s="401">
        <v>0.06</v>
      </c>
      <c r="P4" s="401">
        <v>0.06</v>
      </c>
      <c r="Q4" s="401">
        <v>0.06</v>
      </c>
      <c r="R4" s="401">
        <v>0.07</v>
      </c>
      <c r="S4" s="401">
        <v>0.08</v>
      </c>
      <c r="T4" s="401">
        <v>0.1</v>
      </c>
      <c r="U4" s="401">
        <v>0.12</v>
      </c>
      <c r="V4" s="401">
        <v>0.14</v>
      </c>
      <c r="W4" s="401">
        <v>0.14</v>
      </c>
      <c r="X4" s="367"/>
      <c r="Y4" s="166">
        <f>SUM(L4:W4)</f>
        <v>1</v>
      </c>
      <c r="Z4" s="460">
        <v>1.0</v>
      </c>
      <c r="AA4" s="71"/>
      <c r="AB4" s="3"/>
      <c r="AC4" s="3"/>
      <c r="AD4" s="3"/>
      <c r="AE4" s="3"/>
      <c r="AF4" s="3"/>
      <c r="AG4" s="3"/>
      <c r="AH4" s="3"/>
      <c r="AI4" s="3"/>
      <c r="AJ4" s="3"/>
    </row>
    <row r="5">
      <c r="A5" s="1"/>
      <c r="B5" s="26"/>
      <c r="C5" s="27"/>
      <c r="D5" s="28"/>
      <c r="E5" s="29"/>
      <c r="F5" s="30"/>
      <c r="G5" s="458"/>
      <c r="H5" s="32"/>
      <c r="I5" s="33"/>
      <c r="J5" s="72" t="s">
        <v>66</v>
      </c>
      <c r="K5" s="400"/>
      <c r="L5" s="91">
        <f t="shared" ref="L5:W5" si="1">($Y$5)*L4</f>
        <v>5200000</v>
      </c>
      <c r="M5" s="91">
        <f t="shared" si="1"/>
        <v>2600000</v>
      </c>
      <c r="N5" s="91">
        <f t="shared" si="1"/>
        <v>3250000</v>
      </c>
      <c r="O5" s="91">
        <f t="shared" si="1"/>
        <v>3900000</v>
      </c>
      <c r="P5" s="91">
        <f t="shared" si="1"/>
        <v>3900000</v>
      </c>
      <c r="Q5" s="91">
        <f t="shared" si="1"/>
        <v>3900000</v>
      </c>
      <c r="R5" s="91">
        <f t="shared" si="1"/>
        <v>4550000</v>
      </c>
      <c r="S5" s="91">
        <f t="shared" si="1"/>
        <v>5200000</v>
      </c>
      <c r="T5" s="91">
        <f t="shared" si="1"/>
        <v>6500000</v>
      </c>
      <c r="U5" s="91">
        <f t="shared" si="1"/>
        <v>7800000</v>
      </c>
      <c r="V5" s="91">
        <f t="shared" si="1"/>
        <v>9100000</v>
      </c>
      <c r="W5" s="91">
        <f t="shared" si="1"/>
        <v>9100000</v>
      </c>
      <c r="X5" s="102"/>
      <c r="Y5" s="168">
        <v>6.5E7</v>
      </c>
      <c r="Z5" s="403">
        <v>5.0E7</v>
      </c>
      <c r="AA5" s="106">
        <f t="shared" ref="AA5:AA7" si="3">Y5/Z5-1</f>
        <v>0.3</v>
      </c>
      <c r="AB5" s="194">
        <v>0.03</v>
      </c>
      <c r="AC5" s="4">
        <f>Y5+AB5*Y5</f>
        <v>66950000</v>
      </c>
      <c r="AD5" s="3"/>
      <c r="AE5" s="3"/>
      <c r="AF5" s="3"/>
      <c r="AG5" s="3"/>
      <c r="AH5" s="3"/>
      <c r="AI5" s="3"/>
      <c r="AJ5" s="3"/>
    </row>
    <row r="6">
      <c r="A6" s="1"/>
      <c r="B6" s="26"/>
      <c r="C6" s="27"/>
      <c r="D6" s="28"/>
      <c r="E6" s="29"/>
      <c r="F6" s="30"/>
      <c r="G6" s="458"/>
      <c r="H6" s="32"/>
      <c r="I6" s="33"/>
      <c r="J6" s="72" t="s">
        <v>67</v>
      </c>
      <c r="K6" s="404">
        <v>90.0</v>
      </c>
      <c r="L6" s="109">
        <f t="shared" ref="L6:W6" si="2">L5/$K$6</f>
        <v>57777.77778</v>
      </c>
      <c r="M6" s="109">
        <f t="shared" si="2"/>
        <v>28888.88889</v>
      </c>
      <c r="N6" s="109">
        <f t="shared" si="2"/>
        <v>36111.11111</v>
      </c>
      <c r="O6" s="109">
        <f t="shared" si="2"/>
        <v>43333.33333</v>
      </c>
      <c r="P6" s="109">
        <f t="shared" si="2"/>
        <v>43333.33333</v>
      </c>
      <c r="Q6" s="109">
        <f t="shared" si="2"/>
        <v>43333.33333</v>
      </c>
      <c r="R6" s="109">
        <f t="shared" si="2"/>
        <v>50555.55556</v>
      </c>
      <c r="S6" s="109">
        <f t="shared" si="2"/>
        <v>57777.77778</v>
      </c>
      <c r="T6" s="109">
        <f t="shared" si="2"/>
        <v>72222.22222</v>
      </c>
      <c r="U6" s="109">
        <f t="shared" si="2"/>
        <v>86666.66667</v>
      </c>
      <c r="V6" s="109">
        <f t="shared" si="2"/>
        <v>101111.1111</v>
      </c>
      <c r="W6" s="109">
        <f t="shared" si="2"/>
        <v>101111.1111</v>
      </c>
      <c r="X6" s="207"/>
      <c r="Y6" s="172">
        <f t="shared" ref="Y6:Y7" si="5">SUM(L6:W6)</f>
        <v>722222.2222</v>
      </c>
      <c r="Z6" s="405">
        <v>557692.0555555556</v>
      </c>
      <c r="AA6" s="106">
        <f t="shared" si="3"/>
        <v>0.2950197426</v>
      </c>
      <c r="AB6" s="3"/>
      <c r="AC6" s="3"/>
      <c r="AD6" s="3"/>
      <c r="AE6" s="3"/>
      <c r="AF6" s="3"/>
      <c r="AG6" s="3"/>
      <c r="AH6" s="3"/>
      <c r="AI6" s="3"/>
      <c r="AJ6" s="3"/>
    </row>
    <row r="7">
      <c r="A7" s="1"/>
      <c r="B7" s="26"/>
      <c r="C7" s="27"/>
      <c r="D7" s="28"/>
      <c r="E7" s="29"/>
      <c r="F7" s="30"/>
      <c r="G7" s="458"/>
      <c r="H7" s="32"/>
      <c r="I7" s="33"/>
      <c r="J7" s="124" t="s">
        <v>69</v>
      </c>
      <c r="K7" s="406">
        <v>0.049</v>
      </c>
      <c r="L7" s="130">
        <f t="shared" ref="L7:W7" si="4">L5*$K$7</f>
        <v>254800</v>
      </c>
      <c r="M7" s="130">
        <f t="shared" si="4"/>
        <v>127400</v>
      </c>
      <c r="N7" s="130">
        <f t="shared" si="4"/>
        <v>159250</v>
      </c>
      <c r="O7" s="130">
        <f t="shared" si="4"/>
        <v>191100</v>
      </c>
      <c r="P7" s="130">
        <f t="shared" si="4"/>
        <v>191100</v>
      </c>
      <c r="Q7" s="130">
        <f t="shared" si="4"/>
        <v>191100</v>
      </c>
      <c r="R7" s="130">
        <f t="shared" si="4"/>
        <v>222950</v>
      </c>
      <c r="S7" s="130">
        <f t="shared" si="4"/>
        <v>254800</v>
      </c>
      <c r="T7" s="130">
        <f t="shared" si="4"/>
        <v>318500</v>
      </c>
      <c r="U7" s="130">
        <f t="shared" si="4"/>
        <v>382200</v>
      </c>
      <c r="V7" s="130">
        <f t="shared" si="4"/>
        <v>445900</v>
      </c>
      <c r="W7" s="130">
        <f t="shared" si="4"/>
        <v>445900</v>
      </c>
      <c r="X7" s="213"/>
      <c r="Y7" s="181">
        <f t="shared" si="5"/>
        <v>3185000</v>
      </c>
      <c r="Z7" s="407">
        <v>2450000.0000000005</v>
      </c>
      <c r="AA7" s="106">
        <f t="shared" si="3"/>
        <v>0.3</v>
      </c>
      <c r="AB7" s="3"/>
      <c r="AC7" s="3"/>
      <c r="AD7" s="3"/>
      <c r="AE7" s="3"/>
      <c r="AF7" s="3"/>
      <c r="AG7" s="3"/>
      <c r="AH7" s="3"/>
      <c r="AI7" s="3"/>
      <c r="AJ7" s="3"/>
    </row>
    <row r="8">
      <c r="A8" s="1"/>
      <c r="B8" s="26"/>
      <c r="C8" s="27"/>
      <c r="D8" s="28"/>
      <c r="E8" s="29"/>
      <c r="F8" s="30"/>
      <c r="G8" s="458"/>
      <c r="H8" s="32"/>
      <c r="I8" s="33"/>
      <c r="J8" s="461"/>
      <c r="K8" s="150"/>
      <c r="L8" s="151"/>
      <c r="M8" s="151"/>
      <c r="N8" s="151"/>
      <c r="O8" s="151"/>
      <c r="P8" s="151"/>
      <c r="Q8" s="151"/>
      <c r="R8" s="151"/>
      <c r="S8" s="151"/>
      <c r="T8" s="151"/>
      <c r="U8" s="151"/>
      <c r="V8" s="151"/>
      <c r="W8" s="151"/>
      <c r="X8" s="209"/>
      <c r="Y8" s="181"/>
      <c r="Z8" s="153"/>
      <c r="AA8" s="15"/>
      <c r="AB8" s="462"/>
      <c r="AC8" s="3"/>
      <c r="AD8" s="4"/>
      <c r="AE8" s="4"/>
      <c r="AF8" s="3"/>
      <c r="AG8" s="3"/>
      <c r="AH8" s="3"/>
      <c r="AI8" s="3"/>
      <c r="AJ8" s="3"/>
    </row>
    <row r="9">
      <c r="A9" s="1"/>
      <c r="B9" s="142">
        <v>2.0</v>
      </c>
      <c r="C9" s="143" t="s">
        <v>133</v>
      </c>
      <c r="D9" s="144"/>
      <c r="E9" s="145"/>
      <c r="F9" s="146"/>
      <c r="G9" s="463">
        <v>339.51</v>
      </c>
      <c r="H9" s="148">
        <v>31.0</v>
      </c>
      <c r="I9" s="149">
        <v>10.951935483870967</v>
      </c>
      <c r="J9" s="459" t="s">
        <v>71</v>
      </c>
      <c r="K9" s="395"/>
      <c r="L9" s="397" t="s">
        <v>10</v>
      </c>
      <c r="M9" s="398" t="s">
        <v>14</v>
      </c>
      <c r="N9" s="397" t="s">
        <v>18</v>
      </c>
      <c r="O9" s="398" t="s">
        <v>22</v>
      </c>
      <c r="P9" s="397" t="s">
        <v>26</v>
      </c>
      <c r="Q9" s="398" t="s">
        <v>30</v>
      </c>
      <c r="R9" s="397" t="s">
        <v>34</v>
      </c>
      <c r="S9" s="398" t="s">
        <v>38</v>
      </c>
      <c r="T9" s="397" t="s">
        <v>42</v>
      </c>
      <c r="U9" s="398" t="s">
        <v>46</v>
      </c>
      <c r="V9" s="397" t="s">
        <v>50</v>
      </c>
      <c r="W9" s="398" t="s">
        <v>54</v>
      </c>
      <c r="X9" s="378"/>
      <c r="Y9" s="364">
        <v>2027.0</v>
      </c>
      <c r="Z9" s="399">
        <v>2026.0</v>
      </c>
      <c r="AA9" s="53" t="s">
        <v>63</v>
      </c>
      <c r="AB9" s="3"/>
      <c r="AC9" s="3"/>
      <c r="AD9" s="3"/>
      <c r="AE9" s="3"/>
      <c r="AF9" s="3"/>
      <c r="AG9" s="3"/>
      <c r="AH9" s="3"/>
      <c r="AI9" s="3"/>
      <c r="AJ9" s="3"/>
    </row>
    <row r="10">
      <c r="A10" s="1"/>
      <c r="B10" s="142"/>
      <c r="C10" s="143"/>
      <c r="D10" s="144"/>
      <c r="E10" s="145"/>
      <c r="F10" s="146"/>
      <c r="G10" s="463"/>
      <c r="H10" s="148"/>
      <c r="I10" s="149"/>
      <c r="J10" s="72" t="s">
        <v>64</v>
      </c>
      <c r="K10" s="400"/>
      <c r="L10" s="401">
        <v>0.1</v>
      </c>
      <c r="M10" s="401">
        <v>0.08</v>
      </c>
      <c r="N10" s="401">
        <v>0.08</v>
      </c>
      <c r="O10" s="401">
        <v>0.08</v>
      </c>
      <c r="P10" s="401">
        <v>0.06</v>
      </c>
      <c r="Q10" s="401">
        <v>0.06</v>
      </c>
      <c r="R10" s="401">
        <v>0.05</v>
      </c>
      <c r="S10" s="401">
        <v>0.08</v>
      </c>
      <c r="T10" s="401">
        <v>0.09</v>
      </c>
      <c r="U10" s="401">
        <v>0.1</v>
      </c>
      <c r="V10" s="401">
        <v>0.11</v>
      </c>
      <c r="W10" s="401">
        <v>0.11</v>
      </c>
      <c r="X10" s="367"/>
      <c r="Y10" s="166">
        <f>SUM(L10:W10)</f>
        <v>1</v>
      </c>
      <c r="Z10" s="460">
        <v>1.0</v>
      </c>
      <c r="AA10" s="71"/>
      <c r="AB10" s="3"/>
      <c r="AC10" s="3"/>
      <c r="AD10" s="3"/>
      <c r="AE10" s="3"/>
      <c r="AF10" s="3"/>
      <c r="AG10" s="3"/>
      <c r="AH10" s="3"/>
      <c r="AI10" s="3"/>
      <c r="AJ10" s="3"/>
    </row>
    <row r="11">
      <c r="A11" s="1"/>
      <c r="B11" s="142"/>
      <c r="C11" s="143"/>
      <c r="D11" s="144"/>
      <c r="E11" s="145"/>
      <c r="F11" s="146"/>
      <c r="G11" s="463"/>
      <c r="H11" s="148"/>
      <c r="I11" s="149"/>
      <c r="J11" s="72" t="s">
        <v>66</v>
      </c>
      <c r="K11" s="400"/>
      <c r="L11" s="91">
        <f t="shared" ref="L11:W11" si="6">($Y$11)*L10</f>
        <v>400000</v>
      </c>
      <c r="M11" s="91">
        <f t="shared" si="6"/>
        <v>320000</v>
      </c>
      <c r="N11" s="91">
        <f t="shared" si="6"/>
        <v>320000</v>
      </c>
      <c r="O11" s="91">
        <f t="shared" si="6"/>
        <v>320000</v>
      </c>
      <c r="P11" s="91">
        <f t="shared" si="6"/>
        <v>240000</v>
      </c>
      <c r="Q11" s="91">
        <f t="shared" si="6"/>
        <v>240000</v>
      </c>
      <c r="R11" s="91">
        <f t="shared" si="6"/>
        <v>200000</v>
      </c>
      <c r="S11" s="91">
        <f t="shared" si="6"/>
        <v>320000</v>
      </c>
      <c r="T11" s="91">
        <f t="shared" si="6"/>
        <v>360000</v>
      </c>
      <c r="U11" s="91">
        <f t="shared" si="6"/>
        <v>400000</v>
      </c>
      <c r="V11" s="91">
        <f t="shared" si="6"/>
        <v>440000</v>
      </c>
      <c r="W11" s="91">
        <f t="shared" si="6"/>
        <v>440000</v>
      </c>
      <c r="X11" s="102"/>
      <c r="Y11" s="168">
        <v>4000000.0</v>
      </c>
      <c r="Z11" s="403">
        <v>2000000.0</v>
      </c>
      <c r="AA11" s="106">
        <f t="shared" ref="AA11:AA13" si="8">Y11/Z11-1</f>
        <v>1</v>
      </c>
      <c r="AB11" s="194">
        <v>0.1</v>
      </c>
      <c r="AC11" s="4">
        <f>Y11+AB11*Y11</f>
        <v>4400000</v>
      </c>
      <c r="AD11" s="3"/>
      <c r="AE11" s="3"/>
      <c r="AF11" s="3"/>
      <c r="AG11" s="3"/>
      <c r="AH11" s="3"/>
      <c r="AI11" s="3"/>
      <c r="AJ11" s="3"/>
    </row>
    <row r="12">
      <c r="A12" s="1"/>
      <c r="B12" s="142"/>
      <c r="C12" s="143"/>
      <c r="D12" s="144"/>
      <c r="E12" s="145"/>
      <c r="F12" s="146"/>
      <c r="G12" s="463"/>
      <c r="H12" s="148"/>
      <c r="I12" s="149"/>
      <c r="J12" s="72" t="s">
        <v>67</v>
      </c>
      <c r="K12" s="404">
        <v>30.0</v>
      </c>
      <c r="L12" s="109">
        <f t="shared" ref="L12:W12" si="7">L11/$K$12</f>
        <v>13333.33333</v>
      </c>
      <c r="M12" s="109">
        <f t="shared" si="7"/>
        <v>10666.66667</v>
      </c>
      <c r="N12" s="109">
        <f t="shared" si="7"/>
        <v>10666.66667</v>
      </c>
      <c r="O12" s="109">
        <f t="shared" si="7"/>
        <v>10666.66667</v>
      </c>
      <c r="P12" s="109">
        <f t="shared" si="7"/>
        <v>8000</v>
      </c>
      <c r="Q12" s="109">
        <f t="shared" si="7"/>
        <v>8000</v>
      </c>
      <c r="R12" s="109">
        <f t="shared" si="7"/>
        <v>6666.666667</v>
      </c>
      <c r="S12" s="109">
        <f t="shared" si="7"/>
        <v>10666.66667</v>
      </c>
      <c r="T12" s="109">
        <f t="shared" si="7"/>
        <v>12000</v>
      </c>
      <c r="U12" s="109">
        <f t="shared" si="7"/>
        <v>13333.33333</v>
      </c>
      <c r="V12" s="109">
        <f t="shared" si="7"/>
        <v>14666.66667</v>
      </c>
      <c r="W12" s="109">
        <f t="shared" si="7"/>
        <v>14666.66667</v>
      </c>
      <c r="X12" s="207"/>
      <c r="Y12" s="172">
        <f t="shared" ref="Y12:Y13" si="10">SUM(L12:W12)</f>
        <v>133333.3333</v>
      </c>
      <c r="Z12" s="405">
        <v>52206.4301</v>
      </c>
      <c r="AA12" s="106">
        <f t="shared" si="8"/>
        <v>1.553963814</v>
      </c>
      <c r="AB12" s="3"/>
      <c r="AC12" s="3"/>
      <c r="AD12" s="3"/>
      <c r="AE12" s="3"/>
      <c r="AF12" s="3"/>
      <c r="AG12" s="3"/>
      <c r="AH12" s="3"/>
      <c r="AI12" s="3"/>
      <c r="AJ12" s="3"/>
    </row>
    <row r="13">
      <c r="A13" s="1"/>
      <c r="B13" s="142"/>
      <c r="C13" s="143"/>
      <c r="D13" s="144"/>
      <c r="E13" s="145"/>
      <c r="F13" s="146"/>
      <c r="G13" s="463"/>
      <c r="H13" s="148"/>
      <c r="I13" s="149"/>
      <c r="J13" s="124" t="s">
        <v>69</v>
      </c>
      <c r="K13" s="408">
        <v>1.4</v>
      </c>
      <c r="L13" s="127">
        <f t="shared" ref="L13:W13" si="9">IF(L12=0, 0,
  MIN(L12, 10000) * 1.4 +
  MAX(0, MIN(L12, 25000) - 10000) * 1.25 +
  MAX(0, MIN(L12, 50000) - 25000) * 1.15 +
  MAX(0, MIN(L12, 100000) - 50000) * 0.9 +
  MAX(0, MIN(L12, 150000) - 100000) * 0.8 +
  MAX(0, L12 - 150000) * 0.7
)</f>
        <v>18166.66667</v>
      </c>
      <c r="M13" s="127">
        <f t="shared" si="9"/>
        <v>14833.33333</v>
      </c>
      <c r="N13" s="127">
        <f t="shared" si="9"/>
        <v>14833.33333</v>
      </c>
      <c r="O13" s="127">
        <f t="shared" si="9"/>
        <v>14833.33333</v>
      </c>
      <c r="P13" s="127">
        <f t="shared" si="9"/>
        <v>11200</v>
      </c>
      <c r="Q13" s="127">
        <f t="shared" si="9"/>
        <v>11200</v>
      </c>
      <c r="R13" s="127">
        <f t="shared" si="9"/>
        <v>9333.333333</v>
      </c>
      <c r="S13" s="127">
        <f t="shared" si="9"/>
        <v>14833.33333</v>
      </c>
      <c r="T13" s="127">
        <f t="shared" si="9"/>
        <v>16500</v>
      </c>
      <c r="U13" s="127">
        <f t="shared" si="9"/>
        <v>18166.66667</v>
      </c>
      <c r="V13" s="127">
        <f t="shared" si="9"/>
        <v>19833.33333</v>
      </c>
      <c r="W13" s="127">
        <f t="shared" si="9"/>
        <v>19833.33333</v>
      </c>
      <c r="X13" s="213"/>
      <c r="Y13" s="181">
        <f t="shared" si="10"/>
        <v>183566.6667</v>
      </c>
      <c r="Z13" s="407">
        <v>72502.812825</v>
      </c>
      <c r="AA13" s="106">
        <f t="shared" si="8"/>
        <v>1.531855793</v>
      </c>
      <c r="AB13" s="3"/>
      <c r="AC13" s="3"/>
      <c r="AD13" s="3"/>
      <c r="AE13" s="3"/>
      <c r="AF13" s="3"/>
      <c r="AG13" s="3"/>
      <c r="AH13" s="3"/>
      <c r="AI13" s="3"/>
      <c r="AJ13" s="3"/>
    </row>
    <row r="14">
      <c r="A14" s="1"/>
      <c r="B14" s="142"/>
      <c r="C14" s="143"/>
      <c r="D14" s="144"/>
      <c r="E14" s="145"/>
      <c r="F14" s="146"/>
      <c r="G14" s="463"/>
      <c r="H14" s="148"/>
      <c r="I14" s="149"/>
      <c r="J14" s="461"/>
      <c r="K14" s="184"/>
      <c r="L14" s="185"/>
      <c r="M14" s="185"/>
      <c r="N14" s="185"/>
      <c r="O14" s="185"/>
      <c r="P14" s="185"/>
      <c r="Q14" s="214"/>
      <c r="R14" s="185"/>
      <c r="S14" s="185"/>
      <c r="T14" s="185"/>
      <c r="U14" s="185"/>
      <c r="V14" s="185"/>
      <c r="W14" s="185"/>
      <c r="X14" s="186"/>
      <c r="Y14" s="186"/>
      <c r="Z14" s="464"/>
      <c r="AA14" s="15"/>
      <c r="AB14" s="3"/>
      <c r="AC14" s="3"/>
      <c r="AD14" s="3"/>
      <c r="AE14" s="3"/>
      <c r="AF14" s="3"/>
      <c r="AG14" s="3"/>
      <c r="AH14" s="3"/>
      <c r="AI14" s="3"/>
      <c r="AJ14" s="3"/>
    </row>
    <row r="15">
      <c r="A15" s="1"/>
      <c r="B15" s="142">
        <v>3.0</v>
      </c>
      <c r="C15" s="143" t="s">
        <v>73</v>
      </c>
      <c r="D15" s="144"/>
      <c r="E15" s="145"/>
      <c r="F15" s="146"/>
      <c r="G15" s="463"/>
      <c r="H15" s="148"/>
      <c r="I15" s="149"/>
      <c r="J15" s="459" t="s">
        <v>74</v>
      </c>
      <c r="K15" s="395"/>
      <c r="L15" s="397" t="s">
        <v>10</v>
      </c>
      <c r="M15" s="398" t="s">
        <v>14</v>
      </c>
      <c r="N15" s="397" t="s">
        <v>18</v>
      </c>
      <c r="O15" s="398" t="s">
        <v>22</v>
      </c>
      <c r="P15" s="397" t="s">
        <v>26</v>
      </c>
      <c r="Q15" s="398" t="s">
        <v>30</v>
      </c>
      <c r="R15" s="397" t="s">
        <v>34</v>
      </c>
      <c r="S15" s="398" t="s">
        <v>38</v>
      </c>
      <c r="T15" s="397" t="s">
        <v>42</v>
      </c>
      <c r="U15" s="398" t="s">
        <v>46</v>
      </c>
      <c r="V15" s="397" t="s">
        <v>50</v>
      </c>
      <c r="W15" s="398" t="s">
        <v>54</v>
      </c>
      <c r="X15" s="378"/>
      <c r="Y15" s="364">
        <v>2027.0</v>
      </c>
      <c r="Z15" s="399">
        <v>2026.0</v>
      </c>
      <c r="AA15" s="53" t="s">
        <v>63</v>
      </c>
      <c r="AB15" s="3"/>
      <c r="AC15" s="3"/>
      <c r="AD15" s="3"/>
      <c r="AE15" s="3"/>
      <c r="AF15" s="3"/>
      <c r="AG15" s="3"/>
      <c r="AH15" s="3"/>
      <c r="AI15" s="3"/>
      <c r="AJ15" s="3"/>
    </row>
    <row r="16">
      <c r="A16" s="1"/>
      <c r="B16" s="142"/>
      <c r="C16" s="143"/>
      <c r="D16" s="144"/>
      <c r="E16" s="145"/>
      <c r="F16" s="146"/>
      <c r="G16" s="463"/>
      <c r="H16" s="148"/>
      <c r="I16" s="149"/>
      <c r="J16" s="72" t="s">
        <v>64</v>
      </c>
      <c r="K16" s="400"/>
      <c r="L16" s="401">
        <v>0.09</v>
      </c>
      <c r="M16" s="401">
        <v>0.07</v>
      </c>
      <c r="N16" s="401">
        <v>0.07</v>
      </c>
      <c r="O16" s="401">
        <v>0.08</v>
      </c>
      <c r="P16" s="401">
        <v>0.08</v>
      </c>
      <c r="Q16" s="401">
        <v>0.09</v>
      </c>
      <c r="R16" s="401">
        <v>0.09</v>
      </c>
      <c r="S16" s="401">
        <v>0.08</v>
      </c>
      <c r="T16" s="401">
        <v>0.08</v>
      </c>
      <c r="U16" s="401">
        <v>0.1</v>
      </c>
      <c r="V16" s="401">
        <v>0.1</v>
      </c>
      <c r="W16" s="401">
        <v>0.07</v>
      </c>
      <c r="X16" s="367"/>
      <c r="Y16" s="166">
        <f>SUM(L16:W16)</f>
        <v>1</v>
      </c>
      <c r="Z16" s="460">
        <v>1.0</v>
      </c>
      <c r="AA16" s="71"/>
      <c r="AB16" s="3"/>
      <c r="AC16" s="3"/>
      <c r="AD16" s="3"/>
      <c r="AE16" s="3"/>
      <c r="AF16" s="3"/>
      <c r="AG16" s="3"/>
      <c r="AH16" s="3"/>
      <c r="AI16" s="3"/>
      <c r="AJ16" s="3"/>
    </row>
    <row r="17">
      <c r="A17" s="1"/>
      <c r="B17" s="142"/>
      <c r="C17" s="143"/>
      <c r="D17" s="144"/>
      <c r="E17" s="145"/>
      <c r="F17" s="146"/>
      <c r="G17" s="463"/>
      <c r="H17" s="148"/>
      <c r="I17" s="149"/>
      <c r="J17" s="72" t="s">
        <v>66</v>
      </c>
      <c r="K17" s="400"/>
      <c r="L17" s="91">
        <f t="shared" ref="L17:W17" si="11">($Y$17)*L16</f>
        <v>540000</v>
      </c>
      <c r="M17" s="91">
        <f t="shared" si="11"/>
        <v>420000</v>
      </c>
      <c r="N17" s="91">
        <f t="shared" si="11"/>
        <v>420000</v>
      </c>
      <c r="O17" s="91">
        <f t="shared" si="11"/>
        <v>480000</v>
      </c>
      <c r="P17" s="91">
        <f t="shared" si="11"/>
        <v>480000</v>
      </c>
      <c r="Q17" s="91">
        <f t="shared" si="11"/>
        <v>540000</v>
      </c>
      <c r="R17" s="91">
        <f t="shared" si="11"/>
        <v>540000</v>
      </c>
      <c r="S17" s="91">
        <f t="shared" si="11"/>
        <v>480000</v>
      </c>
      <c r="T17" s="91">
        <f t="shared" si="11"/>
        <v>480000</v>
      </c>
      <c r="U17" s="91">
        <f t="shared" si="11"/>
        <v>600000</v>
      </c>
      <c r="V17" s="91">
        <f t="shared" si="11"/>
        <v>600000</v>
      </c>
      <c r="W17" s="91">
        <f t="shared" si="11"/>
        <v>420000</v>
      </c>
      <c r="X17" s="102"/>
      <c r="Y17" s="168">
        <v>6000000.0</v>
      </c>
      <c r="Z17" s="403">
        <v>4000000.0</v>
      </c>
      <c r="AA17" s="106">
        <f t="shared" ref="AA17:AA19" si="13">Y17/Z17-1</f>
        <v>0.5</v>
      </c>
      <c r="AB17" s="194">
        <v>0.1</v>
      </c>
      <c r="AC17" s="4">
        <f>Y17+AB17*Y17</f>
        <v>6600000</v>
      </c>
      <c r="AD17" s="3"/>
      <c r="AE17" s="3"/>
      <c r="AF17" s="3"/>
      <c r="AG17" s="3"/>
      <c r="AH17" s="3"/>
      <c r="AI17" s="3"/>
      <c r="AJ17" s="3"/>
    </row>
    <row r="18">
      <c r="A18" s="1"/>
      <c r="B18" s="142"/>
      <c r="C18" s="143"/>
      <c r="D18" s="144"/>
      <c r="E18" s="145"/>
      <c r="F18" s="146"/>
      <c r="G18" s="463"/>
      <c r="H18" s="148"/>
      <c r="I18" s="149"/>
      <c r="J18" s="72" t="s">
        <v>67</v>
      </c>
      <c r="K18" s="404">
        <v>180.0</v>
      </c>
      <c r="L18" s="109">
        <f t="shared" ref="L18:W18" si="12">L17/$K$18</f>
        <v>3000</v>
      </c>
      <c r="M18" s="109">
        <f t="shared" si="12"/>
        <v>2333.333333</v>
      </c>
      <c r="N18" s="109">
        <f t="shared" si="12"/>
        <v>2333.333333</v>
      </c>
      <c r="O18" s="109">
        <f t="shared" si="12"/>
        <v>2666.666667</v>
      </c>
      <c r="P18" s="109">
        <f t="shared" si="12"/>
        <v>2666.666667</v>
      </c>
      <c r="Q18" s="109">
        <f t="shared" si="12"/>
        <v>3000</v>
      </c>
      <c r="R18" s="109">
        <f t="shared" si="12"/>
        <v>3000</v>
      </c>
      <c r="S18" s="109">
        <f t="shared" si="12"/>
        <v>2666.666667</v>
      </c>
      <c r="T18" s="109">
        <f t="shared" si="12"/>
        <v>2666.666667</v>
      </c>
      <c r="U18" s="109">
        <f t="shared" si="12"/>
        <v>3333.333333</v>
      </c>
      <c r="V18" s="109">
        <f t="shared" si="12"/>
        <v>3333.333333</v>
      </c>
      <c r="W18" s="109">
        <f t="shared" si="12"/>
        <v>2333.333333</v>
      </c>
      <c r="X18" s="207"/>
      <c r="Y18" s="172">
        <f t="shared" ref="Y18:Y19" si="15">SUM(L18:W18)</f>
        <v>33333.33333</v>
      </c>
      <c r="Z18" s="405">
        <v>22222.222222222223</v>
      </c>
      <c r="AA18" s="106">
        <f t="shared" si="13"/>
        <v>0.5</v>
      </c>
      <c r="AB18" s="3"/>
      <c r="AC18" s="3"/>
      <c r="AD18" s="3"/>
      <c r="AE18" s="3"/>
      <c r="AF18" s="3"/>
      <c r="AG18" s="3"/>
      <c r="AH18" s="3"/>
      <c r="AI18" s="3"/>
      <c r="AJ18" s="3"/>
    </row>
    <row r="19">
      <c r="A19" s="1"/>
      <c r="B19" s="142"/>
      <c r="C19" s="143"/>
      <c r="D19" s="144"/>
      <c r="E19" s="145"/>
      <c r="F19" s="146"/>
      <c r="G19" s="463"/>
      <c r="H19" s="148"/>
      <c r="I19" s="149"/>
      <c r="J19" s="124" t="s">
        <v>69</v>
      </c>
      <c r="K19" s="408">
        <v>4.5</v>
      </c>
      <c r="L19" s="130">
        <f t="shared" ref="L19:W19" si="14">$K$19*L18</f>
        <v>13500</v>
      </c>
      <c r="M19" s="130">
        <f t="shared" si="14"/>
        <v>10500</v>
      </c>
      <c r="N19" s="130">
        <f t="shared" si="14"/>
        <v>10500</v>
      </c>
      <c r="O19" s="130">
        <f t="shared" si="14"/>
        <v>12000</v>
      </c>
      <c r="P19" s="130">
        <f t="shared" si="14"/>
        <v>12000</v>
      </c>
      <c r="Q19" s="130">
        <f t="shared" si="14"/>
        <v>13500</v>
      </c>
      <c r="R19" s="130">
        <f t="shared" si="14"/>
        <v>13500</v>
      </c>
      <c r="S19" s="130">
        <f t="shared" si="14"/>
        <v>12000</v>
      </c>
      <c r="T19" s="130">
        <f t="shared" si="14"/>
        <v>12000</v>
      </c>
      <c r="U19" s="130">
        <f t="shared" si="14"/>
        <v>15000</v>
      </c>
      <c r="V19" s="130">
        <f t="shared" si="14"/>
        <v>15000</v>
      </c>
      <c r="W19" s="130">
        <f t="shared" si="14"/>
        <v>10500</v>
      </c>
      <c r="X19" s="213"/>
      <c r="Y19" s="181">
        <f t="shared" si="15"/>
        <v>150000</v>
      </c>
      <c r="Z19" s="407">
        <v>100000.0</v>
      </c>
      <c r="AA19" s="106">
        <f t="shared" si="13"/>
        <v>0.5</v>
      </c>
      <c r="AB19" s="3"/>
      <c r="AC19" s="3"/>
      <c r="AD19" s="3"/>
      <c r="AE19" s="3"/>
      <c r="AF19" s="3"/>
      <c r="AG19" s="3"/>
      <c r="AH19" s="3"/>
      <c r="AI19" s="3"/>
      <c r="AJ19" s="3"/>
    </row>
    <row r="20">
      <c r="A20" s="1"/>
      <c r="B20" s="142"/>
      <c r="C20" s="143"/>
      <c r="D20" s="144"/>
      <c r="E20" s="145"/>
      <c r="F20" s="146"/>
      <c r="G20" s="463"/>
      <c r="H20" s="148"/>
      <c r="I20" s="189"/>
      <c r="J20" s="8"/>
      <c r="K20" s="195"/>
      <c r="L20" s="12"/>
      <c r="M20" s="196"/>
      <c r="N20" s="196"/>
      <c r="O20" s="197"/>
      <c r="P20" s="196"/>
      <c r="Q20" s="214"/>
      <c r="R20" s="196"/>
      <c r="S20" s="12"/>
      <c r="T20" s="12"/>
      <c r="U20" s="12"/>
      <c r="V20" s="12"/>
      <c r="W20" s="12"/>
      <c r="X20" s="13"/>
      <c r="Y20" s="13"/>
      <c r="Z20" s="14"/>
      <c r="AA20" s="15"/>
      <c r="AB20" s="3"/>
      <c r="AC20" s="3"/>
      <c r="AD20" s="3"/>
      <c r="AE20" s="3"/>
      <c r="AF20" s="3"/>
      <c r="AG20" s="3"/>
      <c r="AH20" s="3"/>
      <c r="AI20" s="3"/>
      <c r="AJ20" s="3"/>
    </row>
    <row r="21" ht="15.75" customHeight="1">
      <c r="A21" s="1"/>
      <c r="B21" s="142">
        <v>4.0</v>
      </c>
      <c r="C21" s="143" t="s">
        <v>75</v>
      </c>
      <c r="D21" s="144">
        <f>15000*12*4</f>
        <v>720000</v>
      </c>
      <c r="E21" s="192">
        <v>92.0</v>
      </c>
      <c r="F21" s="146">
        <f>E21*D21</f>
        <v>66240000</v>
      </c>
      <c r="G21" s="463">
        <v>1632825.7999999607</v>
      </c>
      <c r="H21" s="148">
        <v>15759.0</v>
      </c>
      <c r="I21" s="189">
        <v>103.61227235230413</v>
      </c>
      <c r="J21" s="459" t="s">
        <v>76</v>
      </c>
      <c r="K21" s="409"/>
      <c r="L21" s="397" t="s">
        <v>10</v>
      </c>
      <c r="M21" s="398" t="s">
        <v>14</v>
      </c>
      <c r="N21" s="397" t="s">
        <v>18</v>
      </c>
      <c r="O21" s="398" t="s">
        <v>22</v>
      </c>
      <c r="P21" s="397" t="s">
        <v>26</v>
      </c>
      <c r="Q21" s="398" t="s">
        <v>30</v>
      </c>
      <c r="R21" s="397" t="s">
        <v>34</v>
      </c>
      <c r="S21" s="398" t="s">
        <v>38</v>
      </c>
      <c r="T21" s="397" t="s">
        <v>42</v>
      </c>
      <c r="U21" s="398" t="s">
        <v>46</v>
      </c>
      <c r="V21" s="397" t="s">
        <v>50</v>
      </c>
      <c r="W21" s="398" t="s">
        <v>54</v>
      </c>
      <c r="X21" s="378"/>
      <c r="Y21" s="364">
        <v>2027.0</v>
      </c>
      <c r="Z21" s="399">
        <v>2026.0</v>
      </c>
      <c r="AA21" s="53"/>
      <c r="AB21" s="3"/>
      <c r="AC21" s="3"/>
      <c r="AD21" s="3"/>
      <c r="AE21" s="3"/>
      <c r="AF21" s="3"/>
      <c r="AG21" s="3"/>
      <c r="AH21" s="3"/>
      <c r="AI21" s="3"/>
      <c r="AJ21" s="3"/>
    </row>
    <row r="22" ht="15.75" customHeight="1">
      <c r="A22" s="1"/>
      <c r="B22" s="26"/>
      <c r="C22" s="27"/>
      <c r="D22" s="28"/>
      <c r="E22" s="29"/>
      <c r="F22" s="30"/>
      <c r="G22" s="458"/>
      <c r="H22" s="32"/>
      <c r="I22" s="33"/>
      <c r="J22" s="72" t="s">
        <v>64</v>
      </c>
      <c r="K22" s="400"/>
      <c r="L22" s="401">
        <v>0.06</v>
      </c>
      <c r="M22" s="401">
        <v>0.05</v>
      </c>
      <c r="N22" s="401">
        <v>0.06</v>
      </c>
      <c r="O22" s="401">
        <v>0.07</v>
      </c>
      <c r="P22" s="401">
        <v>0.07</v>
      </c>
      <c r="Q22" s="401">
        <v>0.08</v>
      </c>
      <c r="R22" s="401">
        <v>0.08</v>
      </c>
      <c r="S22" s="401">
        <v>0.09</v>
      </c>
      <c r="T22" s="401">
        <v>0.09</v>
      </c>
      <c r="U22" s="401">
        <v>0.11</v>
      </c>
      <c r="V22" s="401">
        <v>0.12</v>
      </c>
      <c r="W22" s="401">
        <v>0.12</v>
      </c>
      <c r="X22" s="367"/>
      <c r="Y22" s="166">
        <f>SUM(L22:W22)</f>
        <v>1</v>
      </c>
      <c r="Z22" s="460">
        <v>1.0</v>
      </c>
      <c r="AA22" s="71"/>
      <c r="AB22" s="3"/>
      <c r="AC22" s="3"/>
      <c r="AD22" s="3"/>
      <c r="AE22" s="3"/>
      <c r="AF22" s="3"/>
      <c r="AG22" s="3"/>
      <c r="AH22" s="3"/>
      <c r="AI22" s="3"/>
      <c r="AJ22" s="3"/>
    </row>
    <row r="23" ht="15.75" customHeight="1">
      <c r="A23" s="1"/>
      <c r="B23" s="142"/>
      <c r="C23" s="143"/>
      <c r="D23" s="144"/>
      <c r="E23" s="192"/>
      <c r="F23" s="146"/>
      <c r="G23" s="458"/>
      <c r="H23" s="32"/>
      <c r="I23" s="193"/>
      <c r="J23" s="72" t="s">
        <v>66</v>
      </c>
      <c r="K23" s="400"/>
      <c r="L23" s="91">
        <f t="shared" ref="L23:W23" si="16">($Y$23)*L22</f>
        <v>600000</v>
      </c>
      <c r="M23" s="91">
        <f t="shared" si="16"/>
        <v>500000</v>
      </c>
      <c r="N23" s="91">
        <f t="shared" si="16"/>
        <v>600000</v>
      </c>
      <c r="O23" s="91">
        <f t="shared" si="16"/>
        <v>700000</v>
      </c>
      <c r="P23" s="91">
        <f t="shared" si="16"/>
        <v>700000</v>
      </c>
      <c r="Q23" s="91">
        <f t="shared" si="16"/>
        <v>800000</v>
      </c>
      <c r="R23" s="91">
        <f t="shared" si="16"/>
        <v>800000</v>
      </c>
      <c r="S23" s="91">
        <f t="shared" si="16"/>
        <v>900000</v>
      </c>
      <c r="T23" s="91">
        <f t="shared" si="16"/>
        <v>900000</v>
      </c>
      <c r="U23" s="91">
        <f t="shared" si="16"/>
        <v>1100000</v>
      </c>
      <c r="V23" s="91">
        <f t="shared" si="16"/>
        <v>1200000</v>
      </c>
      <c r="W23" s="91">
        <f t="shared" si="16"/>
        <v>1200000</v>
      </c>
      <c r="X23" s="102"/>
      <c r="Y23" s="168">
        <v>1.0E7</v>
      </c>
      <c r="Z23" s="403">
        <v>4849096.225694574</v>
      </c>
      <c r="AA23" s="106">
        <f t="shared" ref="AA23:AA25" si="18">Y23/Z23-1</f>
        <v>1.062239959</v>
      </c>
      <c r="AB23" s="194">
        <v>0.03</v>
      </c>
      <c r="AC23" s="4">
        <f>Y23+AB23*Y23</f>
        <v>10300000</v>
      </c>
      <c r="AD23" s="3"/>
      <c r="AE23" s="3"/>
      <c r="AF23" s="3"/>
      <c r="AG23" s="3"/>
      <c r="AH23" s="3"/>
      <c r="AI23" s="3"/>
      <c r="AJ23" s="3"/>
    </row>
    <row r="24" ht="15.75" customHeight="1">
      <c r="A24" s="1"/>
      <c r="B24" s="142"/>
      <c r="C24" s="143"/>
      <c r="D24" s="144"/>
      <c r="E24" s="192"/>
      <c r="F24" s="146"/>
      <c r="G24" s="463"/>
      <c r="H24" s="148"/>
      <c r="I24" s="189"/>
      <c r="J24" s="72" t="s">
        <v>67</v>
      </c>
      <c r="K24" s="404">
        <v>107.0</v>
      </c>
      <c r="L24" s="109">
        <f t="shared" ref="L24:W24" si="17">L23/$K$24</f>
        <v>5607.476636</v>
      </c>
      <c r="M24" s="109">
        <f t="shared" si="17"/>
        <v>4672.897196</v>
      </c>
      <c r="N24" s="109">
        <f t="shared" si="17"/>
        <v>5607.476636</v>
      </c>
      <c r="O24" s="109">
        <f t="shared" si="17"/>
        <v>6542.056075</v>
      </c>
      <c r="P24" s="109">
        <f t="shared" si="17"/>
        <v>6542.056075</v>
      </c>
      <c r="Q24" s="109">
        <f t="shared" si="17"/>
        <v>7476.635514</v>
      </c>
      <c r="R24" s="109">
        <f t="shared" si="17"/>
        <v>7476.635514</v>
      </c>
      <c r="S24" s="109">
        <f t="shared" si="17"/>
        <v>8411.214953</v>
      </c>
      <c r="T24" s="109">
        <f t="shared" si="17"/>
        <v>8411.214953</v>
      </c>
      <c r="U24" s="109">
        <f t="shared" si="17"/>
        <v>10280.37383</v>
      </c>
      <c r="V24" s="109">
        <f t="shared" si="17"/>
        <v>11214.95327</v>
      </c>
      <c r="W24" s="109">
        <f t="shared" si="17"/>
        <v>11214.95327</v>
      </c>
      <c r="X24" s="207"/>
      <c r="Y24" s="172">
        <f t="shared" ref="Y24:Y25" si="20">SUM(L24:W24)</f>
        <v>93457.94393</v>
      </c>
      <c r="Z24" s="405">
        <v>45318.65631490257</v>
      </c>
      <c r="AA24" s="106">
        <f t="shared" si="18"/>
        <v>1.062239959</v>
      </c>
      <c r="AB24" s="194"/>
      <c r="AC24" s="194"/>
      <c r="AD24" s="3"/>
      <c r="AE24" s="3"/>
      <c r="AF24" s="3"/>
      <c r="AG24" s="3"/>
      <c r="AH24" s="3"/>
      <c r="AI24" s="3"/>
      <c r="AJ24" s="3"/>
    </row>
    <row r="25" ht="15.75" customHeight="1">
      <c r="A25" s="1"/>
      <c r="B25" s="142"/>
      <c r="C25" s="143"/>
      <c r="D25" s="144"/>
      <c r="E25" s="192"/>
      <c r="F25" s="146"/>
      <c r="G25" s="463"/>
      <c r="H25" s="148"/>
      <c r="I25" s="189"/>
      <c r="J25" s="124" t="s">
        <v>69</v>
      </c>
      <c r="K25" s="406">
        <v>0.039</v>
      </c>
      <c r="L25" s="127">
        <f t="shared" ref="L25:W25" si="19">IF(L24=0, 0, (L23/L24) * (
  MIN(L24, 1000) * 0.049 +
  MAX(0, MIN(L24, 2500) - 1000) * 0.039 +
  MAX(0, MIN(L24, 5000) - 2500) * 0.032 +
  MAX(0, L24 - 5000) * 0.029
))</f>
        <v>21947.5</v>
      </c>
      <c r="M25" s="127">
        <f t="shared" si="19"/>
        <v>18942.5</v>
      </c>
      <c r="N25" s="127">
        <f t="shared" si="19"/>
        <v>21947.5</v>
      </c>
      <c r="O25" s="127">
        <f t="shared" si="19"/>
        <v>24847.5</v>
      </c>
      <c r="P25" s="127">
        <f t="shared" si="19"/>
        <v>24847.5</v>
      </c>
      <c r="Q25" s="127">
        <f t="shared" si="19"/>
        <v>27747.5</v>
      </c>
      <c r="R25" s="127">
        <f t="shared" si="19"/>
        <v>27747.5</v>
      </c>
      <c r="S25" s="127">
        <f t="shared" si="19"/>
        <v>30647.5</v>
      </c>
      <c r="T25" s="127">
        <f t="shared" si="19"/>
        <v>30647.5</v>
      </c>
      <c r="U25" s="127">
        <f t="shared" si="19"/>
        <v>36447.5</v>
      </c>
      <c r="V25" s="127">
        <f t="shared" si="19"/>
        <v>39347.5</v>
      </c>
      <c r="W25" s="127">
        <f t="shared" si="19"/>
        <v>39347.5</v>
      </c>
      <c r="X25" s="213"/>
      <c r="Y25" s="181">
        <f t="shared" si="20"/>
        <v>344465</v>
      </c>
      <c r="Z25" s="407">
        <v>184934.66039277337</v>
      </c>
      <c r="AA25" s="106">
        <f t="shared" si="18"/>
        <v>0.8626308301</v>
      </c>
      <c r="AB25" s="3"/>
      <c r="AC25" s="3"/>
      <c r="AD25" s="3"/>
      <c r="AE25" s="3"/>
      <c r="AF25" s="3"/>
      <c r="AG25" s="3"/>
      <c r="AH25" s="3"/>
      <c r="AI25" s="3"/>
      <c r="AJ25" s="3"/>
    </row>
    <row r="26" ht="15.75" customHeight="1">
      <c r="A26" s="1"/>
      <c r="B26" s="142"/>
      <c r="C26" s="143"/>
      <c r="D26" s="144"/>
      <c r="E26" s="192"/>
      <c r="F26" s="146"/>
      <c r="G26" s="463"/>
      <c r="H26" s="148"/>
      <c r="I26" s="149"/>
      <c r="J26" s="8"/>
      <c r="K26" s="195"/>
      <c r="L26" s="12"/>
      <c r="M26" s="196"/>
      <c r="N26" s="196"/>
      <c r="O26" s="196"/>
      <c r="P26" s="196"/>
      <c r="Q26" s="214"/>
      <c r="R26" s="196"/>
      <c r="S26" s="12"/>
      <c r="T26" s="12"/>
      <c r="U26" s="12"/>
      <c r="V26" s="12"/>
      <c r="W26" s="12"/>
      <c r="X26" s="13"/>
      <c r="Y26" s="13"/>
      <c r="Z26" s="14"/>
      <c r="AA26" s="15"/>
      <c r="AB26" s="3"/>
      <c r="AC26" s="3"/>
      <c r="AD26" s="3"/>
      <c r="AE26" s="3"/>
      <c r="AF26" s="3"/>
      <c r="AG26" s="3"/>
      <c r="AH26" s="3"/>
      <c r="AI26" s="3"/>
      <c r="AJ26" s="3"/>
    </row>
    <row r="27" ht="15.75" customHeight="1">
      <c r="A27" s="1"/>
      <c r="B27" s="142">
        <v>5.0</v>
      </c>
      <c r="C27" s="143" t="s">
        <v>77</v>
      </c>
      <c r="D27" s="144">
        <f>28*2*12</f>
        <v>672</v>
      </c>
      <c r="E27" s="192"/>
      <c r="F27" s="146">
        <f>D27*35</f>
        <v>23520</v>
      </c>
      <c r="G27" s="463">
        <v>14.9</v>
      </c>
      <c r="H27" s="148">
        <v>1.0</v>
      </c>
      <c r="I27" s="149">
        <v>14.9</v>
      </c>
      <c r="J27" s="459" t="s">
        <v>78</v>
      </c>
      <c r="K27" s="409"/>
      <c r="L27" s="397" t="s">
        <v>10</v>
      </c>
      <c r="M27" s="398" t="s">
        <v>14</v>
      </c>
      <c r="N27" s="397" t="s">
        <v>18</v>
      </c>
      <c r="O27" s="398" t="s">
        <v>22</v>
      </c>
      <c r="P27" s="397" t="s">
        <v>26</v>
      </c>
      <c r="Q27" s="398" t="s">
        <v>30</v>
      </c>
      <c r="R27" s="397" t="s">
        <v>34</v>
      </c>
      <c r="S27" s="398" t="s">
        <v>38</v>
      </c>
      <c r="T27" s="397" t="s">
        <v>42</v>
      </c>
      <c r="U27" s="398" t="s">
        <v>46</v>
      </c>
      <c r="V27" s="397" t="s">
        <v>50</v>
      </c>
      <c r="W27" s="398" t="s">
        <v>54</v>
      </c>
      <c r="X27" s="378"/>
      <c r="Y27" s="364">
        <v>2027.0</v>
      </c>
      <c r="Z27" s="399">
        <v>2026.0</v>
      </c>
      <c r="AA27" s="53"/>
      <c r="AB27" s="3"/>
      <c r="AC27" s="3"/>
      <c r="AD27" s="3"/>
      <c r="AE27" s="3"/>
      <c r="AF27" s="3"/>
      <c r="AG27" s="3"/>
      <c r="AH27" s="3"/>
      <c r="AI27" s="3"/>
      <c r="AJ27" s="3"/>
    </row>
    <row r="28" ht="15.75" customHeight="1">
      <c r="A28" s="1"/>
      <c r="B28" s="142"/>
      <c r="C28" s="143"/>
      <c r="D28" s="144"/>
      <c r="E28" s="192"/>
      <c r="F28" s="146"/>
      <c r="G28" s="463"/>
      <c r="H28" s="148"/>
      <c r="I28" s="149"/>
      <c r="J28" s="72" t="s">
        <v>64</v>
      </c>
      <c r="K28" s="400"/>
      <c r="L28" s="401">
        <v>0.01</v>
      </c>
      <c r="M28" s="401">
        <v>0.02</v>
      </c>
      <c r="N28" s="401">
        <v>0.03</v>
      </c>
      <c r="O28" s="401">
        <v>0.03</v>
      </c>
      <c r="P28" s="401">
        <v>0.04</v>
      </c>
      <c r="Q28" s="401">
        <v>0.04</v>
      </c>
      <c r="R28" s="401">
        <v>0.06</v>
      </c>
      <c r="S28" s="401">
        <v>0.08</v>
      </c>
      <c r="T28" s="401">
        <v>0.12</v>
      </c>
      <c r="U28" s="401">
        <v>0.15</v>
      </c>
      <c r="V28" s="401">
        <v>0.2</v>
      </c>
      <c r="W28" s="401">
        <v>0.22</v>
      </c>
      <c r="X28" s="367"/>
      <c r="Y28" s="166">
        <f>SUM(L28:W28)</f>
        <v>1</v>
      </c>
      <c r="Z28" s="460">
        <v>1.0</v>
      </c>
      <c r="AA28" s="71"/>
      <c r="AB28" s="3"/>
      <c r="AC28" s="3"/>
      <c r="AD28" s="3"/>
      <c r="AE28" s="3"/>
      <c r="AF28" s="3"/>
      <c r="AG28" s="3"/>
      <c r="AH28" s="3"/>
      <c r="AI28" s="3"/>
      <c r="AJ28" s="3"/>
    </row>
    <row r="29" ht="15.75" customHeight="1">
      <c r="A29" s="1"/>
      <c r="B29" s="142"/>
      <c r="C29" s="143"/>
      <c r="D29" s="144"/>
      <c r="E29" s="192"/>
      <c r="F29" s="146"/>
      <c r="G29" s="463"/>
      <c r="H29" s="148"/>
      <c r="I29" s="149"/>
      <c r="J29" s="72" t="s">
        <v>66</v>
      </c>
      <c r="K29" s="400"/>
      <c r="L29" s="91">
        <f t="shared" ref="L29:W29" si="21">($Y$29)*L28</f>
        <v>10000</v>
      </c>
      <c r="M29" s="91">
        <f t="shared" si="21"/>
        <v>20000</v>
      </c>
      <c r="N29" s="91">
        <f t="shared" si="21"/>
        <v>30000</v>
      </c>
      <c r="O29" s="91">
        <f t="shared" si="21"/>
        <v>30000</v>
      </c>
      <c r="P29" s="91">
        <f t="shared" si="21"/>
        <v>40000</v>
      </c>
      <c r="Q29" s="91">
        <f t="shared" si="21"/>
        <v>40000</v>
      </c>
      <c r="R29" s="91">
        <f t="shared" si="21"/>
        <v>60000</v>
      </c>
      <c r="S29" s="91">
        <f t="shared" si="21"/>
        <v>80000</v>
      </c>
      <c r="T29" s="91">
        <f t="shared" si="21"/>
        <v>120000</v>
      </c>
      <c r="U29" s="91">
        <f t="shared" si="21"/>
        <v>150000</v>
      </c>
      <c r="V29" s="91">
        <f t="shared" si="21"/>
        <v>200000</v>
      </c>
      <c r="W29" s="91">
        <f t="shared" si="21"/>
        <v>220000</v>
      </c>
      <c r="X29" s="102"/>
      <c r="Y29" s="168">
        <v>1000000.0</v>
      </c>
      <c r="Z29" s="403">
        <v>50000.0</v>
      </c>
      <c r="AA29" s="106">
        <f t="shared" ref="AA29:AA31" si="23">Y29/Z29-1</f>
        <v>19</v>
      </c>
      <c r="AB29" s="194">
        <v>0.1</v>
      </c>
      <c r="AC29" s="4">
        <f>Y29+AB29*Y29</f>
        <v>1100000</v>
      </c>
      <c r="AD29" s="3"/>
      <c r="AE29" s="3"/>
      <c r="AF29" s="3"/>
      <c r="AG29" s="3"/>
      <c r="AH29" s="3"/>
      <c r="AI29" s="3"/>
      <c r="AJ29" s="3"/>
    </row>
    <row r="30" ht="15.75" customHeight="1">
      <c r="A30" s="1"/>
      <c r="B30" s="142"/>
      <c r="C30" s="143"/>
      <c r="D30" s="144"/>
      <c r="E30" s="192"/>
      <c r="F30" s="146"/>
      <c r="G30" s="463"/>
      <c r="H30" s="148"/>
      <c r="I30" s="149"/>
      <c r="J30" s="72" t="s">
        <v>67</v>
      </c>
      <c r="K30" s="404">
        <v>60.0</v>
      </c>
      <c r="L30" s="109">
        <f t="shared" ref="L30:W30" si="22">L29/$K$30</f>
        <v>166.6666667</v>
      </c>
      <c r="M30" s="109">
        <f t="shared" si="22"/>
        <v>333.3333333</v>
      </c>
      <c r="N30" s="109">
        <f t="shared" si="22"/>
        <v>500</v>
      </c>
      <c r="O30" s="109">
        <f t="shared" si="22"/>
        <v>500</v>
      </c>
      <c r="P30" s="109">
        <f t="shared" si="22"/>
        <v>666.6666667</v>
      </c>
      <c r="Q30" s="109">
        <f t="shared" si="22"/>
        <v>666.6666667</v>
      </c>
      <c r="R30" s="109">
        <f t="shared" si="22"/>
        <v>1000</v>
      </c>
      <c r="S30" s="109">
        <f t="shared" si="22"/>
        <v>1333.333333</v>
      </c>
      <c r="T30" s="109">
        <f t="shared" si="22"/>
        <v>2000</v>
      </c>
      <c r="U30" s="109">
        <f t="shared" si="22"/>
        <v>2500</v>
      </c>
      <c r="V30" s="109">
        <f t="shared" si="22"/>
        <v>3333.333333</v>
      </c>
      <c r="W30" s="109">
        <f t="shared" si="22"/>
        <v>3666.666667</v>
      </c>
      <c r="X30" s="207"/>
      <c r="Y30" s="172">
        <f t="shared" ref="Y30:Y31" si="25">SUM(L30:W30)</f>
        <v>16666.66667</v>
      </c>
      <c r="Z30" s="405">
        <v>833.3333333333333</v>
      </c>
      <c r="AA30" s="106">
        <f t="shared" si="23"/>
        <v>19</v>
      </c>
      <c r="AB30" s="3"/>
      <c r="AC30" s="3"/>
      <c r="AD30" s="3"/>
      <c r="AE30" s="3"/>
      <c r="AF30" s="3"/>
      <c r="AG30" s="3"/>
      <c r="AH30" s="3"/>
      <c r="AI30" s="3"/>
      <c r="AJ30" s="3"/>
    </row>
    <row r="31" ht="15.75" customHeight="1">
      <c r="A31" s="1"/>
      <c r="B31" s="142"/>
      <c r="C31" s="143"/>
      <c r="D31" s="144"/>
      <c r="E31" s="192"/>
      <c r="F31" s="146"/>
      <c r="G31" s="463"/>
      <c r="H31" s="148"/>
      <c r="I31" s="149"/>
      <c r="J31" s="124" t="s">
        <v>69</v>
      </c>
      <c r="K31" s="406">
        <v>0.049</v>
      </c>
      <c r="L31" s="130">
        <f t="shared" ref="L31:W31" si="24">L29*$K$31</f>
        <v>490</v>
      </c>
      <c r="M31" s="130">
        <f t="shared" si="24"/>
        <v>980</v>
      </c>
      <c r="N31" s="130">
        <f t="shared" si="24"/>
        <v>1470</v>
      </c>
      <c r="O31" s="130">
        <f t="shared" si="24"/>
        <v>1470</v>
      </c>
      <c r="P31" s="130">
        <f t="shared" si="24"/>
        <v>1960</v>
      </c>
      <c r="Q31" s="130">
        <f t="shared" si="24"/>
        <v>1960</v>
      </c>
      <c r="R31" s="130">
        <f t="shared" si="24"/>
        <v>2940</v>
      </c>
      <c r="S31" s="130">
        <f t="shared" si="24"/>
        <v>3920</v>
      </c>
      <c r="T31" s="130">
        <f t="shared" si="24"/>
        <v>5880</v>
      </c>
      <c r="U31" s="130">
        <f t="shared" si="24"/>
        <v>7350</v>
      </c>
      <c r="V31" s="130">
        <f t="shared" si="24"/>
        <v>9800</v>
      </c>
      <c r="W31" s="130">
        <f t="shared" si="24"/>
        <v>10780</v>
      </c>
      <c r="X31" s="213"/>
      <c r="Y31" s="181">
        <f t="shared" si="25"/>
        <v>49000</v>
      </c>
      <c r="Z31" s="407">
        <v>2450.0</v>
      </c>
      <c r="AA31" s="106">
        <f t="shared" si="23"/>
        <v>19</v>
      </c>
      <c r="AB31" s="3"/>
      <c r="AC31" s="3"/>
      <c r="AD31" s="3"/>
      <c r="AE31" s="3"/>
      <c r="AF31" s="3"/>
      <c r="AG31" s="3"/>
      <c r="AH31" s="3"/>
      <c r="AI31" s="3"/>
      <c r="AJ31" s="3"/>
    </row>
    <row r="32" ht="15.75" customHeight="1">
      <c r="A32" s="1"/>
      <c r="B32" s="142"/>
      <c r="C32" s="143"/>
      <c r="D32" s="144"/>
      <c r="E32" s="192"/>
      <c r="F32" s="146"/>
      <c r="G32" s="463"/>
      <c r="H32" s="148"/>
      <c r="I32" s="149"/>
      <c r="J32" s="8"/>
      <c r="K32" s="195"/>
      <c r="L32" s="12"/>
      <c r="M32" s="196"/>
      <c r="N32" s="196"/>
      <c r="O32" s="196"/>
      <c r="P32" s="196"/>
      <c r="Q32" s="214"/>
      <c r="R32" s="196"/>
      <c r="S32" s="12"/>
      <c r="T32" s="12"/>
      <c r="U32" s="12"/>
      <c r="V32" s="12"/>
      <c r="W32" s="12"/>
      <c r="X32" s="13"/>
      <c r="Y32" s="13"/>
      <c r="Z32" s="14"/>
      <c r="AA32" s="15"/>
      <c r="AB32" s="3"/>
      <c r="AC32" s="3"/>
      <c r="AD32" s="3"/>
      <c r="AE32" s="3"/>
      <c r="AF32" s="3"/>
      <c r="AG32" s="3"/>
      <c r="AH32" s="3"/>
      <c r="AI32" s="3"/>
      <c r="AJ32" s="3"/>
    </row>
    <row r="33" ht="15.75" customHeight="1">
      <c r="A33" s="1"/>
      <c r="B33" s="142">
        <v>6.0</v>
      </c>
      <c r="C33" s="143" t="s">
        <v>79</v>
      </c>
      <c r="D33" s="144">
        <f>17000*12</f>
        <v>204000</v>
      </c>
      <c r="E33" s="192">
        <v>170.0</v>
      </c>
      <c r="F33" s="146">
        <f>E33*D33</f>
        <v>34680000</v>
      </c>
      <c r="G33" s="463">
        <v>368854.13999999926</v>
      </c>
      <c r="H33" s="148">
        <v>5074.0</v>
      </c>
      <c r="I33" s="149">
        <v>72.69494284588082</v>
      </c>
      <c r="J33" s="459" t="s">
        <v>81</v>
      </c>
      <c r="K33" s="395"/>
      <c r="L33" s="397" t="s">
        <v>10</v>
      </c>
      <c r="M33" s="398" t="s">
        <v>14</v>
      </c>
      <c r="N33" s="397" t="s">
        <v>18</v>
      </c>
      <c r="O33" s="398" t="s">
        <v>22</v>
      </c>
      <c r="P33" s="397" t="s">
        <v>26</v>
      </c>
      <c r="Q33" s="398" t="s">
        <v>30</v>
      </c>
      <c r="R33" s="397" t="s">
        <v>34</v>
      </c>
      <c r="S33" s="398" t="s">
        <v>38</v>
      </c>
      <c r="T33" s="397" t="s">
        <v>42</v>
      </c>
      <c r="U33" s="398" t="s">
        <v>46</v>
      </c>
      <c r="V33" s="397" t="s">
        <v>50</v>
      </c>
      <c r="W33" s="398" t="s">
        <v>54</v>
      </c>
      <c r="X33" s="378"/>
      <c r="Y33" s="364">
        <v>2027.0</v>
      </c>
      <c r="Z33" s="399">
        <v>2026.0</v>
      </c>
      <c r="AA33" s="53"/>
      <c r="AB33" s="3"/>
      <c r="AC33" s="3"/>
      <c r="AD33" s="3"/>
      <c r="AE33" s="3"/>
      <c r="AF33" s="3"/>
      <c r="AG33" s="3"/>
      <c r="AH33" s="3"/>
      <c r="AI33" s="3"/>
      <c r="AJ33" s="3"/>
    </row>
    <row r="34" ht="15.75" customHeight="1">
      <c r="A34" s="1"/>
      <c r="B34" s="142"/>
      <c r="C34" s="143"/>
      <c r="D34" s="144"/>
      <c r="E34" s="192"/>
      <c r="F34" s="146"/>
      <c r="G34" s="463"/>
      <c r="H34" s="148"/>
      <c r="I34" s="149"/>
      <c r="J34" s="72" t="s">
        <v>83</v>
      </c>
      <c r="K34" s="400"/>
      <c r="L34" s="401">
        <v>0.08</v>
      </c>
      <c r="M34" s="401">
        <v>0.06</v>
      </c>
      <c r="N34" s="401">
        <v>0.07</v>
      </c>
      <c r="O34" s="401">
        <v>0.07</v>
      </c>
      <c r="P34" s="401">
        <v>0.08</v>
      </c>
      <c r="Q34" s="401">
        <v>0.08</v>
      </c>
      <c r="R34" s="401">
        <v>0.07</v>
      </c>
      <c r="S34" s="401">
        <v>0.08</v>
      </c>
      <c r="T34" s="401">
        <v>0.08</v>
      </c>
      <c r="U34" s="401">
        <v>0.09</v>
      </c>
      <c r="V34" s="401">
        <v>0.11</v>
      </c>
      <c r="W34" s="401">
        <v>0.13</v>
      </c>
      <c r="X34" s="367"/>
      <c r="Y34" s="166">
        <f>SUM(L34:W34)</f>
        <v>1</v>
      </c>
      <c r="Z34" s="460">
        <v>1.0</v>
      </c>
      <c r="AA34" s="71"/>
      <c r="AB34" s="3"/>
      <c r="AC34" s="3"/>
      <c r="AD34" s="3"/>
      <c r="AE34" s="3"/>
      <c r="AF34" s="3"/>
      <c r="AG34" s="3"/>
      <c r="AH34" s="3"/>
      <c r="AI34" s="3"/>
      <c r="AJ34" s="3"/>
    </row>
    <row r="35" ht="15.75" customHeight="1">
      <c r="A35" s="1"/>
      <c r="B35" s="142"/>
      <c r="C35" s="143"/>
      <c r="D35" s="144"/>
      <c r="E35" s="192"/>
      <c r="F35" s="146"/>
      <c r="G35" s="463"/>
      <c r="H35" s="148"/>
      <c r="I35" s="149"/>
      <c r="J35" s="72" t="s">
        <v>66</v>
      </c>
      <c r="K35" s="400"/>
      <c r="L35" s="91">
        <f t="shared" ref="L35:W35" si="26">($Y$35)*L34</f>
        <v>160000</v>
      </c>
      <c r="M35" s="91">
        <f t="shared" si="26"/>
        <v>120000</v>
      </c>
      <c r="N35" s="91">
        <f t="shared" si="26"/>
        <v>140000</v>
      </c>
      <c r="O35" s="91">
        <f t="shared" si="26"/>
        <v>140000</v>
      </c>
      <c r="P35" s="91">
        <f t="shared" si="26"/>
        <v>160000</v>
      </c>
      <c r="Q35" s="91">
        <f t="shared" si="26"/>
        <v>160000</v>
      </c>
      <c r="R35" s="91">
        <f t="shared" si="26"/>
        <v>140000</v>
      </c>
      <c r="S35" s="91">
        <f t="shared" si="26"/>
        <v>160000</v>
      </c>
      <c r="T35" s="91">
        <f t="shared" si="26"/>
        <v>160000</v>
      </c>
      <c r="U35" s="91">
        <f t="shared" si="26"/>
        <v>180000</v>
      </c>
      <c r="V35" s="91">
        <f t="shared" si="26"/>
        <v>220000</v>
      </c>
      <c r="W35" s="91">
        <f t="shared" si="26"/>
        <v>260000</v>
      </c>
      <c r="X35" s="102"/>
      <c r="Y35" s="168">
        <v>2000000.0</v>
      </c>
      <c r="Z35" s="403">
        <v>1278979.9757081596</v>
      </c>
      <c r="AA35" s="106">
        <f t="shared" ref="AA35:AA37" si="28">Y35/Z35-1</f>
        <v>0.5637461399</v>
      </c>
      <c r="AB35" s="194">
        <v>0.03</v>
      </c>
      <c r="AC35" s="4">
        <f>Y35+AB35*Y35</f>
        <v>2060000</v>
      </c>
      <c r="AD35" s="3"/>
      <c r="AE35" s="3"/>
      <c r="AF35" s="3"/>
      <c r="AG35" s="3"/>
      <c r="AH35" s="3"/>
      <c r="AI35" s="3"/>
      <c r="AJ35" s="3"/>
    </row>
    <row r="36" ht="15.75" customHeight="1">
      <c r="A36" s="1"/>
      <c r="B36" s="142"/>
      <c r="C36" s="143"/>
      <c r="D36" s="144"/>
      <c r="E36" s="192"/>
      <c r="F36" s="146"/>
      <c r="G36" s="463"/>
      <c r="H36" s="148"/>
      <c r="I36" s="149"/>
      <c r="J36" s="72" t="s">
        <v>67</v>
      </c>
      <c r="K36" s="404">
        <v>72.0</v>
      </c>
      <c r="L36" s="109">
        <f t="shared" ref="L36:W36" si="27">L35/$K$36</f>
        <v>2222.222222</v>
      </c>
      <c r="M36" s="109">
        <f t="shared" si="27"/>
        <v>1666.666667</v>
      </c>
      <c r="N36" s="109">
        <f t="shared" si="27"/>
        <v>1944.444444</v>
      </c>
      <c r="O36" s="109">
        <f t="shared" si="27"/>
        <v>1944.444444</v>
      </c>
      <c r="P36" s="109">
        <f t="shared" si="27"/>
        <v>2222.222222</v>
      </c>
      <c r="Q36" s="109">
        <f t="shared" si="27"/>
        <v>2222.222222</v>
      </c>
      <c r="R36" s="109">
        <f t="shared" si="27"/>
        <v>1944.444444</v>
      </c>
      <c r="S36" s="109">
        <f t="shared" si="27"/>
        <v>2222.222222</v>
      </c>
      <c r="T36" s="109">
        <f t="shared" si="27"/>
        <v>2222.222222</v>
      </c>
      <c r="U36" s="109">
        <f t="shared" si="27"/>
        <v>2500</v>
      </c>
      <c r="V36" s="109">
        <f t="shared" si="27"/>
        <v>3055.555556</v>
      </c>
      <c r="W36" s="109">
        <f t="shared" si="27"/>
        <v>3611.111111</v>
      </c>
      <c r="X36" s="207"/>
      <c r="Y36" s="172">
        <f t="shared" ref="Y36:Y37" si="30">SUM(L36:W36)</f>
        <v>27777.77778</v>
      </c>
      <c r="Z36" s="405">
        <v>17673.87466261333</v>
      </c>
      <c r="AA36" s="106">
        <f t="shared" si="28"/>
        <v>0.5716857966</v>
      </c>
      <c r="AB36" s="465"/>
      <c r="AC36" s="3"/>
      <c r="AD36" s="3"/>
      <c r="AE36" s="3"/>
      <c r="AF36" s="3"/>
      <c r="AG36" s="3"/>
      <c r="AH36" s="3"/>
      <c r="AI36" s="3"/>
      <c r="AJ36" s="3"/>
    </row>
    <row r="37" ht="15.75" customHeight="1">
      <c r="A37" s="1"/>
      <c r="B37" s="142"/>
      <c r="C37" s="143"/>
      <c r="D37" s="144"/>
      <c r="E37" s="192"/>
      <c r="F37" s="146"/>
      <c r="G37" s="463"/>
      <c r="H37" s="148"/>
      <c r="I37" s="149"/>
      <c r="J37" s="124" t="s">
        <v>69</v>
      </c>
      <c r="K37" s="406">
        <v>0.04</v>
      </c>
      <c r="L37" s="127">
        <f t="shared" ref="L37:W37" si="29">MIN(L35, 500000) * 0.04 +
 MAX(0, MIN(L35, 1000000) - 500000) * 0.035 +
 MAX(0, L35 - 1000000) * 0.03</f>
        <v>6400</v>
      </c>
      <c r="M37" s="127">
        <f t="shared" si="29"/>
        <v>4800</v>
      </c>
      <c r="N37" s="127">
        <f t="shared" si="29"/>
        <v>5600</v>
      </c>
      <c r="O37" s="127">
        <f t="shared" si="29"/>
        <v>5600</v>
      </c>
      <c r="P37" s="127">
        <f t="shared" si="29"/>
        <v>6400</v>
      </c>
      <c r="Q37" s="127">
        <f t="shared" si="29"/>
        <v>6400</v>
      </c>
      <c r="R37" s="127">
        <f t="shared" si="29"/>
        <v>5600</v>
      </c>
      <c r="S37" s="127">
        <f t="shared" si="29"/>
        <v>6400</v>
      </c>
      <c r="T37" s="127">
        <f t="shared" si="29"/>
        <v>6400</v>
      </c>
      <c r="U37" s="127">
        <f t="shared" si="29"/>
        <v>7200</v>
      </c>
      <c r="V37" s="127">
        <f t="shared" si="29"/>
        <v>8800</v>
      </c>
      <c r="W37" s="127">
        <f t="shared" si="29"/>
        <v>10400</v>
      </c>
      <c r="X37" s="213"/>
      <c r="Y37" s="181">
        <f t="shared" si="30"/>
        <v>80000</v>
      </c>
      <c r="Z37" s="407">
        <v>51159.19902832639</v>
      </c>
      <c r="AA37" s="106">
        <f t="shared" si="28"/>
        <v>0.5637461399</v>
      </c>
      <c r="AB37" s="3"/>
      <c r="AC37" s="3"/>
      <c r="AD37" s="3"/>
      <c r="AE37" s="3"/>
      <c r="AF37" s="3"/>
      <c r="AG37" s="3"/>
      <c r="AH37" s="3"/>
      <c r="AI37" s="3"/>
      <c r="AJ37" s="3"/>
    </row>
    <row r="38" ht="15.75" customHeight="1">
      <c r="A38" s="1"/>
      <c r="B38" s="142"/>
      <c r="C38" s="143"/>
      <c r="D38" s="144"/>
      <c r="E38" s="192"/>
      <c r="F38" s="146"/>
      <c r="G38" s="463"/>
      <c r="H38" s="148"/>
      <c r="I38" s="149"/>
      <c r="J38" s="461"/>
      <c r="K38" s="150"/>
      <c r="L38" s="185"/>
      <c r="M38" s="185"/>
      <c r="N38" s="185"/>
      <c r="O38" s="196">
        <f t="shared" ref="O38:P38" si="31">O41/7000</f>
        <v>80</v>
      </c>
      <c r="P38" s="196">
        <f t="shared" si="31"/>
        <v>91.42857143</v>
      </c>
      <c r="Q38" s="214"/>
      <c r="R38" s="196">
        <f t="shared" ref="R38:W38" si="32">R41/7000</f>
        <v>114.2857143</v>
      </c>
      <c r="S38" s="196">
        <f t="shared" si="32"/>
        <v>91.42857143</v>
      </c>
      <c r="T38" s="196">
        <f t="shared" si="32"/>
        <v>91.42857143</v>
      </c>
      <c r="U38" s="196">
        <f t="shared" si="32"/>
        <v>114.2857143</v>
      </c>
      <c r="V38" s="196">
        <f t="shared" si="32"/>
        <v>114.2857143</v>
      </c>
      <c r="W38" s="196">
        <f t="shared" si="32"/>
        <v>114.2857143</v>
      </c>
      <c r="X38" s="186"/>
      <c r="Y38" s="186"/>
      <c r="Z38" s="464"/>
      <c r="AA38" s="219"/>
      <c r="AB38" s="3"/>
      <c r="AC38" s="3"/>
      <c r="AD38" s="3"/>
      <c r="AE38" s="3"/>
      <c r="AF38" s="3"/>
      <c r="AG38" s="3"/>
      <c r="AH38" s="3"/>
      <c r="AI38" s="3"/>
      <c r="AJ38" s="3"/>
    </row>
    <row r="39" ht="15.75" customHeight="1">
      <c r="A39" s="1"/>
      <c r="B39" s="142">
        <v>7.0</v>
      </c>
      <c r="C39" s="143" t="s">
        <v>82</v>
      </c>
      <c r="D39" s="144"/>
      <c r="E39" s="192"/>
      <c r="F39" s="146"/>
      <c r="G39" s="463"/>
      <c r="H39" s="148"/>
      <c r="I39" s="149"/>
      <c r="J39" s="459" t="s">
        <v>84</v>
      </c>
      <c r="K39" s="395"/>
      <c r="L39" s="397" t="s">
        <v>10</v>
      </c>
      <c r="M39" s="398" t="s">
        <v>14</v>
      </c>
      <c r="N39" s="397" t="s">
        <v>18</v>
      </c>
      <c r="O39" s="398" t="s">
        <v>22</v>
      </c>
      <c r="P39" s="397" t="s">
        <v>26</v>
      </c>
      <c r="Q39" s="398" t="s">
        <v>30</v>
      </c>
      <c r="R39" s="397" t="s">
        <v>34</v>
      </c>
      <c r="S39" s="398" t="s">
        <v>38</v>
      </c>
      <c r="T39" s="397" t="s">
        <v>42</v>
      </c>
      <c r="U39" s="398" t="s">
        <v>46</v>
      </c>
      <c r="V39" s="397" t="s">
        <v>50</v>
      </c>
      <c r="W39" s="398" t="s">
        <v>54</v>
      </c>
      <c r="X39" s="378"/>
      <c r="Y39" s="364">
        <v>2027.0</v>
      </c>
      <c r="Z39" s="399">
        <v>2026.0</v>
      </c>
      <c r="AA39" s="53"/>
      <c r="AB39" s="3"/>
      <c r="AC39" s="3"/>
      <c r="AD39" s="3"/>
      <c r="AE39" s="3"/>
      <c r="AF39" s="3"/>
      <c r="AG39" s="3"/>
      <c r="AH39" s="3"/>
      <c r="AI39" s="3"/>
      <c r="AJ39" s="3"/>
    </row>
    <row r="40" ht="15.75" customHeight="1">
      <c r="A40" s="1"/>
      <c r="B40" s="142"/>
      <c r="C40" s="143"/>
      <c r="D40" s="144"/>
      <c r="E40" s="192"/>
      <c r="F40" s="146"/>
      <c r="G40" s="463"/>
      <c r="H40" s="148"/>
      <c r="I40" s="149"/>
      <c r="J40" s="72" t="s">
        <v>64</v>
      </c>
      <c r="K40" s="400"/>
      <c r="L40" s="401">
        <v>0.07</v>
      </c>
      <c r="M40" s="401">
        <v>0.05</v>
      </c>
      <c r="N40" s="401">
        <v>0.07</v>
      </c>
      <c r="O40" s="401">
        <v>0.07</v>
      </c>
      <c r="P40" s="401">
        <v>0.08</v>
      </c>
      <c r="Q40" s="401">
        <v>0.1</v>
      </c>
      <c r="R40" s="401">
        <v>0.1</v>
      </c>
      <c r="S40" s="401">
        <v>0.08</v>
      </c>
      <c r="T40" s="401">
        <v>0.08</v>
      </c>
      <c r="U40" s="401">
        <v>0.1</v>
      </c>
      <c r="V40" s="401">
        <v>0.1</v>
      </c>
      <c r="W40" s="401">
        <v>0.1</v>
      </c>
      <c r="X40" s="367"/>
      <c r="Y40" s="166">
        <f>SUM(L40:W40)</f>
        <v>1</v>
      </c>
      <c r="Z40" s="460">
        <v>1.0</v>
      </c>
      <c r="AA40" s="71"/>
      <c r="AB40" s="3"/>
      <c r="AC40" s="3"/>
      <c r="AD40" s="3"/>
      <c r="AE40" s="3"/>
      <c r="AF40" s="3"/>
      <c r="AG40" s="3"/>
      <c r="AH40" s="3"/>
      <c r="AI40" s="3"/>
      <c r="AJ40" s="3"/>
    </row>
    <row r="41" ht="15.75" customHeight="1">
      <c r="A41" s="1"/>
      <c r="B41" s="142"/>
      <c r="C41" s="143"/>
      <c r="D41" s="144"/>
      <c r="E41" s="192"/>
      <c r="F41" s="146"/>
      <c r="G41" s="463"/>
      <c r="H41" s="148"/>
      <c r="I41" s="149"/>
      <c r="J41" s="72" t="s">
        <v>66</v>
      </c>
      <c r="K41" s="400"/>
      <c r="L41" s="91">
        <f t="shared" ref="L41:W41" si="33">($Y$41)*L40</f>
        <v>560000</v>
      </c>
      <c r="M41" s="91">
        <f t="shared" si="33"/>
        <v>400000</v>
      </c>
      <c r="N41" s="91">
        <f t="shared" si="33"/>
        <v>560000</v>
      </c>
      <c r="O41" s="91">
        <f t="shared" si="33"/>
        <v>560000</v>
      </c>
      <c r="P41" s="91">
        <f t="shared" si="33"/>
        <v>640000</v>
      </c>
      <c r="Q41" s="91">
        <f t="shared" si="33"/>
        <v>800000</v>
      </c>
      <c r="R41" s="91">
        <f t="shared" si="33"/>
        <v>800000</v>
      </c>
      <c r="S41" s="91">
        <f t="shared" si="33"/>
        <v>640000</v>
      </c>
      <c r="T41" s="91">
        <f t="shared" si="33"/>
        <v>640000</v>
      </c>
      <c r="U41" s="91">
        <f t="shared" si="33"/>
        <v>800000</v>
      </c>
      <c r="V41" s="91">
        <f t="shared" si="33"/>
        <v>800000</v>
      </c>
      <c r="W41" s="91">
        <f t="shared" si="33"/>
        <v>800000</v>
      </c>
      <c r="X41" s="102"/>
      <c r="Y41" s="168">
        <v>8000000.0</v>
      </c>
      <c r="Z41" s="403">
        <v>4000000.0</v>
      </c>
      <c r="AA41" s="106">
        <f t="shared" ref="AA41:AA43" si="35">Y41/Z41-1</f>
        <v>1</v>
      </c>
      <c r="AB41" s="194">
        <v>0.1</v>
      </c>
      <c r="AC41" s="4">
        <f>Y41+AB41*Y41</f>
        <v>8800000</v>
      </c>
      <c r="AD41" s="3"/>
      <c r="AE41" s="3"/>
      <c r="AF41" s="3"/>
      <c r="AG41" s="3"/>
      <c r="AH41" s="3"/>
      <c r="AI41" s="3"/>
      <c r="AJ41" s="3"/>
    </row>
    <row r="42" ht="15.75" customHeight="1">
      <c r="A42" s="1"/>
      <c r="B42" s="142"/>
      <c r="C42" s="143"/>
      <c r="D42" s="144"/>
      <c r="E42" s="192"/>
      <c r="F42" s="146"/>
      <c r="G42" s="463"/>
      <c r="H42" s="148"/>
      <c r="I42" s="149"/>
      <c r="J42" s="72" t="s">
        <v>67</v>
      </c>
      <c r="K42" s="404">
        <v>105.0</v>
      </c>
      <c r="L42" s="109">
        <f t="shared" ref="L42:W42" si="34">L41/$K$42</f>
        <v>5333.333333</v>
      </c>
      <c r="M42" s="109">
        <f t="shared" si="34"/>
        <v>3809.52381</v>
      </c>
      <c r="N42" s="109">
        <f t="shared" si="34"/>
        <v>5333.333333</v>
      </c>
      <c r="O42" s="109">
        <f t="shared" si="34"/>
        <v>5333.333333</v>
      </c>
      <c r="P42" s="109">
        <f t="shared" si="34"/>
        <v>6095.238095</v>
      </c>
      <c r="Q42" s="109">
        <f t="shared" si="34"/>
        <v>7619.047619</v>
      </c>
      <c r="R42" s="109">
        <f t="shared" si="34"/>
        <v>7619.047619</v>
      </c>
      <c r="S42" s="109">
        <f t="shared" si="34"/>
        <v>6095.238095</v>
      </c>
      <c r="T42" s="109">
        <f t="shared" si="34"/>
        <v>6095.238095</v>
      </c>
      <c r="U42" s="109">
        <f t="shared" si="34"/>
        <v>7619.047619</v>
      </c>
      <c r="V42" s="109">
        <f t="shared" si="34"/>
        <v>7619.047619</v>
      </c>
      <c r="W42" s="109">
        <f t="shared" si="34"/>
        <v>7619.047619</v>
      </c>
      <c r="X42" s="207"/>
      <c r="Y42" s="172">
        <f>SUM(L42:W42)</f>
        <v>76190.47619</v>
      </c>
      <c r="Z42" s="405">
        <v>38095.2380952381</v>
      </c>
      <c r="AA42" s="106">
        <f t="shared" si="35"/>
        <v>1</v>
      </c>
      <c r="AB42" s="3"/>
      <c r="AC42" s="3"/>
      <c r="AD42" s="3"/>
      <c r="AE42" s="3"/>
      <c r="AF42" s="3"/>
      <c r="AG42" s="3"/>
      <c r="AH42" s="3"/>
      <c r="AI42" s="3"/>
      <c r="AJ42" s="3"/>
    </row>
    <row r="43" ht="15.75" customHeight="1">
      <c r="A43" s="1"/>
      <c r="B43" s="142"/>
      <c r="C43" s="143"/>
      <c r="D43" s="144"/>
      <c r="E43" s="192"/>
      <c r="F43" s="146"/>
      <c r="G43" s="463"/>
      <c r="H43" s="148"/>
      <c r="I43" s="149"/>
      <c r="J43" s="124" t="s">
        <v>69</v>
      </c>
      <c r="K43" s="406">
        <v>0.03</v>
      </c>
      <c r="L43" s="127">
        <f t="shared" ref="L43:W43" si="36">MIN(L41, 500000) * 0.03 + MAX(0, MIN(L41, 1000000) - 500000) * 0.025 + MAX(0, MIN(L41, 2000000) - 1000000) * 0.0225 + MAX(0, MIN(L41, 3000000) - 2000000) * 0.02 + MAX(0, MIN(L41, 5000000) - 3000000) * 0.0175 + MAX(0, L41 - 5000000) * 0.015</f>
        <v>16500</v>
      </c>
      <c r="M43" s="127">
        <f t="shared" si="36"/>
        <v>12000</v>
      </c>
      <c r="N43" s="127">
        <f t="shared" si="36"/>
        <v>16500</v>
      </c>
      <c r="O43" s="127">
        <f t="shared" si="36"/>
        <v>16500</v>
      </c>
      <c r="P43" s="127">
        <f t="shared" si="36"/>
        <v>18500</v>
      </c>
      <c r="Q43" s="127">
        <f t="shared" si="36"/>
        <v>22500</v>
      </c>
      <c r="R43" s="127">
        <f t="shared" si="36"/>
        <v>22500</v>
      </c>
      <c r="S43" s="127">
        <f t="shared" si="36"/>
        <v>18500</v>
      </c>
      <c r="T43" s="127">
        <f t="shared" si="36"/>
        <v>18500</v>
      </c>
      <c r="U43" s="127">
        <f t="shared" si="36"/>
        <v>22500</v>
      </c>
      <c r="V43" s="127">
        <f t="shared" si="36"/>
        <v>22500</v>
      </c>
      <c r="W43" s="127">
        <f t="shared" si="36"/>
        <v>22500</v>
      </c>
      <c r="X43" s="213"/>
      <c r="Y43" s="181">
        <f>Y41*$K$43</f>
        <v>240000</v>
      </c>
      <c r="Z43" s="407">
        <v>120000.0</v>
      </c>
      <c r="AA43" s="106">
        <f t="shared" si="35"/>
        <v>1</v>
      </c>
      <c r="AB43" s="3"/>
      <c r="AC43" s="3"/>
      <c r="AD43" s="3"/>
      <c r="AE43" s="3"/>
      <c r="AF43" s="3"/>
      <c r="AG43" s="3"/>
      <c r="AH43" s="3"/>
      <c r="AI43" s="3"/>
      <c r="AJ43" s="3"/>
    </row>
    <row r="44" ht="15.75" customHeight="1">
      <c r="A44" s="1"/>
      <c r="B44" s="142"/>
      <c r="C44" s="143"/>
      <c r="D44" s="144"/>
      <c r="E44" s="192"/>
      <c r="F44" s="146"/>
      <c r="G44" s="463"/>
      <c r="H44" s="148"/>
      <c r="I44" s="149"/>
      <c r="J44" s="8"/>
      <c r="K44" s="195"/>
      <c r="L44" s="222">
        <f>L47/4600</f>
        <v>156.5217391</v>
      </c>
      <c r="M44" s="196">
        <f>M47/2890</f>
        <v>174.3944637</v>
      </c>
      <c r="N44" s="196">
        <f>N47/3000</f>
        <v>192</v>
      </c>
      <c r="O44" s="196">
        <f>O47/10000</f>
        <v>57.6</v>
      </c>
      <c r="P44" s="196">
        <f>P47/15000</f>
        <v>33.6</v>
      </c>
      <c r="Q44" s="214"/>
      <c r="R44" s="196">
        <f t="shared" ref="R44:U44" si="37">R47/15000</f>
        <v>28.8</v>
      </c>
      <c r="S44" s="196">
        <f t="shared" si="37"/>
        <v>38.4</v>
      </c>
      <c r="T44" s="196">
        <f t="shared" si="37"/>
        <v>43.2</v>
      </c>
      <c r="U44" s="196">
        <f t="shared" si="37"/>
        <v>48</v>
      </c>
      <c r="V44" s="196">
        <f>V47/25000</f>
        <v>28.8</v>
      </c>
      <c r="W44" s="196">
        <f>W47/15000</f>
        <v>52.8</v>
      </c>
      <c r="X44" s="13"/>
      <c r="Y44" s="13"/>
      <c r="Z44" s="14"/>
      <c r="AA44" s="15"/>
      <c r="AB44" s="3"/>
      <c r="AC44" s="3"/>
      <c r="AD44" s="208"/>
      <c r="AE44" s="3"/>
      <c r="AF44" s="3"/>
      <c r="AG44" s="3"/>
      <c r="AH44" s="3"/>
      <c r="AI44" s="3"/>
      <c r="AJ44" s="3"/>
    </row>
    <row r="45" ht="15.75" customHeight="1">
      <c r="A45" s="1"/>
      <c r="B45" s="142">
        <v>8.0</v>
      </c>
      <c r="C45" s="466" t="s">
        <v>85</v>
      </c>
      <c r="D45" s="144">
        <v>3000000.0</v>
      </c>
      <c r="E45" s="192">
        <v>80.0</v>
      </c>
      <c r="F45" s="146">
        <f>E45*D45</f>
        <v>240000000</v>
      </c>
      <c r="G45" s="463">
        <v>294165.12000000407</v>
      </c>
      <c r="H45" s="148">
        <v>3683.0</v>
      </c>
      <c r="I45" s="189">
        <v>79.87106163453817</v>
      </c>
      <c r="J45" s="467" t="s">
        <v>86</v>
      </c>
      <c r="K45" s="395"/>
      <c r="L45" s="397" t="s">
        <v>10</v>
      </c>
      <c r="M45" s="398" t="s">
        <v>14</v>
      </c>
      <c r="N45" s="397" t="s">
        <v>18</v>
      </c>
      <c r="O45" s="398" t="s">
        <v>22</v>
      </c>
      <c r="P45" s="397" t="s">
        <v>26</v>
      </c>
      <c r="Q45" s="398" t="s">
        <v>30</v>
      </c>
      <c r="R45" s="397" t="s">
        <v>34</v>
      </c>
      <c r="S45" s="398" t="s">
        <v>38</v>
      </c>
      <c r="T45" s="397" t="s">
        <v>42</v>
      </c>
      <c r="U45" s="398" t="s">
        <v>46</v>
      </c>
      <c r="V45" s="397" t="s">
        <v>50</v>
      </c>
      <c r="W45" s="398" t="s">
        <v>54</v>
      </c>
      <c r="X45" s="378"/>
      <c r="Y45" s="364">
        <v>2027.0</v>
      </c>
      <c r="Z45" s="399">
        <v>2026.0</v>
      </c>
      <c r="AA45" s="53"/>
      <c r="AB45" s="3"/>
      <c r="AC45" s="4"/>
      <c r="AD45" s="3"/>
      <c r="AE45" s="3"/>
      <c r="AF45" s="3"/>
      <c r="AG45" s="3"/>
      <c r="AH45" s="3"/>
      <c r="AI45" s="3"/>
      <c r="AJ45" s="3"/>
    </row>
    <row r="46" ht="15.75" customHeight="1">
      <c r="A46" s="1"/>
      <c r="B46" s="142"/>
      <c r="C46" s="143"/>
      <c r="D46" s="144"/>
      <c r="E46" s="192"/>
      <c r="F46" s="146"/>
      <c r="G46" s="463"/>
      <c r="H46" s="148"/>
      <c r="I46" s="189"/>
      <c r="J46" s="72" t="s">
        <v>64</v>
      </c>
      <c r="K46" s="400"/>
      <c r="L46" s="401">
        <v>0.1</v>
      </c>
      <c r="M46" s="401">
        <v>0.07</v>
      </c>
      <c r="N46" s="401">
        <v>0.08</v>
      </c>
      <c r="O46" s="401">
        <v>0.08</v>
      </c>
      <c r="P46" s="401">
        <v>0.07</v>
      </c>
      <c r="Q46" s="401">
        <v>0.06</v>
      </c>
      <c r="R46" s="401">
        <v>0.06</v>
      </c>
      <c r="S46" s="401">
        <v>0.08</v>
      </c>
      <c r="T46" s="401">
        <v>0.09</v>
      </c>
      <c r="U46" s="401">
        <v>0.1</v>
      </c>
      <c r="V46" s="401">
        <v>0.1</v>
      </c>
      <c r="W46" s="401">
        <v>0.11</v>
      </c>
      <c r="X46" s="367"/>
      <c r="Y46" s="166">
        <f>SUM(L46:W46)</f>
        <v>1</v>
      </c>
      <c r="Z46" s="460">
        <v>1.0</v>
      </c>
      <c r="AA46" s="71"/>
      <c r="AB46" s="3"/>
      <c r="AC46" s="3"/>
      <c r="AD46" s="3"/>
      <c r="AE46" s="3"/>
      <c r="AF46" s="3"/>
      <c r="AG46" s="3"/>
      <c r="AH46" s="3"/>
      <c r="AI46" s="3"/>
      <c r="AJ46" s="3"/>
    </row>
    <row r="47" ht="15.75" customHeight="1">
      <c r="A47" s="1"/>
      <c r="B47" s="142"/>
      <c r="C47" s="143"/>
      <c r="D47" s="144"/>
      <c r="E47" s="192"/>
      <c r="F47" s="146"/>
      <c r="G47" s="463"/>
      <c r="H47" s="148"/>
      <c r="I47" s="189"/>
      <c r="J47" s="72" t="s">
        <v>66</v>
      </c>
      <c r="K47" s="400"/>
      <c r="L47" s="91">
        <f t="shared" ref="L47:W47" si="38">($Y$47)*L46</f>
        <v>720000</v>
      </c>
      <c r="M47" s="91">
        <f t="shared" si="38"/>
        <v>504000</v>
      </c>
      <c r="N47" s="91">
        <f t="shared" si="38"/>
        <v>576000</v>
      </c>
      <c r="O47" s="91">
        <f t="shared" si="38"/>
        <v>576000</v>
      </c>
      <c r="P47" s="91">
        <f t="shared" si="38"/>
        <v>504000</v>
      </c>
      <c r="Q47" s="91">
        <f t="shared" si="38"/>
        <v>432000</v>
      </c>
      <c r="R47" s="91">
        <f t="shared" si="38"/>
        <v>432000</v>
      </c>
      <c r="S47" s="91">
        <f t="shared" si="38"/>
        <v>576000</v>
      </c>
      <c r="T47" s="91">
        <f t="shared" si="38"/>
        <v>648000</v>
      </c>
      <c r="U47" s="91">
        <f t="shared" si="38"/>
        <v>720000</v>
      </c>
      <c r="V47" s="91">
        <f t="shared" si="38"/>
        <v>720000</v>
      </c>
      <c r="W47" s="91">
        <f t="shared" si="38"/>
        <v>792000</v>
      </c>
      <c r="X47" s="102"/>
      <c r="Y47" s="168">
        <v>7200000.0</v>
      </c>
      <c r="Z47" s="403">
        <v>6000000.0</v>
      </c>
      <c r="AA47" s="106">
        <f t="shared" ref="AA47:AA49" si="40">Y47/Z47-1</f>
        <v>0.2</v>
      </c>
      <c r="AB47" s="194">
        <v>0.03</v>
      </c>
      <c r="AC47" s="4">
        <f>Y47+AB47*Y47</f>
        <v>7416000</v>
      </c>
      <c r="AD47" s="3"/>
      <c r="AE47" s="3"/>
      <c r="AF47" s="3"/>
      <c r="AG47" s="3"/>
      <c r="AH47" s="3"/>
      <c r="AI47" s="3"/>
      <c r="AJ47" s="3"/>
    </row>
    <row r="48" ht="15.75" customHeight="1">
      <c r="A48" s="1"/>
      <c r="B48" s="142"/>
      <c r="C48" s="143"/>
      <c r="D48" s="144"/>
      <c r="E48" s="192"/>
      <c r="F48" s="146"/>
      <c r="G48" s="463"/>
      <c r="H48" s="148"/>
      <c r="I48" s="189"/>
      <c r="J48" s="72" t="s">
        <v>67</v>
      </c>
      <c r="K48" s="404">
        <v>92.0</v>
      </c>
      <c r="L48" s="109">
        <f t="shared" ref="L48:W48" si="39">L47/$K$48</f>
        <v>7826.086957</v>
      </c>
      <c r="M48" s="109">
        <f t="shared" si="39"/>
        <v>5478.26087</v>
      </c>
      <c r="N48" s="109">
        <f t="shared" si="39"/>
        <v>6260.869565</v>
      </c>
      <c r="O48" s="109">
        <f t="shared" si="39"/>
        <v>6260.869565</v>
      </c>
      <c r="P48" s="109">
        <f t="shared" si="39"/>
        <v>5478.26087</v>
      </c>
      <c r="Q48" s="109">
        <f t="shared" si="39"/>
        <v>4695.652174</v>
      </c>
      <c r="R48" s="109">
        <f t="shared" si="39"/>
        <v>4695.652174</v>
      </c>
      <c r="S48" s="109">
        <f t="shared" si="39"/>
        <v>6260.869565</v>
      </c>
      <c r="T48" s="109">
        <f t="shared" si="39"/>
        <v>7043.478261</v>
      </c>
      <c r="U48" s="109">
        <f t="shared" si="39"/>
        <v>7826.086957</v>
      </c>
      <c r="V48" s="109">
        <f t="shared" si="39"/>
        <v>7826.086957</v>
      </c>
      <c r="W48" s="109">
        <f t="shared" si="39"/>
        <v>8608.695652</v>
      </c>
      <c r="X48" s="207"/>
      <c r="Y48" s="172">
        <f>Y47/$K$48</f>
        <v>78260.86957</v>
      </c>
      <c r="Z48" s="405">
        <v>65217.391304347824</v>
      </c>
      <c r="AA48" s="106">
        <f t="shared" si="40"/>
        <v>0.2</v>
      </c>
      <c r="AB48" s="3"/>
      <c r="AC48" s="3"/>
      <c r="AD48" s="3"/>
      <c r="AE48" s="3"/>
      <c r="AF48" s="3"/>
      <c r="AG48" s="3"/>
      <c r="AH48" s="3"/>
      <c r="AI48" s="3"/>
      <c r="AJ48" s="3"/>
    </row>
    <row r="49" ht="15.75" customHeight="1">
      <c r="A49" s="1"/>
      <c r="B49" s="142"/>
      <c r="C49" s="143"/>
      <c r="D49" s="144"/>
      <c r="E49" s="192"/>
      <c r="F49" s="146"/>
      <c r="G49" s="463"/>
      <c r="H49" s="148"/>
      <c r="I49" s="221">
        <v>0.0325</v>
      </c>
      <c r="J49" s="124" t="s">
        <v>69</v>
      </c>
      <c r="K49" s="406">
        <v>0.0325</v>
      </c>
      <c r="L49" s="127">
        <f t="shared" ref="L49:W49" si="41">IF(L48=0, 0, (MIN(L48, 10000) * 0.0325 + MAX(0, MIN(L48, 25000) - 10000) * 0.03 + MAX(0, MIN(L48, 50000) - 25000) * 0.0275 + MAX(0, L48 - 50000) * 0.025) * (L47 / L48))</f>
        <v>23400</v>
      </c>
      <c r="M49" s="127">
        <f t="shared" si="41"/>
        <v>16380</v>
      </c>
      <c r="N49" s="127">
        <f t="shared" si="41"/>
        <v>18720</v>
      </c>
      <c r="O49" s="127">
        <f t="shared" si="41"/>
        <v>18720</v>
      </c>
      <c r="P49" s="127">
        <f t="shared" si="41"/>
        <v>16380</v>
      </c>
      <c r="Q49" s="127">
        <f t="shared" si="41"/>
        <v>14040</v>
      </c>
      <c r="R49" s="127">
        <f t="shared" si="41"/>
        <v>14040</v>
      </c>
      <c r="S49" s="127">
        <f t="shared" si="41"/>
        <v>18720</v>
      </c>
      <c r="T49" s="127">
        <f t="shared" si="41"/>
        <v>21060</v>
      </c>
      <c r="U49" s="127">
        <f t="shared" si="41"/>
        <v>23400</v>
      </c>
      <c r="V49" s="127">
        <f t="shared" si="41"/>
        <v>23400</v>
      </c>
      <c r="W49" s="127">
        <f t="shared" si="41"/>
        <v>25740</v>
      </c>
      <c r="X49" s="213"/>
      <c r="Y49" s="181">
        <f>SUM(L49:W49)</f>
        <v>234000</v>
      </c>
      <c r="Z49" s="407">
        <v>192077.21240999998</v>
      </c>
      <c r="AA49" s="106">
        <f t="shared" si="40"/>
        <v>0.2182600792</v>
      </c>
      <c r="AB49" s="3"/>
      <c r="AC49" s="3"/>
      <c r="AD49" s="3"/>
      <c r="AE49" s="3"/>
      <c r="AF49" s="3"/>
      <c r="AG49" s="3"/>
      <c r="AH49" s="3"/>
      <c r="AI49" s="3"/>
      <c r="AJ49" s="3"/>
    </row>
    <row r="50" ht="15.75" customHeight="1">
      <c r="A50" s="1"/>
      <c r="B50" s="142"/>
      <c r="C50" s="143"/>
      <c r="D50" s="144"/>
      <c r="E50" s="192"/>
      <c r="F50" s="146"/>
      <c r="G50" s="463"/>
      <c r="H50" s="148"/>
      <c r="I50" s="223"/>
      <c r="J50" s="461"/>
      <c r="K50" s="225"/>
      <c r="L50" s="185"/>
      <c r="M50" s="185"/>
      <c r="N50" s="185"/>
      <c r="O50" s="185"/>
      <c r="P50" s="185"/>
      <c r="Q50" s="214"/>
      <c r="R50" s="185"/>
      <c r="S50" s="185"/>
      <c r="T50" s="185"/>
      <c r="U50" s="185"/>
      <c r="V50" s="185"/>
      <c r="W50" s="185"/>
      <c r="X50" s="186"/>
      <c r="Y50" s="186"/>
      <c r="Z50" s="464"/>
      <c r="AA50" s="15"/>
      <c r="AB50" s="3"/>
      <c r="AC50" s="3"/>
      <c r="AD50" s="3"/>
      <c r="AE50" s="3"/>
      <c r="AF50" s="3"/>
      <c r="AG50" s="3"/>
      <c r="AH50" s="3"/>
      <c r="AI50" s="3"/>
      <c r="AJ50" s="3"/>
    </row>
    <row r="51" ht="15.75" customHeight="1">
      <c r="A51" s="1"/>
      <c r="B51" s="142">
        <v>9.0</v>
      </c>
      <c r="C51" s="466" t="s">
        <v>87</v>
      </c>
      <c r="D51" s="144">
        <v>7200000.0</v>
      </c>
      <c r="E51" s="192">
        <v>30.0</v>
      </c>
      <c r="F51" s="146">
        <f>E51*D51</f>
        <v>216000000</v>
      </c>
      <c r="G51" s="463">
        <v>1580724.5999999477</v>
      </c>
      <c r="H51" s="148">
        <v>66014.0</v>
      </c>
      <c r="I51" s="189">
        <v>23.945293422606532</v>
      </c>
      <c r="J51" s="468" t="s">
        <v>88</v>
      </c>
      <c r="K51" s="395"/>
      <c r="L51" s="397" t="s">
        <v>10</v>
      </c>
      <c r="M51" s="398" t="s">
        <v>14</v>
      </c>
      <c r="N51" s="397" t="s">
        <v>18</v>
      </c>
      <c r="O51" s="398" t="s">
        <v>22</v>
      </c>
      <c r="P51" s="397" t="s">
        <v>26</v>
      </c>
      <c r="Q51" s="398" t="s">
        <v>30</v>
      </c>
      <c r="R51" s="397" t="s">
        <v>34</v>
      </c>
      <c r="S51" s="398" t="s">
        <v>38</v>
      </c>
      <c r="T51" s="397" t="s">
        <v>42</v>
      </c>
      <c r="U51" s="398" t="s">
        <v>46</v>
      </c>
      <c r="V51" s="397" t="s">
        <v>50</v>
      </c>
      <c r="W51" s="398" t="s">
        <v>54</v>
      </c>
      <c r="X51" s="378"/>
      <c r="Y51" s="364">
        <v>2027.0</v>
      </c>
      <c r="Z51" s="399">
        <v>2026.0</v>
      </c>
      <c r="AA51" s="53"/>
      <c r="AB51" s="3"/>
      <c r="AC51" s="3"/>
      <c r="AD51" s="3"/>
      <c r="AE51" s="3"/>
      <c r="AF51" s="3"/>
      <c r="AG51" s="3"/>
      <c r="AH51" s="3"/>
      <c r="AI51" s="3"/>
      <c r="AJ51" s="3"/>
    </row>
    <row r="52" ht="15.75" customHeight="1">
      <c r="A52" s="1"/>
      <c r="B52" s="142"/>
      <c r="C52" s="143"/>
      <c r="D52" s="144"/>
      <c r="E52" s="192"/>
      <c r="F52" s="146"/>
      <c r="G52" s="463"/>
      <c r="H52" s="148"/>
      <c r="I52" s="189"/>
      <c r="J52" s="72" t="s">
        <v>64</v>
      </c>
      <c r="K52" s="400"/>
      <c r="L52" s="401">
        <v>0.1</v>
      </c>
      <c r="M52" s="401">
        <v>0.07</v>
      </c>
      <c r="N52" s="401">
        <v>0.08</v>
      </c>
      <c r="O52" s="401">
        <v>0.08</v>
      </c>
      <c r="P52" s="401">
        <v>0.07</v>
      </c>
      <c r="Q52" s="401">
        <v>0.06</v>
      </c>
      <c r="R52" s="401">
        <v>0.06</v>
      </c>
      <c r="S52" s="401">
        <v>0.08</v>
      </c>
      <c r="T52" s="401">
        <v>0.09</v>
      </c>
      <c r="U52" s="401">
        <v>0.1</v>
      </c>
      <c r="V52" s="401">
        <v>0.1</v>
      </c>
      <c r="W52" s="401">
        <v>0.11</v>
      </c>
      <c r="X52" s="367"/>
      <c r="Y52" s="166">
        <f>SUM(L52:W52)</f>
        <v>1</v>
      </c>
      <c r="Z52" s="460">
        <v>1.0</v>
      </c>
      <c r="AA52" s="71"/>
      <c r="AB52" s="3"/>
      <c r="AC52" s="3"/>
      <c r="AD52" s="3"/>
      <c r="AE52" s="3"/>
      <c r="AF52" s="3"/>
      <c r="AG52" s="3"/>
      <c r="AH52" s="3"/>
      <c r="AI52" s="3"/>
      <c r="AJ52" s="3"/>
    </row>
    <row r="53" ht="15.75" customHeight="1">
      <c r="A53" s="1"/>
      <c r="B53" s="142"/>
      <c r="C53" s="143"/>
      <c r="D53" s="144"/>
      <c r="E53" s="192"/>
      <c r="F53" s="146"/>
      <c r="G53" s="463"/>
      <c r="H53" s="148"/>
      <c r="I53" s="189"/>
      <c r="J53" s="72" t="s">
        <v>66</v>
      </c>
      <c r="K53" s="400"/>
      <c r="L53" s="91">
        <f t="shared" ref="L53:W53" si="42">($Y$53)*L52</f>
        <v>2000000</v>
      </c>
      <c r="M53" s="91">
        <f t="shared" si="42"/>
        <v>1400000</v>
      </c>
      <c r="N53" s="91">
        <f t="shared" si="42"/>
        <v>1600000</v>
      </c>
      <c r="O53" s="91">
        <f t="shared" si="42"/>
        <v>1600000</v>
      </c>
      <c r="P53" s="91">
        <f t="shared" si="42"/>
        <v>1400000</v>
      </c>
      <c r="Q53" s="91">
        <f t="shared" si="42"/>
        <v>1200000</v>
      </c>
      <c r="R53" s="91">
        <f t="shared" si="42"/>
        <v>1200000</v>
      </c>
      <c r="S53" s="91">
        <f t="shared" si="42"/>
        <v>1600000</v>
      </c>
      <c r="T53" s="91">
        <f t="shared" si="42"/>
        <v>1800000</v>
      </c>
      <c r="U53" s="91">
        <f t="shared" si="42"/>
        <v>2000000</v>
      </c>
      <c r="V53" s="91">
        <f t="shared" si="42"/>
        <v>2000000</v>
      </c>
      <c r="W53" s="91">
        <f t="shared" si="42"/>
        <v>2200000</v>
      </c>
      <c r="X53" s="102"/>
      <c r="Y53" s="168">
        <v>2.0E7</v>
      </c>
      <c r="Z53" s="403">
        <v>1.4E7</v>
      </c>
      <c r="AA53" s="106">
        <f t="shared" ref="AA53:AA55" si="44">Y53/Z53-1</f>
        <v>0.4285714286</v>
      </c>
      <c r="AB53" s="194">
        <v>0.03</v>
      </c>
      <c r="AC53" s="4">
        <f>Y53+AB53*Y53</f>
        <v>20600000</v>
      </c>
      <c r="AD53" s="3"/>
      <c r="AE53" s="3"/>
      <c r="AF53" s="3"/>
      <c r="AG53" s="3"/>
      <c r="AH53" s="3"/>
      <c r="AI53" s="3"/>
      <c r="AJ53" s="3"/>
    </row>
    <row r="54" ht="15.75" customHeight="1">
      <c r="A54" s="1"/>
      <c r="B54" s="142"/>
      <c r="C54" s="143"/>
      <c r="D54" s="144"/>
      <c r="E54" s="192"/>
      <c r="F54" s="146"/>
      <c r="G54" s="463"/>
      <c r="H54" s="148"/>
      <c r="I54" s="189"/>
      <c r="J54" s="72" t="s">
        <v>67</v>
      </c>
      <c r="K54" s="404">
        <v>30.0</v>
      </c>
      <c r="L54" s="109">
        <f t="shared" ref="L54:W54" si="43">L53/$K$54</f>
        <v>66666.66667</v>
      </c>
      <c r="M54" s="109">
        <f t="shared" si="43"/>
        <v>46666.66667</v>
      </c>
      <c r="N54" s="109">
        <f t="shared" si="43"/>
        <v>53333.33333</v>
      </c>
      <c r="O54" s="109">
        <f t="shared" si="43"/>
        <v>53333.33333</v>
      </c>
      <c r="P54" s="109">
        <f t="shared" si="43"/>
        <v>46666.66667</v>
      </c>
      <c r="Q54" s="109">
        <f t="shared" si="43"/>
        <v>40000</v>
      </c>
      <c r="R54" s="109">
        <f t="shared" si="43"/>
        <v>40000</v>
      </c>
      <c r="S54" s="109">
        <f t="shared" si="43"/>
        <v>53333.33333</v>
      </c>
      <c r="T54" s="109">
        <f t="shared" si="43"/>
        <v>60000</v>
      </c>
      <c r="U54" s="109">
        <f t="shared" si="43"/>
        <v>66666.66667</v>
      </c>
      <c r="V54" s="109">
        <f t="shared" si="43"/>
        <v>66666.66667</v>
      </c>
      <c r="W54" s="109">
        <f t="shared" si="43"/>
        <v>73333.33333</v>
      </c>
      <c r="X54" s="207"/>
      <c r="Y54" s="172">
        <f t="shared" ref="Y54:Y55" si="46">SUM(L54:W54)</f>
        <v>666666.6667</v>
      </c>
      <c r="Z54" s="405">
        <v>466620.5833333333</v>
      </c>
      <c r="AA54" s="106">
        <f t="shared" si="44"/>
        <v>0.4287125139</v>
      </c>
      <c r="AB54" s="3"/>
      <c r="AC54" s="3"/>
      <c r="AD54" s="3"/>
      <c r="AE54" s="3"/>
      <c r="AF54" s="3"/>
      <c r="AG54" s="3"/>
      <c r="AH54" s="3"/>
      <c r="AI54" s="3"/>
      <c r="AJ54" s="3"/>
    </row>
    <row r="55" ht="15.75" customHeight="1">
      <c r="A55" s="1"/>
      <c r="B55" s="142"/>
      <c r="C55" s="143"/>
      <c r="D55" s="144"/>
      <c r="E55" s="192"/>
      <c r="F55" s="146"/>
      <c r="G55" s="463"/>
      <c r="H55" s="148"/>
      <c r="I55" s="149"/>
      <c r="J55" s="124" t="s">
        <v>69</v>
      </c>
      <c r="K55" s="406">
        <v>0.04</v>
      </c>
      <c r="L55" s="127">
        <f t="shared" ref="L55:W55" si="45">IF(L53&gt;=1000000,$K$55*L53,0)</f>
        <v>80000</v>
      </c>
      <c r="M55" s="127">
        <f t="shared" si="45"/>
        <v>56000</v>
      </c>
      <c r="N55" s="127">
        <f t="shared" si="45"/>
        <v>64000</v>
      </c>
      <c r="O55" s="127">
        <f t="shared" si="45"/>
        <v>64000</v>
      </c>
      <c r="P55" s="127">
        <f t="shared" si="45"/>
        <v>56000</v>
      </c>
      <c r="Q55" s="127">
        <f t="shared" si="45"/>
        <v>48000</v>
      </c>
      <c r="R55" s="127">
        <f t="shared" si="45"/>
        <v>48000</v>
      </c>
      <c r="S55" s="127">
        <f t="shared" si="45"/>
        <v>64000</v>
      </c>
      <c r="T55" s="127">
        <f t="shared" si="45"/>
        <v>72000</v>
      </c>
      <c r="U55" s="127">
        <f t="shared" si="45"/>
        <v>80000</v>
      </c>
      <c r="V55" s="127">
        <f t="shared" si="45"/>
        <v>80000</v>
      </c>
      <c r="W55" s="127">
        <f t="shared" si="45"/>
        <v>88000</v>
      </c>
      <c r="X55" s="213"/>
      <c r="Y55" s="181">
        <f t="shared" si="46"/>
        <v>800000</v>
      </c>
      <c r="Z55" s="407">
        <v>465038.995</v>
      </c>
      <c r="AA55" s="106">
        <f t="shared" si="44"/>
        <v>0.720285844</v>
      </c>
      <c r="AB55" s="3"/>
      <c r="AC55" s="3"/>
      <c r="AD55" s="3"/>
      <c r="AE55" s="3"/>
      <c r="AF55" s="3"/>
      <c r="AG55" s="3"/>
      <c r="AH55" s="3"/>
      <c r="AI55" s="3"/>
      <c r="AJ55" s="3"/>
    </row>
    <row r="56" ht="15.75" customHeight="1">
      <c r="A56" s="1"/>
      <c r="B56" s="142"/>
      <c r="C56" s="143"/>
      <c r="D56" s="144"/>
      <c r="E56" s="192"/>
      <c r="F56" s="146"/>
      <c r="G56" s="463"/>
      <c r="H56" s="148"/>
      <c r="I56" s="149"/>
      <c r="J56" s="461"/>
      <c r="K56" s="150"/>
      <c r="L56" s="196"/>
      <c r="M56" s="196"/>
      <c r="N56" s="196"/>
      <c r="O56" s="196"/>
      <c r="P56" s="196"/>
      <c r="Q56" s="214"/>
      <c r="R56" s="196"/>
      <c r="S56" s="196"/>
      <c r="T56" s="196"/>
      <c r="U56" s="196"/>
      <c r="V56" s="196"/>
      <c r="W56" s="196"/>
      <c r="X56" s="469"/>
      <c r="Y56" s="226"/>
      <c r="Z56" s="470"/>
      <c r="AA56" s="15"/>
      <c r="AB56" s="3"/>
      <c r="AC56" s="3"/>
      <c r="AD56" s="3"/>
      <c r="AE56" s="3"/>
      <c r="AF56" s="3"/>
      <c r="AG56" s="3"/>
      <c r="AH56" s="3"/>
      <c r="AI56" s="3"/>
      <c r="AJ56" s="3"/>
    </row>
    <row r="57" ht="15.75" customHeight="1">
      <c r="A57" s="1"/>
      <c r="B57" s="142">
        <v>10.0</v>
      </c>
      <c r="C57" s="466" t="s">
        <v>89</v>
      </c>
      <c r="D57" s="144">
        <f>3000*12*8</f>
        <v>288000</v>
      </c>
      <c r="E57" s="192">
        <v>100.0</v>
      </c>
      <c r="F57" s="146">
        <f>E57*D57</f>
        <v>28800000</v>
      </c>
      <c r="G57" s="463">
        <v>195455.89999999918</v>
      </c>
      <c r="H57" s="148">
        <v>1727.0</v>
      </c>
      <c r="I57" s="149">
        <v>113.17654892877775</v>
      </c>
      <c r="J57" s="459" t="s">
        <v>90</v>
      </c>
      <c r="K57" s="395"/>
      <c r="L57" s="397" t="s">
        <v>10</v>
      </c>
      <c r="M57" s="398" t="s">
        <v>14</v>
      </c>
      <c r="N57" s="397" t="s">
        <v>18</v>
      </c>
      <c r="O57" s="398" t="s">
        <v>22</v>
      </c>
      <c r="P57" s="397" t="s">
        <v>26</v>
      </c>
      <c r="Q57" s="398" t="s">
        <v>30</v>
      </c>
      <c r="R57" s="397" t="s">
        <v>34</v>
      </c>
      <c r="S57" s="398" t="s">
        <v>38</v>
      </c>
      <c r="T57" s="397" t="s">
        <v>42</v>
      </c>
      <c r="U57" s="398" t="s">
        <v>46</v>
      </c>
      <c r="V57" s="397" t="s">
        <v>50</v>
      </c>
      <c r="W57" s="398" t="s">
        <v>54</v>
      </c>
      <c r="X57" s="378"/>
      <c r="Y57" s="364">
        <v>2027.0</v>
      </c>
      <c r="Z57" s="399">
        <v>2026.0</v>
      </c>
      <c r="AA57" s="53"/>
      <c r="AB57" s="3"/>
      <c r="AC57" s="3"/>
      <c r="AD57" s="3"/>
      <c r="AE57" s="3"/>
      <c r="AF57" s="3"/>
      <c r="AG57" s="3"/>
      <c r="AH57" s="3"/>
      <c r="AI57" s="3"/>
      <c r="AJ57" s="3"/>
    </row>
    <row r="58" ht="15.75" customHeight="1">
      <c r="A58" s="1"/>
      <c r="B58" s="142"/>
      <c r="C58" s="143"/>
      <c r="D58" s="144"/>
      <c r="E58" s="192"/>
      <c r="F58" s="146"/>
      <c r="G58" s="463"/>
      <c r="H58" s="148"/>
      <c r="I58" s="149"/>
      <c r="J58" s="72" t="s">
        <v>64</v>
      </c>
      <c r="K58" s="400"/>
      <c r="L58" s="401">
        <v>0.08</v>
      </c>
      <c r="M58" s="401">
        <v>0.06</v>
      </c>
      <c r="N58" s="401">
        <v>0.07</v>
      </c>
      <c r="O58" s="401">
        <v>0.07</v>
      </c>
      <c r="P58" s="401">
        <v>0.08</v>
      </c>
      <c r="Q58" s="401">
        <v>0.08</v>
      </c>
      <c r="R58" s="401">
        <v>0.08</v>
      </c>
      <c r="S58" s="401">
        <v>0.08</v>
      </c>
      <c r="T58" s="401">
        <v>0.09</v>
      </c>
      <c r="U58" s="401">
        <v>0.1</v>
      </c>
      <c r="V58" s="401">
        <v>0.11</v>
      </c>
      <c r="W58" s="401">
        <v>0.1</v>
      </c>
      <c r="X58" s="367"/>
      <c r="Y58" s="166">
        <f>SUM(L58:W58)</f>
        <v>1</v>
      </c>
      <c r="Z58" s="460">
        <v>1.0</v>
      </c>
      <c r="AA58" s="71"/>
      <c r="AB58" s="3"/>
      <c r="AC58" s="3"/>
      <c r="AD58" s="3"/>
      <c r="AE58" s="3"/>
      <c r="AF58" s="3"/>
      <c r="AG58" s="3"/>
      <c r="AH58" s="3"/>
      <c r="AI58" s="3"/>
      <c r="AJ58" s="3"/>
    </row>
    <row r="59" ht="15.75" customHeight="1">
      <c r="A59" s="1"/>
      <c r="B59" s="142"/>
      <c r="C59" s="143"/>
      <c r="D59" s="144"/>
      <c r="E59" s="192"/>
      <c r="F59" s="146"/>
      <c r="G59" s="463"/>
      <c r="H59" s="148"/>
      <c r="I59" s="149"/>
      <c r="J59" s="72" t="s">
        <v>66</v>
      </c>
      <c r="K59" s="400"/>
      <c r="L59" s="91">
        <f t="shared" ref="L59:W59" si="47">($Y$59)*L58</f>
        <v>168000</v>
      </c>
      <c r="M59" s="91">
        <f t="shared" si="47"/>
        <v>126000</v>
      </c>
      <c r="N59" s="91">
        <f t="shared" si="47"/>
        <v>147000</v>
      </c>
      <c r="O59" s="91">
        <f t="shared" si="47"/>
        <v>147000</v>
      </c>
      <c r="P59" s="91">
        <f t="shared" si="47"/>
        <v>168000</v>
      </c>
      <c r="Q59" s="91">
        <f t="shared" si="47"/>
        <v>168000</v>
      </c>
      <c r="R59" s="91">
        <f t="shared" si="47"/>
        <v>168000</v>
      </c>
      <c r="S59" s="91">
        <f t="shared" si="47"/>
        <v>168000</v>
      </c>
      <c r="T59" s="91">
        <f t="shared" si="47"/>
        <v>189000</v>
      </c>
      <c r="U59" s="91">
        <f t="shared" si="47"/>
        <v>210000</v>
      </c>
      <c r="V59" s="91">
        <f t="shared" si="47"/>
        <v>231000</v>
      </c>
      <c r="W59" s="91">
        <f t="shared" si="47"/>
        <v>210000</v>
      </c>
      <c r="X59" s="102"/>
      <c r="Y59" s="168">
        <v>2100000.0</v>
      </c>
      <c r="Z59" s="403">
        <v>2000000.0</v>
      </c>
      <c r="AA59" s="106">
        <f t="shared" ref="AA59:AA61" si="49">Y59/Z59-1</f>
        <v>0.05</v>
      </c>
      <c r="AB59" s="194">
        <v>0.03</v>
      </c>
      <c r="AC59" s="4">
        <f>Y59+AB59*Y59</f>
        <v>2163000</v>
      </c>
      <c r="AD59" s="3"/>
      <c r="AE59" s="3"/>
      <c r="AF59" s="3"/>
      <c r="AG59" s="3"/>
      <c r="AH59" s="3"/>
      <c r="AI59" s="3"/>
      <c r="AJ59" s="3"/>
    </row>
    <row r="60" ht="15.75" customHeight="1">
      <c r="A60" s="1"/>
      <c r="B60" s="142"/>
      <c r="C60" s="143"/>
      <c r="D60" s="144"/>
      <c r="E60" s="192"/>
      <c r="F60" s="146"/>
      <c r="G60" s="463"/>
      <c r="H60" s="148"/>
      <c r="I60" s="149"/>
      <c r="J60" s="72" t="s">
        <v>67</v>
      </c>
      <c r="K60" s="404">
        <v>114.0</v>
      </c>
      <c r="L60" s="109">
        <f t="shared" ref="L60:W60" si="48">L59/$K$60</f>
        <v>1473.684211</v>
      </c>
      <c r="M60" s="109">
        <f t="shared" si="48"/>
        <v>1105.263158</v>
      </c>
      <c r="N60" s="109">
        <f t="shared" si="48"/>
        <v>1289.473684</v>
      </c>
      <c r="O60" s="109">
        <f t="shared" si="48"/>
        <v>1289.473684</v>
      </c>
      <c r="P60" s="109">
        <f t="shared" si="48"/>
        <v>1473.684211</v>
      </c>
      <c r="Q60" s="109">
        <f t="shared" si="48"/>
        <v>1473.684211</v>
      </c>
      <c r="R60" s="109">
        <f t="shared" si="48"/>
        <v>1473.684211</v>
      </c>
      <c r="S60" s="109">
        <f t="shared" si="48"/>
        <v>1473.684211</v>
      </c>
      <c r="T60" s="109">
        <f t="shared" si="48"/>
        <v>1657.894737</v>
      </c>
      <c r="U60" s="109">
        <f t="shared" si="48"/>
        <v>1842.105263</v>
      </c>
      <c r="V60" s="109">
        <f t="shared" si="48"/>
        <v>2026.315789</v>
      </c>
      <c r="W60" s="109">
        <f t="shared" si="48"/>
        <v>1842.105263</v>
      </c>
      <c r="X60" s="207"/>
      <c r="Y60" s="172">
        <f t="shared" ref="Y60:Y61" si="51">SUM(L60:W60)</f>
        <v>18421.05263</v>
      </c>
      <c r="Z60" s="405">
        <v>17525.14035087719</v>
      </c>
      <c r="AA60" s="106">
        <f t="shared" si="49"/>
        <v>0.05112154669</v>
      </c>
      <c r="AB60" s="3"/>
      <c r="AC60" s="3"/>
      <c r="AD60" s="3"/>
      <c r="AE60" s="3"/>
      <c r="AF60" s="3"/>
      <c r="AG60" s="3"/>
      <c r="AH60" s="3"/>
      <c r="AI60" s="3"/>
      <c r="AJ60" s="3"/>
    </row>
    <row r="61" ht="15.75" customHeight="1">
      <c r="A61" s="1"/>
      <c r="B61" s="142"/>
      <c r="C61" s="143"/>
      <c r="D61" s="144"/>
      <c r="E61" s="192"/>
      <c r="F61" s="146"/>
      <c r="G61" s="463"/>
      <c r="H61" s="148"/>
      <c r="I61" s="149"/>
      <c r="J61" s="124" t="s">
        <v>69</v>
      </c>
      <c r="K61" s="406">
        <v>0.039</v>
      </c>
      <c r="L61" s="127">
        <f t="shared" ref="L61:W61" si="50">L59*$K$61</f>
        <v>6552</v>
      </c>
      <c r="M61" s="127">
        <f t="shared" si="50"/>
        <v>4914</v>
      </c>
      <c r="N61" s="127">
        <f t="shared" si="50"/>
        <v>5733</v>
      </c>
      <c r="O61" s="127">
        <f t="shared" si="50"/>
        <v>5733</v>
      </c>
      <c r="P61" s="127">
        <f t="shared" si="50"/>
        <v>6552</v>
      </c>
      <c r="Q61" s="127">
        <f t="shared" si="50"/>
        <v>6552</v>
      </c>
      <c r="R61" s="127">
        <f t="shared" si="50"/>
        <v>6552</v>
      </c>
      <c r="S61" s="127">
        <f t="shared" si="50"/>
        <v>6552</v>
      </c>
      <c r="T61" s="127">
        <f t="shared" si="50"/>
        <v>7371</v>
      </c>
      <c r="U61" s="127">
        <f t="shared" si="50"/>
        <v>8190</v>
      </c>
      <c r="V61" s="127">
        <f t="shared" si="50"/>
        <v>9009</v>
      </c>
      <c r="W61" s="127">
        <f t="shared" si="50"/>
        <v>8190</v>
      </c>
      <c r="X61" s="213"/>
      <c r="Y61" s="181">
        <f t="shared" si="51"/>
        <v>81900</v>
      </c>
      <c r="Z61" s="407">
        <v>78000.0</v>
      </c>
      <c r="AA61" s="106">
        <f t="shared" si="49"/>
        <v>0.05</v>
      </c>
      <c r="AB61" s="3"/>
      <c r="AC61" s="3"/>
      <c r="AD61" s="3"/>
      <c r="AE61" s="3"/>
      <c r="AF61" s="3"/>
      <c r="AG61" s="3"/>
      <c r="AH61" s="3"/>
      <c r="AI61" s="3"/>
      <c r="AJ61" s="3"/>
    </row>
    <row r="62" ht="15.75" customHeight="1">
      <c r="A62" s="1"/>
      <c r="B62" s="142"/>
      <c r="C62" s="143"/>
      <c r="D62" s="144"/>
      <c r="E62" s="192"/>
      <c r="F62" s="146"/>
      <c r="G62" s="463"/>
      <c r="H62" s="148"/>
      <c r="I62" s="149"/>
      <c r="J62" s="8"/>
      <c r="K62" s="195"/>
      <c r="L62" s="185"/>
      <c r="M62" s="185"/>
      <c r="N62" s="185"/>
      <c r="O62" s="185"/>
      <c r="P62" s="185"/>
      <c r="Q62" s="214"/>
      <c r="R62" s="185"/>
      <c r="S62" s="185"/>
      <c r="T62" s="185"/>
      <c r="U62" s="185"/>
      <c r="V62" s="185"/>
      <c r="W62" s="185"/>
      <c r="X62" s="186"/>
      <c r="Y62" s="186"/>
      <c r="Z62" s="464"/>
      <c r="AA62" s="15"/>
      <c r="AB62" s="3"/>
      <c r="AC62" s="3"/>
      <c r="AD62" s="3"/>
      <c r="AE62" s="3"/>
      <c r="AF62" s="3"/>
      <c r="AG62" s="3"/>
      <c r="AH62" s="3"/>
      <c r="AI62" s="3"/>
      <c r="AJ62" s="3"/>
    </row>
    <row r="63" ht="15.75" customHeight="1">
      <c r="A63" s="1"/>
      <c r="B63" s="142">
        <v>11.0</v>
      </c>
      <c r="C63" s="466" t="s">
        <v>91</v>
      </c>
      <c r="D63" s="144">
        <f>80000*12</f>
        <v>960000</v>
      </c>
      <c r="E63" s="192">
        <v>60.0</v>
      </c>
      <c r="F63" s="146">
        <f>E63*D63</f>
        <v>57600000</v>
      </c>
      <c r="G63" s="463">
        <v>409141.4900000167</v>
      </c>
      <c r="H63" s="148">
        <v>13480.0</v>
      </c>
      <c r="I63" s="149">
        <v>30.351742581603613</v>
      </c>
      <c r="J63" s="459" t="s">
        <v>92</v>
      </c>
      <c r="K63" s="395"/>
      <c r="L63" s="397" t="s">
        <v>10</v>
      </c>
      <c r="M63" s="398" t="s">
        <v>14</v>
      </c>
      <c r="N63" s="397" t="s">
        <v>18</v>
      </c>
      <c r="O63" s="398" t="s">
        <v>22</v>
      </c>
      <c r="P63" s="397" t="s">
        <v>26</v>
      </c>
      <c r="Q63" s="398" t="s">
        <v>30</v>
      </c>
      <c r="R63" s="397" t="s">
        <v>34</v>
      </c>
      <c r="S63" s="398" t="s">
        <v>38</v>
      </c>
      <c r="T63" s="397" t="s">
        <v>42</v>
      </c>
      <c r="U63" s="398" t="s">
        <v>46</v>
      </c>
      <c r="V63" s="397" t="s">
        <v>50</v>
      </c>
      <c r="W63" s="398" t="s">
        <v>54</v>
      </c>
      <c r="X63" s="378"/>
      <c r="Y63" s="364">
        <v>2027.0</v>
      </c>
      <c r="Z63" s="399">
        <v>2026.0</v>
      </c>
      <c r="AA63" s="53"/>
      <c r="AB63" s="3"/>
      <c r="AC63" s="3"/>
      <c r="AD63" s="3"/>
      <c r="AE63" s="3"/>
      <c r="AF63" s="3"/>
      <c r="AG63" s="3"/>
      <c r="AH63" s="3"/>
      <c r="AI63" s="3"/>
      <c r="AJ63" s="3"/>
    </row>
    <row r="64" ht="15.75" customHeight="1">
      <c r="A64" s="1"/>
      <c r="B64" s="142"/>
      <c r="C64" s="143"/>
      <c r="D64" s="144"/>
      <c r="E64" s="192"/>
      <c r="F64" s="146"/>
      <c r="G64" s="463"/>
      <c r="H64" s="148"/>
      <c r="I64" s="149"/>
      <c r="J64" s="72" t="s">
        <v>64</v>
      </c>
      <c r="K64" s="400"/>
      <c r="L64" s="401">
        <v>0.1</v>
      </c>
      <c r="M64" s="401">
        <v>0.07</v>
      </c>
      <c r="N64" s="401">
        <v>0.08</v>
      </c>
      <c r="O64" s="401">
        <v>0.08</v>
      </c>
      <c r="P64" s="401">
        <v>0.07</v>
      </c>
      <c r="Q64" s="401">
        <v>0.06</v>
      </c>
      <c r="R64" s="401">
        <v>0.06</v>
      </c>
      <c r="S64" s="401">
        <v>0.08</v>
      </c>
      <c r="T64" s="401">
        <v>0.09</v>
      </c>
      <c r="U64" s="401">
        <v>0.1</v>
      </c>
      <c r="V64" s="401">
        <v>0.1</v>
      </c>
      <c r="W64" s="401">
        <v>0.11</v>
      </c>
      <c r="X64" s="367"/>
      <c r="Y64" s="166">
        <f>SUM(L64:W64)</f>
        <v>1</v>
      </c>
      <c r="Z64" s="460">
        <v>1.0</v>
      </c>
      <c r="AA64" s="71"/>
      <c r="AB64" s="3"/>
      <c r="AC64" s="3"/>
      <c r="AD64" s="3"/>
      <c r="AE64" s="3"/>
      <c r="AF64" s="3"/>
      <c r="AG64" s="3"/>
      <c r="AH64" s="3"/>
      <c r="AI64" s="3"/>
      <c r="AJ64" s="3"/>
    </row>
    <row r="65" ht="15.75" customHeight="1">
      <c r="A65" s="1"/>
      <c r="B65" s="142"/>
      <c r="C65" s="143"/>
      <c r="D65" s="144"/>
      <c r="E65" s="192"/>
      <c r="F65" s="146"/>
      <c r="G65" s="463"/>
      <c r="H65" s="148"/>
      <c r="I65" s="149"/>
      <c r="J65" s="72" t="s">
        <v>66</v>
      </c>
      <c r="K65" s="400"/>
      <c r="L65" s="91">
        <f t="shared" ref="L65:W65" si="52">($Y$65)*L64</f>
        <v>360000</v>
      </c>
      <c r="M65" s="91">
        <f t="shared" si="52"/>
        <v>252000</v>
      </c>
      <c r="N65" s="91">
        <f t="shared" si="52"/>
        <v>288000</v>
      </c>
      <c r="O65" s="91">
        <f t="shared" si="52"/>
        <v>288000</v>
      </c>
      <c r="P65" s="91">
        <f t="shared" si="52"/>
        <v>252000</v>
      </c>
      <c r="Q65" s="91">
        <f t="shared" si="52"/>
        <v>216000</v>
      </c>
      <c r="R65" s="91">
        <f t="shared" si="52"/>
        <v>216000</v>
      </c>
      <c r="S65" s="91">
        <f t="shared" si="52"/>
        <v>288000</v>
      </c>
      <c r="T65" s="91">
        <f t="shared" si="52"/>
        <v>324000</v>
      </c>
      <c r="U65" s="91">
        <f t="shared" si="52"/>
        <v>360000</v>
      </c>
      <c r="V65" s="91">
        <f t="shared" si="52"/>
        <v>360000</v>
      </c>
      <c r="W65" s="91">
        <f t="shared" si="52"/>
        <v>396000</v>
      </c>
      <c r="X65" s="102"/>
      <c r="Y65" s="168">
        <v>3600000.0</v>
      </c>
      <c r="Z65" s="403">
        <v>2200000.0</v>
      </c>
      <c r="AA65" s="106">
        <f t="shared" ref="AA65:AA67" si="54">Y65/Z65-1</f>
        <v>0.6363636364</v>
      </c>
      <c r="AB65" s="194">
        <v>0.03</v>
      </c>
      <c r="AC65" s="4">
        <f>Y65+AB65*Y65</f>
        <v>3708000</v>
      </c>
      <c r="AD65" s="3"/>
      <c r="AE65" s="3"/>
      <c r="AF65" s="3"/>
      <c r="AG65" s="3"/>
      <c r="AH65" s="3"/>
      <c r="AI65" s="3"/>
      <c r="AJ65" s="3"/>
    </row>
    <row r="66" ht="15.75" customHeight="1">
      <c r="A66" s="1"/>
      <c r="B66" s="142"/>
      <c r="C66" s="143"/>
      <c r="D66" s="144"/>
      <c r="E66" s="192"/>
      <c r="F66" s="146"/>
      <c r="G66" s="463"/>
      <c r="H66" s="148"/>
      <c r="I66" s="149"/>
      <c r="J66" s="72" t="s">
        <v>67</v>
      </c>
      <c r="K66" s="471">
        <v>40.0</v>
      </c>
      <c r="L66" s="109">
        <f t="shared" ref="L66:W66" si="53">L65/$K$66</f>
        <v>9000</v>
      </c>
      <c r="M66" s="109">
        <f t="shared" si="53"/>
        <v>6300</v>
      </c>
      <c r="N66" s="109">
        <f t="shared" si="53"/>
        <v>7200</v>
      </c>
      <c r="O66" s="109">
        <f t="shared" si="53"/>
        <v>7200</v>
      </c>
      <c r="P66" s="109">
        <f t="shared" si="53"/>
        <v>6300</v>
      </c>
      <c r="Q66" s="109">
        <f t="shared" si="53"/>
        <v>5400</v>
      </c>
      <c r="R66" s="109">
        <f t="shared" si="53"/>
        <v>5400</v>
      </c>
      <c r="S66" s="109">
        <f t="shared" si="53"/>
        <v>7200</v>
      </c>
      <c r="T66" s="109">
        <f t="shared" si="53"/>
        <v>8100</v>
      </c>
      <c r="U66" s="109">
        <f t="shared" si="53"/>
        <v>9000</v>
      </c>
      <c r="V66" s="109">
        <f t="shared" si="53"/>
        <v>9000</v>
      </c>
      <c r="W66" s="109">
        <f t="shared" si="53"/>
        <v>9900</v>
      </c>
      <c r="X66" s="207"/>
      <c r="Y66" s="172">
        <f t="shared" ref="Y66:Y67" si="56">SUM(L66:W66)</f>
        <v>90000</v>
      </c>
      <c r="Z66" s="405">
        <v>78493.39285714287</v>
      </c>
      <c r="AA66" s="106">
        <f t="shared" si="54"/>
        <v>0.1465933211</v>
      </c>
      <c r="AB66" s="3"/>
      <c r="AC66" s="3"/>
      <c r="AD66" s="3"/>
      <c r="AE66" s="3"/>
      <c r="AF66" s="3"/>
      <c r="AG66" s="3"/>
      <c r="AH66" s="3"/>
      <c r="AI66" s="3"/>
      <c r="AJ66" s="3"/>
    </row>
    <row r="67" ht="15.75" customHeight="1">
      <c r="A67" s="1"/>
      <c r="B67" s="142"/>
      <c r="C67" s="143"/>
      <c r="D67" s="144"/>
      <c r="E67" s="192"/>
      <c r="F67" s="146"/>
      <c r="G67" s="463"/>
      <c r="H67" s="148"/>
      <c r="I67" s="149"/>
      <c r="J67" s="124" t="s">
        <v>69</v>
      </c>
      <c r="K67" s="406">
        <v>0.03</v>
      </c>
      <c r="L67" s="127">
        <f t="shared" ref="L67:W67" si="55">MIN(L65, 650000) * 0.03 +
 MAX(0, MIN(L65, 2500000) - 650000) * 0.025 +
 MAX(0, MIN(L65, 4500000) - 2500000) * 0.0225 +
 MAX(0, MIN(L65, 7500000) - 4500000) * 0.02 +
 MAX(0, MIN(L65, 11500000) - 7500000) * 0.015 +
 MAX(0, L65 - 11500000) * 0.01</f>
        <v>10800</v>
      </c>
      <c r="M67" s="127">
        <f t="shared" si="55"/>
        <v>7560</v>
      </c>
      <c r="N67" s="127">
        <f t="shared" si="55"/>
        <v>8640</v>
      </c>
      <c r="O67" s="127">
        <f t="shared" si="55"/>
        <v>8640</v>
      </c>
      <c r="P67" s="127">
        <f t="shared" si="55"/>
        <v>7560</v>
      </c>
      <c r="Q67" s="127">
        <f t="shared" si="55"/>
        <v>6480</v>
      </c>
      <c r="R67" s="127">
        <f t="shared" si="55"/>
        <v>6480</v>
      </c>
      <c r="S67" s="127">
        <f t="shared" si="55"/>
        <v>8640</v>
      </c>
      <c r="T67" s="127">
        <f t="shared" si="55"/>
        <v>9720</v>
      </c>
      <c r="U67" s="127">
        <f t="shared" si="55"/>
        <v>10800</v>
      </c>
      <c r="V67" s="127">
        <f t="shared" si="55"/>
        <v>10800</v>
      </c>
      <c r="W67" s="127">
        <f t="shared" si="55"/>
        <v>11880</v>
      </c>
      <c r="X67" s="213"/>
      <c r="Y67" s="181">
        <f t="shared" si="56"/>
        <v>108000</v>
      </c>
      <c r="Z67" s="407">
        <v>66000.0</v>
      </c>
      <c r="AA67" s="106">
        <f t="shared" si="54"/>
        <v>0.6363636364</v>
      </c>
      <c r="AB67" s="3"/>
      <c r="AC67" s="3"/>
      <c r="AD67" s="3"/>
      <c r="AE67" s="3"/>
      <c r="AF67" s="3"/>
      <c r="AG67" s="3"/>
      <c r="AH67" s="3"/>
      <c r="AI67" s="3"/>
      <c r="AJ67" s="3"/>
    </row>
    <row r="68" ht="15.75" customHeight="1">
      <c r="A68" s="1"/>
      <c r="B68" s="142"/>
      <c r="C68" s="143"/>
      <c r="D68" s="144"/>
      <c r="E68" s="192"/>
      <c r="F68" s="146"/>
      <c r="G68" s="463"/>
      <c r="H68" s="148"/>
      <c r="I68" s="149"/>
      <c r="J68" s="8"/>
      <c r="K68" s="195"/>
      <c r="L68" s="185"/>
      <c r="M68" s="185"/>
      <c r="N68" s="185"/>
      <c r="O68" s="185"/>
      <c r="P68" s="185"/>
      <c r="Q68" s="214"/>
      <c r="R68" s="185"/>
      <c r="S68" s="185"/>
      <c r="T68" s="185"/>
      <c r="U68" s="185"/>
      <c r="V68" s="185"/>
      <c r="W68" s="185"/>
      <c r="X68" s="186"/>
      <c r="Y68" s="186"/>
      <c r="Z68" s="464"/>
      <c r="AA68" s="15"/>
      <c r="AB68" s="3"/>
      <c r="AC68" s="3"/>
      <c r="AD68" s="3"/>
      <c r="AE68" s="3"/>
      <c r="AF68" s="3"/>
      <c r="AG68" s="3"/>
      <c r="AH68" s="3"/>
      <c r="AI68" s="3"/>
      <c r="AJ68" s="3"/>
    </row>
    <row r="69" ht="15.75" customHeight="1">
      <c r="A69" s="1"/>
      <c r="B69" s="142">
        <v>12.0</v>
      </c>
      <c r="C69" s="466" t="s">
        <v>93</v>
      </c>
      <c r="D69" s="144"/>
      <c r="E69" s="192"/>
      <c r="F69" s="146"/>
      <c r="G69" s="472">
        <v>1.776575282001109E7</v>
      </c>
      <c r="H69" s="229">
        <v>181714.0</v>
      </c>
      <c r="I69" s="230">
        <v>97.76766138003175</v>
      </c>
      <c r="J69" s="473" t="s">
        <v>94</v>
      </c>
      <c r="K69" s="395"/>
      <c r="L69" s="397" t="s">
        <v>10</v>
      </c>
      <c r="M69" s="398" t="s">
        <v>14</v>
      </c>
      <c r="N69" s="397" t="s">
        <v>18</v>
      </c>
      <c r="O69" s="398" t="s">
        <v>22</v>
      </c>
      <c r="P69" s="397" t="s">
        <v>26</v>
      </c>
      <c r="Q69" s="398" t="s">
        <v>30</v>
      </c>
      <c r="R69" s="397" t="s">
        <v>34</v>
      </c>
      <c r="S69" s="398" t="s">
        <v>38</v>
      </c>
      <c r="T69" s="397" t="s">
        <v>42</v>
      </c>
      <c r="U69" s="398" t="s">
        <v>46</v>
      </c>
      <c r="V69" s="397" t="s">
        <v>50</v>
      </c>
      <c r="W69" s="398" t="s">
        <v>54</v>
      </c>
      <c r="X69" s="378"/>
      <c r="Y69" s="364">
        <v>2027.0</v>
      </c>
      <c r="Z69" s="399">
        <v>2026.0</v>
      </c>
      <c r="AA69" s="53"/>
      <c r="AB69" s="3"/>
      <c r="AC69" s="3"/>
      <c r="AD69" s="3"/>
      <c r="AE69" s="3"/>
      <c r="AF69" s="3"/>
      <c r="AG69" s="3"/>
      <c r="AH69" s="3"/>
      <c r="AI69" s="3"/>
      <c r="AJ69" s="3"/>
    </row>
    <row r="70" ht="15.75" customHeight="1">
      <c r="A70" s="1"/>
      <c r="B70" s="142"/>
      <c r="C70" s="143"/>
      <c r="D70" s="144"/>
      <c r="E70" s="192"/>
      <c r="F70" s="146"/>
      <c r="G70" s="463"/>
      <c r="H70" s="148"/>
      <c r="I70" s="149"/>
      <c r="J70" s="72" t="s">
        <v>64</v>
      </c>
      <c r="K70" s="400"/>
      <c r="L70" s="401">
        <v>0.08</v>
      </c>
      <c r="M70" s="401">
        <v>0.06</v>
      </c>
      <c r="N70" s="401">
        <v>0.07</v>
      </c>
      <c r="O70" s="401">
        <v>0.07</v>
      </c>
      <c r="P70" s="401">
        <v>0.08</v>
      </c>
      <c r="Q70" s="401">
        <v>0.08</v>
      </c>
      <c r="R70" s="401">
        <v>0.08</v>
      </c>
      <c r="S70" s="401">
        <v>0.08</v>
      </c>
      <c r="T70" s="401">
        <v>0.09</v>
      </c>
      <c r="U70" s="401">
        <v>0.1</v>
      </c>
      <c r="V70" s="401">
        <v>0.11</v>
      </c>
      <c r="W70" s="401">
        <v>0.1</v>
      </c>
      <c r="X70" s="367"/>
      <c r="Y70" s="166">
        <f>SUM(L70:W70)</f>
        <v>1</v>
      </c>
      <c r="Z70" s="460">
        <v>1.0</v>
      </c>
      <c r="AA70" s="71"/>
      <c r="AB70" s="3"/>
      <c r="AC70" s="3"/>
      <c r="AD70" s="3"/>
      <c r="AE70" s="3"/>
      <c r="AF70" s="3"/>
      <c r="AG70" s="3"/>
      <c r="AH70" s="3"/>
      <c r="AI70" s="3"/>
      <c r="AJ70" s="3"/>
    </row>
    <row r="71" ht="15.75" customHeight="1">
      <c r="A71" s="1"/>
      <c r="B71" s="142"/>
      <c r="C71" s="143"/>
      <c r="D71" s="144"/>
      <c r="E71" s="192"/>
      <c r="F71" s="146"/>
      <c r="G71" s="463"/>
      <c r="H71" s="148"/>
      <c r="I71" s="149"/>
      <c r="J71" s="72" t="s">
        <v>66</v>
      </c>
      <c r="K71" s="400"/>
      <c r="L71" s="91">
        <f t="shared" ref="L71:W71" si="57">($Y$71)*L70</f>
        <v>2400000</v>
      </c>
      <c r="M71" s="91">
        <f t="shared" si="57"/>
        <v>1800000</v>
      </c>
      <c r="N71" s="91">
        <f t="shared" si="57"/>
        <v>2100000</v>
      </c>
      <c r="O71" s="91">
        <f t="shared" si="57"/>
        <v>2100000</v>
      </c>
      <c r="P71" s="91">
        <f t="shared" si="57"/>
        <v>2400000</v>
      </c>
      <c r="Q71" s="91">
        <f t="shared" si="57"/>
        <v>2400000</v>
      </c>
      <c r="R71" s="91">
        <f t="shared" si="57"/>
        <v>2400000</v>
      </c>
      <c r="S71" s="91">
        <f t="shared" si="57"/>
        <v>2400000</v>
      </c>
      <c r="T71" s="91">
        <f t="shared" si="57"/>
        <v>2700000</v>
      </c>
      <c r="U71" s="91">
        <f t="shared" si="57"/>
        <v>3000000</v>
      </c>
      <c r="V71" s="91">
        <f t="shared" si="57"/>
        <v>3300000</v>
      </c>
      <c r="W71" s="91">
        <f t="shared" si="57"/>
        <v>3000000</v>
      </c>
      <c r="X71" s="102"/>
      <c r="Y71" s="168">
        <v>3.0E7</v>
      </c>
      <c r="Z71" s="403">
        <v>3.0E7</v>
      </c>
      <c r="AA71" s="106">
        <f t="shared" ref="AA71:AA73" si="59">Y71/Z71-1</f>
        <v>0</v>
      </c>
      <c r="AB71" s="194">
        <v>0.03</v>
      </c>
      <c r="AC71" s="4">
        <f>Y71+AB71*Y71</f>
        <v>30900000</v>
      </c>
      <c r="AD71" s="3"/>
      <c r="AE71" s="3"/>
      <c r="AF71" s="3"/>
      <c r="AG71" s="3"/>
      <c r="AH71" s="3"/>
      <c r="AI71" s="3"/>
      <c r="AJ71" s="3"/>
    </row>
    <row r="72" ht="15.75" customHeight="1">
      <c r="A72" s="1"/>
      <c r="B72" s="142"/>
      <c r="C72" s="143"/>
      <c r="D72" s="144"/>
      <c r="E72" s="192"/>
      <c r="F72" s="146"/>
      <c r="G72" s="463"/>
      <c r="H72" s="148"/>
      <c r="I72" s="149"/>
      <c r="J72" s="72" t="s">
        <v>67</v>
      </c>
      <c r="K72" s="404">
        <v>100.0</v>
      </c>
      <c r="L72" s="109">
        <f t="shared" ref="L72:W72" si="58">L71/$K$72</f>
        <v>24000</v>
      </c>
      <c r="M72" s="109">
        <f t="shared" si="58"/>
        <v>18000</v>
      </c>
      <c r="N72" s="109">
        <f t="shared" si="58"/>
        <v>21000</v>
      </c>
      <c r="O72" s="109">
        <f t="shared" si="58"/>
        <v>21000</v>
      </c>
      <c r="P72" s="109">
        <f t="shared" si="58"/>
        <v>24000</v>
      </c>
      <c r="Q72" s="109">
        <f t="shared" si="58"/>
        <v>24000</v>
      </c>
      <c r="R72" s="109">
        <f t="shared" si="58"/>
        <v>24000</v>
      </c>
      <c r="S72" s="109">
        <f t="shared" si="58"/>
        <v>24000</v>
      </c>
      <c r="T72" s="109">
        <f t="shared" si="58"/>
        <v>27000</v>
      </c>
      <c r="U72" s="109">
        <f t="shared" si="58"/>
        <v>30000</v>
      </c>
      <c r="V72" s="109">
        <f t="shared" si="58"/>
        <v>33000</v>
      </c>
      <c r="W72" s="109">
        <f t="shared" si="58"/>
        <v>30000</v>
      </c>
      <c r="X72" s="207"/>
      <c r="Y72" s="172">
        <f t="shared" ref="Y72:Y73" si="61">SUM(L72:W72)</f>
        <v>300000</v>
      </c>
      <c r="Z72" s="405">
        <v>299654.49000000005</v>
      </c>
      <c r="AA72" s="106">
        <f t="shared" si="59"/>
        <v>0.001153027942</v>
      </c>
      <c r="AB72" s="3"/>
      <c r="AC72" s="3"/>
      <c r="AD72" s="3"/>
      <c r="AE72" s="3"/>
      <c r="AF72" s="3"/>
      <c r="AG72" s="3"/>
      <c r="AH72" s="3"/>
      <c r="AI72" s="3"/>
      <c r="AJ72" s="3"/>
    </row>
    <row r="73" ht="15.75" customHeight="1">
      <c r="A73" s="1"/>
      <c r="B73" s="142"/>
      <c r="C73" s="143"/>
      <c r="D73" s="144"/>
      <c r="E73" s="192"/>
      <c r="F73" s="146"/>
      <c r="G73" s="463"/>
      <c r="H73" s="148"/>
      <c r="I73" s="149"/>
      <c r="J73" s="124" t="s">
        <v>69</v>
      </c>
      <c r="K73" s="406">
        <v>0.06</v>
      </c>
      <c r="L73" s="127">
        <f t="shared" ref="L73:W73" si="60">IF(L71*$K$73&lt;100000,0,L71*$K$73)</f>
        <v>144000</v>
      </c>
      <c r="M73" s="127">
        <f t="shared" si="60"/>
        <v>108000</v>
      </c>
      <c r="N73" s="127">
        <f t="shared" si="60"/>
        <v>126000</v>
      </c>
      <c r="O73" s="127">
        <f t="shared" si="60"/>
        <v>126000</v>
      </c>
      <c r="P73" s="127">
        <f t="shared" si="60"/>
        <v>144000</v>
      </c>
      <c r="Q73" s="127">
        <f t="shared" si="60"/>
        <v>144000</v>
      </c>
      <c r="R73" s="127">
        <f t="shared" si="60"/>
        <v>144000</v>
      </c>
      <c r="S73" s="127">
        <f t="shared" si="60"/>
        <v>144000</v>
      </c>
      <c r="T73" s="127">
        <f t="shared" si="60"/>
        <v>162000</v>
      </c>
      <c r="U73" s="127">
        <f t="shared" si="60"/>
        <v>180000</v>
      </c>
      <c r="V73" s="127">
        <f t="shared" si="60"/>
        <v>198000</v>
      </c>
      <c r="W73" s="127">
        <f t="shared" si="60"/>
        <v>180000</v>
      </c>
      <c r="X73" s="213"/>
      <c r="Y73" s="181">
        <f t="shared" si="61"/>
        <v>1800000</v>
      </c>
      <c r="Z73" s="407">
        <v>2057272.5966000003</v>
      </c>
      <c r="AA73" s="106">
        <f t="shared" si="59"/>
        <v>-0.1250551808</v>
      </c>
      <c r="AB73" s="3"/>
      <c r="AC73" s="3"/>
      <c r="AD73" s="3"/>
      <c r="AE73" s="3"/>
      <c r="AF73" s="3"/>
      <c r="AG73" s="3"/>
      <c r="AH73" s="3"/>
      <c r="AI73" s="3"/>
      <c r="AJ73" s="3"/>
    </row>
    <row r="74" ht="15.75" customHeight="1">
      <c r="A74" s="1"/>
      <c r="B74" s="142"/>
      <c r="C74" s="143"/>
      <c r="D74" s="144"/>
      <c r="E74" s="192"/>
      <c r="F74" s="146"/>
      <c r="G74" s="463"/>
      <c r="H74" s="148"/>
      <c r="I74" s="149"/>
      <c r="J74" s="474"/>
      <c r="K74" s="238"/>
      <c r="L74" s="3"/>
      <c r="M74" s="3"/>
      <c r="N74" s="3"/>
      <c r="O74" s="3"/>
      <c r="P74" s="3"/>
      <c r="Q74" s="214"/>
      <c r="R74" s="3"/>
      <c r="S74" s="3"/>
      <c r="T74" s="3"/>
      <c r="U74" s="3"/>
      <c r="V74" s="3"/>
      <c r="W74" s="3"/>
      <c r="X74" s="3"/>
      <c r="Y74" s="3"/>
      <c r="Z74" s="3"/>
      <c r="AA74" s="3"/>
      <c r="AB74" s="3"/>
      <c r="AC74" s="3"/>
      <c r="AD74" s="3"/>
      <c r="AE74" s="3"/>
      <c r="AF74" s="3"/>
      <c r="AG74" s="3"/>
      <c r="AH74" s="3"/>
      <c r="AI74" s="3"/>
      <c r="AJ74" s="3"/>
    </row>
    <row r="75" ht="15.75" customHeight="1">
      <c r="A75" s="1"/>
      <c r="B75" s="142">
        <v>13.0</v>
      </c>
      <c r="C75" s="466" t="s">
        <v>98</v>
      </c>
      <c r="D75" s="232"/>
      <c r="E75" s="233"/>
      <c r="F75" s="234"/>
      <c r="G75" s="475">
        <v>12323.000000000002</v>
      </c>
      <c r="H75" s="235">
        <v>52.0</v>
      </c>
      <c r="I75" s="236">
        <v>236.98076923076925</v>
      </c>
      <c r="J75" s="459" t="s">
        <v>98</v>
      </c>
      <c r="K75" s="395"/>
      <c r="L75" s="397" t="s">
        <v>10</v>
      </c>
      <c r="M75" s="398" t="s">
        <v>14</v>
      </c>
      <c r="N75" s="397" t="s">
        <v>18</v>
      </c>
      <c r="O75" s="398" t="s">
        <v>22</v>
      </c>
      <c r="P75" s="397" t="s">
        <v>26</v>
      </c>
      <c r="Q75" s="398" t="s">
        <v>30</v>
      </c>
      <c r="R75" s="397" t="s">
        <v>34</v>
      </c>
      <c r="S75" s="398" t="s">
        <v>38</v>
      </c>
      <c r="T75" s="397" t="s">
        <v>42</v>
      </c>
      <c r="U75" s="398" t="s">
        <v>46</v>
      </c>
      <c r="V75" s="397" t="s">
        <v>50</v>
      </c>
      <c r="W75" s="398" t="s">
        <v>54</v>
      </c>
      <c r="X75" s="378"/>
      <c r="Y75" s="364">
        <v>2027.0</v>
      </c>
      <c r="Z75" s="399">
        <v>2026.0</v>
      </c>
      <c r="AA75" s="53"/>
      <c r="AB75" s="3"/>
      <c r="AC75" s="3"/>
      <c r="AD75" s="3"/>
      <c r="AE75" s="3"/>
      <c r="AF75" s="3"/>
      <c r="AG75" s="3"/>
      <c r="AH75" s="3"/>
      <c r="AI75" s="3"/>
      <c r="AJ75" s="3"/>
    </row>
    <row r="76" ht="15.75" customHeight="1">
      <c r="A76" s="1"/>
      <c r="B76" s="142"/>
      <c r="C76" s="143"/>
      <c r="D76" s="144"/>
      <c r="E76" s="192"/>
      <c r="F76" s="146"/>
      <c r="G76" s="463"/>
      <c r="H76" s="148"/>
      <c r="I76" s="149"/>
      <c r="J76" s="72" t="s">
        <v>64</v>
      </c>
      <c r="K76" s="400"/>
      <c r="L76" s="401">
        <v>0.07</v>
      </c>
      <c r="M76" s="401">
        <v>0.06</v>
      </c>
      <c r="N76" s="401">
        <v>0.07</v>
      </c>
      <c r="O76" s="401">
        <v>0.07</v>
      </c>
      <c r="P76" s="401">
        <v>0.08</v>
      </c>
      <c r="Q76" s="401">
        <v>0.06</v>
      </c>
      <c r="R76" s="401">
        <v>0.06</v>
      </c>
      <c r="S76" s="401">
        <v>0.07</v>
      </c>
      <c r="T76" s="401">
        <v>0.08</v>
      </c>
      <c r="U76" s="401">
        <v>0.09</v>
      </c>
      <c r="V76" s="401">
        <v>0.11</v>
      </c>
      <c r="W76" s="401">
        <v>0.18</v>
      </c>
      <c r="X76" s="367"/>
      <c r="Y76" s="166">
        <f>SUM(L76:W76)</f>
        <v>1</v>
      </c>
      <c r="Z76" s="460">
        <v>1.0</v>
      </c>
      <c r="AA76" s="71"/>
      <c r="AB76" s="3"/>
      <c r="AC76" s="3"/>
      <c r="AD76" s="3"/>
      <c r="AE76" s="3"/>
      <c r="AF76" s="3"/>
      <c r="AG76" s="3"/>
      <c r="AH76" s="3"/>
      <c r="AI76" s="3"/>
      <c r="AJ76" s="3"/>
    </row>
    <row r="77" ht="15.75" customHeight="1">
      <c r="A77" s="1"/>
      <c r="B77" s="142"/>
      <c r="C77" s="143"/>
      <c r="D77" s="144"/>
      <c r="E77" s="192"/>
      <c r="F77" s="146"/>
      <c r="G77" s="463"/>
      <c r="H77" s="148"/>
      <c r="I77" s="149"/>
      <c r="J77" s="72" t="s">
        <v>66</v>
      </c>
      <c r="K77" s="400"/>
      <c r="L77" s="91">
        <f t="shared" ref="L77:W77" si="62">($Y$77)*L76</f>
        <v>2800</v>
      </c>
      <c r="M77" s="91">
        <f t="shared" si="62"/>
        <v>2400</v>
      </c>
      <c r="N77" s="91">
        <f t="shared" si="62"/>
        <v>2800</v>
      </c>
      <c r="O77" s="91">
        <f t="shared" si="62"/>
        <v>2800</v>
      </c>
      <c r="P77" s="91">
        <f t="shared" si="62"/>
        <v>3200</v>
      </c>
      <c r="Q77" s="91">
        <f t="shared" si="62"/>
        <v>2400</v>
      </c>
      <c r="R77" s="91">
        <f t="shared" si="62"/>
        <v>2400</v>
      </c>
      <c r="S77" s="91">
        <f t="shared" si="62"/>
        <v>2800</v>
      </c>
      <c r="T77" s="91">
        <f t="shared" si="62"/>
        <v>3200</v>
      </c>
      <c r="U77" s="91">
        <f t="shared" si="62"/>
        <v>3600</v>
      </c>
      <c r="V77" s="91">
        <f t="shared" si="62"/>
        <v>4400</v>
      </c>
      <c r="W77" s="91">
        <f t="shared" si="62"/>
        <v>7200</v>
      </c>
      <c r="X77" s="102"/>
      <c r="Y77" s="168">
        <v>40000.0</v>
      </c>
      <c r="Z77" s="403">
        <v>35000.0</v>
      </c>
      <c r="AA77" s="106">
        <f t="shared" ref="AA77:AA79" si="64">Y77/Z77-1</f>
        <v>0.1428571429</v>
      </c>
      <c r="AB77" s="194">
        <v>0.03</v>
      </c>
      <c r="AC77" s="4">
        <f>Y77+AB77*Y77</f>
        <v>41200</v>
      </c>
      <c r="AD77" s="3"/>
      <c r="AE77" s="3"/>
      <c r="AF77" s="3"/>
      <c r="AG77" s="3"/>
      <c r="AH77" s="3"/>
      <c r="AI77" s="3"/>
      <c r="AJ77" s="3"/>
    </row>
    <row r="78" ht="15.75" customHeight="1">
      <c r="A78" s="1"/>
      <c r="B78" s="142"/>
      <c r="C78" s="143"/>
      <c r="D78" s="144"/>
      <c r="E78" s="192"/>
      <c r="F78" s="146"/>
      <c r="G78" s="463"/>
      <c r="H78" s="148"/>
      <c r="I78" s="149"/>
      <c r="J78" s="72" t="s">
        <v>67</v>
      </c>
      <c r="K78" s="404">
        <v>115.0</v>
      </c>
      <c r="L78" s="109">
        <f t="shared" ref="L78:W78" si="63">L77/$K$78</f>
        <v>24.34782609</v>
      </c>
      <c r="M78" s="109">
        <f t="shared" si="63"/>
        <v>20.86956522</v>
      </c>
      <c r="N78" s="109">
        <f t="shared" si="63"/>
        <v>24.34782609</v>
      </c>
      <c r="O78" s="109">
        <f t="shared" si="63"/>
        <v>24.34782609</v>
      </c>
      <c r="P78" s="109">
        <f t="shared" si="63"/>
        <v>27.82608696</v>
      </c>
      <c r="Q78" s="109">
        <f t="shared" si="63"/>
        <v>20.86956522</v>
      </c>
      <c r="R78" s="109">
        <f t="shared" si="63"/>
        <v>20.86956522</v>
      </c>
      <c r="S78" s="109">
        <f t="shared" si="63"/>
        <v>24.34782609</v>
      </c>
      <c r="T78" s="109">
        <f t="shared" si="63"/>
        <v>27.82608696</v>
      </c>
      <c r="U78" s="109">
        <f t="shared" si="63"/>
        <v>31.30434783</v>
      </c>
      <c r="V78" s="109">
        <f t="shared" si="63"/>
        <v>38.26086957</v>
      </c>
      <c r="W78" s="109">
        <f t="shared" si="63"/>
        <v>62.60869565</v>
      </c>
      <c r="X78" s="207"/>
      <c r="Y78" s="172">
        <f t="shared" ref="Y78:Y79" si="66">SUM(L78:W78)</f>
        <v>347.826087</v>
      </c>
      <c r="Z78" s="405">
        <v>304.3478260869565</v>
      </c>
      <c r="AA78" s="106">
        <f t="shared" si="64"/>
        <v>0.1428571429</v>
      </c>
      <c r="AB78" s="3"/>
      <c r="AC78" s="3"/>
      <c r="AD78" s="3"/>
      <c r="AE78" s="3"/>
      <c r="AF78" s="3"/>
      <c r="AG78" s="3"/>
      <c r="AH78" s="3"/>
      <c r="AI78" s="3"/>
      <c r="AJ78" s="3"/>
    </row>
    <row r="79" ht="15.75" customHeight="1">
      <c r="A79" s="1"/>
      <c r="B79" s="142"/>
      <c r="C79" s="143"/>
      <c r="D79" s="144"/>
      <c r="E79" s="192"/>
      <c r="F79" s="146"/>
      <c r="G79" s="463"/>
      <c r="H79" s="148"/>
      <c r="I79" s="149"/>
      <c r="J79" s="124" t="s">
        <v>69</v>
      </c>
      <c r="K79" s="412">
        <v>199.0</v>
      </c>
      <c r="L79" s="127">
        <f t="shared" ref="L79:W79" si="65">K79*1</f>
        <v>199</v>
      </c>
      <c r="M79" s="127">
        <f t="shared" si="65"/>
        <v>199</v>
      </c>
      <c r="N79" s="127">
        <f t="shared" si="65"/>
        <v>199</v>
      </c>
      <c r="O79" s="127">
        <f t="shared" si="65"/>
        <v>199</v>
      </c>
      <c r="P79" s="127">
        <f t="shared" si="65"/>
        <v>199</v>
      </c>
      <c r="Q79" s="127">
        <f t="shared" si="65"/>
        <v>199</v>
      </c>
      <c r="R79" s="127">
        <f t="shared" si="65"/>
        <v>199</v>
      </c>
      <c r="S79" s="127">
        <f t="shared" si="65"/>
        <v>199</v>
      </c>
      <c r="T79" s="127">
        <f t="shared" si="65"/>
        <v>199</v>
      </c>
      <c r="U79" s="127">
        <f t="shared" si="65"/>
        <v>199</v>
      </c>
      <c r="V79" s="127">
        <f t="shared" si="65"/>
        <v>199</v>
      </c>
      <c r="W79" s="127">
        <f t="shared" si="65"/>
        <v>199</v>
      </c>
      <c r="X79" s="213"/>
      <c r="Y79" s="181">
        <f t="shared" si="66"/>
        <v>2388</v>
      </c>
      <c r="Z79" s="407">
        <v>2388.0</v>
      </c>
      <c r="AA79" s="106">
        <f t="shared" si="64"/>
        <v>0</v>
      </c>
      <c r="AB79" s="3"/>
      <c r="AC79" s="3"/>
      <c r="AD79" s="3"/>
      <c r="AE79" s="3"/>
      <c r="AF79" s="3"/>
      <c r="AG79" s="3"/>
      <c r="AH79" s="3"/>
      <c r="AI79" s="3"/>
      <c r="AJ79" s="3"/>
    </row>
    <row r="80" ht="15.75" customHeight="1">
      <c r="A80" s="1"/>
      <c r="B80" s="142"/>
      <c r="C80" s="143"/>
      <c r="D80" s="144"/>
      <c r="E80" s="192"/>
      <c r="F80" s="146"/>
      <c r="G80" s="463"/>
      <c r="H80" s="148"/>
      <c r="I80" s="149"/>
      <c r="J80" s="8"/>
      <c r="K80" s="9"/>
      <c r="L80" s="222"/>
      <c r="M80" s="222"/>
      <c r="N80" s="222"/>
      <c r="O80" s="222"/>
      <c r="P80" s="222"/>
      <c r="Q80" s="214"/>
      <c r="R80" s="222">
        <v>15.0</v>
      </c>
      <c r="S80" s="222">
        <v>25.0</v>
      </c>
      <c r="T80" s="222"/>
      <c r="U80" s="222"/>
      <c r="V80" s="222"/>
      <c r="W80" s="222"/>
      <c r="X80" s="222"/>
      <c r="Y80" s="222"/>
      <c r="Z80" s="222"/>
      <c r="AA80" s="222"/>
      <c r="AB80" s="185"/>
      <c r="AC80" s="185"/>
      <c r="AD80" s="185"/>
      <c r="AE80" s="185"/>
      <c r="AF80" s="3"/>
      <c r="AG80" s="3"/>
      <c r="AH80" s="3"/>
      <c r="AI80" s="3"/>
      <c r="AJ80" s="3"/>
    </row>
    <row r="81" ht="15.75" customHeight="1">
      <c r="A81" s="1"/>
      <c r="B81" s="142">
        <v>14.0</v>
      </c>
      <c r="C81" s="466" t="s">
        <v>99</v>
      </c>
      <c r="D81" s="232">
        <f>200000*12</f>
        <v>2400000</v>
      </c>
      <c r="E81" s="233">
        <v>50.0</v>
      </c>
      <c r="F81" s="234">
        <f>E81*D81</f>
        <v>120000000</v>
      </c>
      <c r="G81" s="475" t="s">
        <v>63</v>
      </c>
      <c r="H81" s="235" t="s">
        <v>63</v>
      </c>
      <c r="I81" s="236" t="s">
        <v>63</v>
      </c>
      <c r="J81" s="459" t="s">
        <v>100</v>
      </c>
      <c r="K81" s="395"/>
      <c r="L81" s="397" t="s">
        <v>10</v>
      </c>
      <c r="M81" s="398" t="s">
        <v>14</v>
      </c>
      <c r="N81" s="397" t="s">
        <v>18</v>
      </c>
      <c r="O81" s="398" t="s">
        <v>22</v>
      </c>
      <c r="P81" s="397" t="s">
        <v>26</v>
      </c>
      <c r="Q81" s="398" t="s">
        <v>30</v>
      </c>
      <c r="R81" s="397" t="s">
        <v>34</v>
      </c>
      <c r="S81" s="398" t="s">
        <v>38</v>
      </c>
      <c r="T81" s="397" t="s">
        <v>42</v>
      </c>
      <c r="U81" s="398" t="s">
        <v>46</v>
      </c>
      <c r="V81" s="397" t="s">
        <v>50</v>
      </c>
      <c r="W81" s="398" t="s">
        <v>54</v>
      </c>
      <c r="X81" s="378"/>
      <c r="Y81" s="364">
        <v>2027.0</v>
      </c>
      <c r="Z81" s="399">
        <v>2026.0</v>
      </c>
      <c r="AA81" s="53"/>
      <c r="AB81" s="3"/>
      <c r="AC81" s="3"/>
      <c r="AD81" s="3"/>
      <c r="AE81" s="3"/>
      <c r="AF81" s="3"/>
      <c r="AG81" s="3"/>
      <c r="AH81" s="3"/>
      <c r="AI81" s="3"/>
      <c r="AJ81" s="3"/>
    </row>
    <row r="82" ht="15.75" customHeight="1">
      <c r="A82" s="1"/>
      <c r="B82" s="142"/>
      <c r="C82" s="143"/>
      <c r="D82" s="144"/>
      <c r="E82" s="192"/>
      <c r="F82" s="146"/>
      <c r="G82" s="463"/>
      <c r="H82" s="148"/>
      <c r="I82" s="149"/>
      <c r="J82" s="72" t="s">
        <v>64</v>
      </c>
      <c r="K82" s="400"/>
      <c r="L82" s="401">
        <v>0.02</v>
      </c>
      <c r="M82" s="401">
        <v>0.02</v>
      </c>
      <c r="N82" s="401">
        <v>0.04</v>
      </c>
      <c r="O82" s="401">
        <v>0.05</v>
      </c>
      <c r="P82" s="401">
        <v>0.06</v>
      </c>
      <c r="Q82" s="401">
        <v>0.07</v>
      </c>
      <c r="R82" s="401">
        <v>0.08</v>
      </c>
      <c r="S82" s="401">
        <v>0.09</v>
      </c>
      <c r="T82" s="401">
        <v>0.12</v>
      </c>
      <c r="U82" s="401">
        <v>0.14</v>
      </c>
      <c r="V82" s="401">
        <v>0.15</v>
      </c>
      <c r="W82" s="401">
        <v>0.16</v>
      </c>
      <c r="X82" s="367"/>
      <c r="Y82" s="166">
        <f>SUM(L82:W82)</f>
        <v>1</v>
      </c>
      <c r="Z82" s="460">
        <v>1.0</v>
      </c>
      <c r="AA82" s="71"/>
      <c r="AB82" s="3"/>
      <c r="AC82" s="3"/>
      <c r="AD82" s="3"/>
      <c r="AE82" s="3"/>
      <c r="AF82" s="3"/>
      <c r="AG82" s="3"/>
      <c r="AH82" s="3"/>
      <c r="AI82" s="3"/>
      <c r="AJ82" s="3"/>
    </row>
    <row r="83" ht="15.75" customHeight="1">
      <c r="A83" s="1"/>
      <c r="B83" s="142"/>
      <c r="C83" s="143"/>
      <c r="D83" s="144"/>
      <c r="E83" s="192"/>
      <c r="F83" s="146"/>
      <c r="G83" s="463"/>
      <c r="H83" s="148"/>
      <c r="I83" s="149"/>
      <c r="J83" s="72" t="s">
        <v>66</v>
      </c>
      <c r="K83" s="400"/>
      <c r="L83" s="91">
        <f t="shared" ref="L83:W83" si="67">($Y$83)*L82</f>
        <v>120000</v>
      </c>
      <c r="M83" s="91">
        <f t="shared" si="67"/>
        <v>120000</v>
      </c>
      <c r="N83" s="91">
        <f t="shared" si="67"/>
        <v>240000</v>
      </c>
      <c r="O83" s="91">
        <f t="shared" si="67"/>
        <v>300000</v>
      </c>
      <c r="P83" s="91">
        <f t="shared" si="67"/>
        <v>360000</v>
      </c>
      <c r="Q83" s="91">
        <f t="shared" si="67"/>
        <v>420000</v>
      </c>
      <c r="R83" s="91">
        <f t="shared" si="67"/>
        <v>480000</v>
      </c>
      <c r="S83" s="91">
        <f t="shared" si="67"/>
        <v>540000</v>
      </c>
      <c r="T83" s="91">
        <f t="shared" si="67"/>
        <v>720000</v>
      </c>
      <c r="U83" s="91">
        <f t="shared" si="67"/>
        <v>840000</v>
      </c>
      <c r="V83" s="91">
        <f t="shared" si="67"/>
        <v>900000</v>
      </c>
      <c r="W83" s="91">
        <f t="shared" si="67"/>
        <v>960000</v>
      </c>
      <c r="X83" s="102"/>
      <c r="Y83" s="168">
        <v>6000000.0</v>
      </c>
      <c r="Z83" s="403">
        <v>700000.0</v>
      </c>
      <c r="AA83" s="106">
        <f t="shared" ref="AA83:AA85" si="69">Y83/Z83-1</f>
        <v>7.571428571</v>
      </c>
      <c r="AB83" s="194">
        <v>0.1</v>
      </c>
      <c r="AC83" s="4">
        <f>Y83+AB83*Y83</f>
        <v>6600000</v>
      </c>
      <c r="AD83" s="3"/>
      <c r="AE83" s="3"/>
      <c r="AF83" s="3"/>
      <c r="AG83" s="3"/>
      <c r="AH83" s="3"/>
      <c r="AI83" s="3"/>
      <c r="AJ83" s="3"/>
    </row>
    <row r="84" ht="15.75" customHeight="1">
      <c r="A84" s="1"/>
      <c r="B84" s="142"/>
      <c r="C84" s="143"/>
      <c r="D84" s="144"/>
      <c r="E84" s="192"/>
      <c r="F84" s="146"/>
      <c r="G84" s="463"/>
      <c r="H84" s="148"/>
      <c r="I84" s="149"/>
      <c r="J84" s="72" t="s">
        <v>67</v>
      </c>
      <c r="K84" s="404">
        <v>50.0</v>
      </c>
      <c r="L84" s="109">
        <f t="shared" ref="L84:W84" si="68">L83/$K$84</f>
        <v>2400</v>
      </c>
      <c r="M84" s="109">
        <f t="shared" si="68"/>
        <v>2400</v>
      </c>
      <c r="N84" s="109">
        <f t="shared" si="68"/>
        <v>4800</v>
      </c>
      <c r="O84" s="109">
        <f t="shared" si="68"/>
        <v>6000</v>
      </c>
      <c r="P84" s="109">
        <f t="shared" si="68"/>
        <v>7200</v>
      </c>
      <c r="Q84" s="109">
        <f t="shared" si="68"/>
        <v>8400</v>
      </c>
      <c r="R84" s="109">
        <f t="shared" si="68"/>
        <v>9600</v>
      </c>
      <c r="S84" s="109">
        <f t="shared" si="68"/>
        <v>10800</v>
      </c>
      <c r="T84" s="109">
        <f t="shared" si="68"/>
        <v>14400</v>
      </c>
      <c r="U84" s="109">
        <f t="shared" si="68"/>
        <v>16800</v>
      </c>
      <c r="V84" s="109">
        <f t="shared" si="68"/>
        <v>18000</v>
      </c>
      <c r="W84" s="109">
        <f t="shared" si="68"/>
        <v>19200</v>
      </c>
      <c r="X84" s="207"/>
      <c r="Y84" s="172">
        <f t="shared" ref="Y84:Y85" si="71">SUM(L84:W84)</f>
        <v>120000</v>
      </c>
      <c r="Z84" s="405">
        <v>14000.0</v>
      </c>
      <c r="AA84" s="106">
        <f t="shared" si="69"/>
        <v>7.571428571</v>
      </c>
      <c r="AB84" s="3"/>
      <c r="AC84" s="3"/>
      <c r="AD84" s="3"/>
      <c r="AE84" s="3"/>
      <c r="AF84" s="3"/>
      <c r="AG84" s="3"/>
      <c r="AH84" s="3"/>
      <c r="AI84" s="3"/>
      <c r="AJ84" s="3"/>
    </row>
    <row r="85" ht="15.75" customHeight="1">
      <c r="A85" s="1"/>
      <c r="B85" s="142"/>
      <c r="C85" s="143"/>
      <c r="D85" s="144"/>
      <c r="E85" s="192"/>
      <c r="F85" s="146"/>
      <c r="G85" s="463"/>
      <c r="H85" s="148"/>
      <c r="I85" s="149"/>
      <c r="J85" s="124" t="s">
        <v>69</v>
      </c>
      <c r="K85" s="406">
        <v>0.02</v>
      </c>
      <c r="L85" s="127">
        <f t="shared" ref="L85:W85" si="70">IF(L84=0, 0, (L83/L84) * (
  MIN(L84, 50000) * 0.02 +
  MAX(0, MIN(L84, 100000) - 50000) * 0.015 +
  MAX(0, L84 - 100000) * 0.01
))</f>
        <v>2400</v>
      </c>
      <c r="M85" s="127">
        <f t="shared" si="70"/>
        <v>2400</v>
      </c>
      <c r="N85" s="127">
        <f t="shared" si="70"/>
        <v>4800</v>
      </c>
      <c r="O85" s="127">
        <f t="shared" si="70"/>
        <v>6000</v>
      </c>
      <c r="P85" s="127">
        <f t="shared" si="70"/>
        <v>7200</v>
      </c>
      <c r="Q85" s="127">
        <f t="shared" si="70"/>
        <v>8400</v>
      </c>
      <c r="R85" s="127">
        <f t="shared" si="70"/>
        <v>9600</v>
      </c>
      <c r="S85" s="127">
        <f t="shared" si="70"/>
        <v>10800</v>
      </c>
      <c r="T85" s="127">
        <f t="shared" si="70"/>
        <v>14400</v>
      </c>
      <c r="U85" s="127">
        <f t="shared" si="70"/>
        <v>16800</v>
      </c>
      <c r="V85" s="127">
        <f t="shared" si="70"/>
        <v>18000</v>
      </c>
      <c r="W85" s="127">
        <f t="shared" si="70"/>
        <v>19200</v>
      </c>
      <c r="X85" s="213"/>
      <c r="Y85" s="181">
        <f t="shared" si="71"/>
        <v>120000</v>
      </c>
      <c r="Z85" s="407">
        <v>14000.0</v>
      </c>
      <c r="AA85" s="106">
        <f t="shared" si="69"/>
        <v>7.571428571</v>
      </c>
      <c r="AB85" s="3"/>
      <c r="AC85" s="3"/>
      <c r="AD85" s="3"/>
      <c r="AE85" s="3"/>
      <c r="AF85" s="3"/>
      <c r="AG85" s="3"/>
      <c r="AH85" s="3"/>
      <c r="AI85" s="3"/>
      <c r="AJ85" s="3"/>
    </row>
    <row r="86" ht="15.75" customHeight="1">
      <c r="A86" s="1"/>
      <c r="B86" s="142"/>
      <c r="C86" s="143"/>
      <c r="D86" s="144"/>
      <c r="E86" s="192"/>
      <c r="F86" s="146"/>
      <c r="G86" s="463"/>
      <c r="H86" s="148"/>
      <c r="I86" s="149"/>
      <c r="J86" s="8"/>
      <c r="K86" s="9"/>
      <c r="L86" s="185"/>
      <c r="M86" s="185"/>
      <c r="N86" s="185"/>
      <c r="O86" s="185"/>
      <c r="P86" s="185"/>
      <c r="Q86" s="214"/>
      <c r="R86" s="185"/>
      <c r="S86" s="185"/>
      <c r="T86" s="185"/>
      <c r="U86" s="185"/>
      <c r="V86" s="185"/>
      <c r="W86" s="185"/>
      <c r="X86" s="185"/>
      <c r="Y86" s="185"/>
      <c r="Z86" s="185"/>
      <c r="AA86" s="185"/>
      <c r="AB86" s="185"/>
      <c r="AC86" s="185"/>
      <c r="AD86" s="185"/>
      <c r="AE86" s="185"/>
      <c r="AF86" s="185"/>
      <c r="AG86" s="185"/>
      <c r="AH86" s="185"/>
      <c r="AI86" s="185"/>
      <c r="AJ86" s="185"/>
    </row>
    <row r="87" ht="15.75" customHeight="1">
      <c r="A87" s="1"/>
      <c r="B87" s="142">
        <v>15.0</v>
      </c>
      <c r="C87" s="466" t="s">
        <v>101</v>
      </c>
      <c r="D87" s="144">
        <f>3500*4*12</f>
        <v>168000</v>
      </c>
      <c r="E87" s="192">
        <v>40.0</v>
      </c>
      <c r="F87" s="146">
        <f>E87*D87</f>
        <v>6720000</v>
      </c>
      <c r="G87" s="463">
        <v>9704.999999999982</v>
      </c>
      <c r="H87" s="148">
        <v>519.0</v>
      </c>
      <c r="I87" s="149">
        <v>18.699421965317885</v>
      </c>
      <c r="J87" s="468" t="s">
        <v>102</v>
      </c>
      <c r="K87" s="395"/>
      <c r="L87" s="397" t="s">
        <v>10</v>
      </c>
      <c r="M87" s="398" t="s">
        <v>14</v>
      </c>
      <c r="N87" s="397" t="s">
        <v>18</v>
      </c>
      <c r="O87" s="398" t="s">
        <v>22</v>
      </c>
      <c r="P87" s="397" t="s">
        <v>26</v>
      </c>
      <c r="Q87" s="398" t="s">
        <v>30</v>
      </c>
      <c r="R87" s="397" t="s">
        <v>34</v>
      </c>
      <c r="S87" s="398" t="s">
        <v>38</v>
      </c>
      <c r="T87" s="397" t="s">
        <v>42</v>
      </c>
      <c r="U87" s="398" t="s">
        <v>46</v>
      </c>
      <c r="V87" s="397" t="s">
        <v>50</v>
      </c>
      <c r="W87" s="398" t="s">
        <v>54</v>
      </c>
      <c r="X87" s="378"/>
      <c r="Y87" s="364">
        <v>2027.0</v>
      </c>
      <c r="Z87" s="399">
        <v>2026.0</v>
      </c>
      <c r="AA87" s="53"/>
      <c r="AB87" s="3"/>
      <c r="AC87" s="3"/>
      <c r="AD87" s="3"/>
      <c r="AE87" s="3"/>
      <c r="AF87" s="3"/>
      <c r="AG87" s="3"/>
      <c r="AH87" s="3"/>
      <c r="AI87" s="3"/>
      <c r="AJ87" s="3"/>
    </row>
    <row r="88" ht="15.75" customHeight="1">
      <c r="A88" s="1"/>
      <c r="B88" s="142"/>
      <c r="C88" s="143"/>
      <c r="D88" s="144"/>
      <c r="E88" s="192"/>
      <c r="F88" s="146"/>
      <c r="G88" s="463"/>
      <c r="H88" s="148"/>
      <c r="I88" s="149"/>
      <c r="J88" s="72" t="s">
        <v>64</v>
      </c>
      <c r="K88" s="400"/>
      <c r="L88" s="401">
        <v>0.08</v>
      </c>
      <c r="M88" s="401">
        <v>0.06</v>
      </c>
      <c r="N88" s="401">
        <v>0.07</v>
      </c>
      <c r="O88" s="401">
        <v>0.07</v>
      </c>
      <c r="P88" s="401">
        <v>0.08</v>
      </c>
      <c r="Q88" s="401">
        <v>0.08</v>
      </c>
      <c r="R88" s="401">
        <v>0.08</v>
      </c>
      <c r="S88" s="401">
        <v>0.08</v>
      </c>
      <c r="T88" s="401">
        <v>0.09</v>
      </c>
      <c r="U88" s="401">
        <v>0.1</v>
      </c>
      <c r="V88" s="401">
        <v>0.11</v>
      </c>
      <c r="W88" s="401">
        <v>0.1</v>
      </c>
      <c r="X88" s="367"/>
      <c r="Y88" s="166">
        <f>SUM(L88:W88)</f>
        <v>1</v>
      </c>
      <c r="Z88" s="460">
        <v>1.0</v>
      </c>
      <c r="AA88" s="71"/>
      <c r="AB88" s="3"/>
      <c r="AC88" s="3"/>
      <c r="AD88" s="3"/>
      <c r="AE88" s="3"/>
      <c r="AF88" s="3"/>
      <c r="AG88" s="3"/>
      <c r="AH88" s="3"/>
      <c r="AI88" s="3"/>
      <c r="AJ88" s="3"/>
    </row>
    <row r="89" ht="15.75" customHeight="1">
      <c r="A89" s="1"/>
      <c r="B89" s="142"/>
      <c r="C89" s="143"/>
      <c r="D89" s="144"/>
      <c r="E89" s="192"/>
      <c r="F89" s="146"/>
      <c r="G89" s="463"/>
      <c r="H89" s="148"/>
      <c r="I89" s="149"/>
      <c r="J89" s="72" t="s">
        <v>66</v>
      </c>
      <c r="K89" s="400"/>
      <c r="L89" s="91">
        <f t="shared" ref="L89:W89" si="72">($Y$89)*L88</f>
        <v>13200</v>
      </c>
      <c r="M89" s="91">
        <f t="shared" si="72"/>
        <v>9900</v>
      </c>
      <c r="N89" s="91">
        <f t="shared" si="72"/>
        <v>11550</v>
      </c>
      <c r="O89" s="91">
        <f t="shared" si="72"/>
        <v>11550</v>
      </c>
      <c r="P89" s="91">
        <f t="shared" si="72"/>
        <v>13200</v>
      </c>
      <c r="Q89" s="91">
        <f t="shared" si="72"/>
        <v>13200</v>
      </c>
      <c r="R89" s="91">
        <f t="shared" si="72"/>
        <v>13200</v>
      </c>
      <c r="S89" s="91">
        <f t="shared" si="72"/>
        <v>13200</v>
      </c>
      <c r="T89" s="91">
        <f t="shared" si="72"/>
        <v>14850</v>
      </c>
      <c r="U89" s="91">
        <f t="shared" si="72"/>
        <v>16500</v>
      </c>
      <c r="V89" s="91">
        <f t="shared" si="72"/>
        <v>18150</v>
      </c>
      <c r="W89" s="91">
        <f t="shared" si="72"/>
        <v>16500</v>
      </c>
      <c r="X89" s="102"/>
      <c r="Y89" s="168">
        <v>165000.0</v>
      </c>
      <c r="Z89" s="403">
        <v>150000.0</v>
      </c>
      <c r="AA89" s="106">
        <f t="shared" ref="AA89:AA91" si="74">Y89/Z89-1</f>
        <v>0.1</v>
      </c>
      <c r="AB89" s="194">
        <v>0.1</v>
      </c>
      <c r="AC89" s="4">
        <f>Y89+AB89*Y89</f>
        <v>181500</v>
      </c>
      <c r="AD89" s="3"/>
      <c r="AE89" s="3"/>
      <c r="AF89" s="3"/>
      <c r="AG89" s="3"/>
      <c r="AH89" s="3"/>
      <c r="AI89" s="3"/>
      <c r="AJ89" s="3"/>
    </row>
    <row r="90" ht="15.75" customHeight="1">
      <c r="A90" s="1"/>
      <c r="B90" s="142"/>
      <c r="C90" s="143"/>
      <c r="D90" s="144"/>
      <c r="E90" s="192"/>
      <c r="F90" s="146"/>
      <c r="G90" s="463"/>
      <c r="H90" s="148"/>
      <c r="I90" s="149"/>
      <c r="J90" s="72" t="s">
        <v>67</v>
      </c>
      <c r="K90" s="404">
        <v>30.0</v>
      </c>
      <c r="L90" s="109">
        <f t="shared" ref="L90:W90" si="73">L89/$K$90</f>
        <v>440</v>
      </c>
      <c r="M90" s="109">
        <f t="shared" si="73"/>
        <v>330</v>
      </c>
      <c r="N90" s="109">
        <f t="shared" si="73"/>
        <v>385</v>
      </c>
      <c r="O90" s="109">
        <f t="shared" si="73"/>
        <v>385</v>
      </c>
      <c r="P90" s="109">
        <f t="shared" si="73"/>
        <v>440</v>
      </c>
      <c r="Q90" s="109">
        <f t="shared" si="73"/>
        <v>440</v>
      </c>
      <c r="R90" s="109">
        <f t="shared" si="73"/>
        <v>440</v>
      </c>
      <c r="S90" s="109">
        <f t="shared" si="73"/>
        <v>440</v>
      </c>
      <c r="T90" s="109">
        <f t="shared" si="73"/>
        <v>495</v>
      </c>
      <c r="U90" s="109">
        <f t="shared" si="73"/>
        <v>550</v>
      </c>
      <c r="V90" s="109">
        <f t="shared" si="73"/>
        <v>605</v>
      </c>
      <c r="W90" s="109">
        <f t="shared" si="73"/>
        <v>550</v>
      </c>
      <c r="X90" s="207"/>
      <c r="Y90" s="172">
        <f t="shared" ref="Y90:Y91" si="76">SUM(L90:W90)</f>
        <v>5500</v>
      </c>
      <c r="Z90" s="405">
        <v>5008.6</v>
      </c>
      <c r="AA90" s="106">
        <f t="shared" si="74"/>
        <v>0.09811124865</v>
      </c>
      <c r="AB90" s="3"/>
      <c r="AC90" s="3"/>
      <c r="AD90" s="3"/>
      <c r="AE90" s="3"/>
      <c r="AF90" s="3"/>
      <c r="AG90" s="3"/>
      <c r="AH90" s="3"/>
      <c r="AI90" s="3"/>
      <c r="AJ90" s="3"/>
    </row>
    <row r="91" ht="15.75" customHeight="1">
      <c r="A91" s="1"/>
      <c r="B91" s="142"/>
      <c r="C91" s="143"/>
      <c r="D91" s="144"/>
      <c r="E91" s="192"/>
      <c r="F91" s="146"/>
      <c r="G91" s="463"/>
      <c r="H91" s="148"/>
      <c r="I91" s="149"/>
      <c r="J91" s="124" t="s">
        <v>69</v>
      </c>
      <c r="K91" s="406">
        <v>0.049</v>
      </c>
      <c r="L91" s="127">
        <f t="shared" ref="L91:W91" si="75">L89*$K$91</f>
        <v>646.8</v>
      </c>
      <c r="M91" s="127">
        <f t="shared" si="75"/>
        <v>485.1</v>
      </c>
      <c r="N91" s="127">
        <f t="shared" si="75"/>
        <v>565.95</v>
      </c>
      <c r="O91" s="127">
        <f t="shared" si="75"/>
        <v>565.95</v>
      </c>
      <c r="P91" s="127">
        <f t="shared" si="75"/>
        <v>646.8</v>
      </c>
      <c r="Q91" s="127">
        <f t="shared" si="75"/>
        <v>646.8</v>
      </c>
      <c r="R91" s="127">
        <f t="shared" si="75"/>
        <v>646.8</v>
      </c>
      <c r="S91" s="127">
        <f t="shared" si="75"/>
        <v>646.8</v>
      </c>
      <c r="T91" s="127">
        <f t="shared" si="75"/>
        <v>727.65</v>
      </c>
      <c r="U91" s="127">
        <f t="shared" si="75"/>
        <v>808.5</v>
      </c>
      <c r="V91" s="127">
        <f t="shared" si="75"/>
        <v>889.35</v>
      </c>
      <c r="W91" s="127">
        <f t="shared" si="75"/>
        <v>808.5</v>
      </c>
      <c r="X91" s="213"/>
      <c r="Y91" s="181">
        <f t="shared" si="76"/>
        <v>8085</v>
      </c>
      <c r="Z91" s="407">
        <v>7350.000000000001</v>
      </c>
      <c r="AA91" s="106">
        <f t="shared" si="74"/>
        <v>0.1</v>
      </c>
      <c r="AB91" s="3"/>
      <c r="AC91" s="3"/>
      <c r="AD91" s="3"/>
      <c r="AE91" s="3"/>
      <c r="AF91" s="3"/>
      <c r="AG91" s="3"/>
      <c r="AH91" s="3"/>
      <c r="AI91" s="3"/>
      <c r="AJ91" s="3"/>
    </row>
    <row r="92" ht="15.75" customHeight="1">
      <c r="A92" s="1"/>
      <c r="B92" s="142"/>
      <c r="C92" s="143"/>
      <c r="D92" s="144"/>
      <c r="E92" s="192"/>
      <c r="F92" s="146"/>
      <c r="G92" s="463"/>
      <c r="H92" s="148"/>
      <c r="I92" s="149"/>
      <c r="J92" s="8"/>
      <c r="K92" s="9"/>
      <c r="L92" s="185"/>
      <c r="M92" s="185"/>
      <c r="N92" s="185"/>
      <c r="O92" s="185"/>
      <c r="P92" s="185"/>
      <c r="Q92" s="214"/>
      <c r="R92" s="185"/>
      <c r="S92" s="185"/>
      <c r="T92" s="185"/>
      <c r="U92" s="185"/>
      <c r="V92" s="185"/>
      <c r="W92" s="185"/>
      <c r="X92" s="185"/>
      <c r="Y92" s="185"/>
      <c r="Z92" s="185"/>
      <c r="AA92" s="185"/>
      <c r="AB92" s="3"/>
      <c r="AC92" s="3"/>
      <c r="AD92" s="3"/>
      <c r="AE92" s="3"/>
      <c r="AF92" s="3"/>
      <c r="AG92" s="3"/>
      <c r="AH92" s="3"/>
      <c r="AI92" s="3"/>
      <c r="AJ92" s="3"/>
    </row>
    <row r="93" ht="15.75" customHeight="1">
      <c r="A93" s="1"/>
      <c r="B93" s="476">
        <v>16.0</v>
      </c>
      <c r="C93" s="143" t="s">
        <v>103</v>
      </c>
      <c r="D93" s="144">
        <f>15000*12</f>
        <v>180000</v>
      </c>
      <c r="E93" s="192">
        <v>32.0</v>
      </c>
      <c r="F93" s="146">
        <f>E93*D93</f>
        <v>5760000</v>
      </c>
      <c r="G93" s="477">
        <v>356599.2800000031</v>
      </c>
      <c r="H93" s="245">
        <v>11282.0</v>
      </c>
      <c r="I93" s="246">
        <v>31.607807126396306</v>
      </c>
      <c r="J93" s="468" t="s">
        <v>104</v>
      </c>
      <c r="K93" s="395"/>
      <c r="L93" s="397" t="s">
        <v>10</v>
      </c>
      <c r="M93" s="398" t="s">
        <v>14</v>
      </c>
      <c r="N93" s="397" t="s">
        <v>18</v>
      </c>
      <c r="O93" s="398" t="s">
        <v>22</v>
      </c>
      <c r="P93" s="397" t="s">
        <v>26</v>
      </c>
      <c r="Q93" s="398" t="s">
        <v>30</v>
      </c>
      <c r="R93" s="397" t="s">
        <v>34</v>
      </c>
      <c r="S93" s="398" t="s">
        <v>38</v>
      </c>
      <c r="T93" s="397" t="s">
        <v>42</v>
      </c>
      <c r="U93" s="398" t="s">
        <v>46</v>
      </c>
      <c r="V93" s="397" t="s">
        <v>50</v>
      </c>
      <c r="W93" s="398" t="s">
        <v>54</v>
      </c>
      <c r="X93" s="378"/>
      <c r="Y93" s="364">
        <v>2027.0</v>
      </c>
      <c r="Z93" s="399">
        <v>2026.0</v>
      </c>
      <c r="AA93" s="53"/>
      <c r="AB93" s="3"/>
      <c r="AC93" s="3"/>
      <c r="AD93" s="3"/>
      <c r="AE93" s="3"/>
      <c r="AF93" s="3"/>
      <c r="AG93" s="3"/>
      <c r="AH93" s="3"/>
      <c r="AI93" s="3"/>
      <c r="AJ93" s="3"/>
    </row>
    <row r="94" ht="15.75" customHeight="1">
      <c r="A94" s="1"/>
      <c r="B94" s="142"/>
      <c r="C94" s="143"/>
      <c r="D94" s="144"/>
      <c r="E94" s="192"/>
      <c r="F94" s="146"/>
      <c r="G94" s="463"/>
      <c r="H94" s="148"/>
      <c r="I94" s="149"/>
      <c r="J94" s="72" t="s">
        <v>64</v>
      </c>
      <c r="K94" s="400"/>
      <c r="L94" s="401">
        <v>0.09</v>
      </c>
      <c r="M94" s="401">
        <v>0.06</v>
      </c>
      <c r="N94" s="401">
        <v>0.07</v>
      </c>
      <c r="O94" s="401">
        <v>0.07</v>
      </c>
      <c r="P94" s="401">
        <v>0.08</v>
      </c>
      <c r="Q94" s="401">
        <v>0.08</v>
      </c>
      <c r="R94" s="401">
        <v>0.08</v>
      </c>
      <c r="S94" s="401">
        <v>0.08</v>
      </c>
      <c r="T94" s="401">
        <v>0.09</v>
      </c>
      <c r="U94" s="401">
        <v>0.09</v>
      </c>
      <c r="V94" s="401">
        <v>0.1</v>
      </c>
      <c r="W94" s="401">
        <v>0.11</v>
      </c>
      <c r="X94" s="367"/>
      <c r="Y94" s="166">
        <f>SUM(L94:W94)</f>
        <v>1</v>
      </c>
      <c r="Z94" s="460">
        <v>1.0</v>
      </c>
      <c r="AA94" s="71"/>
      <c r="AB94" s="3"/>
      <c r="AC94" s="3"/>
      <c r="AD94" s="3"/>
      <c r="AE94" s="3"/>
      <c r="AF94" s="3"/>
      <c r="AG94" s="3"/>
      <c r="AH94" s="3"/>
      <c r="AI94" s="3"/>
      <c r="AJ94" s="3"/>
    </row>
    <row r="95" ht="15.75" customHeight="1">
      <c r="A95" s="1"/>
      <c r="B95" s="142"/>
      <c r="C95" s="143"/>
      <c r="D95" s="144"/>
      <c r="E95" s="192"/>
      <c r="F95" s="146"/>
      <c r="G95" s="463"/>
      <c r="H95" s="148"/>
      <c r="I95" s="149"/>
      <c r="J95" s="72" t="s">
        <v>66</v>
      </c>
      <c r="K95" s="400"/>
      <c r="L95" s="91">
        <f t="shared" ref="L95:W95" si="77">L94*$Y$95</f>
        <v>67500</v>
      </c>
      <c r="M95" s="91">
        <f t="shared" si="77"/>
        <v>45000</v>
      </c>
      <c r="N95" s="91">
        <f t="shared" si="77"/>
        <v>52500</v>
      </c>
      <c r="O95" s="91">
        <f t="shared" si="77"/>
        <v>52500</v>
      </c>
      <c r="P95" s="91">
        <f t="shared" si="77"/>
        <v>60000</v>
      </c>
      <c r="Q95" s="91">
        <f t="shared" si="77"/>
        <v>60000</v>
      </c>
      <c r="R95" s="91">
        <f t="shared" si="77"/>
        <v>60000</v>
      </c>
      <c r="S95" s="91">
        <f t="shared" si="77"/>
        <v>60000</v>
      </c>
      <c r="T95" s="91">
        <f t="shared" si="77"/>
        <v>67500</v>
      </c>
      <c r="U95" s="91">
        <f t="shared" si="77"/>
        <v>67500</v>
      </c>
      <c r="V95" s="91">
        <f t="shared" si="77"/>
        <v>75000</v>
      </c>
      <c r="W95" s="91">
        <f t="shared" si="77"/>
        <v>82500</v>
      </c>
      <c r="X95" s="102"/>
      <c r="Y95" s="168">
        <v>750000.0</v>
      </c>
      <c r="Z95" s="403">
        <v>700000.0</v>
      </c>
      <c r="AA95" s="106">
        <f t="shared" ref="AA95:AA97" si="79">Y95/Z95-1</f>
        <v>0.07142857143</v>
      </c>
      <c r="AB95" s="194">
        <v>0.03</v>
      </c>
      <c r="AC95" s="4">
        <f>Y95+AB95*Y95</f>
        <v>772500</v>
      </c>
      <c r="AD95" s="3"/>
      <c r="AE95" s="3"/>
      <c r="AF95" s="3"/>
      <c r="AG95" s="3"/>
      <c r="AH95" s="3"/>
      <c r="AI95" s="3"/>
      <c r="AJ95" s="3"/>
    </row>
    <row r="96" ht="15.75" customHeight="1">
      <c r="A96" s="1"/>
      <c r="B96" s="142"/>
      <c r="C96" s="143"/>
      <c r="D96" s="144"/>
      <c r="E96" s="192"/>
      <c r="F96" s="146"/>
      <c r="G96" s="463"/>
      <c r="H96" s="148"/>
      <c r="I96" s="149"/>
      <c r="J96" s="72" t="s">
        <v>67</v>
      </c>
      <c r="K96" s="404">
        <v>30.0</v>
      </c>
      <c r="L96" s="109">
        <f t="shared" ref="L96:W96" si="78">L95/$K$96</f>
        <v>2250</v>
      </c>
      <c r="M96" s="109">
        <f t="shared" si="78"/>
        <v>1500</v>
      </c>
      <c r="N96" s="109">
        <f t="shared" si="78"/>
        <v>1750</v>
      </c>
      <c r="O96" s="109">
        <f t="shared" si="78"/>
        <v>1750</v>
      </c>
      <c r="P96" s="109">
        <f t="shared" si="78"/>
        <v>2000</v>
      </c>
      <c r="Q96" s="109">
        <f t="shared" si="78"/>
        <v>2000</v>
      </c>
      <c r="R96" s="109">
        <f t="shared" si="78"/>
        <v>2000</v>
      </c>
      <c r="S96" s="109">
        <f t="shared" si="78"/>
        <v>2000</v>
      </c>
      <c r="T96" s="109">
        <f t="shared" si="78"/>
        <v>2250</v>
      </c>
      <c r="U96" s="109">
        <f t="shared" si="78"/>
        <v>2250</v>
      </c>
      <c r="V96" s="109">
        <f t="shared" si="78"/>
        <v>2500</v>
      </c>
      <c r="W96" s="109">
        <f t="shared" si="78"/>
        <v>2750</v>
      </c>
      <c r="X96" s="207"/>
      <c r="Y96" s="172">
        <f t="shared" ref="Y96:Y97" si="81">SUM(L96:W96)</f>
        <v>25000</v>
      </c>
      <c r="Z96" s="405">
        <v>23333.333333333332</v>
      </c>
      <c r="AA96" s="106">
        <f t="shared" si="79"/>
        <v>0.07142857143</v>
      </c>
      <c r="AB96" s="3"/>
      <c r="AC96" s="3"/>
      <c r="AD96" s="3"/>
      <c r="AE96" s="3"/>
      <c r="AF96" s="3"/>
      <c r="AG96" s="3"/>
      <c r="AH96" s="3"/>
      <c r="AI96" s="3"/>
      <c r="AJ96" s="3"/>
    </row>
    <row r="97" ht="15.75" customHeight="1">
      <c r="A97" s="1"/>
      <c r="B97" s="142"/>
      <c r="C97" s="143"/>
      <c r="D97" s="144"/>
      <c r="E97" s="192"/>
      <c r="F97" s="146"/>
      <c r="G97" s="463"/>
      <c r="H97" s="148"/>
      <c r="I97" s="149"/>
      <c r="J97" s="124" t="s">
        <v>69</v>
      </c>
      <c r="K97" s="413">
        <v>0.04</v>
      </c>
      <c r="L97" s="127">
        <f t="shared" ref="L97:W97" si="80">L95*$K$97</f>
        <v>2700</v>
      </c>
      <c r="M97" s="127">
        <f t="shared" si="80"/>
        <v>1800</v>
      </c>
      <c r="N97" s="127">
        <f t="shared" si="80"/>
        <v>2100</v>
      </c>
      <c r="O97" s="127">
        <f t="shared" si="80"/>
        <v>2100</v>
      </c>
      <c r="P97" s="127">
        <f t="shared" si="80"/>
        <v>2400</v>
      </c>
      <c r="Q97" s="127">
        <f t="shared" si="80"/>
        <v>2400</v>
      </c>
      <c r="R97" s="127">
        <f t="shared" si="80"/>
        <v>2400</v>
      </c>
      <c r="S97" s="127">
        <f t="shared" si="80"/>
        <v>2400</v>
      </c>
      <c r="T97" s="127">
        <f t="shared" si="80"/>
        <v>2700</v>
      </c>
      <c r="U97" s="127">
        <f t="shared" si="80"/>
        <v>2700</v>
      </c>
      <c r="V97" s="127">
        <f t="shared" si="80"/>
        <v>3000</v>
      </c>
      <c r="W97" s="127">
        <f t="shared" si="80"/>
        <v>3300</v>
      </c>
      <c r="X97" s="213"/>
      <c r="Y97" s="181">
        <f t="shared" si="81"/>
        <v>30000</v>
      </c>
      <c r="Z97" s="407">
        <v>28000.0</v>
      </c>
      <c r="AA97" s="106">
        <f t="shared" si="79"/>
        <v>0.07142857143</v>
      </c>
      <c r="AB97" s="3"/>
      <c r="AC97" s="3"/>
      <c r="AD97" s="3"/>
      <c r="AE97" s="3"/>
      <c r="AF97" s="3"/>
      <c r="AG97" s="3"/>
      <c r="AH97" s="3"/>
      <c r="AI97" s="3"/>
      <c r="AJ97" s="3"/>
    </row>
    <row r="98" ht="15.75" customHeight="1">
      <c r="G98" s="478"/>
      <c r="J98" s="479"/>
      <c r="K98" s="238"/>
      <c r="L98" s="15"/>
      <c r="M98" s="15"/>
      <c r="N98" s="15"/>
      <c r="O98" s="15"/>
      <c r="P98" s="15"/>
      <c r="Q98" s="214"/>
      <c r="R98" s="15"/>
      <c r="S98" s="15"/>
      <c r="T98" s="15"/>
      <c r="U98" s="15"/>
      <c r="V98" s="15"/>
      <c r="W98" s="15"/>
      <c r="X98" s="14"/>
      <c r="Y98" s="14"/>
      <c r="Z98" s="14"/>
      <c r="AA98" s="15"/>
      <c r="AB98" s="3"/>
      <c r="AC98" s="3"/>
      <c r="AD98" s="3"/>
      <c r="AE98" s="3"/>
      <c r="AF98" s="3"/>
      <c r="AG98" s="3"/>
      <c r="AH98" s="3"/>
      <c r="AI98" s="3"/>
      <c r="AJ98" s="3"/>
    </row>
    <row r="99" ht="15.75" customHeight="1">
      <c r="A99" s="1"/>
      <c r="B99" s="476">
        <v>17.0</v>
      </c>
      <c r="C99" s="143" t="str">
        <f>J99</f>
        <v>OUTBACK (180)</v>
      </c>
      <c r="D99" s="144"/>
      <c r="E99" s="192"/>
      <c r="F99" s="146"/>
      <c r="G99" s="477"/>
      <c r="H99" s="245"/>
      <c r="I99" s="246"/>
      <c r="J99" s="459" t="s">
        <v>105</v>
      </c>
      <c r="K99" s="395"/>
      <c r="L99" s="397" t="s">
        <v>10</v>
      </c>
      <c r="M99" s="398" t="s">
        <v>14</v>
      </c>
      <c r="N99" s="397" t="s">
        <v>18</v>
      </c>
      <c r="O99" s="398" t="s">
        <v>22</v>
      </c>
      <c r="P99" s="397" t="s">
        <v>26</v>
      </c>
      <c r="Q99" s="398" t="s">
        <v>30</v>
      </c>
      <c r="R99" s="397" t="s">
        <v>34</v>
      </c>
      <c r="S99" s="398" t="s">
        <v>38</v>
      </c>
      <c r="T99" s="397" t="s">
        <v>42</v>
      </c>
      <c r="U99" s="398" t="s">
        <v>46</v>
      </c>
      <c r="V99" s="397" t="s">
        <v>50</v>
      </c>
      <c r="W99" s="398" t="s">
        <v>54</v>
      </c>
      <c r="X99" s="378"/>
      <c r="Y99" s="364">
        <v>2027.0</v>
      </c>
      <c r="Z99" s="399">
        <v>2026.0</v>
      </c>
      <c r="AA99" s="53"/>
      <c r="AB99" s="3"/>
      <c r="AC99" s="3"/>
      <c r="AD99" s="3"/>
      <c r="AE99" s="3"/>
      <c r="AF99" s="3"/>
      <c r="AG99" s="3"/>
      <c r="AH99" s="3"/>
      <c r="AI99" s="3"/>
      <c r="AJ99" s="3"/>
    </row>
    <row r="100" ht="15.75" customHeight="1">
      <c r="A100" s="1"/>
      <c r="B100" s="142"/>
      <c r="C100" s="143"/>
      <c r="D100" s="144"/>
      <c r="E100" s="192"/>
      <c r="F100" s="146"/>
      <c r="G100" s="463"/>
      <c r="H100" s="148"/>
      <c r="I100" s="149"/>
      <c r="J100" s="72" t="s">
        <v>64</v>
      </c>
      <c r="K100" s="400"/>
      <c r="L100" s="401">
        <v>0.06</v>
      </c>
      <c r="M100" s="401">
        <v>0.05</v>
      </c>
      <c r="N100" s="401">
        <v>0.07</v>
      </c>
      <c r="O100" s="401">
        <v>0.07</v>
      </c>
      <c r="P100" s="401">
        <v>0.07</v>
      </c>
      <c r="Q100" s="401">
        <v>0.06</v>
      </c>
      <c r="R100" s="401">
        <v>0.06</v>
      </c>
      <c r="S100" s="401">
        <v>0.08</v>
      </c>
      <c r="T100" s="401">
        <v>0.1</v>
      </c>
      <c r="U100" s="401">
        <v>0.12</v>
      </c>
      <c r="V100" s="401">
        <v>0.12</v>
      </c>
      <c r="W100" s="401">
        <v>0.14</v>
      </c>
      <c r="X100" s="367"/>
      <c r="Y100" s="166">
        <f>SUM(L100:W100)</f>
        <v>1</v>
      </c>
      <c r="Z100" s="460">
        <v>1.0</v>
      </c>
      <c r="AA100" s="71"/>
      <c r="AB100" s="3"/>
      <c r="AC100" s="3"/>
      <c r="AD100" s="3"/>
      <c r="AE100" s="3"/>
      <c r="AF100" s="3"/>
      <c r="AG100" s="3"/>
      <c r="AH100" s="3"/>
      <c r="AI100" s="3"/>
      <c r="AJ100" s="3"/>
    </row>
    <row r="101" ht="15.75" customHeight="1">
      <c r="A101" s="1"/>
      <c r="B101" s="142"/>
      <c r="C101" s="143"/>
      <c r="D101" s="144"/>
      <c r="E101" s="192"/>
      <c r="F101" s="146"/>
      <c r="G101" s="463"/>
      <c r="H101" s="148"/>
      <c r="I101" s="149"/>
      <c r="J101" s="72" t="s">
        <v>66</v>
      </c>
      <c r="K101" s="400"/>
      <c r="L101" s="91">
        <f t="shared" ref="L101:W101" si="82">($Y$101*L100)</f>
        <v>3600000</v>
      </c>
      <c r="M101" s="91">
        <f t="shared" si="82"/>
        <v>3000000</v>
      </c>
      <c r="N101" s="91">
        <f t="shared" si="82"/>
        <v>4200000</v>
      </c>
      <c r="O101" s="91">
        <f t="shared" si="82"/>
        <v>4200000</v>
      </c>
      <c r="P101" s="91">
        <f t="shared" si="82"/>
        <v>4200000</v>
      </c>
      <c r="Q101" s="91">
        <f t="shared" si="82"/>
        <v>3600000</v>
      </c>
      <c r="R101" s="91">
        <f t="shared" si="82"/>
        <v>3600000</v>
      </c>
      <c r="S101" s="91">
        <f t="shared" si="82"/>
        <v>4800000</v>
      </c>
      <c r="T101" s="91">
        <f t="shared" si="82"/>
        <v>6000000</v>
      </c>
      <c r="U101" s="91">
        <f t="shared" si="82"/>
        <v>7200000</v>
      </c>
      <c r="V101" s="91">
        <f t="shared" si="82"/>
        <v>7200000</v>
      </c>
      <c r="W101" s="91">
        <f t="shared" si="82"/>
        <v>8400000</v>
      </c>
      <c r="X101" s="102"/>
      <c r="Y101" s="168">
        <v>6.0E7</v>
      </c>
      <c r="Z101" s="403">
        <v>2.4E7</v>
      </c>
      <c r="AA101" s="106">
        <f t="shared" ref="AA101:AA103" si="84">Y101/Z101-1</f>
        <v>1.5</v>
      </c>
      <c r="AB101" s="194">
        <v>0.1</v>
      </c>
      <c r="AC101" s="4">
        <f>Y101+AB101*Y101</f>
        <v>66000000</v>
      </c>
      <c r="AD101" s="3"/>
      <c r="AE101" s="3"/>
      <c r="AF101" s="3"/>
      <c r="AG101" s="3"/>
      <c r="AH101" s="3"/>
      <c r="AI101" s="3"/>
      <c r="AJ101" s="3"/>
    </row>
    <row r="102" ht="15.75" customHeight="1">
      <c r="A102" s="1"/>
      <c r="B102" s="142"/>
      <c r="C102" s="143"/>
      <c r="D102" s="144"/>
      <c r="E102" s="192"/>
      <c r="F102" s="146"/>
      <c r="G102" s="463"/>
      <c r="H102" s="148"/>
      <c r="I102" s="149"/>
      <c r="J102" s="72" t="s">
        <v>67</v>
      </c>
      <c r="K102" s="404">
        <v>101.0</v>
      </c>
      <c r="L102" s="109">
        <f t="shared" ref="L102:W102" si="83">L101/$K$102</f>
        <v>35643.56436</v>
      </c>
      <c r="M102" s="109">
        <f t="shared" si="83"/>
        <v>29702.9703</v>
      </c>
      <c r="N102" s="109">
        <f t="shared" si="83"/>
        <v>41584.15842</v>
      </c>
      <c r="O102" s="109">
        <f t="shared" si="83"/>
        <v>41584.15842</v>
      </c>
      <c r="P102" s="109">
        <f t="shared" si="83"/>
        <v>41584.15842</v>
      </c>
      <c r="Q102" s="109">
        <f t="shared" si="83"/>
        <v>35643.56436</v>
      </c>
      <c r="R102" s="109">
        <f t="shared" si="83"/>
        <v>35643.56436</v>
      </c>
      <c r="S102" s="109">
        <f t="shared" si="83"/>
        <v>47524.75248</v>
      </c>
      <c r="T102" s="109">
        <f t="shared" si="83"/>
        <v>59405.94059</v>
      </c>
      <c r="U102" s="109">
        <f t="shared" si="83"/>
        <v>71287.12871</v>
      </c>
      <c r="V102" s="109">
        <f t="shared" si="83"/>
        <v>71287.12871</v>
      </c>
      <c r="W102" s="109">
        <f t="shared" si="83"/>
        <v>83168.31683</v>
      </c>
      <c r="X102" s="207"/>
      <c r="Y102" s="172">
        <f t="shared" ref="Y102:Y103" si="86">SUM(L102:W102)</f>
        <v>594059.4059</v>
      </c>
      <c r="Z102" s="405">
        <v>237623.76237623757</v>
      </c>
      <c r="AA102" s="106">
        <f t="shared" si="84"/>
        <v>1.5</v>
      </c>
      <c r="AB102" s="3"/>
      <c r="AC102" s="3"/>
      <c r="AD102" s="3"/>
      <c r="AE102" s="3"/>
      <c r="AF102" s="3"/>
      <c r="AG102" s="3"/>
      <c r="AH102" s="3"/>
      <c r="AI102" s="3"/>
      <c r="AJ102" s="3"/>
    </row>
    <row r="103" ht="15.75" customHeight="1">
      <c r="A103" s="1"/>
      <c r="B103" s="142"/>
      <c r="C103" s="143"/>
      <c r="D103" s="144"/>
      <c r="E103" s="192"/>
      <c r="F103" s="146"/>
      <c r="G103" s="463"/>
      <c r="H103" s="148"/>
      <c r="I103" s="149"/>
      <c r="J103" s="124" t="s">
        <v>69</v>
      </c>
      <c r="K103" s="413"/>
      <c r="L103" s="127">
        <f t="shared" ref="L103:W103" si="85">IF(L102=0, 0,
  MIN(L102, 10000) * 4 +
  MAX(0, MIN(L102, 20000) - 10000) * 3 +
  MAX(0, MIN(L102, 40000) - 20000) * 2 +
  MAX(0, MIN(L102, 80000) - 40000) * 1 +
  MAX(0, MIN(L102, 100000) - 80000) * 0.5 +
  MAX(0, L102 - 100000) * 0.25
)</f>
        <v>101287.1287</v>
      </c>
      <c r="M103" s="127">
        <f t="shared" si="85"/>
        <v>89405.94059</v>
      </c>
      <c r="N103" s="127">
        <f t="shared" si="85"/>
        <v>111584.1584</v>
      </c>
      <c r="O103" s="127">
        <f t="shared" si="85"/>
        <v>111584.1584</v>
      </c>
      <c r="P103" s="127">
        <f t="shared" si="85"/>
        <v>111584.1584</v>
      </c>
      <c r="Q103" s="127">
        <f t="shared" si="85"/>
        <v>101287.1287</v>
      </c>
      <c r="R103" s="127">
        <f t="shared" si="85"/>
        <v>101287.1287</v>
      </c>
      <c r="S103" s="127">
        <f t="shared" si="85"/>
        <v>117524.7525</v>
      </c>
      <c r="T103" s="127">
        <f t="shared" si="85"/>
        <v>129405.9406</v>
      </c>
      <c r="U103" s="127">
        <f t="shared" si="85"/>
        <v>141287.1287</v>
      </c>
      <c r="V103" s="127">
        <f t="shared" si="85"/>
        <v>141287.1287</v>
      </c>
      <c r="W103" s="127">
        <f t="shared" si="85"/>
        <v>151584.1584</v>
      </c>
      <c r="X103" s="213"/>
      <c r="Y103" s="181">
        <f t="shared" si="86"/>
        <v>1409108.911</v>
      </c>
      <c r="Z103" s="407">
        <v>651188.1188118812</v>
      </c>
      <c r="AA103" s="106">
        <f t="shared" si="84"/>
        <v>1.163904516</v>
      </c>
      <c r="AB103" s="3"/>
      <c r="AC103" s="3"/>
      <c r="AD103" s="3"/>
      <c r="AE103" s="3"/>
      <c r="AF103" s="3"/>
      <c r="AG103" s="3"/>
      <c r="AH103" s="3"/>
      <c r="AI103" s="3"/>
      <c r="AJ103" s="3"/>
    </row>
    <row r="104" ht="15.75" customHeight="1">
      <c r="G104" s="478"/>
      <c r="J104" s="479"/>
      <c r="K104" s="238"/>
      <c r="L104" s="15"/>
      <c r="M104" s="15"/>
      <c r="N104" s="15"/>
      <c r="O104" s="15"/>
      <c r="P104" s="15"/>
      <c r="Q104" s="214"/>
      <c r="R104" s="15"/>
      <c r="S104" s="15"/>
      <c r="T104" s="15"/>
      <c r="U104" s="15"/>
      <c r="V104" s="15"/>
      <c r="W104" s="15"/>
      <c r="X104" s="14"/>
      <c r="Y104" s="14"/>
      <c r="Z104" s="14"/>
      <c r="AA104" s="15"/>
      <c r="AB104" s="3"/>
      <c r="AC104" s="3"/>
      <c r="AD104" s="3"/>
      <c r="AE104" s="3"/>
      <c r="AF104" s="3"/>
      <c r="AG104" s="3"/>
      <c r="AH104" s="3"/>
      <c r="AI104" s="3"/>
      <c r="AJ104" s="3"/>
    </row>
    <row r="105" ht="15.75" customHeight="1">
      <c r="A105" s="1"/>
      <c r="B105" s="476">
        <v>18.0</v>
      </c>
      <c r="C105" s="143" t="str">
        <f>J105</f>
        <v>NINETTO</v>
      </c>
      <c r="D105" s="144"/>
      <c r="E105" s="192"/>
      <c r="F105" s="146"/>
      <c r="G105" s="477"/>
      <c r="H105" s="245"/>
      <c r="I105" s="246"/>
      <c r="J105" s="459" t="s">
        <v>106</v>
      </c>
      <c r="K105" s="395"/>
      <c r="L105" s="397" t="s">
        <v>10</v>
      </c>
      <c r="M105" s="398" t="s">
        <v>14</v>
      </c>
      <c r="N105" s="397" t="s">
        <v>18</v>
      </c>
      <c r="O105" s="398" t="s">
        <v>22</v>
      </c>
      <c r="P105" s="397" t="s">
        <v>26</v>
      </c>
      <c r="Q105" s="398" t="s">
        <v>30</v>
      </c>
      <c r="R105" s="397" t="s">
        <v>34</v>
      </c>
      <c r="S105" s="398" t="s">
        <v>38</v>
      </c>
      <c r="T105" s="397" t="s">
        <v>42</v>
      </c>
      <c r="U105" s="398" t="s">
        <v>46</v>
      </c>
      <c r="V105" s="397" t="s">
        <v>50</v>
      </c>
      <c r="W105" s="398" t="s">
        <v>54</v>
      </c>
      <c r="X105" s="378"/>
      <c r="Y105" s="364">
        <v>2027.0</v>
      </c>
      <c r="Z105" s="399" t="s">
        <v>139</v>
      </c>
      <c r="AA105" s="53"/>
      <c r="AB105" s="3"/>
      <c r="AC105" s="3"/>
      <c r="AD105" s="3"/>
      <c r="AE105" s="3"/>
      <c r="AF105" s="3"/>
      <c r="AG105" s="3"/>
      <c r="AH105" s="3"/>
      <c r="AI105" s="3"/>
      <c r="AJ105" s="3"/>
    </row>
    <row r="106" ht="15.75" customHeight="1">
      <c r="A106" s="1"/>
      <c r="B106" s="142"/>
      <c r="C106" s="143"/>
      <c r="D106" s="144"/>
      <c r="E106" s="192"/>
      <c r="F106" s="146"/>
      <c r="G106" s="463"/>
      <c r="H106" s="148"/>
      <c r="I106" s="149"/>
      <c r="J106" s="72" t="s">
        <v>64</v>
      </c>
      <c r="K106" s="400"/>
      <c r="L106" s="401">
        <v>0.01</v>
      </c>
      <c r="M106" s="401">
        <v>0.02</v>
      </c>
      <c r="N106" s="401">
        <v>0.03</v>
      </c>
      <c r="O106" s="401">
        <v>0.04</v>
      </c>
      <c r="P106" s="401">
        <v>0.05</v>
      </c>
      <c r="Q106" s="401">
        <v>0.07</v>
      </c>
      <c r="R106" s="401">
        <v>0.08</v>
      </c>
      <c r="S106" s="401">
        <v>0.1</v>
      </c>
      <c r="T106" s="401">
        <v>0.12</v>
      </c>
      <c r="U106" s="401">
        <v>0.14</v>
      </c>
      <c r="V106" s="401">
        <v>0.16</v>
      </c>
      <c r="W106" s="401">
        <v>0.18</v>
      </c>
      <c r="X106" s="367"/>
      <c r="Y106" s="166">
        <f>SUM(L106:W106)</f>
        <v>1</v>
      </c>
      <c r="Z106" s="480">
        <v>0.12</v>
      </c>
      <c r="AA106" s="71"/>
      <c r="AB106" s="3"/>
      <c r="AC106" s="3"/>
      <c r="AD106" s="3"/>
      <c r="AE106" s="3"/>
      <c r="AF106" s="3"/>
      <c r="AG106" s="3"/>
      <c r="AH106" s="3"/>
      <c r="AI106" s="3"/>
      <c r="AJ106" s="3"/>
    </row>
    <row r="107" ht="15.75" customHeight="1">
      <c r="A107" s="1"/>
      <c r="B107" s="142"/>
      <c r="C107" s="143"/>
      <c r="D107" s="144"/>
      <c r="E107" s="192"/>
      <c r="F107" s="146"/>
      <c r="G107" s="463"/>
      <c r="H107" s="148"/>
      <c r="I107" s="149"/>
      <c r="J107" s="72" t="s">
        <v>66</v>
      </c>
      <c r="K107" s="400"/>
      <c r="L107" s="91">
        <f t="shared" ref="L107:W107" si="87">$Y$107*L106</f>
        <v>5000</v>
      </c>
      <c r="M107" s="91">
        <f t="shared" si="87"/>
        <v>10000</v>
      </c>
      <c r="N107" s="91">
        <f t="shared" si="87"/>
        <v>15000</v>
      </c>
      <c r="O107" s="91">
        <f t="shared" si="87"/>
        <v>20000</v>
      </c>
      <c r="P107" s="91">
        <f t="shared" si="87"/>
        <v>25000</v>
      </c>
      <c r="Q107" s="91">
        <f t="shared" si="87"/>
        <v>35000</v>
      </c>
      <c r="R107" s="91">
        <f t="shared" si="87"/>
        <v>40000</v>
      </c>
      <c r="S107" s="91">
        <f t="shared" si="87"/>
        <v>50000</v>
      </c>
      <c r="T107" s="91">
        <f t="shared" si="87"/>
        <v>60000</v>
      </c>
      <c r="U107" s="91">
        <f t="shared" si="87"/>
        <v>70000</v>
      </c>
      <c r="V107" s="91">
        <f t="shared" si="87"/>
        <v>80000</v>
      </c>
      <c r="W107" s="91">
        <f t="shared" si="87"/>
        <v>90000</v>
      </c>
      <c r="X107" s="102"/>
      <c r="Y107" s="168">
        <v>500000.0</v>
      </c>
      <c r="Z107" s="403"/>
      <c r="AA107" s="106"/>
      <c r="AB107" s="194">
        <v>0.15</v>
      </c>
      <c r="AC107" s="4">
        <f>Y107+AB107*Y107</f>
        <v>575000</v>
      </c>
      <c r="AD107" s="3"/>
      <c r="AE107" s="3"/>
      <c r="AF107" s="3"/>
      <c r="AG107" s="3"/>
      <c r="AH107" s="3"/>
      <c r="AI107" s="3"/>
      <c r="AJ107" s="3"/>
    </row>
    <row r="108" ht="15.75" customHeight="1">
      <c r="A108" s="1"/>
      <c r="B108" s="142"/>
      <c r="C108" s="143"/>
      <c r="D108" s="144"/>
      <c r="E108" s="192"/>
      <c r="F108" s="146"/>
      <c r="G108" s="463"/>
      <c r="H108" s="148"/>
      <c r="I108" s="149"/>
      <c r="J108" s="72" t="s">
        <v>67</v>
      </c>
      <c r="K108" s="404">
        <v>120.0</v>
      </c>
      <c r="L108" s="109">
        <f t="shared" ref="L108:W108" si="88">L107/$K$102</f>
        <v>49.5049505</v>
      </c>
      <c r="M108" s="109">
        <f t="shared" si="88"/>
        <v>99.00990099</v>
      </c>
      <c r="N108" s="109">
        <f t="shared" si="88"/>
        <v>148.5148515</v>
      </c>
      <c r="O108" s="109">
        <f t="shared" si="88"/>
        <v>198.019802</v>
      </c>
      <c r="P108" s="109">
        <f t="shared" si="88"/>
        <v>247.5247525</v>
      </c>
      <c r="Q108" s="109">
        <f t="shared" si="88"/>
        <v>346.5346535</v>
      </c>
      <c r="R108" s="109">
        <f t="shared" si="88"/>
        <v>396.039604</v>
      </c>
      <c r="S108" s="109">
        <f t="shared" si="88"/>
        <v>495.049505</v>
      </c>
      <c r="T108" s="109">
        <f t="shared" si="88"/>
        <v>594.0594059</v>
      </c>
      <c r="U108" s="109">
        <f t="shared" si="88"/>
        <v>693.0693069</v>
      </c>
      <c r="V108" s="109">
        <f t="shared" si="88"/>
        <v>792.0792079</v>
      </c>
      <c r="W108" s="109">
        <f t="shared" si="88"/>
        <v>891.0891089</v>
      </c>
      <c r="X108" s="207"/>
      <c r="Y108" s="172">
        <f t="shared" ref="Y108:Y109" si="90">SUM(L108:W108)</f>
        <v>4950.49505</v>
      </c>
      <c r="Z108" s="405"/>
      <c r="AA108" s="106"/>
      <c r="AB108" s="3"/>
      <c r="AC108" s="3"/>
      <c r="AD108" s="3"/>
      <c r="AE108" s="3"/>
      <c r="AF108" s="3"/>
      <c r="AG108" s="3"/>
      <c r="AH108" s="3"/>
      <c r="AI108" s="3"/>
      <c r="AJ108" s="3"/>
    </row>
    <row r="109" ht="15.75" customHeight="1">
      <c r="A109" s="1"/>
      <c r="B109" s="142"/>
      <c r="C109" s="143"/>
      <c r="D109" s="144"/>
      <c r="E109" s="192"/>
      <c r="F109" s="146"/>
      <c r="G109" s="463"/>
      <c r="H109" s="148"/>
      <c r="I109" s="149"/>
      <c r="J109" s="124" t="s">
        <v>69</v>
      </c>
      <c r="K109" s="413">
        <v>0.045</v>
      </c>
      <c r="L109" s="127">
        <f t="shared" ref="L109:W109" si="89">IF(L108=0, 0,
  MIN(L108, 10000) * 4 +
  MAX(0, MIN(L108, 20000) - 10000) * 3 +
  MAX(0, MIN(L108, 40000) - 20000) * 2 +
  MAX(0, MIN(L108, 80000) - 40000) * 1 +
  MAX(0, MIN(L108, 100000) - 80000) * 0.5 +
  MAX(0, L108 - 100000) * 0.25
)</f>
        <v>198.019802</v>
      </c>
      <c r="M109" s="127">
        <f t="shared" si="89"/>
        <v>396.039604</v>
      </c>
      <c r="N109" s="127">
        <f t="shared" si="89"/>
        <v>594.0594059</v>
      </c>
      <c r="O109" s="127">
        <f t="shared" si="89"/>
        <v>792.0792079</v>
      </c>
      <c r="P109" s="127">
        <f t="shared" si="89"/>
        <v>990.0990099</v>
      </c>
      <c r="Q109" s="127">
        <f t="shared" si="89"/>
        <v>1386.138614</v>
      </c>
      <c r="R109" s="127">
        <f t="shared" si="89"/>
        <v>1584.158416</v>
      </c>
      <c r="S109" s="127">
        <f t="shared" si="89"/>
        <v>1980.19802</v>
      </c>
      <c r="T109" s="127">
        <f t="shared" si="89"/>
        <v>2376.237624</v>
      </c>
      <c r="U109" s="127">
        <f t="shared" si="89"/>
        <v>2772.277228</v>
      </c>
      <c r="V109" s="127">
        <f t="shared" si="89"/>
        <v>3168.316832</v>
      </c>
      <c r="W109" s="127">
        <f t="shared" si="89"/>
        <v>3564.356436</v>
      </c>
      <c r="X109" s="213"/>
      <c r="Y109" s="181">
        <f t="shared" si="90"/>
        <v>19801.9802</v>
      </c>
      <c r="Z109" s="407"/>
      <c r="AA109" s="141"/>
      <c r="AB109" s="3"/>
      <c r="AC109" s="3"/>
      <c r="AD109" s="3"/>
      <c r="AE109" s="3"/>
      <c r="AF109" s="3"/>
      <c r="AG109" s="3"/>
      <c r="AH109" s="3"/>
      <c r="AI109" s="3"/>
      <c r="AJ109" s="3"/>
    </row>
    <row r="110" ht="15.75" customHeight="1">
      <c r="G110" s="478"/>
      <c r="J110" s="479"/>
      <c r="K110" s="238"/>
      <c r="L110" s="15"/>
      <c r="M110" s="15"/>
      <c r="N110" s="15"/>
      <c r="O110" s="15"/>
      <c r="P110" s="15"/>
      <c r="Q110" s="214"/>
      <c r="R110" s="15"/>
      <c r="S110" s="15"/>
      <c r="T110" s="15"/>
      <c r="U110" s="15"/>
      <c r="V110" s="15"/>
      <c r="W110" s="15"/>
      <c r="X110" s="14"/>
      <c r="Y110" s="14"/>
      <c r="Z110" s="14"/>
      <c r="AA110" s="15"/>
      <c r="AB110" s="3"/>
      <c r="AC110" s="3"/>
      <c r="AD110" s="3"/>
      <c r="AE110" s="3"/>
      <c r="AF110" s="3"/>
      <c r="AG110" s="3"/>
      <c r="AH110" s="3"/>
      <c r="AI110" s="3"/>
      <c r="AJ110" s="3"/>
    </row>
    <row r="111" ht="15.75" customHeight="1">
      <c r="A111" s="1"/>
      <c r="B111" s="476">
        <v>19.0</v>
      </c>
      <c r="C111" s="143" t="str">
        <f>J111</f>
        <v>NINO CUCINA</v>
      </c>
      <c r="D111" s="144"/>
      <c r="E111" s="192"/>
      <c r="F111" s="146"/>
      <c r="G111" s="477"/>
      <c r="H111" s="245"/>
      <c r="I111" s="246"/>
      <c r="J111" s="459" t="s">
        <v>140</v>
      </c>
      <c r="K111" s="395"/>
      <c r="L111" s="397" t="s">
        <v>10</v>
      </c>
      <c r="M111" s="398" t="s">
        <v>14</v>
      </c>
      <c r="N111" s="397" t="s">
        <v>18</v>
      </c>
      <c r="O111" s="398" t="s">
        <v>22</v>
      </c>
      <c r="P111" s="397" t="s">
        <v>26</v>
      </c>
      <c r="Q111" s="398" t="s">
        <v>30</v>
      </c>
      <c r="R111" s="397" t="s">
        <v>34</v>
      </c>
      <c r="S111" s="398" t="s">
        <v>38</v>
      </c>
      <c r="T111" s="397" t="s">
        <v>42</v>
      </c>
      <c r="U111" s="398" t="s">
        <v>46</v>
      </c>
      <c r="V111" s="397" t="s">
        <v>50</v>
      </c>
      <c r="W111" s="398" t="s">
        <v>54</v>
      </c>
      <c r="X111" s="378"/>
      <c r="Y111" s="364">
        <v>2027.0</v>
      </c>
      <c r="Z111" s="399" t="s">
        <v>139</v>
      </c>
      <c r="AA111" s="53"/>
      <c r="AB111" s="3"/>
      <c r="AC111" s="3"/>
      <c r="AD111" s="3"/>
      <c r="AE111" s="3"/>
      <c r="AF111" s="3"/>
      <c r="AG111" s="3"/>
      <c r="AH111" s="3"/>
      <c r="AI111" s="3"/>
      <c r="AJ111" s="3"/>
    </row>
    <row r="112" ht="15.75" customHeight="1">
      <c r="A112" s="1"/>
      <c r="B112" s="142"/>
      <c r="C112" s="143"/>
      <c r="D112" s="144"/>
      <c r="E112" s="192"/>
      <c r="F112" s="146"/>
      <c r="G112" s="463"/>
      <c r="H112" s="148"/>
      <c r="I112" s="149"/>
      <c r="J112" s="72" t="s">
        <v>64</v>
      </c>
      <c r="K112" s="400"/>
      <c r="L112" s="401"/>
      <c r="M112" s="401">
        <v>0.01</v>
      </c>
      <c r="N112" s="401">
        <v>0.02</v>
      </c>
      <c r="O112" s="401">
        <v>0.03</v>
      </c>
      <c r="P112" s="401">
        <v>0.05</v>
      </c>
      <c r="Q112" s="401">
        <v>0.07</v>
      </c>
      <c r="R112" s="401">
        <v>0.08</v>
      </c>
      <c r="S112" s="401">
        <v>0.1</v>
      </c>
      <c r="T112" s="401">
        <v>0.12</v>
      </c>
      <c r="U112" s="401">
        <v>0.14</v>
      </c>
      <c r="V112" s="401">
        <v>0.18</v>
      </c>
      <c r="W112" s="401">
        <v>0.2</v>
      </c>
      <c r="X112" s="367"/>
      <c r="Y112" s="166">
        <f>SUM(L112:W112)</f>
        <v>1</v>
      </c>
      <c r="Z112" s="480">
        <v>0.1</v>
      </c>
      <c r="AA112" s="71"/>
      <c r="AB112" s="3"/>
      <c r="AC112" s="3"/>
      <c r="AD112" s="3"/>
      <c r="AE112" s="3"/>
      <c r="AF112" s="3"/>
      <c r="AG112" s="3"/>
      <c r="AH112" s="3"/>
      <c r="AI112" s="3"/>
      <c r="AJ112" s="3"/>
    </row>
    <row r="113" ht="15.75" customHeight="1">
      <c r="A113" s="1"/>
      <c r="B113" s="142"/>
      <c r="C113" s="143"/>
      <c r="D113" s="144"/>
      <c r="E113" s="192"/>
      <c r="F113" s="146"/>
      <c r="G113" s="463"/>
      <c r="H113" s="148"/>
      <c r="I113" s="149"/>
      <c r="J113" s="72" t="s">
        <v>66</v>
      </c>
      <c r="K113" s="400"/>
      <c r="L113" s="91">
        <f t="shared" ref="L113:W113" si="91">$Y$113*L112</f>
        <v>0</v>
      </c>
      <c r="M113" s="91">
        <f t="shared" si="91"/>
        <v>20160</v>
      </c>
      <c r="N113" s="91">
        <f t="shared" si="91"/>
        <v>40320</v>
      </c>
      <c r="O113" s="91">
        <f t="shared" si="91"/>
        <v>60480</v>
      </c>
      <c r="P113" s="91">
        <f t="shared" si="91"/>
        <v>100800</v>
      </c>
      <c r="Q113" s="91">
        <f t="shared" si="91"/>
        <v>141120</v>
      </c>
      <c r="R113" s="91">
        <f t="shared" si="91"/>
        <v>161280</v>
      </c>
      <c r="S113" s="91">
        <f t="shared" si="91"/>
        <v>201600</v>
      </c>
      <c r="T113" s="91">
        <f t="shared" si="91"/>
        <v>241920</v>
      </c>
      <c r="U113" s="91">
        <f t="shared" si="91"/>
        <v>282240</v>
      </c>
      <c r="V113" s="91">
        <f t="shared" si="91"/>
        <v>362880</v>
      </c>
      <c r="W113" s="91">
        <f t="shared" si="91"/>
        <v>403200</v>
      </c>
      <c r="X113" s="102"/>
      <c r="Y113" s="168">
        <v>2016000.0</v>
      </c>
      <c r="Z113" s="403"/>
      <c r="AA113" s="106"/>
      <c r="AB113" s="194">
        <v>0.15</v>
      </c>
      <c r="AC113" s="4">
        <f>Y113+AB113*Y113</f>
        <v>2318400</v>
      </c>
      <c r="AD113" s="3"/>
      <c r="AE113" s="3"/>
      <c r="AF113" s="3"/>
      <c r="AG113" s="3"/>
      <c r="AH113" s="3"/>
      <c r="AI113" s="3"/>
      <c r="AJ113" s="3"/>
    </row>
    <row r="114" ht="15.75" customHeight="1">
      <c r="A114" s="1"/>
      <c r="B114" s="142"/>
      <c r="C114" s="143"/>
      <c r="D114" s="144"/>
      <c r="E114" s="192"/>
      <c r="F114" s="146"/>
      <c r="G114" s="463"/>
      <c r="H114" s="148"/>
      <c r="I114" s="149"/>
      <c r="J114" s="72" t="s">
        <v>67</v>
      </c>
      <c r="K114" s="404">
        <v>160.0</v>
      </c>
      <c r="L114" s="109">
        <f t="shared" ref="L114:W114" si="92">L113/$K$102</f>
        <v>0</v>
      </c>
      <c r="M114" s="109">
        <f t="shared" si="92"/>
        <v>199.6039604</v>
      </c>
      <c r="N114" s="109">
        <f t="shared" si="92"/>
        <v>399.2079208</v>
      </c>
      <c r="O114" s="109">
        <f t="shared" si="92"/>
        <v>598.8118812</v>
      </c>
      <c r="P114" s="109">
        <f t="shared" si="92"/>
        <v>998.019802</v>
      </c>
      <c r="Q114" s="109">
        <f t="shared" si="92"/>
        <v>1397.227723</v>
      </c>
      <c r="R114" s="109">
        <f t="shared" si="92"/>
        <v>1596.831683</v>
      </c>
      <c r="S114" s="109">
        <f t="shared" si="92"/>
        <v>1996.039604</v>
      </c>
      <c r="T114" s="109">
        <f t="shared" si="92"/>
        <v>2395.247525</v>
      </c>
      <c r="U114" s="109">
        <f t="shared" si="92"/>
        <v>2794.455446</v>
      </c>
      <c r="V114" s="109">
        <f t="shared" si="92"/>
        <v>3592.871287</v>
      </c>
      <c r="W114" s="109">
        <f t="shared" si="92"/>
        <v>3992.079208</v>
      </c>
      <c r="X114" s="207"/>
      <c r="Y114" s="172">
        <f t="shared" ref="Y114:Y115" si="94">SUM(L114:W114)</f>
        <v>19960.39604</v>
      </c>
      <c r="Z114" s="405"/>
      <c r="AA114" s="106"/>
      <c r="AB114" s="3"/>
      <c r="AC114" s="3"/>
      <c r="AD114" s="3"/>
      <c r="AE114" s="3"/>
      <c r="AF114" s="3"/>
      <c r="AG114" s="3"/>
      <c r="AH114" s="3"/>
      <c r="AI114" s="3"/>
      <c r="AJ114" s="3"/>
    </row>
    <row r="115" ht="15.75" customHeight="1">
      <c r="A115" s="1"/>
      <c r="B115" s="142"/>
      <c r="C115" s="143"/>
      <c r="D115" s="144"/>
      <c r="E115" s="192"/>
      <c r="F115" s="146"/>
      <c r="G115" s="463"/>
      <c r="H115" s="148"/>
      <c r="I115" s="149"/>
      <c r="J115" s="124" t="s">
        <v>69</v>
      </c>
      <c r="K115" s="413">
        <v>0.045</v>
      </c>
      <c r="L115" s="127">
        <f t="shared" ref="L115:W115" si="93">IF(L114=0, 0,
  MIN(L114, 10000) * 4 +
  MAX(0, MIN(L114, 20000) - 10000) * 3 +
  MAX(0, MIN(L114, 40000) - 20000) * 2 +
  MAX(0, MIN(L114, 80000) - 40000) * 1 +
  MAX(0, MIN(L114, 100000) - 80000) * 0.5 +
  MAX(0, L114 - 100000) * 0.25
)</f>
        <v>0</v>
      </c>
      <c r="M115" s="127">
        <f t="shared" si="93"/>
        <v>798.4158416</v>
      </c>
      <c r="N115" s="127">
        <f t="shared" si="93"/>
        <v>1596.831683</v>
      </c>
      <c r="O115" s="127">
        <f t="shared" si="93"/>
        <v>2395.247525</v>
      </c>
      <c r="P115" s="127">
        <f t="shared" si="93"/>
        <v>3992.079208</v>
      </c>
      <c r="Q115" s="127">
        <f t="shared" si="93"/>
        <v>5588.910891</v>
      </c>
      <c r="R115" s="127">
        <f t="shared" si="93"/>
        <v>6387.326733</v>
      </c>
      <c r="S115" s="127">
        <f t="shared" si="93"/>
        <v>7984.158416</v>
      </c>
      <c r="T115" s="127">
        <f t="shared" si="93"/>
        <v>9580.990099</v>
      </c>
      <c r="U115" s="127">
        <f t="shared" si="93"/>
        <v>11177.82178</v>
      </c>
      <c r="V115" s="127">
        <f t="shared" si="93"/>
        <v>14371.48515</v>
      </c>
      <c r="W115" s="127">
        <f t="shared" si="93"/>
        <v>15968.31683</v>
      </c>
      <c r="X115" s="213"/>
      <c r="Y115" s="181">
        <f t="shared" si="94"/>
        <v>79841.58416</v>
      </c>
      <c r="Z115" s="407"/>
      <c r="AA115" s="141"/>
      <c r="AB115" s="3"/>
      <c r="AC115" s="3"/>
      <c r="AD115" s="3"/>
      <c r="AE115" s="3"/>
      <c r="AF115" s="3"/>
      <c r="AG115" s="3"/>
      <c r="AH115" s="3"/>
      <c r="AI115" s="3"/>
      <c r="AJ115" s="3"/>
    </row>
    <row r="116" ht="15.75" customHeight="1">
      <c r="G116" s="478"/>
      <c r="J116" s="479"/>
      <c r="K116" s="238"/>
      <c r="L116" s="15"/>
      <c r="M116" s="15"/>
      <c r="N116" s="15"/>
      <c r="O116" s="15"/>
      <c r="P116" s="15"/>
      <c r="Q116" s="214"/>
      <c r="R116" s="15"/>
      <c r="S116" s="15"/>
      <c r="T116" s="15"/>
      <c r="U116" s="15"/>
      <c r="V116" s="15"/>
      <c r="W116" s="15"/>
      <c r="X116" s="14"/>
      <c r="Y116" s="14"/>
      <c r="Z116" s="14"/>
      <c r="AA116" s="15"/>
      <c r="AB116" s="3"/>
      <c r="AC116" s="3"/>
      <c r="AD116" s="3"/>
      <c r="AE116" s="3"/>
      <c r="AF116" s="3"/>
      <c r="AG116" s="3"/>
      <c r="AH116" s="3"/>
      <c r="AI116" s="3"/>
      <c r="AJ116" s="3"/>
    </row>
    <row r="117" ht="15.75" customHeight="1">
      <c r="A117" s="1"/>
      <c r="B117" s="476">
        <v>20.0</v>
      </c>
      <c r="C117" s="143" t="str">
        <f>J117</f>
        <v>TATU BOLA</v>
      </c>
      <c r="D117" s="144"/>
      <c r="E117" s="192"/>
      <c r="F117" s="146"/>
      <c r="G117" s="477"/>
      <c r="H117" s="245"/>
      <c r="I117" s="246"/>
      <c r="J117" s="459" t="s">
        <v>141</v>
      </c>
      <c r="K117" s="395"/>
      <c r="L117" s="397" t="s">
        <v>10</v>
      </c>
      <c r="M117" s="398" t="s">
        <v>14</v>
      </c>
      <c r="N117" s="397" t="s">
        <v>18</v>
      </c>
      <c r="O117" s="398" t="s">
        <v>22</v>
      </c>
      <c r="P117" s="397" t="s">
        <v>26</v>
      </c>
      <c r="Q117" s="398" t="s">
        <v>30</v>
      </c>
      <c r="R117" s="397" t="s">
        <v>34</v>
      </c>
      <c r="S117" s="398" t="s">
        <v>38</v>
      </c>
      <c r="T117" s="397" t="s">
        <v>42</v>
      </c>
      <c r="U117" s="398" t="s">
        <v>46</v>
      </c>
      <c r="V117" s="397" t="s">
        <v>50</v>
      </c>
      <c r="W117" s="398" t="s">
        <v>54</v>
      </c>
      <c r="X117" s="378"/>
      <c r="Y117" s="364">
        <v>2027.0</v>
      </c>
      <c r="Z117" s="399" t="s">
        <v>139</v>
      </c>
      <c r="AA117" s="53"/>
      <c r="AB117" s="3"/>
      <c r="AC117" s="3"/>
      <c r="AD117" s="3"/>
      <c r="AE117" s="3"/>
      <c r="AF117" s="3"/>
      <c r="AG117" s="3"/>
      <c r="AH117" s="3"/>
      <c r="AI117" s="3"/>
      <c r="AJ117" s="3"/>
    </row>
    <row r="118" ht="15.75" customHeight="1">
      <c r="A118" s="1"/>
      <c r="B118" s="142"/>
      <c r="C118" s="143"/>
      <c r="D118" s="144"/>
      <c r="E118" s="192"/>
      <c r="F118" s="146"/>
      <c r="G118" s="463"/>
      <c r="H118" s="148"/>
      <c r="I118" s="149"/>
      <c r="J118" s="72" t="s">
        <v>64</v>
      </c>
      <c r="K118" s="400"/>
      <c r="L118" s="401"/>
      <c r="M118" s="401">
        <v>0.01</v>
      </c>
      <c r="N118" s="401">
        <v>0.02</v>
      </c>
      <c r="O118" s="401">
        <v>0.03</v>
      </c>
      <c r="P118" s="401">
        <v>0.05</v>
      </c>
      <c r="Q118" s="401">
        <v>0.07</v>
      </c>
      <c r="R118" s="401">
        <v>0.08</v>
      </c>
      <c r="S118" s="401">
        <v>0.1</v>
      </c>
      <c r="T118" s="401">
        <v>0.12</v>
      </c>
      <c r="U118" s="401">
        <v>0.14</v>
      </c>
      <c r="V118" s="401">
        <v>0.18</v>
      </c>
      <c r="W118" s="401">
        <v>0.2</v>
      </c>
      <c r="X118" s="367"/>
      <c r="Y118" s="166">
        <f>SUM(L118:W118)</f>
        <v>1</v>
      </c>
      <c r="Z118" s="480">
        <v>0.14</v>
      </c>
      <c r="AA118" s="71"/>
      <c r="AB118" s="3"/>
      <c r="AC118" s="3"/>
      <c r="AD118" s="3"/>
      <c r="AE118" s="3"/>
      <c r="AF118" s="3"/>
      <c r="AG118" s="3"/>
      <c r="AH118" s="3"/>
      <c r="AI118" s="3"/>
      <c r="AJ118" s="3"/>
    </row>
    <row r="119" ht="15.75" customHeight="1">
      <c r="A119" s="1"/>
      <c r="B119" s="142"/>
      <c r="C119" s="143"/>
      <c r="D119" s="144"/>
      <c r="E119" s="192"/>
      <c r="F119" s="146"/>
      <c r="G119" s="463"/>
      <c r="H119" s="148"/>
      <c r="I119" s="149"/>
      <c r="J119" s="72" t="s">
        <v>66</v>
      </c>
      <c r="K119" s="400"/>
      <c r="L119" s="91">
        <f t="shared" ref="L119:W119" si="95">L118*$Y$119</f>
        <v>0</v>
      </c>
      <c r="M119" s="91">
        <f t="shared" si="95"/>
        <v>1050</v>
      </c>
      <c r="N119" s="91">
        <f t="shared" si="95"/>
        <v>2100</v>
      </c>
      <c r="O119" s="91">
        <f t="shared" si="95"/>
        <v>3150</v>
      </c>
      <c r="P119" s="91">
        <f t="shared" si="95"/>
        <v>5250</v>
      </c>
      <c r="Q119" s="91">
        <f t="shared" si="95"/>
        <v>7350</v>
      </c>
      <c r="R119" s="91">
        <f t="shared" si="95"/>
        <v>8400</v>
      </c>
      <c r="S119" s="91">
        <f t="shared" si="95"/>
        <v>10500</v>
      </c>
      <c r="T119" s="91">
        <f t="shared" si="95"/>
        <v>12600</v>
      </c>
      <c r="U119" s="91">
        <f t="shared" si="95"/>
        <v>14700</v>
      </c>
      <c r="V119" s="91">
        <f t="shared" si="95"/>
        <v>18900</v>
      </c>
      <c r="W119" s="91">
        <f t="shared" si="95"/>
        <v>21000</v>
      </c>
      <c r="X119" s="102"/>
      <c r="Y119" s="168">
        <v>105000.0</v>
      </c>
      <c r="Z119" s="403"/>
      <c r="AA119" s="106"/>
      <c r="AB119" s="194">
        <v>0.15</v>
      </c>
      <c r="AC119" s="4">
        <f>Y119+AB119*Y119</f>
        <v>120750</v>
      </c>
      <c r="AD119" s="3"/>
      <c r="AE119" s="3"/>
      <c r="AF119" s="3"/>
      <c r="AG119" s="3"/>
      <c r="AH119" s="3"/>
      <c r="AI119" s="3"/>
      <c r="AJ119" s="3"/>
    </row>
    <row r="120" ht="15.75" customHeight="1">
      <c r="A120" s="1"/>
      <c r="B120" s="142"/>
      <c r="C120" s="143"/>
      <c r="D120" s="144"/>
      <c r="E120" s="192"/>
      <c r="F120" s="146"/>
      <c r="G120" s="463"/>
      <c r="H120" s="148"/>
      <c r="I120" s="149"/>
      <c r="J120" s="72" t="s">
        <v>67</v>
      </c>
      <c r="K120" s="404">
        <v>65.0</v>
      </c>
      <c r="L120" s="109">
        <f t="shared" ref="L120:W120" si="96">L119/$K$102</f>
        <v>0</v>
      </c>
      <c r="M120" s="109">
        <f t="shared" si="96"/>
        <v>10.3960396</v>
      </c>
      <c r="N120" s="109">
        <f t="shared" si="96"/>
        <v>20.79207921</v>
      </c>
      <c r="O120" s="109">
        <f t="shared" si="96"/>
        <v>31.18811881</v>
      </c>
      <c r="P120" s="109">
        <f t="shared" si="96"/>
        <v>51.98019802</v>
      </c>
      <c r="Q120" s="109">
        <f t="shared" si="96"/>
        <v>72.77227723</v>
      </c>
      <c r="R120" s="109">
        <f t="shared" si="96"/>
        <v>83.16831683</v>
      </c>
      <c r="S120" s="109">
        <f t="shared" si="96"/>
        <v>103.960396</v>
      </c>
      <c r="T120" s="109">
        <f t="shared" si="96"/>
        <v>124.7524752</v>
      </c>
      <c r="U120" s="109">
        <f t="shared" si="96"/>
        <v>145.5445545</v>
      </c>
      <c r="V120" s="109">
        <f t="shared" si="96"/>
        <v>187.1287129</v>
      </c>
      <c r="W120" s="109">
        <f t="shared" si="96"/>
        <v>207.9207921</v>
      </c>
      <c r="X120" s="207"/>
      <c r="Y120" s="172">
        <f t="shared" ref="Y120:Y121" si="98">SUM(L120:W120)</f>
        <v>1039.60396</v>
      </c>
      <c r="Z120" s="405"/>
      <c r="AA120" s="106"/>
      <c r="AB120" s="3"/>
      <c r="AC120" s="3"/>
      <c r="AD120" s="3"/>
      <c r="AE120" s="3"/>
      <c r="AF120" s="3"/>
      <c r="AG120" s="3"/>
      <c r="AH120" s="3"/>
      <c r="AI120" s="3"/>
      <c r="AJ120" s="3"/>
    </row>
    <row r="121" ht="15.75" customHeight="1">
      <c r="A121" s="1"/>
      <c r="B121" s="142"/>
      <c r="C121" s="143"/>
      <c r="D121" s="144"/>
      <c r="E121" s="192"/>
      <c r="F121" s="146"/>
      <c r="G121" s="463"/>
      <c r="H121" s="148"/>
      <c r="I121" s="149"/>
      <c r="J121" s="124" t="s">
        <v>69</v>
      </c>
      <c r="K121" s="413">
        <v>0.045</v>
      </c>
      <c r="L121" s="127">
        <f t="shared" ref="L121:W121" si="97">IF(L120=0, 0,
  MIN(L120, 10000) * 4 +
  MAX(0, MIN(L120, 20000) - 10000) * 3 +
  MAX(0, MIN(L120, 40000) - 20000) * 2 +
  MAX(0, MIN(L120, 80000) - 40000) * 1 +
  MAX(0, MIN(L120, 100000) - 80000) * 0.5 +
  MAX(0, L120 - 100000) * 0.25
)</f>
        <v>0</v>
      </c>
      <c r="M121" s="127">
        <f t="shared" si="97"/>
        <v>41.58415842</v>
      </c>
      <c r="N121" s="127">
        <f t="shared" si="97"/>
        <v>83.16831683</v>
      </c>
      <c r="O121" s="127">
        <f t="shared" si="97"/>
        <v>124.7524752</v>
      </c>
      <c r="P121" s="127">
        <f t="shared" si="97"/>
        <v>207.9207921</v>
      </c>
      <c r="Q121" s="127">
        <f t="shared" si="97"/>
        <v>291.0891089</v>
      </c>
      <c r="R121" s="127">
        <f t="shared" si="97"/>
        <v>332.6732673</v>
      </c>
      <c r="S121" s="127">
        <f t="shared" si="97"/>
        <v>415.8415842</v>
      </c>
      <c r="T121" s="127">
        <f t="shared" si="97"/>
        <v>499.009901</v>
      </c>
      <c r="U121" s="127">
        <f t="shared" si="97"/>
        <v>582.1782178</v>
      </c>
      <c r="V121" s="127">
        <f t="shared" si="97"/>
        <v>748.5148515</v>
      </c>
      <c r="W121" s="127">
        <f t="shared" si="97"/>
        <v>831.6831683</v>
      </c>
      <c r="X121" s="213"/>
      <c r="Y121" s="181">
        <f t="shared" si="98"/>
        <v>4158.415842</v>
      </c>
      <c r="Z121" s="407"/>
      <c r="AA121" s="141"/>
      <c r="AB121" s="3"/>
      <c r="AC121" s="3"/>
      <c r="AD121" s="3"/>
      <c r="AE121" s="3"/>
      <c r="AF121" s="3"/>
      <c r="AG121" s="3"/>
      <c r="AH121" s="3"/>
      <c r="AI121" s="3"/>
      <c r="AJ121" s="3"/>
    </row>
    <row r="122" ht="15.75" customHeight="1">
      <c r="G122" s="478"/>
      <c r="J122" s="479"/>
      <c r="K122" s="238"/>
      <c r="L122" s="15"/>
      <c r="M122" s="15"/>
      <c r="N122" s="15"/>
      <c r="O122" s="15"/>
      <c r="P122" s="15"/>
      <c r="Q122" s="214"/>
      <c r="R122" s="15"/>
      <c r="S122" s="15"/>
      <c r="T122" s="15"/>
      <c r="U122" s="15"/>
      <c r="V122" s="15"/>
      <c r="W122" s="15"/>
      <c r="X122" s="14"/>
      <c r="Y122" s="14"/>
      <c r="Z122" s="14"/>
      <c r="AA122" s="15"/>
      <c r="AB122" s="3"/>
      <c r="AC122" s="3"/>
      <c r="AD122" s="3"/>
      <c r="AE122" s="3"/>
      <c r="AF122" s="3"/>
      <c r="AG122" s="3"/>
      <c r="AH122" s="3"/>
      <c r="AI122" s="3"/>
      <c r="AJ122" s="3"/>
    </row>
    <row r="123" ht="15.75" customHeight="1">
      <c r="A123" s="1"/>
      <c r="B123" s="476">
        <v>21.0</v>
      </c>
      <c r="C123" s="143" t="str">
        <f>J123</f>
        <v>BOA PRAÇA</v>
      </c>
      <c r="D123" s="144"/>
      <c r="E123" s="192"/>
      <c r="F123" s="146"/>
      <c r="G123" s="477"/>
      <c r="H123" s="245"/>
      <c r="I123" s="246"/>
      <c r="J123" s="459" t="s">
        <v>142</v>
      </c>
      <c r="K123" s="395"/>
      <c r="L123" s="397" t="s">
        <v>10</v>
      </c>
      <c r="M123" s="398" t="s">
        <v>14</v>
      </c>
      <c r="N123" s="397" t="s">
        <v>18</v>
      </c>
      <c r="O123" s="398" t="s">
        <v>22</v>
      </c>
      <c r="P123" s="397" t="s">
        <v>26</v>
      </c>
      <c r="Q123" s="398" t="s">
        <v>30</v>
      </c>
      <c r="R123" s="397" t="s">
        <v>34</v>
      </c>
      <c r="S123" s="398" t="s">
        <v>38</v>
      </c>
      <c r="T123" s="397" t="s">
        <v>42</v>
      </c>
      <c r="U123" s="398" t="s">
        <v>46</v>
      </c>
      <c r="V123" s="397" t="s">
        <v>50</v>
      </c>
      <c r="W123" s="398" t="s">
        <v>54</v>
      </c>
      <c r="X123" s="378"/>
      <c r="Y123" s="364">
        <v>2027.0</v>
      </c>
      <c r="Z123" s="399" t="s">
        <v>139</v>
      </c>
      <c r="AA123" s="53"/>
      <c r="AB123" s="3"/>
      <c r="AC123" s="3"/>
      <c r="AD123" s="3"/>
      <c r="AE123" s="3"/>
      <c r="AF123" s="3"/>
      <c r="AG123" s="3"/>
      <c r="AH123" s="3"/>
      <c r="AI123" s="3"/>
      <c r="AJ123" s="3"/>
    </row>
    <row r="124" ht="15.75" customHeight="1">
      <c r="A124" s="1"/>
      <c r="B124" s="142"/>
      <c r="C124" s="143"/>
      <c r="D124" s="144"/>
      <c r="E124" s="192"/>
      <c r="F124" s="146"/>
      <c r="G124" s="463"/>
      <c r="H124" s="148"/>
      <c r="I124" s="149"/>
      <c r="J124" s="72" t="s">
        <v>64</v>
      </c>
      <c r="K124" s="400"/>
      <c r="L124" s="401"/>
      <c r="M124" s="401"/>
      <c r="N124" s="401"/>
      <c r="O124" s="401">
        <v>0.01</v>
      </c>
      <c r="P124" s="401">
        <v>0.02</v>
      </c>
      <c r="Q124" s="401">
        <v>0.04</v>
      </c>
      <c r="R124" s="401">
        <v>0.07</v>
      </c>
      <c r="S124" s="401">
        <v>0.1</v>
      </c>
      <c r="T124" s="401">
        <v>0.16</v>
      </c>
      <c r="U124" s="401">
        <v>0.19</v>
      </c>
      <c r="V124" s="401">
        <v>0.21</v>
      </c>
      <c r="W124" s="401">
        <v>0.2</v>
      </c>
      <c r="X124" s="367"/>
      <c r="Y124" s="166">
        <f>SUM(L124:W124)</f>
        <v>1</v>
      </c>
      <c r="Z124" s="480">
        <v>0.16</v>
      </c>
      <c r="AA124" s="71"/>
      <c r="AB124" s="3"/>
      <c r="AC124" s="3"/>
      <c r="AD124" s="3"/>
      <c r="AE124" s="3"/>
      <c r="AF124" s="3"/>
      <c r="AG124" s="3"/>
      <c r="AH124" s="3"/>
      <c r="AI124" s="3"/>
      <c r="AJ124" s="3"/>
    </row>
    <row r="125" ht="15.75" customHeight="1">
      <c r="A125" s="1"/>
      <c r="B125" s="142"/>
      <c r="C125" s="143"/>
      <c r="D125" s="144"/>
      <c r="E125" s="192"/>
      <c r="F125" s="146"/>
      <c r="G125" s="463"/>
      <c r="H125" s="148"/>
      <c r="I125" s="149"/>
      <c r="J125" s="72" t="s">
        <v>66</v>
      </c>
      <c r="K125" s="400"/>
      <c r="L125" s="91">
        <f t="shared" ref="L125:W125" si="99">$Y$125*L124</f>
        <v>0</v>
      </c>
      <c r="M125" s="91">
        <f t="shared" si="99"/>
        <v>0</v>
      </c>
      <c r="N125" s="91">
        <f t="shared" si="99"/>
        <v>0</v>
      </c>
      <c r="O125" s="91">
        <f t="shared" si="99"/>
        <v>1000</v>
      </c>
      <c r="P125" s="91">
        <f t="shared" si="99"/>
        <v>2000</v>
      </c>
      <c r="Q125" s="91">
        <f t="shared" si="99"/>
        <v>4000</v>
      </c>
      <c r="R125" s="91">
        <f t="shared" si="99"/>
        <v>7000</v>
      </c>
      <c r="S125" s="91">
        <f t="shared" si="99"/>
        <v>10000</v>
      </c>
      <c r="T125" s="91">
        <f t="shared" si="99"/>
        <v>16000</v>
      </c>
      <c r="U125" s="91">
        <f t="shared" si="99"/>
        <v>19000</v>
      </c>
      <c r="V125" s="91">
        <f t="shared" si="99"/>
        <v>21000</v>
      </c>
      <c r="W125" s="91">
        <f t="shared" si="99"/>
        <v>20000</v>
      </c>
      <c r="X125" s="102"/>
      <c r="Y125" s="168">
        <v>100000.0</v>
      </c>
      <c r="Z125" s="403"/>
      <c r="AA125" s="106"/>
      <c r="AB125" s="194">
        <v>0.15</v>
      </c>
      <c r="AC125" s="4">
        <f>Y125+AB125*Y125</f>
        <v>115000</v>
      </c>
      <c r="AD125" s="3"/>
      <c r="AE125" s="3"/>
      <c r="AF125" s="3"/>
      <c r="AG125" s="3"/>
      <c r="AH125" s="3"/>
      <c r="AI125" s="3"/>
      <c r="AJ125" s="3"/>
    </row>
    <row r="126" ht="15.75" customHeight="1">
      <c r="A126" s="1"/>
      <c r="B126" s="142"/>
      <c r="C126" s="143"/>
      <c r="D126" s="144"/>
      <c r="E126" s="192"/>
      <c r="F126" s="146"/>
      <c r="G126" s="463"/>
      <c r="H126" s="148"/>
      <c r="I126" s="149"/>
      <c r="J126" s="72" t="s">
        <v>67</v>
      </c>
      <c r="K126" s="404">
        <v>70.0</v>
      </c>
      <c r="L126" s="109">
        <f t="shared" ref="L126:W126" si="100">L125/$K$102</f>
        <v>0</v>
      </c>
      <c r="M126" s="109">
        <f t="shared" si="100"/>
        <v>0</v>
      </c>
      <c r="N126" s="109">
        <f t="shared" si="100"/>
        <v>0</v>
      </c>
      <c r="O126" s="109">
        <f t="shared" si="100"/>
        <v>9.900990099</v>
      </c>
      <c r="P126" s="109">
        <f t="shared" si="100"/>
        <v>19.8019802</v>
      </c>
      <c r="Q126" s="109">
        <f t="shared" si="100"/>
        <v>39.6039604</v>
      </c>
      <c r="R126" s="109">
        <f t="shared" si="100"/>
        <v>69.30693069</v>
      </c>
      <c r="S126" s="109">
        <f t="shared" si="100"/>
        <v>99.00990099</v>
      </c>
      <c r="T126" s="109">
        <f t="shared" si="100"/>
        <v>158.4158416</v>
      </c>
      <c r="U126" s="109">
        <f t="shared" si="100"/>
        <v>188.1188119</v>
      </c>
      <c r="V126" s="109">
        <f t="shared" si="100"/>
        <v>207.9207921</v>
      </c>
      <c r="W126" s="109">
        <f t="shared" si="100"/>
        <v>198.019802</v>
      </c>
      <c r="X126" s="207"/>
      <c r="Y126" s="172">
        <f t="shared" ref="Y126:Y127" si="102">SUM(L126:W126)</f>
        <v>990.0990099</v>
      </c>
      <c r="Z126" s="405"/>
      <c r="AA126" s="106"/>
      <c r="AB126" s="3"/>
      <c r="AC126" s="3"/>
      <c r="AD126" s="3"/>
      <c r="AE126" s="3"/>
      <c r="AF126" s="3"/>
      <c r="AG126" s="3"/>
      <c r="AH126" s="3"/>
      <c r="AI126" s="3"/>
      <c r="AJ126" s="3"/>
    </row>
    <row r="127" ht="15.75" customHeight="1">
      <c r="A127" s="1"/>
      <c r="B127" s="142"/>
      <c r="C127" s="143"/>
      <c r="D127" s="144"/>
      <c r="E127" s="192"/>
      <c r="F127" s="146"/>
      <c r="G127" s="463"/>
      <c r="H127" s="148"/>
      <c r="I127" s="149"/>
      <c r="J127" s="124" t="s">
        <v>69</v>
      </c>
      <c r="K127" s="413">
        <v>0.045</v>
      </c>
      <c r="L127" s="127">
        <f t="shared" ref="L127:W127" si="101">IF(L126=0, 0,
  MIN(L126, 10000) * 4 +
  MAX(0, MIN(L126, 20000) - 10000) * 3 +
  MAX(0, MIN(L126, 40000) - 20000) * 2 +
  MAX(0, MIN(L126, 80000) - 40000) * 1 +
  MAX(0, MIN(L126, 100000) - 80000) * 0.5 +
  MAX(0, L126 - 100000) * 0.25
)</f>
        <v>0</v>
      </c>
      <c r="M127" s="127">
        <f t="shared" si="101"/>
        <v>0</v>
      </c>
      <c r="N127" s="127">
        <f t="shared" si="101"/>
        <v>0</v>
      </c>
      <c r="O127" s="127">
        <f t="shared" si="101"/>
        <v>39.6039604</v>
      </c>
      <c r="P127" s="127">
        <f t="shared" si="101"/>
        <v>79.20792079</v>
      </c>
      <c r="Q127" s="127">
        <f t="shared" si="101"/>
        <v>158.4158416</v>
      </c>
      <c r="R127" s="127">
        <f t="shared" si="101"/>
        <v>277.2277228</v>
      </c>
      <c r="S127" s="127">
        <f t="shared" si="101"/>
        <v>396.039604</v>
      </c>
      <c r="T127" s="127">
        <f t="shared" si="101"/>
        <v>633.6633663</v>
      </c>
      <c r="U127" s="127">
        <f t="shared" si="101"/>
        <v>752.4752475</v>
      </c>
      <c r="V127" s="127">
        <f t="shared" si="101"/>
        <v>831.6831683</v>
      </c>
      <c r="W127" s="127">
        <f t="shared" si="101"/>
        <v>792.0792079</v>
      </c>
      <c r="X127" s="213"/>
      <c r="Y127" s="181">
        <f t="shared" si="102"/>
        <v>3960.39604</v>
      </c>
      <c r="Z127" s="407"/>
      <c r="AA127" s="141"/>
      <c r="AB127" s="3"/>
      <c r="AC127" s="3"/>
      <c r="AD127" s="3"/>
      <c r="AE127" s="3"/>
      <c r="AF127" s="3"/>
      <c r="AG127" s="3"/>
      <c r="AH127" s="3"/>
      <c r="AI127" s="3"/>
      <c r="AJ127" s="3"/>
    </row>
    <row r="128" ht="15.75" customHeight="1">
      <c r="G128" s="478"/>
      <c r="J128" s="479"/>
      <c r="K128" s="238"/>
      <c r="L128" s="15"/>
      <c r="M128" s="15"/>
      <c r="N128" s="15"/>
      <c r="O128" s="15"/>
      <c r="P128" s="15"/>
      <c r="Q128" s="214"/>
      <c r="R128" s="15"/>
      <c r="S128" s="15"/>
      <c r="T128" s="15"/>
      <c r="U128" s="15"/>
      <c r="V128" s="15"/>
      <c r="W128" s="15"/>
      <c r="X128" s="14"/>
      <c r="Y128" s="14"/>
      <c r="Z128" s="14"/>
      <c r="AA128" s="15"/>
      <c r="AB128" s="3"/>
      <c r="AC128" s="3"/>
      <c r="AD128" s="3"/>
      <c r="AE128" s="3"/>
      <c r="AF128" s="3"/>
      <c r="AG128" s="3"/>
      <c r="AH128" s="3"/>
      <c r="AI128" s="3"/>
      <c r="AJ128" s="3"/>
    </row>
    <row r="129" ht="15.75" customHeight="1">
      <c r="A129" s="1"/>
      <c r="B129" s="476">
        <v>22.0</v>
      </c>
      <c r="C129" s="143" t="str">
        <f>J129</f>
        <v>RAINHA</v>
      </c>
      <c r="D129" s="144"/>
      <c r="E129" s="192"/>
      <c r="F129" s="146"/>
      <c r="G129" s="477"/>
      <c r="H129" s="245"/>
      <c r="I129" s="246"/>
      <c r="J129" s="459" t="s">
        <v>143</v>
      </c>
      <c r="K129" s="395"/>
      <c r="L129" s="397" t="s">
        <v>10</v>
      </c>
      <c r="M129" s="398" t="s">
        <v>14</v>
      </c>
      <c r="N129" s="397" t="s">
        <v>18</v>
      </c>
      <c r="O129" s="398" t="s">
        <v>22</v>
      </c>
      <c r="P129" s="397" t="s">
        <v>26</v>
      </c>
      <c r="Q129" s="398" t="s">
        <v>30</v>
      </c>
      <c r="R129" s="397" t="s">
        <v>34</v>
      </c>
      <c r="S129" s="398" t="s">
        <v>38</v>
      </c>
      <c r="T129" s="397" t="s">
        <v>42</v>
      </c>
      <c r="U129" s="398" t="s">
        <v>46</v>
      </c>
      <c r="V129" s="397" t="s">
        <v>50</v>
      </c>
      <c r="W129" s="398" t="s">
        <v>54</v>
      </c>
      <c r="X129" s="378"/>
      <c r="Y129" s="364">
        <v>2027.0</v>
      </c>
      <c r="Z129" s="399" t="s">
        <v>139</v>
      </c>
      <c r="AA129" s="53"/>
      <c r="AB129" s="3"/>
      <c r="AC129" s="3"/>
      <c r="AD129" s="3"/>
      <c r="AE129" s="3"/>
      <c r="AF129" s="3"/>
      <c r="AG129" s="3"/>
      <c r="AH129" s="3"/>
      <c r="AI129" s="3"/>
      <c r="AJ129" s="3"/>
    </row>
    <row r="130" ht="15.75" customHeight="1">
      <c r="A130" s="1"/>
      <c r="B130" s="142"/>
      <c r="C130" s="143"/>
      <c r="D130" s="144"/>
      <c r="E130" s="192"/>
      <c r="F130" s="146"/>
      <c r="G130" s="463"/>
      <c r="H130" s="148"/>
      <c r="I130" s="149"/>
      <c r="J130" s="72" t="s">
        <v>64</v>
      </c>
      <c r="K130" s="400"/>
      <c r="L130" s="401"/>
      <c r="M130" s="401"/>
      <c r="N130" s="401"/>
      <c r="O130" s="401">
        <v>0.01</v>
      </c>
      <c r="P130" s="401">
        <v>0.02</v>
      </c>
      <c r="Q130" s="401">
        <v>0.04</v>
      </c>
      <c r="R130" s="401">
        <v>0.07</v>
      </c>
      <c r="S130" s="401">
        <v>0.1</v>
      </c>
      <c r="T130" s="401">
        <v>0.16</v>
      </c>
      <c r="U130" s="401">
        <v>0.19</v>
      </c>
      <c r="V130" s="401">
        <v>0.21</v>
      </c>
      <c r="W130" s="401">
        <v>0.2</v>
      </c>
      <c r="X130" s="367"/>
      <c r="Y130" s="166">
        <f>SUM(L130:W130)</f>
        <v>1</v>
      </c>
      <c r="Z130" s="480">
        <v>0.15</v>
      </c>
      <c r="AA130" s="71"/>
      <c r="AB130" s="3"/>
      <c r="AC130" s="3"/>
      <c r="AD130" s="3"/>
      <c r="AE130" s="3"/>
      <c r="AF130" s="3"/>
      <c r="AG130" s="3"/>
      <c r="AH130" s="3"/>
      <c r="AI130" s="3"/>
      <c r="AJ130" s="3"/>
    </row>
    <row r="131" ht="15.75" customHeight="1">
      <c r="A131" s="1"/>
      <c r="B131" s="142"/>
      <c r="C131" s="143"/>
      <c r="D131" s="144"/>
      <c r="E131" s="192"/>
      <c r="F131" s="146"/>
      <c r="G131" s="463"/>
      <c r="H131" s="148"/>
      <c r="I131" s="149"/>
      <c r="J131" s="72" t="s">
        <v>66</v>
      </c>
      <c r="K131" s="400"/>
      <c r="L131" s="91">
        <f t="shared" ref="L131:W131" si="103">L130*$Y$131</f>
        <v>0</v>
      </c>
      <c r="M131" s="91">
        <f t="shared" si="103"/>
        <v>0</v>
      </c>
      <c r="N131" s="91">
        <f t="shared" si="103"/>
        <v>0</v>
      </c>
      <c r="O131" s="91">
        <f t="shared" si="103"/>
        <v>3000</v>
      </c>
      <c r="P131" s="91">
        <f t="shared" si="103"/>
        <v>6000</v>
      </c>
      <c r="Q131" s="91">
        <f t="shared" si="103"/>
        <v>12000</v>
      </c>
      <c r="R131" s="91">
        <f t="shared" si="103"/>
        <v>21000</v>
      </c>
      <c r="S131" s="91">
        <f t="shared" si="103"/>
        <v>30000</v>
      </c>
      <c r="T131" s="91">
        <f t="shared" si="103"/>
        <v>48000</v>
      </c>
      <c r="U131" s="91">
        <f t="shared" si="103"/>
        <v>57000</v>
      </c>
      <c r="V131" s="91">
        <f t="shared" si="103"/>
        <v>63000</v>
      </c>
      <c r="W131" s="91">
        <f t="shared" si="103"/>
        <v>60000</v>
      </c>
      <c r="X131" s="102"/>
      <c r="Y131" s="168">
        <v>300000.0</v>
      </c>
      <c r="Z131" s="403"/>
      <c r="AA131" s="106"/>
      <c r="AB131" s="194">
        <v>0.15</v>
      </c>
      <c r="AC131" s="4">
        <f>Y131+AB131*Y131</f>
        <v>345000</v>
      </c>
      <c r="AD131" s="3"/>
      <c r="AE131" s="3"/>
      <c r="AF131" s="3"/>
      <c r="AG131" s="3"/>
      <c r="AH131" s="3"/>
      <c r="AI131" s="3"/>
      <c r="AJ131" s="3"/>
    </row>
    <row r="132" ht="15.75" customHeight="1">
      <c r="A132" s="1"/>
      <c r="B132" s="142"/>
      <c r="C132" s="143"/>
      <c r="D132" s="144"/>
      <c r="E132" s="192"/>
      <c r="F132" s="146"/>
      <c r="G132" s="463"/>
      <c r="H132" s="148"/>
      <c r="I132" s="149"/>
      <c r="J132" s="72" t="s">
        <v>67</v>
      </c>
      <c r="K132" s="404">
        <v>140.0</v>
      </c>
      <c r="L132" s="109">
        <f t="shared" ref="L132:W132" si="104">L131/$K$102</f>
        <v>0</v>
      </c>
      <c r="M132" s="109">
        <f t="shared" si="104"/>
        <v>0</v>
      </c>
      <c r="N132" s="109">
        <f t="shared" si="104"/>
        <v>0</v>
      </c>
      <c r="O132" s="109">
        <f t="shared" si="104"/>
        <v>29.7029703</v>
      </c>
      <c r="P132" s="109">
        <f t="shared" si="104"/>
        <v>59.40594059</v>
      </c>
      <c r="Q132" s="109">
        <f t="shared" si="104"/>
        <v>118.8118812</v>
      </c>
      <c r="R132" s="109">
        <f t="shared" si="104"/>
        <v>207.9207921</v>
      </c>
      <c r="S132" s="109">
        <f t="shared" si="104"/>
        <v>297.029703</v>
      </c>
      <c r="T132" s="109">
        <f t="shared" si="104"/>
        <v>475.2475248</v>
      </c>
      <c r="U132" s="109">
        <f t="shared" si="104"/>
        <v>564.3564356</v>
      </c>
      <c r="V132" s="109">
        <f t="shared" si="104"/>
        <v>623.7623762</v>
      </c>
      <c r="W132" s="109">
        <f t="shared" si="104"/>
        <v>594.0594059</v>
      </c>
      <c r="X132" s="207"/>
      <c r="Y132" s="172">
        <f t="shared" ref="Y132:Y133" si="106">SUM(L132:W132)</f>
        <v>2970.29703</v>
      </c>
      <c r="Z132" s="405"/>
      <c r="AA132" s="106"/>
      <c r="AB132" s="3"/>
      <c r="AC132" s="3"/>
      <c r="AD132" s="3"/>
      <c r="AE132" s="3"/>
      <c r="AF132" s="3"/>
      <c r="AG132" s="3"/>
      <c r="AH132" s="3"/>
      <c r="AI132" s="3"/>
      <c r="AJ132" s="3"/>
    </row>
    <row r="133" ht="15.75" customHeight="1">
      <c r="A133" s="1"/>
      <c r="B133" s="142"/>
      <c r="C133" s="143"/>
      <c r="D133" s="144"/>
      <c r="E133" s="192"/>
      <c r="F133" s="146"/>
      <c r="G133" s="463"/>
      <c r="H133" s="148"/>
      <c r="I133" s="149"/>
      <c r="J133" s="124" t="s">
        <v>69</v>
      </c>
      <c r="K133" s="413">
        <v>0.045</v>
      </c>
      <c r="L133" s="127">
        <f t="shared" ref="L133:W133" si="105">IF(L132=0, 0,
  MIN(L132, 10000) * 4 +
  MAX(0, MIN(L132, 20000) - 10000) * 3 +
  MAX(0, MIN(L132, 40000) - 20000) * 2 +
  MAX(0, MIN(L132, 80000) - 40000) * 1 +
  MAX(0, MIN(L132, 100000) - 80000) * 0.5 +
  MAX(0, L132 - 100000) * 0.25
)</f>
        <v>0</v>
      </c>
      <c r="M133" s="127">
        <f t="shared" si="105"/>
        <v>0</v>
      </c>
      <c r="N133" s="127">
        <f t="shared" si="105"/>
        <v>0</v>
      </c>
      <c r="O133" s="127">
        <f t="shared" si="105"/>
        <v>118.8118812</v>
      </c>
      <c r="P133" s="127">
        <f t="shared" si="105"/>
        <v>237.6237624</v>
      </c>
      <c r="Q133" s="127">
        <f t="shared" si="105"/>
        <v>475.2475248</v>
      </c>
      <c r="R133" s="127">
        <f t="shared" si="105"/>
        <v>831.6831683</v>
      </c>
      <c r="S133" s="127">
        <f t="shared" si="105"/>
        <v>1188.118812</v>
      </c>
      <c r="T133" s="127">
        <f t="shared" si="105"/>
        <v>1900.990099</v>
      </c>
      <c r="U133" s="127">
        <f t="shared" si="105"/>
        <v>2257.425743</v>
      </c>
      <c r="V133" s="127">
        <f t="shared" si="105"/>
        <v>2495.049505</v>
      </c>
      <c r="W133" s="127">
        <f t="shared" si="105"/>
        <v>2376.237624</v>
      </c>
      <c r="X133" s="213"/>
      <c r="Y133" s="181">
        <f t="shared" si="106"/>
        <v>11881.18812</v>
      </c>
      <c r="Z133" s="407"/>
      <c r="AA133" s="141"/>
      <c r="AB133" s="3"/>
      <c r="AC133" s="3"/>
      <c r="AD133" s="3"/>
      <c r="AE133" s="3"/>
      <c r="AF133" s="3"/>
      <c r="AG133" s="3"/>
      <c r="AH133" s="3"/>
      <c r="AI133" s="3"/>
      <c r="AJ133" s="3"/>
    </row>
    <row r="134" ht="15.75" customHeight="1">
      <c r="G134" s="478"/>
      <c r="J134" s="479"/>
      <c r="K134" s="238"/>
      <c r="L134" s="15"/>
      <c r="M134" s="15"/>
      <c r="N134" s="15"/>
      <c r="O134" s="15"/>
      <c r="P134" s="15"/>
      <c r="Q134" s="214"/>
      <c r="R134" s="15"/>
      <c r="S134" s="15"/>
      <c r="T134" s="15"/>
      <c r="U134" s="15"/>
      <c r="V134" s="15"/>
      <c r="W134" s="15"/>
      <c r="X134" s="14"/>
      <c r="Y134" s="14"/>
      <c r="Z134" s="14"/>
      <c r="AA134" s="15"/>
      <c r="AB134" s="3"/>
      <c r="AC134" s="3"/>
      <c r="AD134" s="3"/>
      <c r="AE134" s="3"/>
      <c r="AF134" s="3"/>
      <c r="AG134" s="3"/>
      <c r="AH134" s="3"/>
      <c r="AI134" s="3"/>
      <c r="AJ134" s="3"/>
    </row>
    <row r="135" ht="15.75" customHeight="1">
      <c r="A135" s="1"/>
      <c r="B135" s="476">
        <v>23.0</v>
      </c>
      <c r="C135" s="143" t="str">
        <f>J135</f>
        <v>DEAL WISH LIST</v>
      </c>
      <c r="D135" s="144"/>
      <c r="E135" s="192"/>
      <c r="F135" s="146"/>
      <c r="G135" s="477"/>
      <c r="H135" s="245"/>
      <c r="I135" s="246"/>
      <c r="J135" s="459" t="s">
        <v>144</v>
      </c>
      <c r="K135" s="395"/>
      <c r="L135" s="397" t="s">
        <v>10</v>
      </c>
      <c r="M135" s="398" t="s">
        <v>14</v>
      </c>
      <c r="N135" s="397" t="s">
        <v>18</v>
      </c>
      <c r="O135" s="398" t="s">
        <v>22</v>
      </c>
      <c r="P135" s="397" t="s">
        <v>26</v>
      </c>
      <c r="Q135" s="398" t="s">
        <v>30</v>
      </c>
      <c r="R135" s="397" t="s">
        <v>34</v>
      </c>
      <c r="S135" s="398" t="s">
        <v>38</v>
      </c>
      <c r="T135" s="397" t="s">
        <v>42</v>
      </c>
      <c r="U135" s="398" t="s">
        <v>46</v>
      </c>
      <c r="V135" s="397" t="s">
        <v>50</v>
      </c>
      <c r="W135" s="398" t="s">
        <v>54</v>
      </c>
      <c r="X135" s="378"/>
      <c r="Y135" s="364">
        <v>2027.0</v>
      </c>
      <c r="Z135" s="399"/>
      <c r="AA135" s="53"/>
      <c r="AB135" s="3"/>
      <c r="AC135" s="3"/>
      <c r="AD135" s="3"/>
      <c r="AE135" s="3"/>
      <c r="AF135" s="3"/>
      <c r="AG135" s="3"/>
      <c r="AH135" s="3"/>
      <c r="AI135" s="3"/>
      <c r="AJ135" s="3"/>
    </row>
    <row r="136" ht="15.75" customHeight="1">
      <c r="A136" s="1"/>
      <c r="B136" s="142"/>
      <c r="C136" s="143"/>
      <c r="D136" s="144"/>
      <c r="E136" s="192"/>
      <c r="F136" s="146"/>
      <c r="G136" s="463"/>
      <c r="H136" s="148"/>
      <c r="I136" s="149"/>
      <c r="J136" s="72" t="s">
        <v>64</v>
      </c>
      <c r="K136" s="400"/>
      <c r="L136" s="401">
        <v>0.01</v>
      </c>
      <c r="M136" s="401">
        <v>0.01</v>
      </c>
      <c r="N136" s="401">
        <v>0.02</v>
      </c>
      <c r="O136" s="401">
        <v>0.06</v>
      </c>
      <c r="P136" s="401">
        <v>0.06</v>
      </c>
      <c r="Q136" s="401">
        <v>0.08</v>
      </c>
      <c r="R136" s="401">
        <v>0.08</v>
      </c>
      <c r="S136" s="401">
        <v>0.08</v>
      </c>
      <c r="T136" s="401">
        <v>0.1</v>
      </c>
      <c r="U136" s="401">
        <v>0.14</v>
      </c>
      <c r="V136" s="401">
        <v>0.16</v>
      </c>
      <c r="W136" s="401">
        <v>0.2</v>
      </c>
      <c r="X136" s="367"/>
      <c r="Y136" s="166">
        <f>SUM(L136:W136)</f>
        <v>1</v>
      </c>
      <c r="Z136" s="460"/>
      <c r="AA136" s="71"/>
      <c r="AB136" s="3"/>
      <c r="AC136" s="3"/>
      <c r="AD136" s="3"/>
      <c r="AE136" s="3"/>
      <c r="AF136" s="3"/>
      <c r="AG136" s="3"/>
      <c r="AH136" s="3"/>
      <c r="AI136" s="3"/>
      <c r="AJ136" s="3"/>
    </row>
    <row r="137" ht="15.75" customHeight="1">
      <c r="A137" s="1"/>
      <c r="B137" s="142"/>
      <c r="C137" s="143"/>
      <c r="D137" s="144"/>
      <c r="E137" s="192"/>
      <c r="F137" s="146"/>
      <c r="G137" s="463"/>
      <c r="H137" s="148"/>
      <c r="I137" s="149"/>
      <c r="J137" s="72" t="s">
        <v>66</v>
      </c>
      <c r="K137" s="400"/>
      <c r="L137" s="91">
        <f t="shared" ref="L137:W137" si="107">$Y$137*L136</f>
        <v>20000</v>
      </c>
      <c r="M137" s="91">
        <f t="shared" si="107"/>
        <v>20000</v>
      </c>
      <c r="N137" s="91">
        <f t="shared" si="107"/>
        <v>40000</v>
      </c>
      <c r="O137" s="91">
        <f t="shared" si="107"/>
        <v>120000</v>
      </c>
      <c r="P137" s="91">
        <f t="shared" si="107"/>
        <v>120000</v>
      </c>
      <c r="Q137" s="91">
        <f t="shared" si="107"/>
        <v>160000</v>
      </c>
      <c r="R137" s="91">
        <f t="shared" si="107"/>
        <v>160000</v>
      </c>
      <c r="S137" s="91">
        <f t="shared" si="107"/>
        <v>160000</v>
      </c>
      <c r="T137" s="91">
        <f t="shared" si="107"/>
        <v>200000</v>
      </c>
      <c r="U137" s="91">
        <f t="shared" si="107"/>
        <v>280000</v>
      </c>
      <c r="V137" s="91">
        <f t="shared" si="107"/>
        <v>320000</v>
      </c>
      <c r="W137" s="91">
        <f t="shared" si="107"/>
        <v>400000</v>
      </c>
      <c r="X137" s="102"/>
      <c r="Y137" s="168">
        <v>2000000.0</v>
      </c>
      <c r="Z137" s="403"/>
      <c r="AA137" s="106"/>
      <c r="AB137" s="194">
        <v>0.15</v>
      </c>
      <c r="AC137" s="4">
        <f>Y137+AB137*Y137</f>
        <v>2300000</v>
      </c>
      <c r="AD137" s="3"/>
      <c r="AE137" s="3"/>
      <c r="AF137" s="3"/>
      <c r="AG137" s="3"/>
      <c r="AH137" s="3"/>
      <c r="AI137" s="3"/>
      <c r="AJ137" s="3"/>
    </row>
    <row r="138" ht="15.75" customHeight="1">
      <c r="A138" s="1"/>
      <c r="B138" s="142"/>
      <c r="C138" s="143"/>
      <c r="D138" s="144"/>
      <c r="E138" s="192"/>
      <c r="F138" s="146"/>
      <c r="G138" s="463"/>
      <c r="H138" s="148"/>
      <c r="I138" s="149"/>
      <c r="J138" s="72" t="s">
        <v>67</v>
      </c>
      <c r="K138" s="404">
        <v>70.0</v>
      </c>
      <c r="L138" s="109">
        <f t="shared" ref="L138:W138" si="108">L137/$K$102</f>
        <v>198.019802</v>
      </c>
      <c r="M138" s="109">
        <f t="shared" si="108"/>
        <v>198.019802</v>
      </c>
      <c r="N138" s="109">
        <f t="shared" si="108"/>
        <v>396.039604</v>
      </c>
      <c r="O138" s="109">
        <f t="shared" si="108"/>
        <v>1188.118812</v>
      </c>
      <c r="P138" s="109">
        <f t="shared" si="108"/>
        <v>1188.118812</v>
      </c>
      <c r="Q138" s="109">
        <f t="shared" si="108"/>
        <v>1584.158416</v>
      </c>
      <c r="R138" s="109">
        <f t="shared" si="108"/>
        <v>1584.158416</v>
      </c>
      <c r="S138" s="109">
        <f t="shared" si="108"/>
        <v>1584.158416</v>
      </c>
      <c r="T138" s="109">
        <f t="shared" si="108"/>
        <v>1980.19802</v>
      </c>
      <c r="U138" s="109">
        <f t="shared" si="108"/>
        <v>2772.277228</v>
      </c>
      <c r="V138" s="109">
        <f t="shared" si="108"/>
        <v>3168.316832</v>
      </c>
      <c r="W138" s="109">
        <f t="shared" si="108"/>
        <v>3960.39604</v>
      </c>
      <c r="X138" s="207"/>
      <c r="Y138" s="172">
        <f t="shared" ref="Y138:Y139" si="110">SUM(L138:W138)</f>
        <v>19801.9802</v>
      </c>
      <c r="Z138" s="405"/>
      <c r="AA138" s="106"/>
      <c r="AB138" s="3"/>
      <c r="AC138" s="3"/>
      <c r="AD138" s="3"/>
      <c r="AE138" s="3"/>
      <c r="AF138" s="3"/>
      <c r="AG138" s="3"/>
      <c r="AH138" s="3"/>
      <c r="AI138" s="3"/>
      <c r="AJ138" s="3"/>
    </row>
    <row r="139" ht="15.75" customHeight="1">
      <c r="A139" s="1"/>
      <c r="B139" s="142"/>
      <c r="C139" s="143"/>
      <c r="D139" s="144"/>
      <c r="E139" s="192"/>
      <c r="F139" s="146"/>
      <c r="G139" s="463"/>
      <c r="H139" s="148"/>
      <c r="I139" s="149"/>
      <c r="J139" s="124" t="s">
        <v>69</v>
      </c>
      <c r="K139" s="413">
        <v>0.045</v>
      </c>
      <c r="L139" s="127">
        <f t="shared" ref="L139:W139" si="109">IF(L138=0, 0,
  MIN(L138, 10000) * 4 +
  MAX(0, MIN(L138, 20000) - 10000) * 3 +
  MAX(0, MIN(L138, 40000) - 20000) * 2 +
  MAX(0, MIN(L138, 80000) - 40000) * 1 +
  MAX(0, MIN(L138, 100000) - 80000) * 0.5 +
  MAX(0, L138 - 100000) * 0.25
)</f>
        <v>792.0792079</v>
      </c>
      <c r="M139" s="127">
        <f t="shared" si="109"/>
        <v>792.0792079</v>
      </c>
      <c r="N139" s="127">
        <f t="shared" si="109"/>
        <v>1584.158416</v>
      </c>
      <c r="O139" s="127">
        <f t="shared" si="109"/>
        <v>4752.475248</v>
      </c>
      <c r="P139" s="127">
        <f t="shared" si="109"/>
        <v>4752.475248</v>
      </c>
      <c r="Q139" s="127">
        <f t="shared" si="109"/>
        <v>6336.633663</v>
      </c>
      <c r="R139" s="127">
        <f t="shared" si="109"/>
        <v>6336.633663</v>
      </c>
      <c r="S139" s="127">
        <f t="shared" si="109"/>
        <v>6336.633663</v>
      </c>
      <c r="T139" s="127">
        <f t="shared" si="109"/>
        <v>7920.792079</v>
      </c>
      <c r="U139" s="127">
        <f t="shared" si="109"/>
        <v>11089.10891</v>
      </c>
      <c r="V139" s="127">
        <f t="shared" si="109"/>
        <v>12673.26733</v>
      </c>
      <c r="W139" s="127">
        <f t="shared" si="109"/>
        <v>15841.58416</v>
      </c>
      <c r="X139" s="213"/>
      <c r="Y139" s="181">
        <f t="shared" si="110"/>
        <v>79207.92079</v>
      </c>
      <c r="Z139" s="407"/>
      <c r="AA139" s="141"/>
      <c r="AB139" s="3"/>
      <c r="AC139" s="3"/>
      <c r="AD139" s="3"/>
      <c r="AE139" s="3"/>
      <c r="AF139" s="3"/>
      <c r="AG139" s="3"/>
      <c r="AH139" s="3"/>
      <c r="AI139" s="3"/>
      <c r="AJ139" s="3"/>
    </row>
    <row r="140" ht="15.75" customHeight="1">
      <c r="G140" s="478"/>
      <c r="J140" s="479"/>
      <c r="K140" s="238"/>
      <c r="L140" s="15"/>
      <c r="M140" s="15"/>
      <c r="N140" s="15"/>
      <c r="O140" s="15"/>
      <c r="P140" s="15"/>
      <c r="Q140" s="214"/>
      <c r="R140" s="15"/>
      <c r="S140" s="15"/>
      <c r="T140" s="15"/>
      <c r="U140" s="15"/>
      <c r="V140" s="15"/>
      <c r="W140" s="15"/>
      <c r="X140" s="14"/>
      <c r="Y140" s="14"/>
      <c r="Z140" s="14"/>
      <c r="AA140" s="15"/>
      <c r="AB140" s="3"/>
      <c r="AC140" s="3"/>
      <c r="AD140" s="3"/>
      <c r="AE140" s="3"/>
      <c r="AF140" s="3"/>
      <c r="AG140" s="3"/>
      <c r="AH140" s="3"/>
      <c r="AI140" s="3"/>
      <c r="AJ140" s="3"/>
    </row>
    <row r="141" ht="15.75" customHeight="1">
      <c r="A141" s="1"/>
      <c r="B141" s="476">
        <v>24.0</v>
      </c>
      <c r="C141" s="143" t="str">
        <f>J141</f>
        <v>DEAL WISH LIST</v>
      </c>
      <c r="D141" s="144"/>
      <c r="E141" s="192"/>
      <c r="F141" s="146"/>
      <c r="G141" s="477"/>
      <c r="H141" s="245"/>
      <c r="I141" s="246"/>
      <c r="J141" s="459" t="s">
        <v>144</v>
      </c>
      <c r="K141" s="395"/>
      <c r="L141" s="397" t="s">
        <v>10</v>
      </c>
      <c r="M141" s="398" t="s">
        <v>14</v>
      </c>
      <c r="N141" s="397" t="s">
        <v>18</v>
      </c>
      <c r="O141" s="398" t="s">
        <v>22</v>
      </c>
      <c r="P141" s="397" t="s">
        <v>26</v>
      </c>
      <c r="Q141" s="398" t="s">
        <v>30</v>
      </c>
      <c r="R141" s="397" t="s">
        <v>34</v>
      </c>
      <c r="S141" s="398" t="s">
        <v>38</v>
      </c>
      <c r="T141" s="397" t="s">
        <v>42</v>
      </c>
      <c r="U141" s="398" t="s">
        <v>46</v>
      </c>
      <c r="V141" s="397" t="s">
        <v>50</v>
      </c>
      <c r="W141" s="398" t="s">
        <v>54</v>
      </c>
      <c r="X141" s="378"/>
      <c r="Y141" s="364">
        <v>2027.0</v>
      </c>
      <c r="Z141" s="399"/>
      <c r="AA141" s="53"/>
      <c r="AB141" s="3"/>
      <c r="AC141" s="3"/>
      <c r="AD141" s="3"/>
      <c r="AE141" s="3"/>
      <c r="AF141" s="3"/>
      <c r="AG141" s="3"/>
      <c r="AH141" s="3"/>
      <c r="AI141" s="3"/>
      <c r="AJ141" s="3"/>
    </row>
    <row r="142" ht="15.75" customHeight="1">
      <c r="A142" s="1"/>
      <c r="B142" s="142"/>
      <c r="C142" s="143"/>
      <c r="D142" s="144"/>
      <c r="E142" s="192"/>
      <c r="F142" s="146"/>
      <c r="G142" s="463"/>
      <c r="H142" s="148"/>
      <c r="I142" s="149"/>
      <c r="J142" s="72" t="s">
        <v>64</v>
      </c>
      <c r="K142" s="400"/>
      <c r="L142" s="401"/>
      <c r="M142" s="401"/>
      <c r="N142" s="401"/>
      <c r="O142" s="401"/>
      <c r="P142" s="401"/>
      <c r="Q142" s="401">
        <v>0.05</v>
      </c>
      <c r="R142" s="401">
        <v>0.08</v>
      </c>
      <c r="S142" s="401">
        <v>0.1</v>
      </c>
      <c r="T142" s="401">
        <v>0.16</v>
      </c>
      <c r="U142" s="401">
        <v>0.2</v>
      </c>
      <c r="V142" s="401">
        <v>0.21</v>
      </c>
      <c r="W142" s="401">
        <v>0.2</v>
      </c>
      <c r="X142" s="367"/>
      <c r="Y142" s="166">
        <f>SUM(L142:W142)</f>
        <v>1</v>
      </c>
      <c r="Z142" s="460"/>
      <c r="AA142" s="71"/>
      <c r="AB142" s="3"/>
      <c r="AC142" s="3"/>
      <c r="AD142" s="3"/>
      <c r="AE142" s="3"/>
      <c r="AF142" s="3"/>
      <c r="AG142" s="3"/>
      <c r="AH142" s="3"/>
      <c r="AI142" s="3"/>
      <c r="AJ142" s="3"/>
    </row>
    <row r="143" ht="15.75" customHeight="1">
      <c r="A143" s="1"/>
      <c r="B143" s="142"/>
      <c r="C143" s="143"/>
      <c r="D143" s="144"/>
      <c r="E143" s="192"/>
      <c r="F143" s="146"/>
      <c r="G143" s="463"/>
      <c r="H143" s="148"/>
      <c r="I143" s="149"/>
      <c r="J143" s="72" t="s">
        <v>66</v>
      </c>
      <c r="K143" s="400"/>
      <c r="L143" s="91">
        <f t="shared" ref="L143:W143" si="111">$Y$143*L142</f>
        <v>0</v>
      </c>
      <c r="M143" s="91">
        <f t="shared" si="111"/>
        <v>0</v>
      </c>
      <c r="N143" s="91">
        <f t="shared" si="111"/>
        <v>0</v>
      </c>
      <c r="O143" s="91">
        <f t="shared" si="111"/>
        <v>0</v>
      </c>
      <c r="P143" s="91">
        <f t="shared" si="111"/>
        <v>0</v>
      </c>
      <c r="Q143" s="91">
        <f t="shared" si="111"/>
        <v>50000</v>
      </c>
      <c r="R143" s="91">
        <f t="shared" si="111"/>
        <v>80000</v>
      </c>
      <c r="S143" s="91">
        <f t="shared" si="111"/>
        <v>100000</v>
      </c>
      <c r="T143" s="91">
        <f t="shared" si="111"/>
        <v>160000</v>
      </c>
      <c r="U143" s="91">
        <f t="shared" si="111"/>
        <v>200000</v>
      </c>
      <c r="V143" s="91">
        <f t="shared" si="111"/>
        <v>210000</v>
      </c>
      <c r="W143" s="91">
        <f t="shared" si="111"/>
        <v>200000</v>
      </c>
      <c r="X143" s="102"/>
      <c r="Y143" s="168">
        <v>1000000.0</v>
      </c>
      <c r="Z143" s="403"/>
      <c r="AA143" s="106"/>
      <c r="AB143" s="194">
        <v>0.15</v>
      </c>
      <c r="AC143" s="4">
        <f>Y143+AB143*Y143</f>
        <v>1150000</v>
      </c>
      <c r="AD143" s="3"/>
      <c r="AE143" s="3"/>
      <c r="AF143" s="3"/>
      <c r="AG143" s="3"/>
      <c r="AH143" s="3"/>
      <c r="AI143" s="3"/>
      <c r="AJ143" s="3"/>
    </row>
    <row r="144" ht="15.75" customHeight="1">
      <c r="A144" s="1"/>
      <c r="B144" s="142"/>
      <c r="C144" s="143"/>
      <c r="D144" s="144"/>
      <c r="E144" s="192"/>
      <c r="F144" s="146"/>
      <c r="G144" s="463"/>
      <c r="H144" s="148"/>
      <c r="I144" s="149"/>
      <c r="J144" s="72" t="s">
        <v>67</v>
      </c>
      <c r="K144" s="404">
        <v>80.0</v>
      </c>
      <c r="L144" s="109">
        <f t="shared" ref="L144:W144" si="112">L143/$K$102</f>
        <v>0</v>
      </c>
      <c r="M144" s="109">
        <f t="shared" si="112"/>
        <v>0</v>
      </c>
      <c r="N144" s="109">
        <f t="shared" si="112"/>
        <v>0</v>
      </c>
      <c r="O144" s="109">
        <f t="shared" si="112"/>
        <v>0</v>
      </c>
      <c r="P144" s="109">
        <f t="shared" si="112"/>
        <v>0</v>
      </c>
      <c r="Q144" s="109">
        <f t="shared" si="112"/>
        <v>495.049505</v>
      </c>
      <c r="R144" s="109">
        <f t="shared" si="112"/>
        <v>792.0792079</v>
      </c>
      <c r="S144" s="109">
        <f t="shared" si="112"/>
        <v>990.0990099</v>
      </c>
      <c r="T144" s="109">
        <f t="shared" si="112"/>
        <v>1584.158416</v>
      </c>
      <c r="U144" s="109">
        <f t="shared" si="112"/>
        <v>1980.19802</v>
      </c>
      <c r="V144" s="109">
        <f t="shared" si="112"/>
        <v>2079.207921</v>
      </c>
      <c r="W144" s="109">
        <f t="shared" si="112"/>
        <v>1980.19802</v>
      </c>
      <c r="X144" s="207"/>
      <c r="Y144" s="172">
        <f t="shared" ref="Y144:Y145" si="114">SUM(L144:W144)</f>
        <v>9900.990099</v>
      </c>
      <c r="Z144" s="405"/>
      <c r="AA144" s="106"/>
      <c r="AB144" s="3"/>
      <c r="AC144" s="3"/>
      <c r="AD144" s="3"/>
      <c r="AE144" s="3"/>
      <c r="AF144" s="3"/>
      <c r="AG144" s="3"/>
      <c r="AH144" s="3"/>
      <c r="AI144" s="3"/>
      <c r="AJ144" s="3"/>
    </row>
    <row r="145" ht="15.75" customHeight="1">
      <c r="A145" s="1"/>
      <c r="B145" s="142"/>
      <c r="C145" s="143"/>
      <c r="D145" s="144"/>
      <c r="E145" s="192"/>
      <c r="F145" s="146"/>
      <c r="G145" s="463"/>
      <c r="H145" s="148"/>
      <c r="I145" s="149"/>
      <c r="J145" s="124" t="s">
        <v>69</v>
      </c>
      <c r="K145" s="413">
        <v>0.045</v>
      </c>
      <c r="L145" s="127">
        <f t="shared" ref="L145:W145" si="113">IF(L144=0, 0,
  MIN(L144, 10000) * 4 +
  MAX(0, MIN(L144, 20000) - 10000) * 3 +
  MAX(0, MIN(L144, 40000) - 20000) * 2 +
  MAX(0, MIN(L144, 80000) - 40000) * 1 +
  MAX(0, MIN(L144, 100000) - 80000) * 0.5 +
  MAX(0, L144 - 100000) * 0.25
)</f>
        <v>0</v>
      </c>
      <c r="M145" s="127">
        <f t="shared" si="113"/>
        <v>0</v>
      </c>
      <c r="N145" s="127">
        <f t="shared" si="113"/>
        <v>0</v>
      </c>
      <c r="O145" s="127">
        <f t="shared" si="113"/>
        <v>0</v>
      </c>
      <c r="P145" s="127">
        <f t="shared" si="113"/>
        <v>0</v>
      </c>
      <c r="Q145" s="127">
        <f t="shared" si="113"/>
        <v>1980.19802</v>
      </c>
      <c r="R145" s="127">
        <f t="shared" si="113"/>
        <v>3168.316832</v>
      </c>
      <c r="S145" s="127">
        <f t="shared" si="113"/>
        <v>3960.39604</v>
      </c>
      <c r="T145" s="127">
        <f t="shared" si="113"/>
        <v>6336.633663</v>
      </c>
      <c r="U145" s="127">
        <f t="shared" si="113"/>
        <v>7920.792079</v>
      </c>
      <c r="V145" s="127">
        <f t="shared" si="113"/>
        <v>8316.831683</v>
      </c>
      <c r="W145" s="127">
        <f t="shared" si="113"/>
        <v>7920.792079</v>
      </c>
      <c r="X145" s="213"/>
      <c r="Y145" s="181">
        <f t="shared" si="114"/>
        <v>39603.9604</v>
      </c>
      <c r="Z145" s="407"/>
      <c r="AA145" s="141"/>
      <c r="AB145" s="3"/>
      <c r="AC145" s="3"/>
      <c r="AD145" s="3"/>
      <c r="AE145" s="3"/>
      <c r="AF145" s="3"/>
      <c r="AG145" s="3"/>
      <c r="AH145" s="3"/>
      <c r="AI145" s="3"/>
      <c r="AJ145" s="3"/>
    </row>
    <row r="146" ht="15.75" customHeight="1">
      <c r="A146" s="3"/>
      <c r="B146" s="3"/>
      <c r="C146" s="3"/>
      <c r="D146" s="3"/>
      <c r="E146" s="3"/>
      <c r="F146" s="3"/>
      <c r="G146" s="481"/>
      <c r="H146" s="3"/>
      <c r="I146" s="3"/>
      <c r="J146" s="474"/>
      <c r="K146" s="3"/>
      <c r="L146" s="3"/>
      <c r="M146" s="3"/>
      <c r="N146" s="3"/>
      <c r="O146" s="3"/>
      <c r="P146" s="3"/>
      <c r="Q146" s="3"/>
      <c r="R146" s="3"/>
      <c r="S146" s="3"/>
      <c r="T146" s="3"/>
      <c r="U146" s="3"/>
      <c r="V146" s="3"/>
      <c r="W146" s="3"/>
      <c r="X146" s="3"/>
      <c r="Y146" s="3"/>
      <c r="Z146" s="3"/>
      <c r="AA146" s="3"/>
      <c r="AB146" s="3"/>
      <c r="AC146" s="3"/>
      <c r="AD146" s="3"/>
      <c r="AE146" s="3"/>
      <c r="AF146" s="3"/>
      <c r="AG146" s="3"/>
      <c r="AH146" s="3"/>
      <c r="AI146" s="3"/>
      <c r="AJ146" s="3"/>
    </row>
    <row r="147">
      <c r="A147" s="3"/>
      <c r="B147" s="3"/>
      <c r="C147" s="3"/>
      <c r="D147" s="3"/>
      <c r="E147" s="3"/>
      <c r="F147" s="3"/>
      <c r="G147" s="481"/>
      <c r="H147" s="3"/>
      <c r="I147" s="3"/>
      <c r="J147" s="482" t="s">
        <v>145</v>
      </c>
      <c r="K147" s="3"/>
      <c r="L147" s="3"/>
      <c r="M147" s="3"/>
      <c r="N147" s="3"/>
      <c r="O147" s="3"/>
      <c r="P147" s="3"/>
      <c r="Q147" s="3"/>
      <c r="R147" s="3"/>
      <c r="S147" s="3"/>
      <c r="T147" s="3"/>
      <c r="U147" s="3"/>
      <c r="V147" s="3"/>
      <c r="W147" s="3"/>
      <c r="X147" s="3"/>
      <c r="Y147" s="3"/>
      <c r="Z147" s="3"/>
      <c r="AA147" s="3"/>
      <c r="AB147" s="3"/>
      <c r="AC147" s="3"/>
      <c r="AD147" s="3"/>
      <c r="AE147" s="3"/>
      <c r="AF147" s="3"/>
      <c r="AG147" s="3"/>
      <c r="AH147" s="3"/>
      <c r="AI147" s="3"/>
      <c r="AJ147" s="3"/>
    </row>
    <row r="148" ht="15.75" customHeight="1">
      <c r="G148" s="478"/>
      <c r="J148" s="479"/>
      <c r="K148" s="238"/>
      <c r="L148" s="151"/>
      <c r="M148" s="15"/>
      <c r="N148" s="15"/>
      <c r="O148" s="15"/>
      <c r="P148" s="15"/>
      <c r="Q148" s="15"/>
      <c r="R148" s="15"/>
      <c r="S148" s="15"/>
      <c r="T148" s="15"/>
      <c r="U148" s="15"/>
      <c r="V148" s="15"/>
      <c r="W148" s="310" t="s">
        <v>107</v>
      </c>
      <c r="X148" s="483">
        <v>2028.0</v>
      </c>
      <c r="Y148" s="483">
        <v>2027.0</v>
      </c>
      <c r="Z148" s="483">
        <v>2026.0</v>
      </c>
      <c r="AA148" s="483">
        <v>2025.0</v>
      </c>
      <c r="AB148" s="484" t="s">
        <v>146</v>
      </c>
      <c r="AC148" s="484" t="s">
        <v>136</v>
      </c>
      <c r="AD148" s="484" t="s">
        <v>114</v>
      </c>
      <c r="AE148" s="485" t="s">
        <v>147</v>
      </c>
      <c r="AF148" s="3"/>
      <c r="AG148" s="3"/>
      <c r="AH148" s="3"/>
      <c r="AI148" s="3"/>
      <c r="AJ148" s="3"/>
    </row>
    <row r="149" ht="15.75" customHeight="1">
      <c r="G149" s="478"/>
      <c r="J149" s="479"/>
      <c r="K149" s="238"/>
      <c r="L149" s="15"/>
      <c r="M149" s="15"/>
      <c r="N149" s="15"/>
      <c r="O149" s="15"/>
      <c r="P149" s="486"/>
      <c r="V149" s="15"/>
      <c r="W149" s="487" t="s">
        <v>66</v>
      </c>
      <c r="X149" s="449">
        <v>4.30289636224E8</v>
      </c>
      <c r="Y149" s="449">
        <f>SUMIF(J5:J146, "gmv", Y5:Y146)</f>
        <v>231876000</v>
      </c>
      <c r="Z149" s="449">
        <v>1.4596307620140272E8</v>
      </c>
      <c r="AA149" s="449">
        <v>5.7143136419999994E7</v>
      </c>
      <c r="AB149" s="450">
        <f t="shared" ref="AB149:AD149" si="115">X149/Y149-1</f>
        <v>0.8556885414</v>
      </c>
      <c r="AC149" s="450">
        <f t="shared" si="115"/>
        <v>0.5885935405</v>
      </c>
      <c r="AD149" s="450">
        <f t="shared" si="115"/>
        <v>1.55434135</v>
      </c>
      <c r="AE149" s="450">
        <f t="shared" ref="AE149:AE151" si="117">X149/AA149-1</f>
        <v>6.530031832</v>
      </c>
      <c r="AF149" s="3"/>
      <c r="AG149" s="3"/>
      <c r="AH149" s="3"/>
      <c r="AI149" s="3"/>
      <c r="AJ149" s="3"/>
    </row>
    <row r="150" ht="15.75" customHeight="1">
      <c r="G150" s="478"/>
      <c r="J150" s="479"/>
      <c r="K150" s="238"/>
      <c r="L150" s="15"/>
      <c r="M150" s="15"/>
      <c r="N150" s="15"/>
      <c r="O150" s="15"/>
      <c r="V150" s="15"/>
      <c r="W150" s="487" t="s">
        <v>67</v>
      </c>
      <c r="X150" s="451">
        <v>5999251.704452133</v>
      </c>
      <c r="Y150" s="451">
        <f>SUMIF(J6:J146, "Pedidos", Y6:Y146)</f>
        <v>3060851.436</v>
      </c>
      <c r="Z150" s="451">
        <v>1941822.8516652246</v>
      </c>
      <c r="AA150" s="451">
        <v>618684.0</v>
      </c>
      <c r="AB150" s="450">
        <f t="shared" ref="AB150:AD150" si="116">X150/Y150-1</f>
        <v>0.9599944102</v>
      </c>
      <c r="AC150" s="452">
        <f t="shared" si="116"/>
        <v>0.5762773793</v>
      </c>
      <c r="AD150" s="450">
        <f t="shared" si="116"/>
        <v>2.138634346</v>
      </c>
      <c r="AE150" s="450">
        <f t="shared" si="117"/>
        <v>8.696794655</v>
      </c>
      <c r="AF150" s="3"/>
      <c r="AG150" s="3"/>
      <c r="AH150" s="3"/>
      <c r="AI150" s="3"/>
      <c r="AJ150" s="3"/>
    </row>
    <row r="151" ht="15.75" customHeight="1">
      <c r="G151" s="478"/>
      <c r="J151" s="479"/>
      <c r="K151" s="238"/>
      <c r="L151" s="15"/>
      <c r="M151" s="15"/>
      <c r="N151" s="15"/>
      <c r="O151" s="15"/>
      <c r="V151" s="15"/>
      <c r="W151" s="487" t="s">
        <v>69</v>
      </c>
      <c r="X151" s="449">
        <v>1.440908177821782E7</v>
      </c>
      <c r="Y151" s="449">
        <f>SUMIF(J5:J146, "Receita Hanzo", Y5:Y146)</f>
        <v>9063969.023</v>
      </c>
      <c r="Z151" s="449">
        <v>6542361.595067982</v>
      </c>
      <c r="AA151" s="449">
        <v>2450179.2666</v>
      </c>
      <c r="AB151" s="450">
        <f t="shared" ref="AB151:AD151" si="118">X151/Y151-1</f>
        <v>0.5897099539</v>
      </c>
      <c r="AC151" s="450">
        <f t="shared" si="118"/>
        <v>0.385427707</v>
      </c>
      <c r="AD151" s="450">
        <f t="shared" si="118"/>
        <v>1.670156296</v>
      </c>
      <c r="AE151" s="450">
        <f t="shared" si="117"/>
        <v>4.880827568</v>
      </c>
      <c r="AF151" s="3"/>
      <c r="AG151" s="3"/>
      <c r="AH151" s="3"/>
      <c r="AI151" s="3"/>
      <c r="AJ151" s="3"/>
    </row>
    <row r="152" ht="15.75" customHeight="1">
      <c r="G152" s="478"/>
      <c r="J152" s="479"/>
      <c r="K152" s="238"/>
      <c r="L152" s="15"/>
      <c r="M152" s="15"/>
      <c r="N152" s="15"/>
      <c r="O152" s="15"/>
      <c r="V152" s="15"/>
      <c r="W152" s="15"/>
      <c r="X152" s="14"/>
      <c r="Y152" s="14"/>
      <c r="Z152" s="14"/>
      <c r="AA152" s="15"/>
      <c r="AB152" s="3"/>
      <c r="AC152" s="3"/>
      <c r="AD152" s="3"/>
      <c r="AE152" s="3"/>
      <c r="AF152" s="3"/>
      <c r="AG152" s="3"/>
      <c r="AH152" s="3"/>
      <c r="AI152" s="3"/>
      <c r="AJ152" s="3"/>
    </row>
    <row r="153" ht="15.75" customHeight="1">
      <c r="G153" s="478"/>
      <c r="J153" s="479"/>
      <c r="K153" s="238"/>
      <c r="L153" s="15"/>
      <c r="M153" s="15"/>
      <c r="N153" s="15"/>
      <c r="O153" s="15"/>
      <c r="V153" s="15"/>
      <c r="W153" s="15"/>
      <c r="X153" s="25"/>
      <c r="Y153" s="25"/>
      <c r="Z153" s="14"/>
      <c r="AA153" s="15"/>
      <c r="AB153" s="3"/>
      <c r="AC153" s="3"/>
      <c r="AD153" s="3"/>
      <c r="AE153" s="3"/>
      <c r="AF153" s="3"/>
      <c r="AG153" s="3"/>
      <c r="AH153" s="3"/>
      <c r="AI153" s="3"/>
      <c r="AJ153" s="3"/>
    </row>
    <row r="154" ht="15.75" customHeight="1">
      <c r="G154" s="478"/>
      <c r="J154" s="479"/>
      <c r="K154" s="238"/>
      <c r="L154" s="15"/>
      <c r="M154" s="15"/>
      <c r="N154" s="15"/>
      <c r="O154" s="15"/>
      <c r="V154" s="15"/>
      <c r="W154" s="15"/>
      <c r="X154" s="14"/>
      <c r="Y154" s="14"/>
      <c r="Z154" s="14"/>
      <c r="AA154" s="15"/>
      <c r="AB154" s="3"/>
      <c r="AC154" s="3"/>
      <c r="AD154" s="3"/>
      <c r="AE154" s="3"/>
      <c r="AF154" s="3"/>
      <c r="AG154" s="3"/>
      <c r="AH154" s="3"/>
      <c r="AI154" s="3"/>
      <c r="AJ154" s="3"/>
    </row>
    <row r="155" ht="15.75" customHeight="1">
      <c r="G155" s="478"/>
      <c r="J155" s="479"/>
      <c r="K155" s="238"/>
      <c r="L155" s="15"/>
      <c r="M155" s="15"/>
      <c r="N155" s="15"/>
      <c r="O155" s="15"/>
      <c r="V155" s="15"/>
      <c r="W155" s="15"/>
      <c r="X155" s="14"/>
      <c r="Y155" s="14"/>
      <c r="Z155" s="14"/>
      <c r="AA155" s="15"/>
      <c r="AB155" s="3"/>
      <c r="AC155" s="3"/>
      <c r="AD155" s="3"/>
      <c r="AE155" s="3"/>
      <c r="AF155" s="3"/>
      <c r="AG155" s="3"/>
      <c r="AH155" s="3"/>
      <c r="AI155" s="3"/>
      <c r="AJ155" s="3"/>
    </row>
    <row r="156" ht="15.75" customHeight="1">
      <c r="G156" s="478"/>
      <c r="J156" s="479"/>
      <c r="K156" s="238"/>
      <c r="L156" s="15"/>
      <c r="M156" s="15"/>
      <c r="N156" s="15"/>
      <c r="O156" s="15"/>
      <c r="V156" s="15"/>
      <c r="W156" s="15"/>
      <c r="X156" s="14"/>
      <c r="Y156" s="14"/>
      <c r="Z156" s="14"/>
      <c r="AA156" s="15"/>
      <c r="AB156" s="3"/>
      <c r="AC156" s="3"/>
      <c r="AD156" s="3"/>
      <c r="AE156" s="3"/>
      <c r="AF156" s="3"/>
      <c r="AG156" s="3"/>
      <c r="AH156" s="3"/>
      <c r="AI156" s="3"/>
      <c r="AJ156" s="3"/>
    </row>
    <row r="157" ht="15.75" customHeight="1">
      <c r="G157" s="478"/>
      <c r="J157" s="479"/>
      <c r="K157" s="238"/>
      <c r="L157" s="15"/>
      <c r="M157" s="15"/>
      <c r="N157" s="15"/>
      <c r="O157" s="15"/>
      <c r="V157" s="15"/>
      <c r="W157" s="15"/>
      <c r="X157" s="14"/>
      <c r="Y157" s="14"/>
      <c r="Z157" s="14"/>
      <c r="AA157" s="15"/>
      <c r="AB157" s="3"/>
      <c r="AC157" s="3"/>
      <c r="AD157" s="3"/>
      <c r="AE157" s="3"/>
      <c r="AF157" s="3"/>
      <c r="AG157" s="3"/>
      <c r="AH157" s="3"/>
      <c r="AI157" s="3"/>
      <c r="AJ157" s="3"/>
    </row>
    <row r="158" ht="15.75" customHeight="1">
      <c r="G158" s="478"/>
      <c r="J158" s="479"/>
      <c r="K158" s="238"/>
      <c r="L158" s="15"/>
      <c r="M158" s="15"/>
      <c r="N158" s="15"/>
      <c r="O158" s="15"/>
      <c r="V158" s="15"/>
      <c r="W158" s="15"/>
      <c r="X158" s="14"/>
      <c r="Y158" s="14"/>
      <c r="Z158" s="14"/>
      <c r="AA158" s="15"/>
      <c r="AB158" s="3"/>
      <c r="AC158" s="3"/>
      <c r="AD158" s="3"/>
      <c r="AE158" s="3"/>
      <c r="AF158" s="3"/>
      <c r="AG158" s="3"/>
      <c r="AH158" s="3"/>
      <c r="AI158" s="3"/>
      <c r="AJ158" s="3"/>
    </row>
    <row r="159" ht="15.75" customHeight="1">
      <c r="G159" s="478"/>
      <c r="J159" s="479"/>
      <c r="K159" s="238"/>
      <c r="L159" s="15"/>
      <c r="M159" s="15"/>
      <c r="N159" s="15"/>
      <c r="O159" s="15"/>
      <c r="P159" s="15"/>
      <c r="Q159" s="15"/>
      <c r="R159" s="15"/>
      <c r="S159" s="15"/>
      <c r="T159" s="15"/>
      <c r="U159" s="15"/>
      <c r="V159" s="15"/>
      <c r="W159" s="15"/>
      <c r="X159" s="14"/>
      <c r="Y159" s="14"/>
      <c r="Z159" s="14"/>
      <c r="AA159" s="15"/>
      <c r="AB159" s="3"/>
      <c r="AC159" s="3"/>
      <c r="AD159" s="3"/>
      <c r="AE159" s="3"/>
      <c r="AF159" s="3"/>
      <c r="AG159" s="3"/>
      <c r="AH159" s="3"/>
      <c r="AI159" s="3"/>
      <c r="AJ159" s="3"/>
    </row>
    <row r="160" ht="15.75" customHeight="1">
      <c r="G160" s="478"/>
      <c r="J160" s="479"/>
      <c r="K160" s="238"/>
      <c r="L160" s="15"/>
      <c r="M160" s="15"/>
      <c r="N160" s="15"/>
      <c r="O160" s="15"/>
      <c r="P160" s="15"/>
      <c r="Q160" s="15"/>
      <c r="R160" s="15"/>
      <c r="S160" s="15"/>
      <c r="T160" s="15"/>
      <c r="U160" s="15"/>
      <c r="V160" s="15"/>
      <c r="W160" s="15"/>
      <c r="X160" s="14"/>
      <c r="Y160" s="14"/>
      <c r="Z160" s="14"/>
      <c r="AA160" s="15"/>
      <c r="AB160" s="3"/>
      <c r="AC160" s="3"/>
      <c r="AD160" s="3"/>
      <c r="AE160" s="3"/>
      <c r="AF160" s="3"/>
      <c r="AG160" s="3"/>
      <c r="AH160" s="3"/>
      <c r="AI160" s="3"/>
      <c r="AJ160" s="3"/>
    </row>
    <row r="161" ht="15.75" customHeight="1">
      <c r="G161" s="478"/>
      <c r="J161" s="479"/>
      <c r="K161" s="238"/>
      <c r="L161" s="15"/>
      <c r="M161" s="15"/>
      <c r="N161" s="15"/>
      <c r="O161" s="15"/>
      <c r="P161" s="15"/>
      <c r="Q161" s="15"/>
      <c r="R161" s="15"/>
      <c r="S161" s="15"/>
      <c r="T161" s="15"/>
      <c r="U161" s="15"/>
      <c r="V161" s="15"/>
      <c r="W161" s="15"/>
      <c r="X161" s="14"/>
      <c r="Y161" s="14"/>
      <c r="Z161" s="14"/>
      <c r="AA161" s="15"/>
      <c r="AB161" s="3"/>
      <c r="AC161" s="3"/>
      <c r="AD161" s="3"/>
      <c r="AE161" s="3"/>
      <c r="AF161" s="3"/>
      <c r="AG161" s="3"/>
      <c r="AH161" s="3"/>
      <c r="AI161" s="3"/>
      <c r="AJ161" s="3"/>
    </row>
    <row r="162" ht="15.75" customHeight="1">
      <c r="G162" s="478"/>
      <c r="J162" s="479"/>
      <c r="K162" s="238"/>
      <c r="L162" s="15"/>
      <c r="M162" s="15"/>
      <c r="N162" s="15"/>
      <c r="O162" s="15"/>
      <c r="P162" s="15"/>
      <c r="Q162" s="15"/>
      <c r="R162" s="15"/>
      <c r="S162" s="15"/>
      <c r="T162" s="15"/>
      <c r="U162" s="15"/>
      <c r="V162" s="15"/>
      <c r="W162" s="15"/>
      <c r="X162" s="14"/>
      <c r="Y162" s="14"/>
      <c r="Z162" s="14"/>
      <c r="AA162" s="15"/>
      <c r="AB162" s="3"/>
      <c r="AC162" s="3"/>
      <c r="AD162" s="3"/>
      <c r="AE162" s="3"/>
      <c r="AF162" s="3"/>
      <c r="AG162" s="3"/>
      <c r="AH162" s="3"/>
      <c r="AI162" s="3"/>
      <c r="AJ162" s="3"/>
    </row>
    <row r="163" ht="15.75" customHeight="1">
      <c r="G163" s="478"/>
      <c r="J163" s="479"/>
      <c r="K163" s="238"/>
      <c r="L163" s="15"/>
      <c r="M163" s="15"/>
      <c r="N163" s="15"/>
      <c r="O163" s="15"/>
      <c r="P163" s="15"/>
      <c r="Q163" s="15"/>
      <c r="R163" s="15"/>
      <c r="S163" s="15"/>
      <c r="T163" s="15"/>
      <c r="U163" s="15"/>
      <c r="V163" s="15"/>
      <c r="W163" s="15"/>
      <c r="X163" s="14"/>
      <c r="Y163" s="14"/>
      <c r="Z163" s="14"/>
      <c r="AA163" s="15"/>
      <c r="AB163" s="3"/>
      <c r="AC163" s="3"/>
      <c r="AD163" s="3"/>
      <c r="AE163" s="3"/>
      <c r="AF163" s="3"/>
      <c r="AG163" s="3"/>
      <c r="AH163" s="3"/>
      <c r="AI163" s="3"/>
      <c r="AJ163" s="3"/>
    </row>
    <row r="164" ht="15.75" customHeight="1">
      <c r="G164" s="478"/>
      <c r="J164" s="479"/>
      <c r="K164" s="238"/>
      <c r="L164" s="15"/>
      <c r="M164" s="15"/>
      <c r="N164" s="15"/>
      <c r="O164" s="15"/>
      <c r="P164" s="15"/>
      <c r="Q164" s="15"/>
      <c r="R164" s="15"/>
      <c r="S164" s="15"/>
      <c r="T164" s="15"/>
      <c r="U164" s="15"/>
      <c r="V164" s="15"/>
      <c r="W164" s="15"/>
      <c r="X164" s="14"/>
      <c r="Y164" s="14"/>
      <c r="Z164" s="14"/>
      <c r="AA164" s="15"/>
      <c r="AB164" s="3"/>
      <c r="AC164" s="3"/>
      <c r="AD164" s="3"/>
      <c r="AE164" s="3"/>
      <c r="AF164" s="3"/>
      <c r="AG164" s="3"/>
      <c r="AH164" s="3"/>
      <c r="AI164" s="3"/>
      <c r="AJ164" s="3"/>
    </row>
    <row r="165" ht="15.75" customHeight="1">
      <c r="G165" s="478"/>
      <c r="J165" s="479"/>
      <c r="K165" s="238"/>
      <c r="L165" s="15"/>
      <c r="M165" s="15"/>
      <c r="N165" s="15"/>
      <c r="O165" s="15"/>
      <c r="P165" s="15"/>
      <c r="Q165" s="15"/>
      <c r="R165" s="15"/>
      <c r="S165" s="15"/>
      <c r="T165" s="15"/>
      <c r="U165" s="15"/>
      <c r="V165" s="15"/>
      <c r="W165" s="15"/>
      <c r="X165" s="14"/>
      <c r="Y165" s="14"/>
      <c r="Z165" s="14"/>
      <c r="AA165" s="15"/>
      <c r="AB165" s="3"/>
      <c r="AC165" s="3"/>
      <c r="AD165" s="3"/>
      <c r="AE165" s="3"/>
      <c r="AF165" s="3"/>
      <c r="AG165" s="3"/>
      <c r="AH165" s="3"/>
      <c r="AI165" s="3"/>
      <c r="AJ165" s="3"/>
    </row>
    <row r="166" ht="15.75" customHeight="1">
      <c r="G166" s="478"/>
      <c r="J166" s="479"/>
      <c r="K166" s="238"/>
      <c r="L166" s="15"/>
      <c r="M166" s="15"/>
      <c r="N166" s="15"/>
      <c r="O166" s="15"/>
      <c r="P166" s="15"/>
      <c r="Q166" s="15"/>
      <c r="R166" s="15"/>
      <c r="S166" s="15"/>
      <c r="T166" s="15"/>
      <c r="U166" s="15"/>
      <c r="V166" s="15"/>
      <c r="W166" s="15"/>
      <c r="X166" s="14"/>
      <c r="Y166" s="14"/>
      <c r="Z166" s="14"/>
      <c r="AA166" s="15"/>
      <c r="AB166" s="3"/>
      <c r="AC166" s="3"/>
      <c r="AD166" s="3"/>
      <c r="AE166" s="3"/>
      <c r="AF166" s="3"/>
      <c r="AG166" s="3"/>
      <c r="AH166" s="3"/>
      <c r="AI166" s="3"/>
      <c r="AJ166" s="3"/>
    </row>
    <row r="167" ht="15.75" customHeight="1">
      <c r="G167" s="478"/>
      <c r="J167" s="479"/>
      <c r="K167" s="238"/>
      <c r="L167" s="15"/>
      <c r="M167" s="15"/>
      <c r="N167" s="15"/>
      <c r="O167" s="15"/>
      <c r="P167" s="15"/>
      <c r="Q167" s="15"/>
      <c r="R167" s="15"/>
      <c r="S167" s="15"/>
      <c r="T167" s="15"/>
      <c r="U167" s="15"/>
      <c r="V167" s="15"/>
      <c r="W167" s="15"/>
      <c r="X167" s="14"/>
      <c r="Y167" s="14"/>
      <c r="Z167" s="14"/>
      <c r="AA167" s="15"/>
      <c r="AB167" s="3"/>
      <c r="AC167" s="3"/>
      <c r="AD167" s="3"/>
      <c r="AE167" s="3"/>
      <c r="AF167" s="3"/>
      <c r="AG167" s="3"/>
      <c r="AH167" s="3"/>
      <c r="AI167" s="3"/>
      <c r="AJ167" s="3"/>
    </row>
    <row r="168" ht="15.75" customHeight="1">
      <c r="G168" s="478"/>
      <c r="J168" s="479"/>
      <c r="K168" s="238"/>
      <c r="L168" s="15"/>
      <c r="M168" s="15"/>
      <c r="N168" s="15"/>
      <c r="O168" s="15"/>
      <c r="P168" s="15"/>
      <c r="Q168" s="15"/>
      <c r="R168" s="15"/>
      <c r="S168" s="15"/>
      <c r="T168" s="15"/>
      <c r="U168" s="15"/>
      <c r="V168" s="15"/>
      <c r="W168" s="15"/>
      <c r="X168" s="14"/>
      <c r="Y168" s="14"/>
      <c r="Z168" s="14"/>
      <c r="AA168" s="15"/>
      <c r="AB168" s="3"/>
      <c r="AC168" s="3"/>
      <c r="AD168" s="3"/>
      <c r="AE168" s="3"/>
      <c r="AF168" s="3"/>
      <c r="AG168" s="3"/>
      <c r="AH168" s="3"/>
      <c r="AI168" s="3"/>
      <c r="AJ168" s="3"/>
    </row>
    <row r="169" ht="15.75" customHeight="1">
      <c r="G169" s="478"/>
      <c r="J169" s="479"/>
      <c r="K169" s="238"/>
      <c r="L169" s="15"/>
      <c r="M169" s="15"/>
      <c r="N169" s="15"/>
      <c r="O169" s="15"/>
      <c r="P169" s="15"/>
      <c r="Q169" s="15"/>
      <c r="R169" s="15"/>
      <c r="S169" s="15"/>
      <c r="T169" s="15"/>
      <c r="U169" s="15"/>
      <c r="V169" s="15"/>
      <c r="W169" s="15"/>
      <c r="X169" s="14"/>
      <c r="Y169" s="14"/>
      <c r="Z169" s="14"/>
      <c r="AA169" s="15"/>
      <c r="AB169" s="3"/>
      <c r="AC169" s="3"/>
      <c r="AD169" s="3"/>
      <c r="AE169" s="3"/>
      <c r="AF169" s="3"/>
      <c r="AG169" s="3"/>
      <c r="AH169" s="3"/>
      <c r="AI169" s="3"/>
      <c r="AJ169" s="3"/>
    </row>
    <row r="170" ht="15.75" customHeight="1">
      <c r="G170" s="478"/>
      <c r="J170" s="479"/>
      <c r="K170" s="238"/>
      <c r="L170" s="15"/>
      <c r="M170" s="15"/>
      <c r="N170" s="15"/>
      <c r="O170" s="15"/>
      <c r="P170" s="15"/>
      <c r="Q170" s="15"/>
      <c r="R170" s="15"/>
      <c r="S170" s="15"/>
      <c r="T170" s="15"/>
      <c r="U170" s="15"/>
      <c r="V170" s="15"/>
      <c r="W170" s="15"/>
      <c r="X170" s="14"/>
      <c r="Y170" s="14"/>
      <c r="Z170" s="14"/>
      <c r="AA170" s="15"/>
      <c r="AB170" s="3"/>
      <c r="AC170" s="3"/>
      <c r="AD170" s="3"/>
      <c r="AE170" s="3"/>
      <c r="AF170" s="3"/>
      <c r="AG170" s="3"/>
      <c r="AH170" s="3"/>
      <c r="AI170" s="3"/>
      <c r="AJ170" s="3"/>
    </row>
    <row r="171" ht="15.75" customHeight="1">
      <c r="G171" s="478"/>
      <c r="J171" s="479"/>
      <c r="K171" s="238"/>
      <c r="L171" s="15"/>
      <c r="M171" s="15"/>
      <c r="N171" s="15"/>
      <c r="O171" s="15"/>
      <c r="P171" s="15"/>
      <c r="Q171" s="15"/>
      <c r="R171" s="15"/>
      <c r="S171" s="15"/>
      <c r="T171" s="15"/>
      <c r="U171" s="15"/>
      <c r="V171" s="15"/>
      <c r="W171" s="15"/>
      <c r="X171" s="14"/>
      <c r="Y171" s="14"/>
      <c r="Z171" s="14"/>
      <c r="AA171" s="15"/>
      <c r="AB171" s="3"/>
      <c r="AC171" s="3"/>
      <c r="AD171" s="3"/>
      <c r="AE171" s="3"/>
      <c r="AF171" s="3"/>
      <c r="AG171" s="3"/>
      <c r="AH171" s="3"/>
      <c r="AI171" s="3"/>
      <c r="AJ171" s="3"/>
    </row>
    <row r="172" ht="15.75" customHeight="1">
      <c r="G172" s="478"/>
      <c r="J172" s="479"/>
      <c r="K172" s="238"/>
      <c r="L172" s="15"/>
      <c r="M172" s="15"/>
      <c r="N172" s="15"/>
      <c r="O172" s="15"/>
      <c r="P172" s="15"/>
      <c r="Q172" s="15"/>
      <c r="R172" s="15"/>
      <c r="S172" s="15"/>
      <c r="T172" s="15"/>
      <c r="U172" s="15"/>
      <c r="V172" s="15"/>
      <c r="W172" s="15"/>
      <c r="X172" s="14"/>
      <c r="Y172" s="14"/>
      <c r="Z172" s="14"/>
      <c r="AA172" s="15"/>
      <c r="AB172" s="3"/>
      <c r="AC172" s="3"/>
      <c r="AD172" s="3"/>
      <c r="AE172" s="3"/>
      <c r="AF172" s="3"/>
      <c r="AG172" s="3"/>
      <c r="AH172" s="3"/>
      <c r="AI172" s="3"/>
      <c r="AJ172" s="3"/>
    </row>
    <row r="173" ht="15.75" customHeight="1">
      <c r="G173" s="478"/>
      <c r="J173" s="479"/>
      <c r="K173" s="238"/>
      <c r="L173" s="15"/>
      <c r="M173" s="15"/>
      <c r="N173" s="15"/>
      <c r="O173" s="15"/>
      <c r="P173" s="15"/>
      <c r="Q173" s="15"/>
      <c r="R173" s="15"/>
      <c r="S173" s="15"/>
      <c r="T173" s="15"/>
      <c r="U173" s="15"/>
      <c r="V173" s="15"/>
      <c r="W173" s="15"/>
      <c r="X173" s="14"/>
      <c r="Y173" s="14"/>
      <c r="Z173" s="14"/>
      <c r="AA173" s="15"/>
      <c r="AB173" s="3"/>
      <c r="AC173" s="3"/>
      <c r="AD173" s="3"/>
      <c r="AE173" s="3"/>
      <c r="AF173" s="3"/>
      <c r="AG173" s="3"/>
      <c r="AH173" s="3"/>
      <c r="AI173" s="3"/>
      <c r="AJ173" s="3"/>
    </row>
    <row r="174" ht="15.75" customHeight="1">
      <c r="G174" s="478"/>
      <c r="J174" s="479"/>
      <c r="K174" s="238"/>
      <c r="L174" s="15"/>
      <c r="M174" s="15"/>
      <c r="N174" s="15"/>
      <c r="O174" s="15"/>
      <c r="P174" s="15"/>
      <c r="Q174" s="15"/>
      <c r="R174" s="15"/>
      <c r="S174" s="15"/>
      <c r="T174" s="15"/>
      <c r="U174" s="15"/>
      <c r="V174" s="15"/>
      <c r="W174" s="15"/>
      <c r="X174" s="14"/>
      <c r="Y174" s="14"/>
      <c r="Z174" s="14"/>
      <c r="AA174" s="15"/>
      <c r="AB174" s="3"/>
      <c r="AC174" s="3"/>
      <c r="AD174" s="3"/>
      <c r="AE174" s="3"/>
      <c r="AF174" s="3"/>
      <c r="AG174" s="3"/>
      <c r="AH174" s="3"/>
      <c r="AI174" s="3"/>
      <c r="AJ174" s="3"/>
    </row>
    <row r="175" ht="15.75" customHeight="1">
      <c r="G175" s="478"/>
      <c r="J175" s="479"/>
      <c r="K175" s="238"/>
      <c r="L175" s="15"/>
      <c r="M175" s="15"/>
      <c r="N175" s="15"/>
      <c r="O175" s="15"/>
      <c r="P175" s="15"/>
      <c r="Q175" s="15"/>
      <c r="R175" s="15"/>
      <c r="S175" s="15"/>
      <c r="T175" s="15"/>
      <c r="U175" s="15"/>
      <c r="V175" s="15"/>
      <c r="W175" s="15"/>
      <c r="X175" s="14"/>
      <c r="Y175" s="14"/>
      <c r="Z175" s="14"/>
      <c r="AA175" s="15"/>
      <c r="AB175" s="3"/>
      <c r="AC175" s="3"/>
      <c r="AD175" s="3"/>
      <c r="AE175" s="3"/>
      <c r="AF175" s="3"/>
      <c r="AG175" s="3"/>
      <c r="AH175" s="3"/>
      <c r="AI175" s="3"/>
      <c r="AJ175" s="3"/>
    </row>
    <row r="176" ht="15.75" customHeight="1">
      <c r="G176" s="478"/>
      <c r="J176" s="479"/>
      <c r="K176" s="238"/>
      <c r="L176" s="15"/>
      <c r="M176" s="15"/>
      <c r="N176" s="15"/>
      <c r="O176" s="15"/>
      <c r="P176" s="15"/>
      <c r="Q176" s="15"/>
      <c r="R176" s="15"/>
      <c r="S176" s="15"/>
      <c r="T176" s="15"/>
      <c r="U176" s="15"/>
      <c r="V176" s="15"/>
      <c r="W176" s="15"/>
      <c r="X176" s="14"/>
      <c r="Y176" s="14"/>
      <c r="Z176" s="14"/>
      <c r="AA176" s="15"/>
      <c r="AB176" s="3"/>
      <c r="AC176" s="3"/>
      <c r="AD176" s="3"/>
      <c r="AE176" s="3"/>
      <c r="AF176" s="3"/>
      <c r="AG176" s="3"/>
      <c r="AH176" s="3"/>
      <c r="AI176" s="3"/>
      <c r="AJ176" s="3"/>
    </row>
    <row r="177" ht="15.75" customHeight="1">
      <c r="G177" s="478"/>
      <c r="J177" s="479"/>
      <c r="K177" s="238"/>
      <c r="L177" s="15"/>
      <c r="M177" s="15"/>
      <c r="N177" s="15"/>
      <c r="O177" s="15"/>
      <c r="P177" s="15"/>
      <c r="Q177" s="15"/>
      <c r="R177" s="15"/>
      <c r="S177" s="15"/>
      <c r="T177" s="15"/>
      <c r="U177" s="15"/>
      <c r="V177" s="15"/>
      <c r="W177" s="15"/>
      <c r="X177" s="14"/>
      <c r="Y177" s="14"/>
      <c r="Z177" s="14"/>
      <c r="AA177" s="15"/>
      <c r="AB177" s="3"/>
      <c r="AC177" s="3"/>
      <c r="AD177" s="3"/>
      <c r="AE177" s="3"/>
      <c r="AF177" s="3"/>
      <c r="AG177" s="3"/>
      <c r="AH177" s="3"/>
      <c r="AI177" s="3"/>
      <c r="AJ177" s="3"/>
    </row>
    <row r="178" ht="15.75" customHeight="1">
      <c r="G178" s="478"/>
      <c r="J178" s="479"/>
      <c r="K178" s="238"/>
      <c r="L178" s="15"/>
      <c r="M178" s="15"/>
      <c r="N178" s="15"/>
      <c r="O178" s="15"/>
      <c r="P178" s="15"/>
      <c r="Q178" s="15"/>
      <c r="R178" s="15"/>
      <c r="S178" s="15"/>
      <c r="T178" s="15"/>
      <c r="U178" s="15"/>
      <c r="V178" s="15"/>
      <c r="W178" s="15"/>
      <c r="X178" s="14"/>
      <c r="Y178" s="14"/>
      <c r="Z178" s="14"/>
      <c r="AA178" s="15"/>
      <c r="AB178" s="3"/>
      <c r="AC178" s="3"/>
      <c r="AD178" s="3"/>
      <c r="AE178" s="3"/>
      <c r="AF178" s="3"/>
      <c r="AG178" s="3"/>
      <c r="AH178" s="3"/>
      <c r="AI178" s="3"/>
      <c r="AJ178" s="3"/>
    </row>
    <row r="179" ht="15.75" customHeight="1">
      <c r="G179" s="478"/>
      <c r="J179" s="479"/>
      <c r="K179" s="238"/>
      <c r="L179" s="15"/>
      <c r="M179" s="15"/>
      <c r="N179" s="15"/>
      <c r="O179" s="15"/>
      <c r="P179" s="15"/>
      <c r="Q179" s="15"/>
      <c r="R179" s="15"/>
      <c r="S179" s="15"/>
      <c r="T179" s="15"/>
      <c r="U179" s="15"/>
      <c r="V179" s="15"/>
      <c r="W179" s="15"/>
      <c r="X179" s="14"/>
      <c r="Y179" s="14"/>
      <c r="Z179" s="14"/>
      <c r="AA179" s="15"/>
      <c r="AB179" s="3"/>
      <c r="AC179" s="3"/>
      <c r="AD179" s="3"/>
      <c r="AE179" s="3"/>
      <c r="AF179" s="3"/>
      <c r="AG179" s="3"/>
      <c r="AH179" s="3"/>
      <c r="AI179" s="3"/>
      <c r="AJ179" s="3"/>
    </row>
    <row r="180" ht="15.75" customHeight="1">
      <c r="G180" s="478"/>
      <c r="J180" s="479"/>
      <c r="K180" s="238"/>
      <c r="L180" s="15"/>
      <c r="M180" s="15"/>
      <c r="N180" s="15"/>
      <c r="O180" s="15"/>
      <c r="P180" s="15"/>
      <c r="Q180" s="15"/>
      <c r="R180" s="15"/>
      <c r="S180" s="15"/>
      <c r="T180" s="15"/>
      <c r="U180" s="15"/>
      <c r="V180" s="15"/>
      <c r="W180" s="15"/>
      <c r="X180" s="14"/>
      <c r="Y180" s="14"/>
      <c r="Z180" s="14"/>
      <c r="AA180" s="15"/>
      <c r="AB180" s="3"/>
      <c r="AC180" s="3"/>
      <c r="AD180" s="3"/>
      <c r="AE180" s="3"/>
      <c r="AF180" s="3"/>
      <c r="AG180" s="3"/>
      <c r="AH180" s="3"/>
      <c r="AI180" s="3"/>
      <c r="AJ180" s="3"/>
    </row>
    <row r="181" ht="15.75" customHeight="1">
      <c r="G181" s="478"/>
      <c r="J181" s="479"/>
      <c r="K181" s="238"/>
      <c r="L181" s="15"/>
      <c r="M181" s="15"/>
      <c r="N181" s="15"/>
      <c r="O181" s="15"/>
      <c r="P181" s="15"/>
      <c r="Q181" s="15"/>
      <c r="R181" s="15"/>
      <c r="S181" s="15"/>
      <c r="T181" s="15"/>
      <c r="U181" s="15"/>
      <c r="V181" s="15"/>
      <c r="W181" s="15"/>
      <c r="X181" s="14"/>
      <c r="Y181" s="14"/>
      <c r="Z181" s="14"/>
      <c r="AA181" s="15"/>
      <c r="AB181" s="3"/>
      <c r="AC181" s="3"/>
      <c r="AD181" s="3"/>
      <c r="AE181" s="3"/>
      <c r="AF181" s="3"/>
      <c r="AG181" s="3"/>
      <c r="AH181" s="3"/>
      <c r="AI181" s="3"/>
      <c r="AJ181" s="3"/>
    </row>
    <row r="182" ht="15.75" customHeight="1">
      <c r="G182" s="478"/>
      <c r="J182" s="479"/>
      <c r="K182" s="238"/>
      <c r="L182" s="15"/>
      <c r="M182" s="15"/>
      <c r="N182" s="15"/>
      <c r="O182" s="15"/>
      <c r="P182" s="15"/>
      <c r="Q182" s="15"/>
      <c r="R182" s="15"/>
      <c r="S182" s="15"/>
      <c r="T182" s="15"/>
      <c r="U182" s="15"/>
      <c r="V182" s="15"/>
      <c r="W182" s="15"/>
      <c r="X182" s="14"/>
      <c r="Y182" s="14"/>
      <c r="Z182" s="14"/>
      <c r="AA182" s="15"/>
      <c r="AB182" s="3"/>
      <c r="AC182" s="3"/>
      <c r="AD182" s="3"/>
      <c r="AE182" s="3"/>
      <c r="AF182" s="3"/>
      <c r="AG182" s="3"/>
      <c r="AH182" s="3"/>
      <c r="AI182" s="3"/>
      <c r="AJ182" s="3"/>
    </row>
    <row r="183" ht="15.75" customHeight="1">
      <c r="G183" s="478"/>
      <c r="J183" s="479"/>
      <c r="K183" s="238"/>
      <c r="L183" s="15"/>
      <c r="M183" s="15"/>
      <c r="N183" s="15"/>
      <c r="O183" s="15"/>
      <c r="P183" s="15"/>
      <c r="Q183" s="15"/>
      <c r="R183" s="15"/>
      <c r="S183" s="15"/>
      <c r="T183" s="15"/>
      <c r="U183" s="15"/>
      <c r="V183" s="15"/>
      <c r="W183" s="15"/>
      <c r="X183" s="14"/>
      <c r="Y183" s="14"/>
      <c r="Z183" s="14"/>
      <c r="AA183" s="15"/>
      <c r="AB183" s="3"/>
      <c r="AC183" s="3"/>
      <c r="AD183" s="3"/>
      <c r="AE183" s="3"/>
      <c r="AF183" s="3"/>
      <c r="AG183" s="3"/>
      <c r="AH183" s="3"/>
      <c r="AI183" s="3"/>
      <c r="AJ183" s="3"/>
    </row>
    <row r="184" ht="15.75" customHeight="1">
      <c r="G184" s="478"/>
      <c r="J184" s="479"/>
      <c r="K184" s="238"/>
      <c r="L184" s="15"/>
      <c r="M184" s="15"/>
      <c r="N184" s="15"/>
      <c r="O184" s="15"/>
      <c r="P184" s="15"/>
      <c r="Q184" s="15"/>
      <c r="R184" s="15"/>
      <c r="S184" s="15"/>
      <c r="T184" s="15"/>
      <c r="U184" s="15"/>
      <c r="V184" s="15"/>
      <c r="W184" s="15"/>
      <c r="X184" s="14"/>
      <c r="Y184" s="14"/>
      <c r="Z184" s="14"/>
      <c r="AA184" s="15"/>
      <c r="AB184" s="3"/>
      <c r="AC184" s="3"/>
      <c r="AD184" s="3"/>
      <c r="AE184" s="3"/>
      <c r="AF184" s="3"/>
      <c r="AG184" s="3"/>
      <c r="AH184" s="3"/>
      <c r="AI184" s="3"/>
      <c r="AJ184" s="3"/>
    </row>
    <row r="185" ht="15.75" customHeight="1">
      <c r="G185" s="478"/>
      <c r="J185" s="479"/>
      <c r="K185" s="238"/>
      <c r="L185" s="15"/>
      <c r="M185" s="15"/>
      <c r="N185" s="15"/>
      <c r="O185" s="15"/>
      <c r="P185" s="15"/>
      <c r="Q185" s="15"/>
      <c r="R185" s="15"/>
      <c r="S185" s="15"/>
      <c r="T185" s="15"/>
      <c r="U185" s="15"/>
      <c r="V185" s="15"/>
      <c r="W185" s="15"/>
      <c r="X185" s="14"/>
      <c r="Y185" s="14"/>
      <c r="Z185" s="14"/>
      <c r="AA185" s="15"/>
      <c r="AB185" s="3"/>
      <c r="AC185" s="3"/>
      <c r="AD185" s="3"/>
      <c r="AE185" s="3"/>
      <c r="AF185" s="3"/>
      <c r="AG185" s="3"/>
      <c r="AH185" s="3"/>
      <c r="AI185" s="3"/>
      <c r="AJ185" s="3"/>
    </row>
    <row r="186" ht="15.75" customHeight="1">
      <c r="G186" s="478"/>
      <c r="J186" s="479"/>
      <c r="K186" s="238"/>
      <c r="L186" s="15"/>
      <c r="M186" s="15"/>
      <c r="N186" s="15"/>
      <c r="O186" s="15"/>
      <c r="P186" s="15"/>
      <c r="Q186" s="15"/>
      <c r="R186" s="15"/>
      <c r="S186" s="15"/>
      <c r="T186" s="15"/>
      <c r="U186" s="15"/>
      <c r="V186" s="15"/>
      <c r="W186" s="15"/>
      <c r="X186" s="14"/>
      <c r="Y186" s="14"/>
      <c r="Z186" s="14"/>
      <c r="AA186" s="15"/>
      <c r="AB186" s="3"/>
      <c r="AC186" s="3"/>
      <c r="AD186" s="3"/>
      <c r="AE186" s="3"/>
      <c r="AF186" s="3"/>
      <c r="AG186" s="3"/>
      <c r="AH186" s="3"/>
      <c r="AI186" s="3"/>
      <c r="AJ186" s="3"/>
    </row>
    <row r="187" ht="15.75" customHeight="1">
      <c r="G187" s="478"/>
      <c r="J187" s="479"/>
      <c r="K187" s="238"/>
      <c r="L187" s="15"/>
      <c r="M187" s="15"/>
      <c r="N187" s="15"/>
      <c r="O187" s="15"/>
      <c r="P187" s="15"/>
      <c r="Q187" s="15"/>
      <c r="R187" s="15"/>
      <c r="S187" s="15"/>
      <c r="T187" s="15"/>
      <c r="U187" s="15"/>
      <c r="V187" s="15"/>
      <c r="W187" s="15"/>
      <c r="X187" s="14"/>
      <c r="Y187" s="14"/>
      <c r="Z187" s="14"/>
      <c r="AA187" s="15"/>
      <c r="AB187" s="3"/>
      <c r="AC187" s="3"/>
      <c r="AD187" s="3"/>
      <c r="AE187" s="3"/>
      <c r="AF187" s="3"/>
      <c r="AG187" s="3"/>
      <c r="AH187" s="3"/>
      <c r="AI187" s="3"/>
      <c r="AJ187" s="3"/>
    </row>
    <row r="188" ht="15.75" customHeight="1">
      <c r="G188" s="478"/>
      <c r="J188" s="479"/>
      <c r="K188" s="238"/>
      <c r="L188" s="15"/>
      <c r="M188" s="15"/>
      <c r="N188" s="15"/>
      <c r="O188" s="15"/>
      <c r="P188" s="15"/>
      <c r="Q188" s="15"/>
      <c r="R188" s="15"/>
      <c r="S188" s="15"/>
      <c r="T188" s="15"/>
      <c r="U188" s="15"/>
      <c r="V188" s="15"/>
      <c r="W188" s="15"/>
      <c r="X188" s="14"/>
      <c r="Y188" s="14"/>
      <c r="Z188" s="14"/>
      <c r="AA188" s="15"/>
      <c r="AB188" s="3"/>
      <c r="AC188" s="3"/>
      <c r="AD188" s="3"/>
      <c r="AE188" s="3"/>
      <c r="AF188" s="3"/>
      <c r="AG188" s="3"/>
      <c r="AH188" s="3"/>
      <c r="AI188" s="3"/>
      <c r="AJ188" s="3"/>
    </row>
    <row r="189" ht="15.75" customHeight="1">
      <c r="G189" s="478"/>
      <c r="J189" s="479"/>
      <c r="K189" s="238"/>
      <c r="L189" s="15"/>
      <c r="M189" s="15"/>
      <c r="N189" s="15"/>
      <c r="O189" s="15"/>
      <c r="P189" s="15"/>
      <c r="Q189" s="15"/>
      <c r="R189" s="15"/>
      <c r="S189" s="15"/>
      <c r="T189" s="15"/>
      <c r="U189" s="15"/>
      <c r="V189" s="15"/>
      <c r="W189" s="15"/>
      <c r="X189" s="14"/>
      <c r="Y189" s="14"/>
      <c r="Z189" s="14"/>
      <c r="AA189" s="15"/>
      <c r="AB189" s="3"/>
      <c r="AC189" s="3"/>
      <c r="AD189" s="3"/>
      <c r="AE189" s="3"/>
      <c r="AF189" s="3"/>
      <c r="AG189" s="3"/>
      <c r="AH189" s="3"/>
      <c r="AI189" s="3"/>
      <c r="AJ189" s="3"/>
    </row>
    <row r="190" ht="15.75" customHeight="1">
      <c r="G190" s="478"/>
      <c r="J190" s="479"/>
      <c r="K190" s="238"/>
      <c r="L190" s="15"/>
      <c r="M190" s="15"/>
      <c r="N190" s="15"/>
      <c r="O190" s="15"/>
      <c r="P190" s="15"/>
      <c r="Q190" s="15"/>
      <c r="R190" s="15"/>
      <c r="S190" s="15"/>
      <c r="T190" s="15"/>
      <c r="U190" s="15"/>
      <c r="V190" s="15"/>
      <c r="W190" s="15"/>
      <c r="X190" s="14"/>
      <c r="Y190" s="14"/>
      <c r="Z190" s="14"/>
      <c r="AA190" s="15"/>
      <c r="AB190" s="3"/>
      <c r="AC190" s="3"/>
      <c r="AD190" s="3"/>
      <c r="AE190" s="3"/>
      <c r="AF190" s="3"/>
      <c r="AG190" s="3"/>
      <c r="AH190" s="3"/>
      <c r="AI190" s="3"/>
      <c r="AJ190" s="3"/>
    </row>
    <row r="191" ht="15.75" customHeight="1">
      <c r="G191" s="478"/>
      <c r="J191" s="479"/>
      <c r="K191" s="238"/>
      <c r="L191" s="15"/>
      <c r="M191" s="15"/>
      <c r="N191" s="15"/>
      <c r="O191" s="15"/>
      <c r="P191" s="15"/>
      <c r="Q191" s="15"/>
      <c r="R191" s="15"/>
      <c r="S191" s="15"/>
      <c r="T191" s="15"/>
      <c r="U191" s="15"/>
      <c r="V191" s="15"/>
      <c r="W191" s="15"/>
      <c r="X191" s="14"/>
      <c r="Y191" s="14"/>
      <c r="Z191" s="14"/>
      <c r="AA191" s="15"/>
      <c r="AB191" s="3"/>
      <c r="AC191" s="3"/>
      <c r="AD191" s="3"/>
      <c r="AE191" s="3"/>
      <c r="AF191" s="3"/>
      <c r="AG191" s="3"/>
      <c r="AH191" s="3"/>
      <c r="AI191" s="3"/>
      <c r="AJ191" s="3"/>
    </row>
    <row r="192" ht="15.75" customHeight="1">
      <c r="G192" s="478"/>
      <c r="J192" s="479"/>
      <c r="K192" s="238"/>
      <c r="L192" s="15"/>
      <c r="M192" s="15"/>
      <c r="N192" s="15"/>
      <c r="O192" s="15"/>
      <c r="P192" s="15"/>
      <c r="Q192" s="15"/>
      <c r="R192" s="15"/>
      <c r="S192" s="15"/>
      <c r="T192" s="15"/>
      <c r="U192" s="15"/>
      <c r="V192" s="15"/>
      <c r="W192" s="15"/>
      <c r="X192" s="14"/>
      <c r="Y192" s="14"/>
      <c r="Z192" s="14"/>
      <c r="AA192" s="15"/>
      <c r="AB192" s="3"/>
      <c r="AC192" s="3"/>
      <c r="AD192" s="3"/>
      <c r="AE192" s="3"/>
      <c r="AF192" s="3"/>
      <c r="AG192" s="3"/>
      <c r="AH192" s="3"/>
      <c r="AI192" s="3"/>
      <c r="AJ192" s="3"/>
    </row>
    <row r="193" ht="15.75" customHeight="1">
      <c r="G193" s="478"/>
      <c r="J193" s="479"/>
      <c r="K193" s="238"/>
      <c r="L193" s="15"/>
      <c r="M193" s="15"/>
      <c r="N193" s="15"/>
      <c r="O193" s="15"/>
      <c r="P193" s="15"/>
      <c r="Q193" s="15"/>
      <c r="R193" s="15"/>
      <c r="S193" s="15"/>
      <c r="T193" s="15"/>
      <c r="U193" s="15"/>
      <c r="V193" s="15"/>
      <c r="W193" s="15"/>
      <c r="X193" s="14"/>
      <c r="Y193" s="14"/>
      <c r="Z193" s="14"/>
      <c r="AA193" s="15"/>
      <c r="AB193" s="3"/>
      <c r="AC193" s="3"/>
      <c r="AD193" s="3"/>
      <c r="AE193" s="3"/>
      <c r="AF193" s="3"/>
      <c r="AG193" s="3"/>
      <c r="AH193" s="3"/>
      <c r="AI193" s="3"/>
      <c r="AJ193" s="3"/>
    </row>
    <row r="194" ht="15.75" customHeight="1">
      <c r="G194" s="478"/>
      <c r="J194" s="479"/>
      <c r="K194" s="238"/>
      <c r="L194" s="15"/>
      <c r="M194" s="15"/>
      <c r="N194" s="15"/>
      <c r="O194" s="15"/>
      <c r="P194" s="15"/>
      <c r="Q194" s="15"/>
      <c r="R194" s="15"/>
      <c r="S194" s="15"/>
      <c r="T194" s="15"/>
      <c r="U194" s="15"/>
      <c r="V194" s="15"/>
      <c r="W194" s="15"/>
      <c r="X194" s="14"/>
      <c r="Y194" s="14"/>
      <c r="Z194" s="14"/>
      <c r="AA194" s="15"/>
      <c r="AB194" s="3"/>
      <c r="AC194" s="3"/>
      <c r="AD194" s="3"/>
      <c r="AE194" s="3"/>
      <c r="AF194" s="3"/>
      <c r="AG194" s="3"/>
      <c r="AH194" s="3"/>
      <c r="AI194" s="3"/>
      <c r="AJ194" s="3"/>
    </row>
    <row r="195" ht="15.75" customHeight="1">
      <c r="G195" s="478"/>
      <c r="J195" s="479"/>
      <c r="K195" s="238"/>
      <c r="L195" s="15"/>
      <c r="M195" s="15"/>
      <c r="N195" s="15"/>
      <c r="O195" s="15"/>
      <c r="P195" s="15"/>
      <c r="Q195" s="15"/>
      <c r="R195" s="15"/>
      <c r="S195" s="15"/>
      <c r="T195" s="15"/>
      <c r="U195" s="15"/>
      <c r="V195" s="15"/>
      <c r="W195" s="15"/>
      <c r="X195" s="14"/>
      <c r="Y195" s="14"/>
      <c r="Z195" s="14"/>
      <c r="AA195" s="15"/>
      <c r="AB195" s="3"/>
      <c r="AC195" s="3"/>
      <c r="AD195" s="3"/>
      <c r="AE195" s="3"/>
      <c r="AF195" s="3"/>
      <c r="AG195" s="3"/>
      <c r="AH195" s="3"/>
      <c r="AI195" s="3"/>
      <c r="AJ195" s="3"/>
    </row>
    <row r="196" ht="15.75" customHeight="1">
      <c r="G196" s="478"/>
      <c r="J196" s="479"/>
      <c r="K196" s="238"/>
      <c r="L196" s="15"/>
      <c r="M196" s="15"/>
      <c r="N196" s="15"/>
      <c r="O196" s="15"/>
      <c r="P196" s="15"/>
      <c r="Q196" s="15"/>
      <c r="R196" s="15"/>
      <c r="S196" s="15"/>
      <c r="T196" s="15"/>
      <c r="U196" s="15"/>
      <c r="V196" s="15"/>
      <c r="W196" s="15"/>
      <c r="X196" s="14"/>
      <c r="Y196" s="14"/>
      <c r="Z196" s="14"/>
      <c r="AA196" s="15"/>
      <c r="AB196" s="3"/>
      <c r="AC196" s="3"/>
      <c r="AD196" s="3"/>
      <c r="AE196" s="3"/>
      <c r="AF196" s="3"/>
      <c r="AG196" s="3"/>
      <c r="AH196" s="3"/>
      <c r="AI196" s="3"/>
      <c r="AJ196" s="3"/>
    </row>
    <row r="197" ht="15.75" customHeight="1">
      <c r="G197" s="478"/>
      <c r="J197" s="479"/>
      <c r="K197" s="238"/>
      <c r="L197" s="15"/>
      <c r="M197" s="15"/>
      <c r="N197" s="15"/>
      <c r="O197" s="15"/>
      <c r="P197" s="15"/>
      <c r="Q197" s="15"/>
      <c r="R197" s="15"/>
      <c r="S197" s="15"/>
      <c r="T197" s="15"/>
      <c r="U197" s="15"/>
      <c r="V197" s="15"/>
      <c r="W197" s="15"/>
      <c r="X197" s="14"/>
      <c r="Y197" s="14"/>
      <c r="Z197" s="14"/>
      <c r="AA197" s="15"/>
      <c r="AB197" s="3"/>
      <c r="AC197" s="3"/>
      <c r="AD197" s="3"/>
      <c r="AE197" s="3"/>
      <c r="AF197" s="3"/>
      <c r="AG197" s="3"/>
      <c r="AH197" s="3"/>
      <c r="AI197" s="3"/>
      <c r="AJ197" s="3"/>
    </row>
    <row r="198" ht="15.75" customHeight="1">
      <c r="G198" s="478"/>
      <c r="J198" s="479"/>
      <c r="K198" s="238"/>
      <c r="L198" s="15"/>
      <c r="M198" s="15"/>
      <c r="N198" s="15"/>
      <c r="O198" s="15"/>
      <c r="P198" s="15"/>
      <c r="Q198" s="15"/>
      <c r="R198" s="15"/>
      <c r="S198" s="15"/>
      <c r="T198" s="15"/>
      <c r="U198" s="15"/>
      <c r="V198" s="15"/>
      <c r="W198" s="15"/>
      <c r="X198" s="14"/>
      <c r="Y198" s="14"/>
      <c r="Z198" s="14"/>
      <c r="AA198" s="15"/>
      <c r="AB198" s="3"/>
      <c r="AC198" s="3"/>
      <c r="AD198" s="3"/>
      <c r="AE198" s="3"/>
      <c r="AF198" s="3"/>
      <c r="AG198" s="3"/>
      <c r="AH198" s="3"/>
      <c r="AI198" s="3"/>
      <c r="AJ198" s="3"/>
    </row>
    <row r="199" ht="15.75" customHeight="1">
      <c r="G199" s="478"/>
      <c r="J199" s="479"/>
      <c r="K199" s="238"/>
      <c r="L199" s="15"/>
      <c r="M199" s="15"/>
      <c r="N199" s="15"/>
      <c r="O199" s="15"/>
      <c r="P199" s="15"/>
      <c r="Q199" s="15"/>
      <c r="R199" s="15"/>
      <c r="S199" s="15"/>
      <c r="T199" s="15"/>
      <c r="U199" s="15"/>
      <c r="V199" s="15"/>
      <c r="W199" s="15"/>
      <c r="X199" s="14"/>
      <c r="Y199" s="14"/>
      <c r="Z199" s="14"/>
      <c r="AA199" s="15"/>
      <c r="AB199" s="3"/>
      <c r="AC199" s="3"/>
      <c r="AD199" s="3"/>
      <c r="AE199" s="3"/>
      <c r="AF199" s="3"/>
      <c r="AG199" s="3"/>
      <c r="AH199" s="3"/>
      <c r="AI199" s="3"/>
      <c r="AJ199" s="3"/>
    </row>
    <row r="200" ht="15.75" customHeight="1">
      <c r="G200" s="478"/>
      <c r="J200" s="479"/>
      <c r="K200" s="238"/>
      <c r="L200" s="15"/>
      <c r="M200" s="15"/>
      <c r="N200" s="15"/>
      <c r="O200" s="15"/>
      <c r="P200" s="15"/>
      <c r="Q200" s="15"/>
      <c r="R200" s="15"/>
      <c r="S200" s="15"/>
      <c r="T200" s="15"/>
      <c r="U200" s="15"/>
      <c r="V200" s="15"/>
      <c r="W200" s="15"/>
      <c r="X200" s="14"/>
      <c r="Y200" s="14"/>
      <c r="Z200" s="14"/>
      <c r="AA200" s="15"/>
      <c r="AB200" s="3"/>
      <c r="AC200" s="3"/>
      <c r="AD200" s="3"/>
      <c r="AE200" s="3"/>
      <c r="AF200" s="3"/>
      <c r="AG200" s="3"/>
      <c r="AH200" s="3"/>
      <c r="AI200" s="3"/>
      <c r="AJ200" s="3"/>
    </row>
    <row r="201" ht="15.75" customHeight="1">
      <c r="G201" s="478"/>
      <c r="J201" s="479"/>
      <c r="K201" s="238"/>
      <c r="L201" s="15"/>
      <c r="M201" s="15"/>
      <c r="N201" s="15"/>
      <c r="O201" s="15"/>
      <c r="P201" s="15"/>
      <c r="Q201" s="15"/>
      <c r="R201" s="15"/>
      <c r="S201" s="15"/>
      <c r="T201" s="15"/>
      <c r="U201" s="15"/>
      <c r="V201" s="15"/>
      <c r="W201" s="15"/>
      <c r="X201" s="14"/>
      <c r="Y201" s="14"/>
      <c r="Z201" s="14"/>
      <c r="AA201" s="15"/>
      <c r="AB201" s="3"/>
      <c r="AC201" s="3"/>
      <c r="AD201" s="3"/>
      <c r="AE201" s="3"/>
      <c r="AF201" s="3"/>
      <c r="AG201" s="3"/>
      <c r="AH201" s="3"/>
      <c r="AI201" s="3"/>
      <c r="AJ201" s="3"/>
    </row>
    <row r="202" ht="15.75" customHeight="1">
      <c r="G202" s="478"/>
      <c r="J202" s="479"/>
      <c r="K202" s="238"/>
      <c r="L202" s="15"/>
      <c r="M202" s="15"/>
      <c r="N202" s="15"/>
      <c r="O202" s="15"/>
      <c r="P202" s="15"/>
      <c r="Q202" s="15"/>
      <c r="R202" s="15"/>
      <c r="S202" s="15"/>
      <c r="T202" s="15"/>
      <c r="U202" s="15"/>
      <c r="V202" s="15"/>
      <c r="W202" s="15"/>
      <c r="X202" s="14"/>
      <c r="Y202" s="14"/>
      <c r="Z202" s="14"/>
      <c r="AA202" s="15"/>
      <c r="AB202" s="3"/>
      <c r="AC202" s="3"/>
      <c r="AD202" s="3"/>
      <c r="AE202" s="3"/>
      <c r="AF202" s="3"/>
      <c r="AG202" s="3"/>
      <c r="AH202" s="3"/>
      <c r="AI202" s="3"/>
      <c r="AJ202" s="3"/>
    </row>
    <row r="203" ht="15.75" customHeight="1">
      <c r="G203" s="478"/>
      <c r="J203" s="479"/>
      <c r="K203" s="238"/>
      <c r="L203" s="15"/>
      <c r="M203" s="15"/>
      <c r="N203" s="15"/>
      <c r="O203" s="15"/>
      <c r="P203" s="15"/>
      <c r="Q203" s="15"/>
      <c r="R203" s="15"/>
      <c r="S203" s="15"/>
      <c r="T203" s="15"/>
      <c r="U203" s="15"/>
      <c r="V203" s="15"/>
      <c r="W203" s="15"/>
      <c r="X203" s="14"/>
      <c r="Y203" s="14"/>
      <c r="Z203" s="14"/>
      <c r="AA203" s="15"/>
      <c r="AB203" s="3"/>
      <c r="AC203" s="3"/>
      <c r="AD203" s="3"/>
      <c r="AE203" s="3"/>
      <c r="AF203" s="3"/>
      <c r="AG203" s="3"/>
      <c r="AH203" s="3"/>
      <c r="AI203" s="3"/>
      <c r="AJ203" s="3"/>
    </row>
    <row r="204" ht="15.75" customHeight="1">
      <c r="G204" s="478"/>
      <c r="J204" s="479"/>
      <c r="K204" s="238"/>
      <c r="L204" s="15"/>
      <c r="M204" s="15"/>
      <c r="N204" s="15"/>
      <c r="O204" s="15"/>
      <c r="P204" s="15"/>
      <c r="Q204" s="15"/>
      <c r="R204" s="15"/>
      <c r="S204" s="15"/>
      <c r="T204" s="15"/>
      <c r="U204" s="15"/>
      <c r="V204" s="15"/>
      <c r="W204" s="15"/>
      <c r="X204" s="14"/>
      <c r="Y204" s="14"/>
      <c r="Z204" s="14"/>
      <c r="AA204" s="15"/>
      <c r="AB204" s="3"/>
      <c r="AC204" s="3"/>
      <c r="AD204" s="3"/>
      <c r="AE204" s="3"/>
      <c r="AF204" s="3"/>
      <c r="AG204" s="3"/>
      <c r="AH204" s="3"/>
      <c r="AI204" s="3"/>
      <c r="AJ204" s="3"/>
    </row>
    <row r="205" ht="15.75" customHeight="1">
      <c r="G205" s="478"/>
      <c r="J205" s="479"/>
      <c r="K205" s="238"/>
      <c r="L205" s="15"/>
      <c r="M205" s="15"/>
      <c r="N205" s="15"/>
      <c r="O205" s="15"/>
      <c r="P205" s="15"/>
      <c r="Q205" s="15"/>
      <c r="R205" s="15"/>
      <c r="S205" s="15"/>
      <c r="T205" s="15"/>
      <c r="U205" s="15"/>
      <c r="V205" s="15"/>
      <c r="W205" s="15"/>
      <c r="X205" s="14"/>
      <c r="Y205" s="14"/>
      <c r="Z205" s="14"/>
      <c r="AA205" s="15"/>
      <c r="AB205" s="3"/>
      <c r="AC205" s="3"/>
      <c r="AD205" s="3"/>
      <c r="AE205" s="3"/>
      <c r="AF205" s="3"/>
      <c r="AG205" s="3"/>
      <c r="AH205" s="3"/>
      <c r="AI205" s="3"/>
      <c r="AJ205" s="3"/>
    </row>
    <row r="206" ht="15.75" customHeight="1">
      <c r="G206" s="478"/>
      <c r="J206" s="479"/>
      <c r="K206" s="238"/>
      <c r="L206" s="15"/>
      <c r="M206" s="15"/>
      <c r="N206" s="15"/>
      <c r="O206" s="15"/>
      <c r="P206" s="15"/>
      <c r="Q206" s="15"/>
      <c r="R206" s="15"/>
      <c r="S206" s="15"/>
      <c r="T206" s="15"/>
      <c r="U206" s="15"/>
      <c r="V206" s="15"/>
      <c r="W206" s="15"/>
      <c r="X206" s="14"/>
      <c r="Y206" s="14"/>
      <c r="Z206" s="14"/>
      <c r="AA206" s="15"/>
      <c r="AB206" s="3"/>
      <c r="AC206" s="3"/>
      <c r="AD206" s="3"/>
      <c r="AE206" s="3"/>
      <c r="AF206" s="3"/>
      <c r="AG206" s="3"/>
      <c r="AH206" s="3"/>
      <c r="AI206" s="3"/>
      <c r="AJ206" s="3"/>
    </row>
    <row r="207" ht="15.75" customHeight="1">
      <c r="G207" s="478"/>
      <c r="J207" s="479"/>
      <c r="K207" s="238"/>
      <c r="L207" s="15"/>
      <c r="M207" s="15"/>
      <c r="N207" s="15"/>
      <c r="O207" s="15"/>
      <c r="P207" s="15"/>
      <c r="Q207" s="15"/>
      <c r="R207" s="15"/>
      <c r="S207" s="15"/>
      <c r="T207" s="15"/>
      <c r="U207" s="15"/>
      <c r="V207" s="15"/>
      <c r="W207" s="15"/>
      <c r="X207" s="14"/>
      <c r="Y207" s="14"/>
      <c r="Z207" s="14"/>
      <c r="AA207" s="15"/>
      <c r="AB207" s="3"/>
      <c r="AC207" s="3"/>
      <c r="AD207" s="3"/>
      <c r="AE207" s="3"/>
      <c r="AF207" s="3"/>
      <c r="AG207" s="3"/>
      <c r="AH207" s="3"/>
      <c r="AI207" s="3"/>
      <c r="AJ207" s="3"/>
    </row>
    <row r="208" ht="15.75" customHeight="1">
      <c r="G208" s="478"/>
      <c r="J208" s="479"/>
      <c r="K208" s="238"/>
      <c r="L208" s="15"/>
      <c r="M208" s="15"/>
      <c r="N208" s="15"/>
      <c r="O208" s="15"/>
      <c r="P208" s="15"/>
      <c r="Q208" s="15"/>
      <c r="R208" s="15"/>
      <c r="S208" s="15"/>
      <c r="T208" s="15"/>
      <c r="U208" s="15"/>
      <c r="V208" s="15"/>
      <c r="W208" s="15"/>
      <c r="X208" s="14"/>
      <c r="Y208" s="14"/>
      <c r="Z208" s="14"/>
      <c r="AA208" s="15"/>
      <c r="AB208" s="3"/>
      <c r="AC208" s="3"/>
      <c r="AD208" s="3"/>
      <c r="AE208" s="3"/>
      <c r="AF208" s="3"/>
      <c r="AG208" s="3"/>
      <c r="AH208" s="3"/>
      <c r="AI208" s="3"/>
      <c r="AJ208" s="3"/>
    </row>
    <row r="209" ht="15.75" customHeight="1">
      <c r="G209" s="478"/>
      <c r="J209" s="479"/>
      <c r="K209" s="238"/>
      <c r="L209" s="15"/>
      <c r="M209" s="15"/>
      <c r="N209" s="15"/>
      <c r="O209" s="15"/>
      <c r="P209" s="15"/>
      <c r="Q209" s="15"/>
      <c r="R209" s="15"/>
      <c r="S209" s="15"/>
      <c r="T209" s="15"/>
      <c r="U209" s="15"/>
      <c r="V209" s="15"/>
      <c r="W209" s="15"/>
      <c r="X209" s="14"/>
      <c r="Y209" s="14"/>
      <c r="Z209" s="14"/>
      <c r="AA209" s="15"/>
      <c r="AB209" s="3"/>
      <c r="AC209" s="3"/>
      <c r="AD209" s="3"/>
      <c r="AE209" s="3"/>
      <c r="AF209" s="3"/>
      <c r="AG209" s="3"/>
      <c r="AH209" s="3"/>
      <c r="AI209" s="3"/>
      <c r="AJ209" s="3"/>
    </row>
    <row r="210" ht="15.75" customHeight="1">
      <c r="G210" s="478"/>
      <c r="J210" s="479"/>
      <c r="K210" s="238"/>
      <c r="L210" s="15"/>
      <c r="M210" s="15"/>
      <c r="N210" s="15"/>
      <c r="O210" s="15"/>
      <c r="P210" s="15"/>
      <c r="Q210" s="15"/>
      <c r="R210" s="15"/>
      <c r="S210" s="15"/>
      <c r="T210" s="15"/>
      <c r="U210" s="15"/>
      <c r="V210" s="15"/>
      <c r="W210" s="15"/>
      <c r="X210" s="14"/>
      <c r="Y210" s="14"/>
      <c r="Z210" s="14"/>
      <c r="AA210" s="15"/>
      <c r="AB210" s="3"/>
      <c r="AC210" s="3"/>
      <c r="AD210" s="3"/>
      <c r="AE210" s="3"/>
      <c r="AF210" s="3"/>
      <c r="AG210" s="3"/>
      <c r="AH210" s="3"/>
      <c r="AI210" s="3"/>
      <c r="AJ210" s="3"/>
    </row>
    <row r="211" ht="15.75" customHeight="1">
      <c r="G211" s="478"/>
      <c r="J211" s="479"/>
      <c r="K211" s="238"/>
      <c r="L211" s="15"/>
      <c r="M211" s="15"/>
      <c r="N211" s="15"/>
      <c r="O211" s="15"/>
      <c r="P211" s="15"/>
      <c r="Q211" s="15"/>
      <c r="R211" s="15"/>
      <c r="S211" s="15"/>
      <c r="T211" s="15"/>
      <c r="U211" s="15"/>
      <c r="V211" s="15"/>
      <c r="W211" s="15"/>
      <c r="X211" s="14"/>
      <c r="Y211" s="14"/>
      <c r="Z211" s="14"/>
      <c r="AA211" s="15"/>
      <c r="AB211" s="3"/>
      <c r="AC211" s="3"/>
      <c r="AD211" s="3"/>
      <c r="AE211" s="3"/>
      <c r="AF211" s="3"/>
      <c r="AG211" s="3"/>
      <c r="AH211" s="3"/>
      <c r="AI211" s="3"/>
      <c r="AJ211" s="3"/>
    </row>
    <row r="212" ht="15.75" customHeight="1">
      <c r="G212" s="478"/>
      <c r="J212" s="479"/>
      <c r="K212" s="238"/>
      <c r="L212" s="15"/>
      <c r="M212" s="15"/>
      <c r="N212" s="15"/>
      <c r="O212" s="15"/>
      <c r="P212" s="15"/>
      <c r="Q212" s="15"/>
      <c r="R212" s="15"/>
      <c r="S212" s="15"/>
      <c r="T212" s="15"/>
      <c r="U212" s="15"/>
      <c r="V212" s="15"/>
      <c r="W212" s="15"/>
      <c r="X212" s="14"/>
      <c r="Y212" s="14"/>
      <c r="Z212" s="14"/>
      <c r="AA212" s="15"/>
      <c r="AB212" s="3"/>
      <c r="AC212" s="3"/>
      <c r="AD212" s="3"/>
      <c r="AE212" s="3"/>
      <c r="AF212" s="3"/>
      <c r="AG212" s="3"/>
      <c r="AH212" s="3"/>
      <c r="AI212" s="3"/>
      <c r="AJ212" s="3"/>
    </row>
    <row r="213" ht="15.75" customHeight="1">
      <c r="G213" s="478"/>
      <c r="J213" s="479"/>
      <c r="K213" s="238"/>
      <c r="L213" s="15"/>
      <c r="M213" s="15"/>
      <c r="N213" s="15"/>
      <c r="O213" s="15"/>
      <c r="P213" s="15"/>
      <c r="Q213" s="15"/>
      <c r="R213" s="15"/>
      <c r="S213" s="15"/>
      <c r="T213" s="15"/>
      <c r="U213" s="15"/>
      <c r="V213" s="15"/>
      <c r="W213" s="15"/>
      <c r="X213" s="14"/>
      <c r="Y213" s="14"/>
      <c r="Z213" s="14"/>
      <c r="AA213" s="15"/>
      <c r="AB213" s="3"/>
      <c r="AC213" s="3"/>
      <c r="AD213" s="3"/>
      <c r="AE213" s="3"/>
      <c r="AF213" s="3"/>
      <c r="AG213" s="3"/>
      <c r="AH213" s="3"/>
      <c r="AI213" s="3"/>
      <c r="AJ213" s="3"/>
    </row>
    <row r="214" ht="15.75" customHeight="1">
      <c r="G214" s="478"/>
      <c r="J214" s="479"/>
      <c r="K214" s="238"/>
      <c r="L214" s="15"/>
      <c r="M214" s="15"/>
      <c r="N214" s="15"/>
      <c r="O214" s="15"/>
      <c r="P214" s="15"/>
      <c r="Q214" s="15"/>
      <c r="R214" s="15"/>
      <c r="S214" s="15"/>
      <c r="T214" s="15"/>
      <c r="U214" s="15"/>
      <c r="V214" s="15"/>
      <c r="W214" s="15"/>
      <c r="X214" s="14"/>
      <c r="Y214" s="14"/>
      <c r="Z214" s="14"/>
      <c r="AA214" s="15"/>
      <c r="AB214" s="3"/>
      <c r="AC214" s="3"/>
      <c r="AD214" s="3"/>
      <c r="AE214" s="3"/>
      <c r="AF214" s="3"/>
      <c r="AG214" s="3"/>
      <c r="AH214" s="3"/>
      <c r="AI214" s="3"/>
      <c r="AJ214" s="3"/>
    </row>
    <row r="215" ht="15.75" customHeight="1">
      <c r="G215" s="478"/>
      <c r="J215" s="479"/>
      <c r="K215" s="238"/>
      <c r="L215" s="15"/>
      <c r="M215" s="15"/>
      <c r="N215" s="15"/>
      <c r="O215" s="15"/>
      <c r="P215" s="15"/>
      <c r="Q215" s="15"/>
      <c r="R215" s="15"/>
      <c r="S215" s="15"/>
      <c r="T215" s="15"/>
      <c r="U215" s="15"/>
      <c r="V215" s="15"/>
      <c r="W215" s="15"/>
      <c r="X215" s="14"/>
      <c r="Y215" s="14"/>
      <c r="Z215" s="14"/>
      <c r="AA215" s="15"/>
      <c r="AB215" s="3"/>
      <c r="AC215" s="3"/>
      <c r="AD215" s="3"/>
      <c r="AE215" s="3"/>
      <c r="AF215" s="3"/>
      <c r="AG215" s="3"/>
      <c r="AH215" s="3"/>
      <c r="AI215" s="3"/>
      <c r="AJ215" s="3"/>
    </row>
    <row r="216" ht="15.75" customHeight="1">
      <c r="G216" s="478"/>
      <c r="J216" s="479"/>
      <c r="K216" s="238"/>
      <c r="L216" s="15"/>
      <c r="M216" s="15"/>
      <c r="N216" s="15"/>
      <c r="O216" s="15"/>
      <c r="P216" s="15"/>
      <c r="Q216" s="15"/>
      <c r="R216" s="15"/>
      <c r="S216" s="15"/>
      <c r="T216" s="15"/>
      <c r="U216" s="15"/>
      <c r="V216" s="15"/>
      <c r="W216" s="15"/>
      <c r="X216" s="14"/>
      <c r="Y216" s="14"/>
      <c r="Z216" s="14"/>
      <c r="AA216" s="15"/>
      <c r="AB216" s="3"/>
      <c r="AC216" s="3"/>
      <c r="AD216" s="3"/>
      <c r="AE216" s="3"/>
      <c r="AF216" s="3"/>
      <c r="AG216" s="3"/>
      <c r="AH216" s="3"/>
      <c r="AI216" s="3"/>
      <c r="AJ216" s="3"/>
    </row>
    <row r="217" ht="15.75" customHeight="1">
      <c r="G217" s="478"/>
      <c r="J217" s="479"/>
      <c r="K217" s="238"/>
      <c r="L217" s="15"/>
      <c r="M217" s="15"/>
      <c r="N217" s="15"/>
      <c r="O217" s="15"/>
      <c r="P217" s="15"/>
      <c r="Q217" s="15"/>
      <c r="R217" s="15"/>
      <c r="S217" s="15"/>
      <c r="T217" s="15"/>
      <c r="U217" s="15"/>
      <c r="V217" s="15"/>
      <c r="W217" s="15"/>
      <c r="X217" s="14"/>
      <c r="Y217" s="14"/>
      <c r="Z217" s="14"/>
      <c r="AA217" s="15"/>
      <c r="AB217" s="3"/>
      <c r="AC217" s="3"/>
      <c r="AD217" s="3"/>
      <c r="AE217" s="3"/>
      <c r="AF217" s="3"/>
      <c r="AG217" s="3"/>
      <c r="AH217" s="3"/>
      <c r="AI217" s="3"/>
      <c r="AJ217" s="3"/>
    </row>
    <row r="218" ht="15.75" customHeight="1">
      <c r="G218" s="478"/>
      <c r="J218" s="479"/>
      <c r="K218" s="238"/>
      <c r="L218" s="15"/>
      <c r="M218" s="15"/>
      <c r="N218" s="15"/>
      <c r="O218" s="15"/>
      <c r="P218" s="15"/>
      <c r="Q218" s="15"/>
      <c r="R218" s="15"/>
      <c r="S218" s="15"/>
      <c r="T218" s="15"/>
      <c r="U218" s="15"/>
      <c r="V218" s="15"/>
      <c r="W218" s="15"/>
      <c r="X218" s="14"/>
      <c r="Y218" s="14"/>
      <c r="Z218" s="14"/>
      <c r="AA218" s="15"/>
      <c r="AB218" s="3"/>
      <c r="AC218" s="3"/>
      <c r="AD218" s="3"/>
      <c r="AE218" s="3"/>
      <c r="AF218" s="3"/>
      <c r="AG218" s="3"/>
      <c r="AH218" s="3"/>
      <c r="AI218" s="3"/>
      <c r="AJ218" s="3"/>
    </row>
    <row r="219" ht="15.75" customHeight="1">
      <c r="G219" s="478"/>
      <c r="J219" s="479"/>
      <c r="K219" s="238"/>
      <c r="L219" s="15"/>
      <c r="M219" s="15"/>
      <c r="N219" s="15"/>
      <c r="O219" s="15"/>
      <c r="P219" s="15"/>
      <c r="Q219" s="15"/>
      <c r="R219" s="15"/>
      <c r="S219" s="15"/>
      <c r="T219" s="15"/>
      <c r="U219" s="15"/>
      <c r="V219" s="15"/>
      <c r="W219" s="15"/>
      <c r="X219" s="14"/>
      <c r="Y219" s="14"/>
      <c r="Z219" s="14"/>
      <c r="AA219" s="15"/>
      <c r="AB219" s="3"/>
      <c r="AC219" s="3"/>
      <c r="AD219" s="3"/>
      <c r="AE219" s="3"/>
      <c r="AF219" s="3"/>
      <c r="AG219" s="3"/>
      <c r="AH219" s="3"/>
      <c r="AI219" s="3"/>
      <c r="AJ219" s="3"/>
    </row>
    <row r="220" ht="15.75" customHeight="1">
      <c r="G220" s="478"/>
      <c r="J220" s="479"/>
      <c r="K220" s="238"/>
      <c r="L220" s="15"/>
      <c r="M220" s="15"/>
      <c r="N220" s="15"/>
      <c r="O220" s="15"/>
      <c r="P220" s="15"/>
      <c r="Q220" s="15"/>
      <c r="R220" s="15"/>
      <c r="S220" s="15"/>
      <c r="T220" s="15"/>
      <c r="U220" s="15"/>
      <c r="V220" s="15"/>
      <c r="W220" s="15"/>
      <c r="X220" s="14"/>
      <c r="Y220" s="14"/>
      <c r="Z220" s="14"/>
      <c r="AA220" s="15"/>
      <c r="AB220" s="3"/>
      <c r="AC220" s="3"/>
      <c r="AD220" s="3"/>
      <c r="AE220" s="3"/>
      <c r="AF220" s="3"/>
      <c r="AG220" s="3"/>
      <c r="AH220" s="3"/>
      <c r="AI220" s="3"/>
      <c r="AJ220" s="3"/>
    </row>
    <row r="221" ht="15.75" customHeight="1">
      <c r="G221" s="478"/>
      <c r="J221" s="479"/>
      <c r="K221" s="238"/>
      <c r="L221" s="15"/>
      <c r="M221" s="15"/>
      <c r="N221" s="15"/>
      <c r="O221" s="15"/>
      <c r="P221" s="15"/>
      <c r="Q221" s="15"/>
      <c r="R221" s="15"/>
      <c r="S221" s="15"/>
      <c r="T221" s="15"/>
      <c r="U221" s="15"/>
      <c r="V221" s="15"/>
      <c r="W221" s="15"/>
      <c r="X221" s="14"/>
      <c r="Y221" s="14"/>
      <c r="Z221" s="14"/>
      <c r="AA221" s="15"/>
      <c r="AB221" s="3"/>
      <c r="AC221" s="3"/>
      <c r="AD221" s="3"/>
      <c r="AE221" s="3"/>
      <c r="AF221" s="3"/>
      <c r="AG221" s="3"/>
      <c r="AH221" s="3"/>
      <c r="AI221" s="3"/>
      <c r="AJ221" s="3"/>
    </row>
    <row r="222" ht="15.75" customHeight="1">
      <c r="G222" s="478"/>
      <c r="J222" s="479"/>
      <c r="K222" s="238"/>
      <c r="L222" s="15"/>
      <c r="M222" s="15"/>
      <c r="N222" s="15"/>
      <c r="O222" s="15"/>
      <c r="P222" s="15"/>
      <c r="Q222" s="15"/>
      <c r="R222" s="15"/>
      <c r="S222" s="15"/>
      <c r="T222" s="15"/>
      <c r="U222" s="15"/>
      <c r="V222" s="15"/>
      <c r="W222" s="15"/>
      <c r="X222" s="14"/>
      <c r="Y222" s="14"/>
      <c r="Z222" s="14"/>
      <c r="AA222" s="15"/>
      <c r="AB222" s="3"/>
      <c r="AC222" s="3"/>
      <c r="AD222" s="3"/>
      <c r="AE222" s="3"/>
      <c r="AF222" s="3"/>
      <c r="AG222" s="3"/>
      <c r="AH222" s="3"/>
      <c r="AI222" s="3"/>
      <c r="AJ222" s="3"/>
    </row>
    <row r="223" ht="15.75" customHeight="1">
      <c r="G223" s="478"/>
      <c r="J223" s="479"/>
      <c r="K223" s="238"/>
      <c r="L223" s="15"/>
      <c r="M223" s="15"/>
      <c r="N223" s="15"/>
      <c r="O223" s="15"/>
      <c r="P223" s="15"/>
      <c r="Q223" s="15"/>
      <c r="R223" s="15"/>
      <c r="S223" s="15"/>
      <c r="T223" s="15"/>
      <c r="U223" s="15"/>
      <c r="V223" s="15"/>
      <c r="W223" s="15"/>
      <c r="X223" s="14"/>
      <c r="Y223" s="14"/>
      <c r="Z223" s="14"/>
      <c r="AA223" s="15"/>
      <c r="AB223" s="3"/>
      <c r="AC223" s="3"/>
      <c r="AD223" s="3"/>
      <c r="AE223" s="3"/>
      <c r="AF223" s="3"/>
      <c r="AG223" s="3"/>
      <c r="AH223" s="3"/>
      <c r="AI223" s="3"/>
      <c r="AJ223" s="3"/>
    </row>
    <row r="224" ht="15.75" customHeight="1">
      <c r="G224" s="478"/>
      <c r="J224" s="479"/>
      <c r="K224" s="238"/>
      <c r="L224" s="15"/>
      <c r="M224" s="15"/>
      <c r="N224" s="15"/>
      <c r="O224" s="15"/>
      <c r="P224" s="15"/>
      <c r="Q224" s="15"/>
      <c r="R224" s="15"/>
      <c r="S224" s="15"/>
      <c r="T224" s="15"/>
      <c r="U224" s="15"/>
      <c r="V224" s="15"/>
      <c r="W224" s="15"/>
      <c r="X224" s="14"/>
      <c r="Y224" s="14"/>
      <c r="Z224" s="14"/>
      <c r="AA224" s="15"/>
      <c r="AB224" s="3"/>
      <c r="AC224" s="3"/>
      <c r="AD224" s="3"/>
      <c r="AE224" s="3"/>
      <c r="AF224" s="3"/>
      <c r="AG224" s="3"/>
      <c r="AH224" s="3"/>
      <c r="AI224" s="3"/>
      <c r="AJ224" s="3"/>
    </row>
    <row r="225" ht="15.75" customHeight="1">
      <c r="G225" s="478"/>
      <c r="J225" s="479"/>
      <c r="K225" s="238"/>
      <c r="L225" s="15"/>
      <c r="M225" s="15"/>
      <c r="N225" s="15"/>
      <c r="O225" s="15"/>
      <c r="P225" s="15"/>
      <c r="Q225" s="15"/>
      <c r="R225" s="15"/>
      <c r="S225" s="15"/>
      <c r="T225" s="15"/>
      <c r="U225" s="15"/>
      <c r="V225" s="15"/>
      <c r="W225" s="15"/>
      <c r="X225" s="14"/>
      <c r="Y225" s="14"/>
      <c r="Z225" s="14"/>
      <c r="AA225" s="15"/>
      <c r="AB225" s="3"/>
      <c r="AC225" s="3"/>
      <c r="AD225" s="3"/>
      <c r="AE225" s="3"/>
      <c r="AF225" s="3"/>
      <c r="AG225" s="3"/>
      <c r="AH225" s="3"/>
      <c r="AI225" s="3"/>
      <c r="AJ225" s="3"/>
    </row>
    <row r="226" ht="15.75" customHeight="1">
      <c r="G226" s="478"/>
      <c r="J226" s="479"/>
      <c r="K226" s="238"/>
      <c r="L226" s="15"/>
      <c r="M226" s="15"/>
      <c r="N226" s="15"/>
      <c r="O226" s="15"/>
      <c r="P226" s="15"/>
      <c r="Q226" s="15"/>
      <c r="R226" s="15"/>
      <c r="S226" s="15"/>
      <c r="T226" s="15"/>
      <c r="U226" s="15"/>
      <c r="V226" s="15"/>
      <c r="W226" s="15"/>
      <c r="X226" s="14"/>
      <c r="Y226" s="14"/>
      <c r="Z226" s="14"/>
      <c r="AA226" s="15"/>
      <c r="AB226" s="3"/>
      <c r="AC226" s="3"/>
      <c r="AD226" s="3"/>
      <c r="AE226" s="3"/>
      <c r="AF226" s="3"/>
      <c r="AG226" s="3"/>
      <c r="AH226" s="3"/>
      <c r="AI226" s="3"/>
      <c r="AJ226" s="3"/>
    </row>
    <row r="227" ht="15.75" customHeight="1">
      <c r="G227" s="478"/>
      <c r="J227" s="479"/>
      <c r="K227" s="238"/>
      <c r="L227" s="15"/>
      <c r="M227" s="15"/>
      <c r="N227" s="15"/>
      <c r="O227" s="15"/>
      <c r="P227" s="15"/>
      <c r="Q227" s="15"/>
      <c r="R227" s="15"/>
      <c r="S227" s="15"/>
      <c r="T227" s="15"/>
      <c r="U227" s="15"/>
      <c r="V227" s="15"/>
      <c r="W227" s="15"/>
      <c r="X227" s="14"/>
      <c r="Y227" s="14"/>
      <c r="Z227" s="14"/>
      <c r="AA227" s="15"/>
      <c r="AB227" s="3"/>
      <c r="AC227" s="3"/>
      <c r="AD227" s="3"/>
      <c r="AE227" s="3"/>
      <c r="AF227" s="3"/>
      <c r="AG227" s="3"/>
      <c r="AH227" s="3"/>
      <c r="AI227" s="3"/>
      <c r="AJ227" s="3"/>
    </row>
    <row r="228" ht="15.75" customHeight="1">
      <c r="G228" s="478"/>
      <c r="J228" s="479"/>
      <c r="K228" s="238"/>
      <c r="L228" s="15"/>
      <c r="M228" s="15"/>
      <c r="N228" s="15"/>
      <c r="O228" s="15"/>
      <c r="P228" s="15"/>
      <c r="Q228" s="15"/>
      <c r="R228" s="15"/>
      <c r="S228" s="15"/>
      <c r="T228" s="15"/>
      <c r="U228" s="15"/>
      <c r="V228" s="15"/>
      <c r="W228" s="15"/>
      <c r="X228" s="14"/>
      <c r="Y228" s="14"/>
      <c r="Z228" s="14"/>
      <c r="AA228" s="15"/>
      <c r="AB228" s="3"/>
      <c r="AC228" s="3"/>
      <c r="AD228" s="3"/>
      <c r="AE228" s="3"/>
      <c r="AF228" s="3"/>
      <c r="AG228" s="3"/>
      <c r="AH228" s="3"/>
      <c r="AI228" s="3"/>
      <c r="AJ228" s="3"/>
    </row>
    <row r="229" ht="15.75" customHeight="1">
      <c r="G229" s="478"/>
      <c r="J229" s="479"/>
      <c r="K229" s="238"/>
      <c r="L229" s="15"/>
      <c r="M229" s="15"/>
      <c r="N229" s="15"/>
      <c r="O229" s="15"/>
      <c r="P229" s="15"/>
      <c r="Q229" s="15"/>
      <c r="R229" s="15"/>
      <c r="S229" s="15"/>
      <c r="T229" s="15"/>
      <c r="U229" s="15"/>
      <c r="V229" s="15"/>
      <c r="W229" s="15"/>
      <c r="X229" s="14"/>
      <c r="Y229" s="14"/>
      <c r="Z229" s="14"/>
      <c r="AA229" s="15"/>
      <c r="AB229" s="3"/>
      <c r="AC229" s="3"/>
      <c r="AD229" s="3"/>
      <c r="AE229" s="3"/>
      <c r="AF229" s="3"/>
      <c r="AG229" s="3"/>
      <c r="AH229" s="3"/>
      <c r="AI229" s="3"/>
      <c r="AJ229" s="3"/>
    </row>
    <row r="230" ht="15.75" customHeight="1">
      <c r="G230" s="478"/>
      <c r="J230" s="479"/>
      <c r="K230" s="238"/>
      <c r="L230" s="15"/>
      <c r="M230" s="15"/>
      <c r="N230" s="15"/>
      <c r="O230" s="15"/>
      <c r="P230" s="15"/>
      <c r="Q230" s="15"/>
      <c r="R230" s="15"/>
      <c r="S230" s="15"/>
      <c r="T230" s="15"/>
      <c r="U230" s="15"/>
      <c r="V230" s="15"/>
      <c r="W230" s="15"/>
      <c r="X230" s="14"/>
      <c r="Y230" s="14"/>
      <c r="Z230" s="14"/>
      <c r="AA230" s="15"/>
      <c r="AB230" s="3"/>
      <c r="AC230" s="3"/>
      <c r="AD230" s="3"/>
      <c r="AE230" s="3"/>
      <c r="AF230" s="3"/>
      <c r="AG230" s="3"/>
      <c r="AH230" s="3"/>
      <c r="AI230" s="3"/>
      <c r="AJ230" s="3"/>
    </row>
    <row r="231" ht="15.75" customHeight="1">
      <c r="G231" s="478"/>
      <c r="J231" s="479"/>
      <c r="K231" s="238"/>
      <c r="L231" s="15"/>
      <c r="M231" s="15"/>
      <c r="N231" s="15"/>
      <c r="O231" s="15"/>
      <c r="P231" s="15"/>
      <c r="Q231" s="15"/>
      <c r="R231" s="15"/>
      <c r="S231" s="15"/>
      <c r="T231" s="15"/>
      <c r="U231" s="15"/>
      <c r="V231" s="15"/>
      <c r="W231" s="15"/>
      <c r="X231" s="14"/>
      <c r="Y231" s="14"/>
      <c r="Z231" s="14"/>
      <c r="AA231" s="15"/>
      <c r="AB231" s="3"/>
      <c r="AC231" s="3"/>
      <c r="AD231" s="3"/>
      <c r="AE231" s="3"/>
      <c r="AF231" s="3"/>
      <c r="AG231" s="3"/>
      <c r="AH231" s="3"/>
      <c r="AI231" s="3"/>
      <c r="AJ231" s="3"/>
    </row>
    <row r="232" ht="15.75" customHeight="1">
      <c r="G232" s="478"/>
      <c r="J232" s="479"/>
      <c r="K232" s="238"/>
      <c r="L232" s="15"/>
      <c r="M232" s="15"/>
      <c r="N232" s="15"/>
      <c r="O232" s="15"/>
      <c r="P232" s="15"/>
      <c r="Q232" s="15"/>
      <c r="R232" s="15"/>
      <c r="S232" s="15"/>
      <c r="T232" s="15"/>
      <c r="U232" s="15"/>
      <c r="V232" s="15"/>
      <c r="W232" s="15"/>
      <c r="X232" s="14"/>
      <c r="Y232" s="14"/>
      <c r="Z232" s="14"/>
      <c r="AA232" s="15"/>
      <c r="AB232" s="3"/>
      <c r="AC232" s="3"/>
      <c r="AD232" s="3"/>
      <c r="AE232" s="3"/>
      <c r="AF232" s="3"/>
      <c r="AG232" s="3"/>
      <c r="AH232" s="3"/>
      <c r="AI232" s="3"/>
      <c r="AJ232" s="3"/>
    </row>
    <row r="233" ht="15.75" customHeight="1">
      <c r="G233" s="478"/>
      <c r="J233" s="479"/>
      <c r="K233" s="238"/>
      <c r="L233" s="15"/>
      <c r="M233" s="15"/>
      <c r="N233" s="15"/>
      <c r="O233" s="15"/>
      <c r="P233" s="15"/>
      <c r="Q233" s="15"/>
      <c r="R233" s="15"/>
      <c r="S233" s="15"/>
      <c r="T233" s="15"/>
      <c r="U233" s="15"/>
      <c r="V233" s="15"/>
      <c r="W233" s="15"/>
      <c r="X233" s="14"/>
      <c r="Y233" s="14"/>
      <c r="Z233" s="14"/>
      <c r="AA233" s="15"/>
      <c r="AB233" s="3"/>
      <c r="AC233" s="3"/>
      <c r="AD233" s="3"/>
      <c r="AE233" s="3"/>
      <c r="AF233" s="3"/>
      <c r="AG233" s="3"/>
      <c r="AH233" s="3"/>
      <c r="AI233" s="3"/>
      <c r="AJ233" s="3"/>
    </row>
    <row r="234" ht="15.75" customHeight="1">
      <c r="G234" s="478"/>
      <c r="J234" s="479"/>
      <c r="K234" s="238"/>
      <c r="L234" s="15"/>
      <c r="M234" s="15"/>
      <c r="N234" s="15"/>
      <c r="O234" s="15"/>
      <c r="P234" s="15"/>
      <c r="Q234" s="15"/>
      <c r="R234" s="15"/>
      <c r="S234" s="15"/>
      <c r="T234" s="15"/>
      <c r="U234" s="15"/>
      <c r="V234" s="15"/>
      <c r="W234" s="15"/>
      <c r="X234" s="14"/>
      <c r="Y234" s="14"/>
      <c r="Z234" s="14"/>
      <c r="AA234" s="15"/>
      <c r="AB234" s="3"/>
      <c r="AC234" s="3"/>
      <c r="AD234" s="3"/>
      <c r="AE234" s="3"/>
      <c r="AF234" s="3"/>
      <c r="AG234" s="3"/>
      <c r="AH234" s="3"/>
      <c r="AI234" s="3"/>
      <c r="AJ234" s="3"/>
    </row>
    <row r="235" ht="15.75" customHeight="1">
      <c r="G235" s="478"/>
      <c r="J235" s="479"/>
      <c r="K235" s="238"/>
      <c r="L235" s="15"/>
      <c r="M235" s="15"/>
      <c r="N235" s="15"/>
      <c r="O235" s="15"/>
      <c r="P235" s="15"/>
      <c r="Q235" s="15"/>
      <c r="R235" s="15"/>
      <c r="S235" s="15"/>
      <c r="T235" s="15"/>
      <c r="U235" s="15"/>
      <c r="V235" s="15"/>
      <c r="W235" s="15"/>
      <c r="X235" s="14"/>
      <c r="Y235" s="14"/>
      <c r="Z235" s="14"/>
      <c r="AA235" s="15"/>
      <c r="AB235" s="3"/>
      <c r="AC235" s="3"/>
      <c r="AD235" s="3"/>
      <c r="AE235" s="3"/>
      <c r="AF235" s="3"/>
      <c r="AG235" s="3"/>
      <c r="AH235" s="3"/>
      <c r="AI235" s="3"/>
      <c r="AJ235" s="3"/>
    </row>
    <row r="236" ht="15.75" customHeight="1">
      <c r="G236" s="478"/>
      <c r="J236" s="479"/>
      <c r="K236" s="238"/>
      <c r="L236" s="15"/>
      <c r="M236" s="15"/>
      <c r="N236" s="15"/>
      <c r="O236" s="15"/>
      <c r="P236" s="15"/>
      <c r="Q236" s="15"/>
      <c r="R236" s="15"/>
      <c r="S236" s="15"/>
      <c r="T236" s="15"/>
      <c r="U236" s="15"/>
      <c r="V236" s="15"/>
      <c r="W236" s="15"/>
      <c r="X236" s="14"/>
      <c r="Y236" s="14"/>
      <c r="Z236" s="14"/>
      <c r="AA236" s="15"/>
      <c r="AB236" s="3"/>
      <c r="AC236" s="3"/>
      <c r="AD236" s="3"/>
      <c r="AE236" s="3"/>
      <c r="AF236" s="3"/>
      <c r="AG236" s="3"/>
      <c r="AH236" s="3"/>
      <c r="AI236" s="3"/>
      <c r="AJ236" s="3"/>
    </row>
    <row r="237" ht="15.75" customHeight="1">
      <c r="G237" s="478"/>
      <c r="J237" s="479"/>
      <c r="K237" s="238"/>
      <c r="L237" s="15"/>
      <c r="M237" s="15"/>
      <c r="N237" s="15"/>
      <c r="O237" s="15"/>
      <c r="P237" s="15"/>
      <c r="Q237" s="15"/>
      <c r="R237" s="15"/>
      <c r="S237" s="15"/>
      <c r="T237" s="15"/>
      <c r="U237" s="15"/>
      <c r="V237" s="15"/>
      <c r="W237" s="15"/>
      <c r="X237" s="14"/>
      <c r="Y237" s="14"/>
      <c r="Z237" s="14"/>
      <c r="AA237" s="15"/>
      <c r="AB237" s="3"/>
      <c r="AC237" s="3"/>
      <c r="AD237" s="3"/>
      <c r="AE237" s="3"/>
      <c r="AF237" s="3"/>
      <c r="AG237" s="3"/>
      <c r="AH237" s="3"/>
      <c r="AI237" s="3"/>
      <c r="AJ237" s="3"/>
    </row>
    <row r="238" ht="15.75" customHeight="1">
      <c r="G238" s="478"/>
      <c r="J238" s="479"/>
      <c r="K238" s="238"/>
      <c r="L238" s="15"/>
      <c r="M238" s="15"/>
      <c r="N238" s="15"/>
      <c r="O238" s="15"/>
      <c r="P238" s="15"/>
      <c r="Q238" s="15"/>
      <c r="R238" s="15"/>
      <c r="S238" s="15"/>
      <c r="T238" s="15"/>
      <c r="U238" s="15"/>
      <c r="V238" s="15"/>
      <c r="W238" s="15"/>
      <c r="X238" s="14"/>
      <c r="Y238" s="14"/>
      <c r="Z238" s="14"/>
      <c r="AA238" s="15"/>
      <c r="AB238" s="3"/>
      <c r="AC238" s="3"/>
      <c r="AD238" s="3"/>
      <c r="AE238" s="3"/>
      <c r="AF238" s="3"/>
      <c r="AG238" s="3"/>
      <c r="AH238" s="3"/>
      <c r="AI238" s="3"/>
      <c r="AJ238" s="3"/>
    </row>
    <row r="239" ht="15.75" customHeight="1">
      <c r="G239" s="478"/>
      <c r="J239" s="479"/>
      <c r="K239" s="238"/>
      <c r="L239" s="15"/>
      <c r="M239" s="15"/>
      <c r="N239" s="15"/>
      <c r="O239" s="15"/>
      <c r="P239" s="15"/>
      <c r="Q239" s="15"/>
      <c r="R239" s="15"/>
      <c r="S239" s="15"/>
      <c r="T239" s="15"/>
      <c r="U239" s="15"/>
      <c r="V239" s="15"/>
      <c r="W239" s="15"/>
      <c r="X239" s="14"/>
      <c r="Y239" s="14"/>
      <c r="Z239" s="14"/>
      <c r="AA239" s="15"/>
      <c r="AB239" s="3"/>
      <c r="AC239" s="3"/>
      <c r="AD239" s="3"/>
      <c r="AE239" s="3"/>
      <c r="AF239" s="3"/>
      <c r="AG239" s="3"/>
      <c r="AH239" s="3"/>
      <c r="AI239" s="3"/>
      <c r="AJ239" s="3"/>
    </row>
    <row r="240" ht="15.75" customHeight="1">
      <c r="G240" s="478"/>
      <c r="J240" s="479"/>
      <c r="K240" s="238"/>
      <c r="L240" s="15"/>
      <c r="M240" s="15"/>
      <c r="N240" s="15"/>
      <c r="O240" s="15"/>
      <c r="P240" s="15"/>
      <c r="Q240" s="15"/>
      <c r="R240" s="15"/>
      <c r="S240" s="15"/>
      <c r="T240" s="15"/>
      <c r="U240" s="15"/>
      <c r="V240" s="15"/>
      <c r="W240" s="15"/>
      <c r="X240" s="14"/>
      <c r="Y240" s="14"/>
      <c r="Z240" s="14"/>
      <c r="AA240" s="15"/>
      <c r="AB240" s="3"/>
      <c r="AC240" s="3"/>
      <c r="AD240" s="3"/>
      <c r="AE240" s="3"/>
      <c r="AF240" s="3"/>
      <c r="AG240" s="3"/>
      <c r="AH240" s="3"/>
      <c r="AI240" s="3"/>
      <c r="AJ240" s="3"/>
    </row>
    <row r="241" ht="15.75" customHeight="1">
      <c r="G241" s="478"/>
      <c r="J241" s="479"/>
      <c r="K241" s="238"/>
      <c r="L241" s="15"/>
      <c r="M241" s="15"/>
      <c r="N241" s="15"/>
      <c r="O241" s="15"/>
      <c r="P241" s="15"/>
      <c r="Q241" s="15"/>
      <c r="R241" s="15"/>
      <c r="S241" s="15"/>
      <c r="T241" s="15"/>
      <c r="U241" s="15"/>
      <c r="V241" s="15"/>
      <c r="W241" s="15"/>
      <c r="X241" s="14"/>
      <c r="Y241" s="14"/>
      <c r="Z241" s="14"/>
      <c r="AA241" s="15"/>
      <c r="AB241" s="3"/>
      <c r="AC241" s="3"/>
      <c r="AD241" s="3"/>
      <c r="AE241" s="3"/>
      <c r="AF241" s="3"/>
      <c r="AG241" s="3"/>
      <c r="AH241" s="3"/>
      <c r="AI241" s="3"/>
      <c r="AJ241" s="3"/>
    </row>
    <row r="242" ht="15.75" customHeight="1">
      <c r="G242" s="478"/>
      <c r="J242" s="479"/>
      <c r="K242" s="238"/>
      <c r="L242" s="15"/>
      <c r="M242" s="15"/>
      <c r="N242" s="15"/>
      <c r="O242" s="15"/>
      <c r="P242" s="15"/>
      <c r="Q242" s="15"/>
      <c r="R242" s="15"/>
      <c r="S242" s="15"/>
      <c r="T242" s="15"/>
      <c r="U242" s="15"/>
      <c r="V242" s="15"/>
      <c r="W242" s="15"/>
      <c r="X242" s="14"/>
      <c r="Y242" s="14"/>
      <c r="Z242" s="14"/>
      <c r="AA242" s="15"/>
      <c r="AB242" s="3"/>
      <c r="AC242" s="3"/>
      <c r="AD242" s="3"/>
      <c r="AE242" s="3"/>
      <c r="AF242" s="3"/>
      <c r="AG242" s="3"/>
      <c r="AH242" s="3"/>
      <c r="AI242" s="3"/>
      <c r="AJ242" s="3"/>
    </row>
    <row r="243" ht="15.75" customHeight="1">
      <c r="G243" s="478"/>
      <c r="J243" s="479"/>
      <c r="K243" s="238"/>
      <c r="L243" s="15"/>
      <c r="M243" s="15"/>
      <c r="N243" s="15"/>
      <c r="O243" s="15"/>
      <c r="P243" s="15"/>
      <c r="Q243" s="15"/>
      <c r="R243" s="15"/>
      <c r="S243" s="15"/>
      <c r="T243" s="15"/>
      <c r="U243" s="15"/>
      <c r="V243" s="15"/>
      <c r="W243" s="15"/>
      <c r="X243" s="14"/>
      <c r="Y243" s="14"/>
      <c r="Z243" s="14"/>
      <c r="AA243" s="15"/>
      <c r="AB243" s="3"/>
      <c r="AC243" s="3"/>
      <c r="AD243" s="3"/>
      <c r="AE243" s="3"/>
      <c r="AF243" s="3"/>
      <c r="AG243" s="3"/>
      <c r="AH243" s="3"/>
      <c r="AI243" s="3"/>
      <c r="AJ243" s="3"/>
    </row>
    <row r="244" ht="15.75" customHeight="1">
      <c r="G244" s="478"/>
      <c r="J244" s="479"/>
      <c r="K244" s="238"/>
      <c r="L244" s="15"/>
      <c r="M244" s="15"/>
      <c r="N244" s="15"/>
      <c r="O244" s="15"/>
      <c r="P244" s="15"/>
      <c r="Q244" s="15"/>
      <c r="R244" s="15"/>
      <c r="S244" s="15"/>
      <c r="T244" s="15"/>
      <c r="U244" s="15"/>
      <c r="V244" s="15"/>
      <c r="W244" s="15"/>
      <c r="X244" s="14"/>
      <c r="Y244" s="14"/>
      <c r="Z244" s="14"/>
      <c r="AA244" s="15"/>
      <c r="AB244" s="3"/>
      <c r="AC244" s="3"/>
      <c r="AD244" s="3"/>
      <c r="AE244" s="3"/>
      <c r="AF244" s="3"/>
      <c r="AG244" s="3"/>
      <c r="AH244" s="3"/>
      <c r="AI244" s="3"/>
      <c r="AJ244" s="3"/>
    </row>
    <row r="245" ht="15.75" customHeight="1">
      <c r="G245" s="478"/>
      <c r="J245" s="479"/>
      <c r="K245" s="238"/>
      <c r="L245" s="15"/>
      <c r="M245" s="15"/>
      <c r="N245" s="15"/>
      <c r="O245" s="15"/>
      <c r="P245" s="15"/>
      <c r="Q245" s="15"/>
      <c r="R245" s="15"/>
      <c r="S245" s="15"/>
      <c r="T245" s="15"/>
      <c r="U245" s="15"/>
      <c r="V245" s="15"/>
      <c r="W245" s="15"/>
      <c r="X245" s="14"/>
      <c r="Y245" s="14"/>
      <c r="Z245" s="14"/>
      <c r="AA245" s="15"/>
      <c r="AB245" s="3"/>
      <c r="AC245" s="3"/>
      <c r="AD245" s="3"/>
      <c r="AE245" s="3"/>
      <c r="AF245" s="3"/>
      <c r="AG245" s="3"/>
      <c r="AH245" s="3"/>
      <c r="AI245" s="3"/>
      <c r="AJ245" s="3"/>
    </row>
    <row r="246" ht="15.75" customHeight="1">
      <c r="G246" s="478"/>
      <c r="J246" s="479"/>
      <c r="K246" s="238"/>
      <c r="L246" s="15"/>
      <c r="M246" s="15"/>
      <c r="N246" s="15"/>
      <c r="O246" s="15"/>
      <c r="P246" s="15"/>
      <c r="Q246" s="15"/>
      <c r="R246" s="15"/>
      <c r="S246" s="15"/>
      <c r="T246" s="15"/>
      <c r="U246" s="15"/>
      <c r="V246" s="15"/>
      <c r="W246" s="15"/>
      <c r="X246" s="14"/>
      <c r="Y246" s="14"/>
      <c r="Z246" s="14"/>
      <c r="AA246" s="15"/>
      <c r="AB246" s="3"/>
      <c r="AC246" s="3"/>
      <c r="AD246" s="3"/>
      <c r="AE246" s="3"/>
      <c r="AF246" s="3"/>
      <c r="AG246" s="3"/>
      <c r="AH246" s="3"/>
      <c r="AI246" s="3"/>
      <c r="AJ246" s="3"/>
    </row>
    <row r="247" ht="15.75" customHeight="1">
      <c r="G247" s="478"/>
      <c r="J247" s="479"/>
      <c r="K247" s="238"/>
      <c r="L247" s="15"/>
      <c r="M247" s="15"/>
      <c r="N247" s="15"/>
      <c r="O247" s="15"/>
      <c r="P247" s="15"/>
      <c r="Q247" s="15"/>
      <c r="R247" s="15"/>
      <c r="S247" s="15"/>
      <c r="T247" s="15"/>
      <c r="U247" s="15"/>
      <c r="V247" s="15"/>
      <c r="W247" s="15"/>
      <c r="X247" s="14"/>
      <c r="Y247" s="14"/>
      <c r="Z247" s="14"/>
      <c r="AA247" s="15"/>
      <c r="AB247" s="3"/>
      <c r="AC247" s="3"/>
      <c r="AD247" s="3"/>
      <c r="AE247" s="3"/>
      <c r="AF247" s="3"/>
      <c r="AG247" s="3"/>
      <c r="AH247" s="3"/>
      <c r="AI247" s="3"/>
      <c r="AJ247" s="3"/>
    </row>
    <row r="248" ht="15.75" customHeight="1">
      <c r="G248" s="478"/>
      <c r="J248" s="479"/>
      <c r="K248" s="238"/>
      <c r="L248" s="15"/>
      <c r="M248" s="15"/>
      <c r="N248" s="15"/>
      <c r="O248" s="15"/>
      <c r="P248" s="15"/>
      <c r="Q248" s="15"/>
      <c r="R248" s="15"/>
      <c r="S248" s="15"/>
      <c r="T248" s="15"/>
      <c r="U248" s="15"/>
      <c r="V248" s="15"/>
      <c r="W248" s="15"/>
      <c r="X248" s="14"/>
      <c r="Y248" s="14"/>
      <c r="Z248" s="14"/>
      <c r="AA248" s="15"/>
      <c r="AB248" s="3"/>
      <c r="AC248" s="3"/>
      <c r="AD248" s="3"/>
      <c r="AE248" s="3"/>
      <c r="AF248" s="3"/>
      <c r="AG248" s="3"/>
      <c r="AH248" s="3"/>
      <c r="AI248" s="3"/>
      <c r="AJ248" s="3"/>
    </row>
    <row r="249" ht="15.75" customHeight="1">
      <c r="G249" s="478"/>
      <c r="J249" s="479"/>
      <c r="K249" s="238"/>
      <c r="L249" s="15"/>
      <c r="M249" s="15"/>
      <c r="N249" s="15"/>
      <c r="O249" s="15"/>
      <c r="P249" s="15"/>
      <c r="Q249" s="15"/>
      <c r="R249" s="15"/>
      <c r="S249" s="15"/>
      <c r="T249" s="15"/>
      <c r="U249" s="15"/>
      <c r="V249" s="15"/>
      <c r="W249" s="15"/>
      <c r="X249" s="14"/>
      <c r="Y249" s="14"/>
      <c r="Z249" s="14"/>
      <c r="AA249" s="15"/>
      <c r="AB249" s="3"/>
      <c r="AC249" s="3"/>
      <c r="AD249" s="3"/>
      <c r="AE249" s="3"/>
      <c r="AF249" s="3"/>
      <c r="AG249" s="3"/>
      <c r="AH249" s="3"/>
      <c r="AI249" s="3"/>
      <c r="AJ249" s="3"/>
    </row>
    <row r="250" ht="15.75" customHeight="1">
      <c r="G250" s="478"/>
      <c r="J250" s="479"/>
      <c r="K250" s="238"/>
      <c r="L250" s="15"/>
      <c r="M250" s="15"/>
      <c r="N250" s="15"/>
      <c r="O250" s="15"/>
      <c r="P250" s="15"/>
      <c r="Q250" s="15"/>
      <c r="R250" s="15"/>
      <c r="S250" s="15"/>
      <c r="T250" s="15"/>
      <c r="U250" s="15"/>
      <c r="V250" s="15"/>
      <c r="W250" s="15"/>
      <c r="X250" s="14"/>
      <c r="Y250" s="14"/>
      <c r="Z250" s="14"/>
      <c r="AA250" s="15"/>
      <c r="AB250" s="3"/>
      <c r="AC250" s="3"/>
      <c r="AD250" s="3"/>
      <c r="AE250" s="3"/>
      <c r="AF250" s="3"/>
      <c r="AG250" s="3"/>
      <c r="AH250" s="3"/>
      <c r="AI250" s="3"/>
      <c r="AJ250" s="3"/>
    </row>
    <row r="251" ht="15.75" customHeight="1">
      <c r="G251" s="478"/>
      <c r="J251" s="479"/>
      <c r="K251" s="238"/>
      <c r="L251" s="15"/>
      <c r="M251" s="15"/>
      <c r="N251" s="15"/>
      <c r="O251" s="15"/>
      <c r="P251" s="15"/>
      <c r="Q251" s="15"/>
      <c r="R251" s="15"/>
      <c r="S251" s="15"/>
      <c r="T251" s="15"/>
      <c r="U251" s="15"/>
      <c r="V251" s="15"/>
      <c r="W251" s="15"/>
      <c r="X251" s="14"/>
      <c r="Y251" s="14"/>
      <c r="Z251" s="14"/>
      <c r="AA251" s="15"/>
      <c r="AB251" s="3"/>
      <c r="AC251" s="3"/>
      <c r="AD251" s="3"/>
      <c r="AE251" s="3"/>
      <c r="AF251" s="3"/>
      <c r="AG251" s="3"/>
      <c r="AH251" s="3"/>
      <c r="AI251" s="3"/>
      <c r="AJ251" s="3"/>
    </row>
    <row r="252" ht="15.75" customHeight="1">
      <c r="G252" s="478"/>
      <c r="J252" s="479"/>
      <c r="K252" s="238"/>
      <c r="L252" s="15"/>
      <c r="M252" s="15"/>
      <c r="N252" s="15"/>
      <c r="O252" s="15"/>
      <c r="P252" s="15"/>
      <c r="Q252" s="15"/>
      <c r="R252" s="15"/>
      <c r="S252" s="15"/>
      <c r="T252" s="15"/>
      <c r="U252" s="15"/>
      <c r="V252" s="15"/>
      <c r="W252" s="15"/>
      <c r="X252" s="14"/>
      <c r="Y252" s="14"/>
      <c r="Z252" s="14"/>
      <c r="AA252" s="15"/>
      <c r="AB252" s="3"/>
      <c r="AC252" s="3"/>
      <c r="AD252" s="3"/>
      <c r="AE252" s="3"/>
      <c r="AF252" s="3"/>
      <c r="AG252" s="3"/>
      <c r="AH252" s="3"/>
      <c r="AI252" s="3"/>
      <c r="AJ252" s="3"/>
    </row>
    <row r="253" ht="15.75" customHeight="1">
      <c r="G253" s="478"/>
      <c r="J253" s="479"/>
      <c r="K253" s="238"/>
      <c r="L253" s="15"/>
      <c r="M253" s="15"/>
      <c r="N253" s="15"/>
      <c r="O253" s="15"/>
      <c r="P253" s="15"/>
      <c r="Q253" s="15"/>
      <c r="R253" s="15"/>
      <c r="S253" s="15"/>
      <c r="T253" s="15"/>
      <c r="U253" s="15"/>
      <c r="V253" s="15"/>
      <c r="W253" s="15"/>
      <c r="X253" s="14"/>
      <c r="Y253" s="14"/>
      <c r="Z253" s="14"/>
      <c r="AA253" s="15"/>
      <c r="AB253" s="3"/>
      <c r="AC253" s="3"/>
      <c r="AD253" s="3"/>
      <c r="AE253" s="3"/>
      <c r="AF253" s="3"/>
      <c r="AG253" s="3"/>
      <c r="AH253" s="3"/>
      <c r="AI253" s="3"/>
      <c r="AJ253" s="3"/>
    </row>
    <row r="254" ht="15.75" customHeight="1">
      <c r="G254" s="478"/>
      <c r="J254" s="479"/>
      <c r="K254" s="238"/>
      <c r="L254" s="15"/>
      <c r="M254" s="15"/>
      <c r="N254" s="15"/>
      <c r="O254" s="15"/>
      <c r="P254" s="15"/>
      <c r="Q254" s="15"/>
      <c r="R254" s="15"/>
      <c r="S254" s="15"/>
      <c r="T254" s="15"/>
      <c r="U254" s="15"/>
      <c r="V254" s="15"/>
      <c r="W254" s="15"/>
      <c r="X254" s="14"/>
      <c r="Y254" s="14"/>
      <c r="Z254" s="14"/>
      <c r="AA254" s="15"/>
      <c r="AB254" s="3"/>
      <c r="AC254" s="3"/>
      <c r="AD254" s="3"/>
      <c r="AE254" s="3"/>
      <c r="AF254" s="3"/>
      <c r="AG254" s="3"/>
      <c r="AH254" s="3"/>
      <c r="AI254" s="3"/>
      <c r="AJ254" s="3"/>
    </row>
    <row r="255" ht="15.75" customHeight="1">
      <c r="G255" s="478"/>
      <c r="J255" s="479"/>
      <c r="K255" s="238"/>
      <c r="L255" s="15"/>
      <c r="M255" s="15"/>
      <c r="N255" s="15"/>
      <c r="O255" s="15"/>
      <c r="P255" s="15"/>
      <c r="Q255" s="15"/>
      <c r="R255" s="15"/>
      <c r="S255" s="15"/>
      <c r="T255" s="15"/>
      <c r="U255" s="15"/>
      <c r="V255" s="15"/>
      <c r="W255" s="15"/>
      <c r="X255" s="14"/>
      <c r="Y255" s="14"/>
      <c r="Z255" s="14"/>
      <c r="AA255" s="15"/>
      <c r="AB255" s="3"/>
      <c r="AC255" s="3"/>
      <c r="AD255" s="3"/>
      <c r="AE255" s="3"/>
      <c r="AF255" s="3"/>
      <c r="AG255" s="3"/>
      <c r="AH255" s="3"/>
      <c r="AI255" s="3"/>
      <c r="AJ255" s="3"/>
    </row>
    <row r="256" ht="15.75" customHeight="1">
      <c r="G256" s="478"/>
      <c r="J256" s="479"/>
      <c r="K256" s="238"/>
      <c r="L256" s="15"/>
      <c r="M256" s="15"/>
      <c r="N256" s="15"/>
      <c r="O256" s="15"/>
      <c r="P256" s="15"/>
      <c r="Q256" s="15"/>
      <c r="R256" s="15"/>
      <c r="S256" s="15"/>
      <c r="T256" s="15"/>
      <c r="U256" s="15"/>
      <c r="V256" s="15"/>
      <c r="W256" s="15"/>
      <c r="X256" s="14"/>
      <c r="Y256" s="14"/>
      <c r="Z256" s="14"/>
      <c r="AA256" s="15"/>
      <c r="AB256" s="3"/>
      <c r="AC256" s="3"/>
      <c r="AD256" s="3"/>
      <c r="AE256" s="3"/>
      <c r="AF256" s="3"/>
      <c r="AG256" s="3"/>
      <c r="AH256" s="3"/>
      <c r="AI256" s="3"/>
      <c r="AJ256" s="3"/>
    </row>
    <row r="257" ht="15.75" customHeight="1">
      <c r="G257" s="478"/>
      <c r="J257" s="479"/>
      <c r="K257" s="238"/>
      <c r="L257" s="15"/>
      <c r="M257" s="15"/>
      <c r="N257" s="15"/>
      <c r="O257" s="15"/>
      <c r="P257" s="15"/>
      <c r="Q257" s="15"/>
      <c r="R257" s="15"/>
      <c r="S257" s="15"/>
      <c r="T257" s="15"/>
      <c r="U257" s="15"/>
      <c r="V257" s="15"/>
      <c r="W257" s="15"/>
      <c r="X257" s="14"/>
      <c r="Y257" s="14"/>
      <c r="Z257" s="14"/>
      <c r="AA257" s="15"/>
      <c r="AB257" s="3"/>
      <c r="AC257" s="3"/>
      <c r="AD257" s="3"/>
      <c r="AE257" s="3"/>
      <c r="AF257" s="3"/>
      <c r="AG257" s="3"/>
      <c r="AH257" s="3"/>
      <c r="AI257" s="3"/>
      <c r="AJ257" s="3"/>
    </row>
    <row r="258" ht="15.75" customHeight="1">
      <c r="G258" s="478"/>
      <c r="J258" s="479"/>
      <c r="K258" s="238"/>
      <c r="L258" s="15"/>
      <c r="M258" s="15"/>
      <c r="N258" s="15"/>
      <c r="O258" s="15"/>
      <c r="P258" s="15"/>
      <c r="Q258" s="15"/>
      <c r="R258" s="15"/>
      <c r="S258" s="15"/>
      <c r="T258" s="15"/>
      <c r="U258" s="15"/>
      <c r="V258" s="15"/>
      <c r="W258" s="15"/>
      <c r="X258" s="14"/>
      <c r="Y258" s="14"/>
      <c r="Z258" s="14"/>
      <c r="AA258" s="15"/>
      <c r="AB258" s="3"/>
      <c r="AC258" s="3"/>
      <c r="AD258" s="3"/>
      <c r="AE258" s="3"/>
      <c r="AF258" s="3"/>
      <c r="AG258" s="3"/>
      <c r="AH258" s="3"/>
      <c r="AI258" s="3"/>
      <c r="AJ258" s="3"/>
    </row>
    <row r="259" ht="15.75" customHeight="1">
      <c r="G259" s="478"/>
      <c r="J259" s="479"/>
      <c r="K259" s="238"/>
      <c r="L259" s="15"/>
      <c r="M259" s="15"/>
      <c r="N259" s="15"/>
      <c r="O259" s="15"/>
      <c r="P259" s="15"/>
      <c r="Q259" s="15"/>
      <c r="R259" s="15"/>
      <c r="S259" s="15"/>
      <c r="T259" s="15"/>
      <c r="U259" s="15"/>
      <c r="V259" s="15"/>
      <c r="W259" s="15"/>
      <c r="X259" s="14"/>
      <c r="Y259" s="14"/>
      <c r="Z259" s="14"/>
      <c r="AA259" s="15"/>
      <c r="AB259" s="3"/>
      <c r="AC259" s="3"/>
      <c r="AD259" s="3"/>
      <c r="AE259" s="3"/>
      <c r="AF259" s="3"/>
      <c r="AG259" s="3"/>
      <c r="AH259" s="3"/>
      <c r="AI259" s="3"/>
      <c r="AJ259" s="3"/>
    </row>
    <row r="260" ht="15.75" customHeight="1">
      <c r="G260" s="478"/>
      <c r="J260" s="479"/>
      <c r="K260" s="238"/>
      <c r="L260" s="15"/>
      <c r="M260" s="15"/>
      <c r="N260" s="15"/>
      <c r="O260" s="15"/>
      <c r="P260" s="15"/>
      <c r="Q260" s="15"/>
      <c r="R260" s="15"/>
      <c r="S260" s="15"/>
      <c r="T260" s="15"/>
      <c r="U260" s="15"/>
      <c r="V260" s="15"/>
      <c r="W260" s="15"/>
      <c r="X260" s="14"/>
      <c r="Y260" s="14"/>
      <c r="Z260" s="14"/>
      <c r="AA260" s="15"/>
      <c r="AB260" s="3"/>
      <c r="AC260" s="3"/>
      <c r="AD260" s="3"/>
      <c r="AE260" s="3"/>
      <c r="AF260" s="3"/>
      <c r="AG260" s="3"/>
      <c r="AH260" s="3"/>
      <c r="AI260" s="3"/>
      <c r="AJ260" s="3"/>
    </row>
    <row r="261" ht="15.75" customHeight="1">
      <c r="G261" s="478"/>
      <c r="J261" s="479"/>
      <c r="K261" s="238"/>
      <c r="L261" s="15"/>
      <c r="M261" s="15"/>
      <c r="N261" s="15"/>
      <c r="O261" s="15"/>
      <c r="P261" s="15"/>
      <c r="Q261" s="15"/>
      <c r="R261" s="15"/>
      <c r="S261" s="15"/>
      <c r="T261" s="15"/>
      <c r="U261" s="15"/>
      <c r="V261" s="15"/>
      <c r="W261" s="15"/>
      <c r="X261" s="14"/>
      <c r="Y261" s="14"/>
      <c r="Z261" s="14"/>
      <c r="AA261" s="15"/>
      <c r="AB261" s="3"/>
      <c r="AC261" s="3"/>
      <c r="AD261" s="3"/>
      <c r="AE261" s="3"/>
      <c r="AF261" s="3"/>
      <c r="AG261" s="3"/>
      <c r="AH261" s="3"/>
      <c r="AI261" s="3"/>
      <c r="AJ261" s="3"/>
    </row>
    <row r="262" ht="15.75" customHeight="1">
      <c r="G262" s="478"/>
      <c r="J262" s="479"/>
      <c r="K262" s="238"/>
      <c r="L262" s="15"/>
      <c r="M262" s="15"/>
      <c r="N262" s="15"/>
      <c r="O262" s="15"/>
      <c r="P262" s="15"/>
      <c r="Q262" s="15"/>
      <c r="R262" s="15"/>
      <c r="S262" s="15"/>
      <c r="T262" s="15"/>
      <c r="U262" s="15"/>
      <c r="V262" s="15"/>
      <c r="W262" s="15"/>
      <c r="X262" s="14"/>
      <c r="Y262" s="14"/>
      <c r="Z262" s="14"/>
      <c r="AA262" s="15"/>
      <c r="AB262" s="3"/>
      <c r="AC262" s="3"/>
      <c r="AD262" s="3"/>
      <c r="AE262" s="3"/>
      <c r="AF262" s="3"/>
      <c r="AG262" s="3"/>
      <c r="AH262" s="3"/>
      <c r="AI262" s="3"/>
      <c r="AJ262" s="3"/>
    </row>
    <row r="263" ht="15.75" customHeight="1">
      <c r="G263" s="478"/>
      <c r="J263" s="479"/>
      <c r="K263" s="238"/>
      <c r="L263" s="15"/>
      <c r="M263" s="15"/>
      <c r="N263" s="15"/>
      <c r="O263" s="15"/>
      <c r="P263" s="15"/>
      <c r="Q263" s="15"/>
      <c r="R263" s="15"/>
      <c r="S263" s="15"/>
      <c r="T263" s="15"/>
      <c r="U263" s="15"/>
      <c r="V263" s="15"/>
      <c r="W263" s="15"/>
      <c r="X263" s="14"/>
      <c r="Y263" s="14"/>
      <c r="Z263" s="14"/>
      <c r="AA263" s="15"/>
      <c r="AB263" s="3"/>
      <c r="AC263" s="3"/>
      <c r="AD263" s="3"/>
      <c r="AE263" s="3"/>
      <c r="AF263" s="3"/>
      <c r="AG263" s="3"/>
      <c r="AH263" s="3"/>
      <c r="AI263" s="3"/>
      <c r="AJ263" s="3"/>
    </row>
    <row r="264" ht="15.75" customHeight="1">
      <c r="G264" s="478"/>
      <c r="J264" s="479"/>
      <c r="K264" s="238"/>
      <c r="L264" s="15"/>
      <c r="M264" s="15"/>
      <c r="N264" s="15"/>
      <c r="O264" s="15"/>
      <c r="P264" s="15"/>
      <c r="Q264" s="15"/>
      <c r="R264" s="15"/>
      <c r="S264" s="15"/>
      <c r="T264" s="15"/>
      <c r="U264" s="15"/>
      <c r="V264" s="15"/>
      <c r="W264" s="15"/>
      <c r="X264" s="14"/>
      <c r="Y264" s="14"/>
      <c r="Z264" s="14"/>
      <c r="AA264" s="15"/>
      <c r="AB264" s="3"/>
      <c r="AC264" s="3"/>
      <c r="AD264" s="3"/>
      <c r="AE264" s="3"/>
      <c r="AF264" s="3"/>
      <c r="AG264" s="3"/>
      <c r="AH264" s="3"/>
      <c r="AI264" s="3"/>
      <c r="AJ264" s="3"/>
    </row>
    <row r="265" ht="15.75" customHeight="1">
      <c r="G265" s="478"/>
      <c r="J265" s="479"/>
      <c r="K265" s="238"/>
      <c r="L265" s="15"/>
      <c r="M265" s="15"/>
      <c r="N265" s="15"/>
      <c r="O265" s="15"/>
      <c r="P265" s="15"/>
      <c r="Q265" s="15"/>
      <c r="R265" s="15"/>
      <c r="S265" s="15"/>
      <c r="T265" s="15"/>
      <c r="U265" s="15"/>
      <c r="V265" s="15"/>
      <c r="W265" s="15"/>
      <c r="X265" s="14"/>
      <c r="Y265" s="14"/>
      <c r="Z265" s="14"/>
      <c r="AA265" s="15"/>
      <c r="AB265" s="3"/>
      <c r="AC265" s="3"/>
      <c r="AD265" s="3"/>
      <c r="AE265" s="3"/>
      <c r="AF265" s="3"/>
      <c r="AG265" s="3"/>
      <c r="AH265" s="3"/>
      <c r="AI265" s="3"/>
      <c r="AJ265" s="3"/>
    </row>
    <row r="266" ht="15.75" customHeight="1">
      <c r="G266" s="478"/>
      <c r="J266" s="479"/>
      <c r="K266" s="238"/>
      <c r="L266" s="15"/>
      <c r="M266" s="15"/>
      <c r="N266" s="15"/>
      <c r="O266" s="15"/>
      <c r="P266" s="15"/>
      <c r="Q266" s="15"/>
      <c r="R266" s="15"/>
      <c r="S266" s="15"/>
      <c r="T266" s="15"/>
      <c r="U266" s="15"/>
      <c r="V266" s="15"/>
      <c r="W266" s="15"/>
      <c r="X266" s="14"/>
      <c r="Y266" s="14"/>
      <c r="Z266" s="14"/>
      <c r="AA266" s="15"/>
      <c r="AB266" s="3"/>
      <c r="AC266" s="3"/>
      <c r="AD266" s="3"/>
      <c r="AE266" s="3"/>
      <c r="AF266" s="3"/>
      <c r="AG266" s="3"/>
      <c r="AH266" s="3"/>
      <c r="AI266" s="3"/>
      <c r="AJ266" s="3"/>
    </row>
    <row r="267" ht="15.75" customHeight="1">
      <c r="G267" s="478"/>
      <c r="J267" s="479"/>
      <c r="K267" s="238"/>
      <c r="L267" s="15"/>
      <c r="M267" s="15"/>
      <c r="N267" s="15"/>
      <c r="O267" s="15"/>
      <c r="P267" s="15"/>
      <c r="Q267" s="15"/>
      <c r="R267" s="15"/>
      <c r="S267" s="15"/>
      <c r="T267" s="15"/>
      <c r="U267" s="15"/>
      <c r="V267" s="15"/>
      <c r="W267" s="15"/>
      <c r="X267" s="14"/>
      <c r="Y267" s="14"/>
      <c r="Z267" s="14"/>
      <c r="AA267" s="15"/>
      <c r="AB267" s="3"/>
      <c r="AC267" s="3"/>
      <c r="AD267" s="3"/>
      <c r="AE267" s="3"/>
      <c r="AF267" s="3"/>
      <c r="AG267" s="3"/>
      <c r="AH267" s="3"/>
      <c r="AI267" s="3"/>
      <c r="AJ267" s="3"/>
    </row>
    <row r="268" ht="15.75" customHeight="1">
      <c r="G268" s="478"/>
      <c r="J268" s="479"/>
      <c r="K268" s="238"/>
      <c r="L268" s="15"/>
      <c r="M268" s="15"/>
      <c r="N268" s="15"/>
      <c r="O268" s="15"/>
      <c r="P268" s="15"/>
      <c r="Q268" s="15"/>
      <c r="R268" s="15"/>
      <c r="S268" s="15"/>
      <c r="T268" s="15"/>
      <c r="U268" s="15"/>
      <c r="V268" s="15"/>
      <c r="W268" s="15"/>
      <c r="X268" s="14"/>
      <c r="Y268" s="14"/>
      <c r="Z268" s="14"/>
      <c r="AA268" s="15"/>
      <c r="AB268" s="3"/>
      <c r="AC268" s="3"/>
      <c r="AD268" s="3"/>
      <c r="AE268" s="3"/>
      <c r="AF268" s="3"/>
      <c r="AG268" s="3"/>
      <c r="AH268" s="3"/>
      <c r="AI268" s="3"/>
      <c r="AJ268" s="3"/>
    </row>
    <row r="269" ht="15.75" customHeight="1">
      <c r="G269" s="478"/>
      <c r="J269" s="479"/>
      <c r="K269" s="238"/>
      <c r="L269" s="15"/>
      <c r="M269" s="15"/>
      <c r="N269" s="15"/>
      <c r="O269" s="15"/>
      <c r="P269" s="15"/>
      <c r="Q269" s="15"/>
      <c r="R269" s="15"/>
      <c r="S269" s="15"/>
      <c r="T269" s="15"/>
      <c r="U269" s="15"/>
      <c r="V269" s="15"/>
      <c r="W269" s="15"/>
      <c r="X269" s="14"/>
      <c r="Y269" s="14"/>
      <c r="Z269" s="14"/>
      <c r="AA269" s="15"/>
      <c r="AB269" s="3"/>
      <c r="AC269" s="3"/>
      <c r="AD269" s="3"/>
      <c r="AE269" s="3"/>
      <c r="AF269" s="3"/>
      <c r="AG269" s="3"/>
      <c r="AH269" s="3"/>
      <c r="AI269" s="3"/>
      <c r="AJ269" s="3"/>
    </row>
    <row r="270" ht="15.75" customHeight="1">
      <c r="G270" s="478"/>
      <c r="J270" s="479"/>
      <c r="K270" s="238"/>
      <c r="L270" s="15"/>
      <c r="M270" s="15"/>
      <c r="N270" s="15"/>
      <c r="O270" s="15"/>
      <c r="P270" s="15"/>
      <c r="Q270" s="15"/>
      <c r="R270" s="15"/>
      <c r="S270" s="15"/>
      <c r="T270" s="15"/>
      <c r="U270" s="15"/>
      <c r="V270" s="15"/>
      <c r="W270" s="15"/>
      <c r="X270" s="14"/>
      <c r="Y270" s="14"/>
      <c r="Z270" s="14"/>
      <c r="AA270" s="15"/>
      <c r="AB270" s="3"/>
      <c r="AC270" s="3"/>
      <c r="AD270" s="3"/>
      <c r="AE270" s="3"/>
      <c r="AF270" s="3"/>
      <c r="AG270" s="3"/>
      <c r="AH270" s="3"/>
      <c r="AI270" s="3"/>
      <c r="AJ270" s="3"/>
    </row>
    <row r="271" ht="15.75" customHeight="1">
      <c r="G271" s="478"/>
      <c r="J271" s="479"/>
      <c r="K271" s="238"/>
      <c r="L271" s="15"/>
      <c r="M271" s="15"/>
      <c r="N271" s="15"/>
      <c r="O271" s="15"/>
      <c r="P271" s="15"/>
      <c r="Q271" s="15"/>
      <c r="R271" s="15"/>
      <c r="S271" s="15"/>
      <c r="T271" s="15"/>
      <c r="U271" s="15"/>
      <c r="V271" s="15"/>
      <c r="W271" s="15"/>
      <c r="X271" s="14"/>
      <c r="Y271" s="14"/>
      <c r="Z271" s="14"/>
      <c r="AA271" s="15"/>
      <c r="AB271" s="3"/>
      <c r="AC271" s="3"/>
      <c r="AD271" s="3"/>
      <c r="AE271" s="3"/>
      <c r="AF271" s="3"/>
      <c r="AG271" s="3"/>
      <c r="AH271" s="3"/>
      <c r="AI271" s="3"/>
      <c r="AJ271" s="3"/>
    </row>
    <row r="272" ht="15.75" customHeight="1">
      <c r="G272" s="478"/>
      <c r="J272" s="479"/>
      <c r="K272" s="238"/>
      <c r="L272" s="15"/>
      <c r="M272" s="15"/>
      <c r="N272" s="15"/>
      <c r="O272" s="15"/>
      <c r="P272" s="15"/>
      <c r="Q272" s="15"/>
      <c r="R272" s="15"/>
      <c r="S272" s="15"/>
      <c r="T272" s="15"/>
      <c r="U272" s="15"/>
      <c r="V272" s="15"/>
      <c r="W272" s="15"/>
      <c r="X272" s="14"/>
      <c r="Y272" s="14"/>
      <c r="Z272" s="14"/>
      <c r="AA272" s="15"/>
      <c r="AB272" s="3"/>
      <c r="AC272" s="3"/>
      <c r="AD272" s="3"/>
      <c r="AE272" s="3"/>
      <c r="AF272" s="3"/>
      <c r="AG272" s="3"/>
      <c r="AH272" s="3"/>
      <c r="AI272" s="3"/>
      <c r="AJ272" s="3"/>
    </row>
    <row r="273" ht="15.75" customHeight="1">
      <c r="G273" s="478"/>
      <c r="J273" s="479"/>
      <c r="K273" s="238"/>
      <c r="L273" s="15"/>
      <c r="M273" s="15"/>
      <c r="N273" s="15"/>
      <c r="O273" s="15"/>
      <c r="P273" s="15"/>
      <c r="Q273" s="15"/>
      <c r="R273" s="15"/>
      <c r="S273" s="15"/>
      <c r="T273" s="15"/>
      <c r="U273" s="15"/>
      <c r="V273" s="15"/>
      <c r="W273" s="15"/>
      <c r="X273" s="14"/>
      <c r="Y273" s="14"/>
      <c r="Z273" s="14"/>
      <c r="AA273" s="15"/>
      <c r="AB273" s="3"/>
      <c r="AC273" s="3"/>
      <c r="AD273" s="3"/>
      <c r="AE273" s="3"/>
      <c r="AF273" s="3"/>
      <c r="AG273" s="3"/>
      <c r="AH273" s="3"/>
      <c r="AI273" s="3"/>
      <c r="AJ273" s="3"/>
    </row>
    <row r="274" ht="15.75" customHeight="1">
      <c r="G274" s="478"/>
      <c r="J274" s="479"/>
      <c r="K274" s="238"/>
      <c r="L274" s="15"/>
      <c r="M274" s="15"/>
      <c r="N274" s="15"/>
      <c r="O274" s="15"/>
      <c r="P274" s="15"/>
      <c r="Q274" s="15"/>
      <c r="R274" s="15"/>
      <c r="S274" s="15"/>
      <c r="T274" s="15"/>
      <c r="U274" s="15"/>
      <c r="V274" s="15"/>
      <c r="W274" s="15"/>
      <c r="X274" s="14"/>
      <c r="Y274" s="14"/>
      <c r="Z274" s="14"/>
      <c r="AA274" s="15"/>
      <c r="AB274" s="3"/>
      <c r="AC274" s="3"/>
      <c r="AD274" s="3"/>
      <c r="AE274" s="3"/>
      <c r="AF274" s="3"/>
      <c r="AG274" s="3"/>
      <c r="AH274" s="3"/>
      <c r="AI274" s="3"/>
      <c r="AJ274" s="3"/>
    </row>
    <row r="275" ht="15.75" customHeight="1">
      <c r="G275" s="478"/>
      <c r="J275" s="479"/>
      <c r="K275" s="238"/>
      <c r="L275" s="15"/>
      <c r="M275" s="15"/>
      <c r="N275" s="15"/>
      <c r="O275" s="15"/>
      <c r="P275" s="15"/>
      <c r="Q275" s="15"/>
      <c r="R275" s="15"/>
      <c r="S275" s="15"/>
      <c r="T275" s="15"/>
      <c r="U275" s="15"/>
      <c r="V275" s="15"/>
      <c r="W275" s="15"/>
      <c r="X275" s="14"/>
      <c r="Y275" s="14"/>
      <c r="Z275" s="14"/>
      <c r="AA275" s="15"/>
      <c r="AB275" s="3"/>
      <c r="AC275" s="3"/>
      <c r="AD275" s="3"/>
      <c r="AE275" s="3"/>
      <c r="AF275" s="3"/>
      <c r="AG275" s="3"/>
      <c r="AH275" s="3"/>
      <c r="AI275" s="3"/>
      <c r="AJ275" s="3"/>
    </row>
    <row r="276" ht="15.75" customHeight="1">
      <c r="G276" s="478"/>
      <c r="J276" s="479"/>
      <c r="K276" s="238"/>
      <c r="L276" s="15"/>
      <c r="M276" s="15"/>
      <c r="N276" s="15"/>
      <c r="O276" s="15"/>
      <c r="P276" s="15"/>
      <c r="Q276" s="15"/>
      <c r="R276" s="15"/>
      <c r="S276" s="15"/>
      <c r="T276" s="15"/>
      <c r="U276" s="15"/>
      <c r="V276" s="15"/>
      <c r="W276" s="15"/>
      <c r="X276" s="14"/>
      <c r="Y276" s="14"/>
      <c r="Z276" s="14"/>
      <c r="AA276" s="15"/>
      <c r="AB276" s="3"/>
      <c r="AC276" s="3"/>
      <c r="AD276" s="3"/>
      <c r="AE276" s="3"/>
      <c r="AF276" s="3"/>
      <c r="AG276" s="3"/>
      <c r="AH276" s="3"/>
      <c r="AI276" s="3"/>
      <c r="AJ276" s="3"/>
    </row>
    <row r="277" ht="15.75" customHeight="1">
      <c r="G277" s="478"/>
      <c r="J277" s="479"/>
      <c r="K277" s="238"/>
      <c r="L277" s="15"/>
      <c r="M277" s="15"/>
      <c r="N277" s="15"/>
      <c r="O277" s="15"/>
      <c r="P277" s="15"/>
      <c r="Q277" s="15"/>
      <c r="R277" s="15"/>
      <c r="S277" s="15"/>
      <c r="T277" s="15"/>
      <c r="U277" s="15"/>
      <c r="V277" s="15"/>
      <c r="W277" s="15"/>
      <c r="X277" s="14"/>
      <c r="Y277" s="14"/>
      <c r="Z277" s="14"/>
      <c r="AA277" s="15"/>
      <c r="AB277" s="3"/>
      <c r="AC277" s="3"/>
      <c r="AD277" s="3"/>
      <c r="AE277" s="3"/>
      <c r="AF277" s="3"/>
      <c r="AG277" s="3"/>
      <c r="AH277" s="3"/>
      <c r="AI277" s="3"/>
      <c r="AJ277" s="3"/>
    </row>
    <row r="278" ht="15.75" customHeight="1">
      <c r="G278" s="478"/>
      <c r="J278" s="479"/>
      <c r="K278" s="238"/>
      <c r="L278" s="15"/>
      <c r="M278" s="15"/>
      <c r="N278" s="15"/>
      <c r="O278" s="15"/>
      <c r="P278" s="15"/>
      <c r="Q278" s="15"/>
      <c r="R278" s="15"/>
      <c r="S278" s="15"/>
      <c r="T278" s="15"/>
      <c r="U278" s="15"/>
      <c r="V278" s="15"/>
      <c r="W278" s="15"/>
      <c r="X278" s="14"/>
      <c r="Y278" s="14"/>
      <c r="Z278" s="14"/>
      <c r="AA278" s="15"/>
      <c r="AB278" s="3"/>
      <c r="AC278" s="3"/>
      <c r="AD278" s="3"/>
      <c r="AE278" s="3"/>
      <c r="AF278" s="3"/>
      <c r="AG278" s="3"/>
      <c r="AH278" s="3"/>
      <c r="AI278" s="3"/>
      <c r="AJ278" s="3"/>
    </row>
    <row r="279" ht="15.75" customHeight="1">
      <c r="G279" s="478"/>
      <c r="J279" s="479"/>
      <c r="K279" s="238"/>
      <c r="L279" s="15"/>
      <c r="M279" s="15"/>
      <c r="N279" s="15"/>
      <c r="O279" s="15"/>
      <c r="P279" s="15"/>
      <c r="Q279" s="15"/>
      <c r="R279" s="15"/>
      <c r="S279" s="15"/>
      <c r="T279" s="15"/>
      <c r="U279" s="15"/>
      <c r="V279" s="15"/>
      <c r="W279" s="15"/>
      <c r="X279" s="14"/>
      <c r="Y279" s="14"/>
      <c r="Z279" s="14"/>
      <c r="AA279" s="15"/>
      <c r="AB279" s="3"/>
      <c r="AC279" s="3"/>
      <c r="AD279" s="3"/>
      <c r="AE279" s="3"/>
      <c r="AF279" s="3"/>
      <c r="AG279" s="3"/>
      <c r="AH279" s="3"/>
      <c r="AI279" s="3"/>
      <c r="AJ279" s="3"/>
    </row>
    <row r="280" ht="15.75" customHeight="1">
      <c r="G280" s="478"/>
      <c r="J280" s="479"/>
      <c r="K280" s="238"/>
      <c r="L280" s="15"/>
      <c r="M280" s="15"/>
      <c r="N280" s="15"/>
      <c r="O280" s="15"/>
      <c r="P280" s="15"/>
      <c r="Q280" s="15"/>
      <c r="R280" s="15"/>
      <c r="S280" s="15"/>
      <c r="T280" s="15"/>
      <c r="U280" s="15"/>
      <c r="V280" s="15"/>
      <c r="W280" s="15"/>
      <c r="X280" s="14"/>
      <c r="Y280" s="14"/>
      <c r="Z280" s="14"/>
      <c r="AA280" s="15"/>
      <c r="AB280" s="3"/>
      <c r="AC280" s="3"/>
      <c r="AD280" s="3"/>
      <c r="AE280" s="3"/>
      <c r="AF280" s="3"/>
      <c r="AG280" s="3"/>
      <c r="AH280" s="3"/>
      <c r="AI280" s="3"/>
      <c r="AJ280" s="3"/>
    </row>
    <row r="281" ht="15.75" customHeight="1">
      <c r="G281" s="478"/>
      <c r="J281" s="479"/>
      <c r="K281" s="238"/>
      <c r="L281" s="15"/>
      <c r="M281" s="15"/>
      <c r="N281" s="15"/>
      <c r="O281" s="15"/>
      <c r="P281" s="15"/>
      <c r="Q281" s="15"/>
      <c r="R281" s="15"/>
      <c r="S281" s="15"/>
      <c r="T281" s="15"/>
      <c r="U281" s="15"/>
      <c r="V281" s="15"/>
      <c r="W281" s="15"/>
      <c r="X281" s="14"/>
      <c r="Y281" s="14"/>
      <c r="Z281" s="14"/>
      <c r="AA281" s="15"/>
      <c r="AB281" s="3"/>
      <c r="AC281" s="3"/>
      <c r="AD281" s="3"/>
      <c r="AE281" s="3"/>
      <c r="AF281" s="3"/>
      <c r="AG281" s="3"/>
      <c r="AH281" s="3"/>
      <c r="AI281" s="3"/>
      <c r="AJ281" s="3"/>
    </row>
    <row r="282" ht="15.75" customHeight="1">
      <c r="G282" s="478"/>
      <c r="J282" s="479"/>
      <c r="K282" s="238"/>
      <c r="L282" s="15"/>
      <c r="M282" s="15"/>
      <c r="N282" s="15"/>
      <c r="O282" s="15"/>
      <c r="P282" s="15"/>
      <c r="Q282" s="15"/>
      <c r="R282" s="15"/>
      <c r="S282" s="15"/>
      <c r="T282" s="15"/>
      <c r="U282" s="15"/>
      <c r="V282" s="15"/>
      <c r="W282" s="15"/>
      <c r="X282" s="14"/>
      <c r="Y282" s="14"/>
      <c r="Z282" s="14"/>
      <c r="AA282" s="15"/>
      <c r="AB282" s="3"/>
      <c r="AC282" s="3"/>
      <c r="AD282" s="3"/>
      <c r="AE282" s="3"/>
      <c r="AF282" s="3"/>
      <c r="AG282" s="3"/>
      <c r="AH282" s="3"/>
      <c r="AI282" s="3"/>
      <c r="AJ282" s="3"/>
    </row>
    <row r="283" ht="15.75" customHeight="1">
      <c r="G283" s="478"/>
      <c r="J283" s="479"/>
      <c r="K283" s="238"/>
      <c r="L283" s="15"/>
      <c r="M283" s="15"/>
      <c r="N283" s="15"/>
      <c r="O283" s="15"/>
      <c r="P283" s="15"/>
      <c r="Q283" s="15"/>
      <c r="R283" s="15"/>
      <c r="S283" s="15"/>
      <c r="T283" s="15"/>
      <c r="U283" s="15"/>
      <c r="V283" s="15"/>
      <c r="W283" s="15"/>
      <c r="X283" s="14"/>
      <c r="Y283" s="14"/>
      <c r="Z283" s="14"/>
      <c r="AA283" s="15"/>
      <c r="AB283" s="3"/>
      <c r="AC283" s="3"/>
      <c r="AD283" s="3"/>
      <c r="AE283" s="3"/>
      <c r="AF283" s="3"/>
      <c r="AG283" s="3"/>
      <c r="AH283" s="3"/>
      <c r="AI283" s="3"/>
      <c r="AJ283" s="3"/>
    </row>
    <row r="284" ht="15.75" customHeight="1">
      <c r="G284" s="478"/>
      <c r="J284" s="479"/>
      <c r="K284" s="238"/>
      <c r="L284" s="15"/>
      <c r="M284" s="15"/>
      <c r="N284" s="15"/>
      <c r="O284" s="15"/>
      <c r="P284" s="15"/>
      <c r="Q284" s="15"/>
      <c r="R284" s="15"/>
      <c r="S284" s="15"/>
      <c r="T284" s="15"/>
      <c r="U284" s="15"/>
      <c r="V284" s="15"/>
      <c r="W284" s="15"/>
      <c r="X284" s="14"/>
      <c r="Y284" s="14"/>
      <c r="Z284" s="14"/>
      <c r="AA284" s="15"/>
      <c r="AB284" s="3"/>
      <c r="AC284" s="3"/>
      <c r="AD284" s="3"/>
      <c r="AE284" s="3"/>
      <c r="AF284" s="3"/>
      <c r="AG284" s="3"/>
      <c r="AH284" s="3"/>
      <c r="AI284" s="3"/>
      <c r="AJ284" s="3"/>
    </row>
    <row r="285" ht="15.75" customHeight="1">
      <c r="G285" s="478"/>
      <c r="J285" s="479"/>
      <c r="K285" s="238"/>
      <c r="L285" s="15"/>
      <c r="M285" s="15"/>
      <c r="N285" s="15"/>
      <c r="O285" s="15"/>
      <c r="P285" s="15"/>
      <c r="Q285" s="15"/>
      <c r="R285" s="15"/>
      <c r="S285" s="15"/>
      <c r="T285" s="15"/>
      <c r="U285" s="15"/>
      <c r="V285" s="15"/>
      <c r="W285" s="15"/>
      <c r="X285" s="14"/>
      <c r="Y285" s="14"/>
      <c r="Z285" s="14"/>
      <c r="AA285" s="15"/>
      <c r="AB285" s="3"/>
      <c r="AC285" s="3"/>
      <c r="AD285" s="3"/>
      <c r="AE285" s="3"/>
      <c r="AF285" s="3"/>
      <c r="AG285" s="3"/>
      <c r="AH285" s="3"/>
      <c r="AI285" s="3"/>
      <c r="AJ285" s="3"/>
    </row>
    <row r="286" ht="15.75" customHeight="1">
      <c r="G286" s="478"/>
      <c r="J286" s="479"/>
      <c r="K286" s="238"/>
      <c r="L286" s="15"/>
      <c r="M286" s="15"/>
      <c r="N286" s="15"/>
      <c r="O286" s="15"/>
      <c r="P286" s="15"/>
      <c r="Q286" s="15"/>
      <c r="R286" s="15"/>
      <c r="S286" s="15"/>
      <c r="T286" s="15"/>
      <c r="U286" s="15"/>
      <c r="V286" s="15"/>
      <c r="W286" s="15"/>
      <c r="X286" s="14"/>
      <c r="Y286" s="14"/>
      <c r="Z286" s="14"/>
      <c r="AA286" s="15"/>
      <c r="AB286" s="3"/>
      <c r="AC286" s="3"/>
      <c r="AD286" s="3"/>
      <c r="AE286" s="3"/>
      <c r="AF286" s="3"/>
      <c r="AG286" s="3"/>
      <c r="AH286" s="3"/>
      <c r="AI286" s="3"/>
      <c r="AJ286" s="3"/>
    </row>
    <row r="287" ht="15.75" customHeight="1">
      <c r="G287" s="478"/>
      <c r="J287" s="479"/>
      <c r="K287" s="238"/>
      <c r="L287" s="15"/>
      <c r="M287" s="15"/>
      <c r="N287" s="15"/>
      <c r="O287" s="15"/>
      <c r="P287" s="15"/>
      <c r="Q287" s="15"/>
      <c r="R287" s="15"/>
      <c r="S287" s="15"/>
      <c r="T287" s="15"/>
      <c r="U287" s="15"/>
      <c r="V287" s="15"/>
      <c r="W287" s="15"/>
      <c r="X287" s="14"/>
      <c r="Y287" s="14"/>
      <c r="Z287" s="14"/>
      <c r="AA287" s="15"/>
      <c r="AB287" s="3"/>
      <c r="AC287" s="3"/>
      <c r="AD287" s="3"/>
      <c r="AE287" s="3"/>
      <c r="AF287" s="3"/>
      <c r="AG287" s="3"/>
      <c r="AH287" s="3"/>
      <c r="AI287" s="3"/>
      <c r="AJ287" s="3"/>
    </row>
    <row r="288" ht="15.75" customHeight="1">
      <c r="G288" s="478"/>
      <c r="J288" s="479"/>
      <c r="K288" s="238"/>
      <c r="L288" s="15"/>
      <c r="M288" s="15"/>
      <c r="N288" s="15"/>
      <c r="O288" s="15"/>
      <c r="P288" s="15"/>
      <c r="Q288" s="15"/>
      <c r="R288" s="15"/>
      <c r="S288" s="15"/>
      <c r="T288" s="15"/>
      <c r="U288" s="15"/>
      <c r="V288" s="15"/>
      <c r="W288" s="15"/>
      <c r="X288" s="14"/>
      <c r="Y288" s="14"/>
      <c r="Z288" s="14"/>
      <c r="AA288" s="15"/>
      <c r="AB288" s="3"/>
      <c r="AC288" s="3"/>
      <c r="AD288" s="3"/>
      <c r="AE288" s="3"/>
      <c r="AF288" s="3"/>
      <c r="AG288" s="3"/>
      <c r="AH288" s="3"/>
      <c r="AI288" s="3"/>
      <c r="AJ288" s="3"/>
    </row>
    <row r="289" ht="15.75" customHeight="1">
      <c r="G289" s="478"/>
      <c r="J289" s="479"/>
      <c r="K289" s="238"/>
      <c r="L289" s="15"/>
      <c r="M289" s="15"/>
      <c r="N289" s="15"/>
      <c r="O289" s="15"/>
      <c r="P289" s="15"/>
      <c r="Q289" s="15"/>
      <c r="R289" s="15"/>
      <c r="S289" s="15"/>
      <c r="T289" s="15"/>
      <c r="U289" s="15"/>
      <c r="V289" s="15"/>
      <c r="W289" s="15"/>
      <c r="X289" s="14"/>
      <c r="Y289" s="14"/>
      <c r="Z289" s="14"/>
      <c r="AA289" s="15"/>
      <c r="AB289" s="3"/>
      <c r="AC289" s="3"/>
      <c r="AD289" s="3"/>
      <c r="AE289" s="3"/>
      <c r="AF289" s="3"/>
      <c r="AG289" s="3"/>
      <c r="AH289" s="3"/>
      <c r="AI289" s="3"/>
      <c r="AJ289" s="3"/>
    </row>
    <row r="290" ht="15.75" customHeight="1">
      <c r="G290" s="478"/>
      <c r="J290" s="479"/>
      <c r="K290" s="238"/>
      <c r="L290" s="15"/>
      <c r="M290" s="15"/>
      <c r="N290" s="15"/>
      <c r="O290" s="15"/>
      <c r="P290" s="15"/>
      <c r="Q290" s="15"/>
      <c r="R290" s="15"/>
      <c r="S290" s="15"/>
      <c r="T290" s="15"/>
      <c r="U290" s="15"/>
      <c r="V290" s="15"/>
      <c r="W290" s="15"/>
      <c r="X290" s="14"/>
      <c r="Y290" s="14"/>
      <c r="Z290" s="14"/>
      <c r="AA290" s="15"/>
      <c r="AB290" s="3"/>
      <c r="AC290" s="3"/>
      <c r="AD290" s="3"/>
      <c r="AE290" s="3"/>
      <c r="AF290" s="3"/>
      <c r="AG290" s="3"/>
      <c r="AH290" s="3"/>
      <c r="AI290" s="3"/>
      <c r="AJ290" s="3"/>
    </row>
    <row r="291" ht="15.75" customHeight="1">
      <c r="G291" s="478"/>
      <c r="J291" s="479"/>
      <c r="K291" s="238"/>
      <c r="L291" s="15"/>
      <c r="M291" s="15"/>
      <c r="N291" s="15"/>
      <c r="O291" s="15"/>
      <c r="P291" s="15"/>
      <c r="Q291" s="15"/>
      <c r="R291" s="15"/>
      <c r="S291" s="15"/>
      <c r="T291" s="15"/>
      <c r="U291" s="15"/>
      <c r="V291" s="15"/>
      <c r="W291" s="15"/>
      <c r="X291" s="14"/>
      <c r="Y291" s="14"/>
      <c r="Z291" s="14"/>
      <c r="AA291" s="15"/>
      <c r="AB291" s="3"/>
      <c r="AC291" s="3"/>
      <c r="AD291" s="3"/>
      <c r="AE291" s="3"/>
      <c r="AF291" s="3"/>
      <c r="AG291" s="3"/>
      <c r="AH291" s="3"/>
      <c r="AI291" s="3"/>
      <c r="AJ291" s="3"/>
    </row>
    <row r="292" ht="15.75" customHeight="1">
      <c r="G292" s="478"/>
      <c r="J292" s="479"/>
      <c r="K292" s="238"/>
      <c r="L292" s="15"/>
      <c r="M292" s="15"/>
      <c r="N292" s="15"/>
      <c r="O292" s="15"/>
      <c r="P292" s="15"/>
      <c r="Q292" s="15"/>
      <c r="R292" s="15"/>
      <c r="S292" s="15"/>
      <c r="T292" s="15"/>
      <c r="U292" s="15"/>
      <c r="V292" s="15"/>
      <c r="W292" s="15"/>
      <c r="X292" s="14"/>
      <c r="Y292" s="14"/>
      <c r="Z292" s="14"/>
      <c r="AA292" s="15"/>
      <c r="AB292" s="3"/>
      <c r="AC292" s="3"/>
      <c r="AD292" s="3"/>
      <c r="AE292" s="3"/>
      <c r="AF292" s="3"/>
      <c r="AG292" s="3"/>
      <c r="AH292" s="3"/>
      <c r="AI292" s="3"/>
      <c r="AJ292" s="3"/>
    </row>
    <row r="293" ht="15.75" customHeight="1">
      <c r="G293" s="478"/>
      <c r="J293" s="479"/>
      <c r="K293" s="238"/>
      <c r="L293" s="15"/>
      <c r="M293" s="15"/>
      <c r="N293" s="15"/>
      <c r="O293" s="15"/>
      <c r="P293" s="15"/>
      <c r="Q293" s="15"/>
      <c r="R293" s="15"/>
      <c r="S293" s="15"/>
      <c r="T293" s="15"/>
      <c r="U293" s="15"/>
      <c r="V293" s="15"/>
      <c r="W293" s="15"/>
      <c r="X293" s="14"/>
      <c r="Y293" s="14"/>
      <c r="Z293" s="14"/>
      <c r="AA293" s="15"/>
      <c r="AB293" s="3"/>
      <c r="AC293" s="3"/>
      <c r="AD293" s="3"/>
      <c r="AE293" s="3"/>
      <c r="AF293" s="3"/>
      <c r="AG293" s="3"/>
      <c r="AH293" s="3"/>
      <c r="AI293" s="3"/>
      <c r="AJ293" s="3"/>
    </row>
    <row r="294" ht="15.75" customHeight="1">
      <c r="G294" s="478"/>
      <c r="J294" s="479"/>
      <c r="K294" s="238"/>
      <c r="L294" s="15"/>
      <c r="M294" s="15"/>
      <c r="N294" s="15"/>
      <c r="O294" s="15"/>
      <c r="P294" s="15"/>
      <c r="Q294" s="15"/>
      <c r="R294" s="15"/>
      <c r="S294" s="15"/>
      <c r="T294" s="15"/>
      <c r="U294" s="15"/>
      <c r="V294" s="15"/>
      <c r="W294" s="15"/>
      <c r="X294" s="14"/>
      <c r="Y294" s="14"/>
      <c r="Z294" s="14"/>
      <c r="AA294" s="15"/>
      <c r="AB294" s="3"/>
      <c r="AC294" s="3"/>
      <c r="AD294" s="3"/>
      <c r="AE294" s="3"/>
      <c r="AF294" s="3"/>
      <c r="AG294" s="3"/>
      <c r="AH294" s="3"/>
      <c r="AI294" s="3"/>
      <c r="AJ294" s="3"/>
    </row>
    <row r="295" ht="15.75" customHeight="1">
      <c r="G295" s="478"/>
      <c r="J295" s="479"/>
      <c r="K295" s="238"/>
      <c r="L295" s="15"/>
      <c r="M295" s="15"/>
      <c r="N295" s="15"/>
      <c r="O295" s="15"/>
      <c r="P295" s="15"/>
      <c r="Q295" s="15"/>
      <c r="R295" s="15"/>
      <c r="S295" s="15"/>
      <c r="T295" s="15"/>
      <c r="U295" s="15"/>
      <c r="V295" s="15"/>
      <c r="W295" s="15"/>
      <c r="X295" s="14"/>
      <c r="Y295" s="14"/>
      <c r="Z295" s="14"/>
      <c r="AA295" s="15"/>
      <c r="AB295" s="3"/>
      <c r="AC295" s="3"/>
      <c r="AD295" s="3"/>
      <c r="AE295" s="3"/>
      <c r="AF295" s="3"/>
      <c r="AG295" s="3"/>
      <c r="AH295" s="3"/>
      <c r="AI295" s="3"/>
      <c r="AJ295" s="3"/>
    </row>
    <row r="296" ht="15.75" customHeight="1">
      <c r="G296" s="478"/>
      <c r="J296" s="479"/>
      <c r="K296" s="238"/>
      <c r="L296" s="15"/>
      <c r="M296" s="15"/>
      <c r="N296" s="15"/>
      <c r="O296" s="15"/>
      <c r="P296" s="15"/>
      <c r="Q296" s="15"/>
      <c r="R296" s="15"/>
      <c r="S296" s="15"/>
      <c r="T296" s="15"/>
      <c r="U296" s="15"/>
      <c r="V296" s="15"/>
      <c r="W296" s="15"/>
      <c r="X296" s="14"/>
      <c r="Y296" s="14"/>
      <c r="Z296" s="14"/>
      <c r="AA296" s="15"/>
      <c r="AB296" s="3"/>
      <c r="AC296" s="3"/>
      <c r="AD296" s="3"/>
      <c r="AE296" s="3"/>
      <c r="AF296" s="3"/>
      <c r="AG296" s="3"/>
      <c r="AH296" s="3"/>
      <c r="AI296" s="3"/>
      <c r="AJ296" s="3"/>
    </row>
    <row r="297" ht="15.75" customHeight="1">
      <c r="G297" s="478"/>
      <c r="J297" s="479"/>
      <c r="K297" s="238"/>
      <c r="L297" s="15"/>
      <c r="M297" s="15"/>
      <c r="N297" s="15"/>
      <c r="O297" s="15"/>
      <c r="P297" s="15"/>
      <c r="Q297" s="15"/>
      <c r="R297" s="15"/>
      <c r="S297" s="15"/>
      <c r="T297" s="15"/>
      <c r="U297" s="15"/>
      <c r="V297" s="15"/>
      <c r="W297" s="15"/>
      <c r="X297" s="14"/>
      <c r="Y297" s="14"/>
      <c r="Z297" s="14"/>
      <c r="AA297" s="15"/>
      <c r="AB297" s="3"/>
      <c r="AC297" s="3"/>
      <c r="AD297" s="3"/>
      <c r="AE297" s="3"/>
      <c r="AF297" s="3"/>
      <c r="AG297" s="3"/>
      <c r="AH297" s="3"/>
      <c r="AI297" s="3"/>
      <c r="AJ297" s="3"/>
    </row>
    <row r="298" ht="15.75" customHeight="1">
      <c r="G298" s="478"/>
      <c r="J298" s="479"/>
      <c r="K298" s="238"/>
      <c r="L298" s="15"/>
      <c r="M298" s="15"/>
      <c r="N298" s="15"/>
      <c r="O298" s="15"/>
      <c r="P298" s="15"/>
      <c r="Q298" s="15"/>
      <c r="R298" s="15"/>
      <c r="S298" s="15"/>
      <c r="T298" s="15"/>
      <c r="U298" s="15"/>
      <c r="V298" s="15"/>
      <c r="W298" s="15"/>
      <c r="X298" s="14"/>
      <c r="Y298" s="14"/>
      <c r="Z298" s="14"/>
      <c r="AA298" s="15"/>
      <c r="AB298" s="3"/>
      <c r="AC298" s="3"/>
      <c r="AD298" s="3"/>
      <c r="AE298" s="3"/>
      <c r="AF298" s="3"/>
      <c r="AG298" s="3"/>
      <c r="AH298" s="3"/>
      <c r="AI298" s="3"/>
      <c r="AJ298" s="3"/>
    </row>
    <row r="299" ht="15.75" customHeight="1">
      <c r="G299" s="478"/>
      <c r="J299" s="479"/>
      <c r="K299" s="238"/>
      <c r="L299" s="15"/>
      <c r="M299" s="15"/>
      <c r="N299" s="15"/>
      <c r="O299" s="15"/>
      <c r="P299" s="15"/>
      <c r="Q299" s="15"/>
      <c r="R299" s="15"/>
      <c r="S299" s="15"/>
      <c r="T299" s="15"/>
      <c r="U299" s="15"/>
      <c r="V299" s="15"/>
      <c r="W299" s="15"/>
      <c r="X299" s="14"/>
      <c r="Y299" s="14"/>
      <c r="Z299" s="14"/>
      <c r="AA299" s="15"/>
      <c r="AB299" s="3"/>
      <c r="AC299" s="3"/>
      <c r="AD299" s="3"/>
      <c r="AE299" s="3"/>
      <c r="AF299" s="3"/>
      <c r="AG299" s="3"/>
      <c r="AH299" s="3"/>
      <c r="AI299" s="3"/>
      <c r="AJ299" s="3"/>
    </row>
    <row r="300" ht="15.75" customHeight="1">
      <c r="G300" s="478"/>
      <c r="J300" s="479"/>
      <c r="K300" s="238"/>
      <c r="L300" s="15"/>
      <c r="M300" s="15"/>
      <c r="N300" s="15"/>
      <c r="O300" s="15"/>
      <c r="P300" s="15"/>
      <c r="Q300" s="15"/>
      <c r="R300" s="15"/>
      <c r="S300" s="15"/>
      <c r="T300" s="15"/>
      <c r="U300" s="15"/>
      <c r="V300" s="15"/>
      <c r="W300" s="15"/>
      <c r="X300" s="14"/>
      <c r="Y300" s="14"/>
      <c r="Z300" s="14"/>
      <c r="AA300" s="15"/>
      <c r="AB300" s="3"/>
      <c r="AC300" s="3"/>
      <c r="AD300" s="3"/>
      <c r="AE300" s="3"/>
      <c r="AF300" s="3"/>
      <c r="AG300" s="3"/>
      <c r="AH300" s="3"/>
      <c r="AI300" s="3"/>
      <c r="AJ300" s="3"/>
    </row>
    <row r="301" ht="15.75" customHeight="1">
      <c r="G301" s="478"/>
      <c r="J301" s="479"/>
      <c r="K301" s="238"/>
      <c r="L301" s="15"/>
      <c r="M301" s="15"/>
      <c r="N301" s="15"/>
      <c r="O301" s="15"/>
      <c r="P301" s="15"/>
      <c r="Q301" s="15"/>
      <c r="R301" s="15"/>
      <c r="S301" s="15"/>
      <c r="T301" s="15"/>
      <c r="U301" s="15"/>
      <c r="V301" s="15"/>
      <c r="W301" s="15"/>
      <c r="X301" s="14"/>
      <c r="Y301" s="14"/>
      <c r="Z301" s="14"/>
      <c r="AA301" s="15"/>
      <c r="AB301" s="3"/>
      <c r="AC301" s="3"/>
      <c r="AD301" s="3"/>
      <c r="AE301" s="3"/>
      <c r="AF301" s="3"/>
      <c r="AG301" s="3"/>
      <c r="AH301" s="3"/>
      <c r="AI301" s="3"/>
      <c r="AJ301" s="3"/>
    </row>
    <row r="302" ht="15.75" customHeight="1">
      <c r="G302" s="478"/>
      <c r="J302" s="479"/>
      <c r="K302" s="238"/>
      <c r="L302" s="15"/>
      <c r="M302" s="15"/>
      <c r="N302" s="15"/>
      <c r="O302" s="15"/>
      <c r="P302" s="15"/>
      <c r="Q302" s="15"/>
      <c r="R302" s="15"/>
      <c r="S302" s="15"/>
      <c r="T302" s="15"/>
      <c r="U302" s="15"/>
      <c r="V302" s="15"/>
      <c r="W302" s="15"/>
      <c r="X302" s="14"/>
      <c r="Y302" s="14"/>
      <c r="Z302" s="14"/>
      <c r="AA302" s="15"/>
      <c r="AB302" s="3"/>
      <c r="AC302" s="3"/>
      <c r="AD302" s="3"/>
      <c r="AE302" s="3"/>
      <c r="AF302" s="3"/>
      <c r="AG302" s="3"/>
      <c r="AH302" s="3"/>
      <c r="AI302" s="3"/>
      <c r="AJ302" s="3"/>
    </row>
    <row r="303" ht="15.75" customHeight="1">
      <c r="G303" s="478"/>
      <c r="J303" s="479"/>
      <c r="K303" s="238"/>
      <c r="L303" s="15"/>
      <c r="M303" s="15"/>
      <c r="N303" s="15"/>
      <c r="O303" s="15"/>
      <c r="P303" s="15"/>
      <c r="Q303" s="15"/>
      <c r="R303" s="15"/>
      <c r="S303" s="15"/>
      <c r="T303" s="15"/>
      <c r="U303" s="15"/>
      <c r="V303" s="15"/>
      <c r="W303" s="15"/>
      <c r="X303" s="14"/>
      <c r="Y303" s="14"/>
      <c r="Z303" s="14"/>
      <c r="AA303" s="15"/>
      <c r="AB303" s="3"/>
      <c r="AC303" s="3"/>
      <c r="AD303" s="3"/>
      <c r="AE303" s="3"/>
      <c r="AF303" s="3"/>
      <c r="AG303" s="3"/>
      <c r="AH303" s="3"/>
      <c r="AI303" s="3"/>
      <c r="AJ303" s="3"/>
    </row>
    <row r="304" ht="15.75" customHeight="1">
      <c r="G304" s="478"/>
      <c r="J304" s="479"/>
      <c r="K304" s="238"/>
      <c r="L304" s="15"/>
      <c r="M304" s="15"/>
      <c r="N304" s="15"/>
      <c r="O304" s="15"/>
      <c r="P304" s="15"/>
      <c r="Q304" s="15"/>
      <c r="R304" s="15"/>
      <c r="S304" s="15"/>
      <c r="T304" s="15"/>
      <c r="U304" s="15"/>
      <c r="V304" s="15"/>
      <c r="W304" s="15"/>
      <c r="X304" s="14"/>
      <c r="Y304" s="14"/>
      <c r="Z304" s="14"/>
      <c r="AA304" s="15"/>
      <c r="AB304" s="3"/>
      <c r="AC304" s="3"/>
      <c r="AD304" s="3"/>
      <c r="AE304" s="3"/>
      <c r="AF304" s="3"/>
      <c r="AG304" s="3"/>
      <c r="AH304" s="3"/>
      <c r="AI304" s="3"/>
      <c r="AJ304" s="3"/>
    </row>
    <row r="305" ht="15.75" customHeight="1">
      <c r="G305" s="478"/>
      <c r="J305" s="479"/>
      <c r="K305" s="238"/>
      <c r="L305" s="15"/>
      <c r="M305" s="15"/>
      <c r="N305" s="15"/>
      <c r="O305" s="15"/>
      <c r="P305" s="15"/>
      <c r="Q305" s="15"/>
      <c r="R305" s="15"/>
      <c r="S305" s="15"/>
      <c r="T305" s="15"/>
      <c r="U305" s="15"/>
      <c r="V305" s="15"/>
      <c r="W305" s="15"/>
      <c r="X305" s="14"/>
      <c r="Y305" s="14"/>
      <c r="Z305" s="14"/>
      <c r="AA305" s="15"/>
      <c r="AB305" s="3"/>
      <c r="AC305" s="3"/>
      <c r="AD305" s="3"/>
      <c r="AE305" s="3"/>
      <c r="AF305" s="3"/>
      <c r="AG305" s="3"/>
      <c r="AH305" s="3"/>
      <c r="AI305" s="3"/>
      <c r="AJ305" s="3"/>
    </row>
    <row r="306" ht="15.75" customHeight="1">
      <c r="G306" s="478"/>
      <c r="J306" s="479"/>
      <c r="K306" s="238"/>
      <c r="L306" s="15"/>
      <c r="M306" s="15"/>
      <c r="N306" s="15"/>
      <c r="O306" s="15"/>
      <c r="P306" s="15"/>
      <c r="Q306" s="15"/>
      <c r="R306" s="15"/>
      <c r="S306" s="15"/>
      <c r="T306" s="15"/>
      <c r="U306" s="15"/>
      <c r="V306" s="15"/>
      <c r="W306" s="15"/>
      <c r="X306" s="14"/>
      <c r="Y306" s="14"/>
      <c r="Z306" s="14"/>
      <c r="AA306" s="15"/>
      <c r="AB306" s="3"/>
      <c r="AC306" s="3"/>
      <c r="AD306" s="3"/>
      <c r="AE306" s="3"/>
      <c r="AF306" s="3"/>
      <c r="AG306" s="3"/>
      <c r="AH306" s="3"/>
      <c r="AI306" s="3"/>
      <c r="AJ306" s="3"/>
    </row>
    <row r="307" ht="15.75" customHeight="1">
      <c r="G307" s="478"/>
      <c r="J307" s="479"/>
      <c r="K307" s="238"/>
      <c r="L307" s="15"/>
      <c r="M307" s="15"/>
      <c r="N307" s="15"/>
      <c r="O307" s="15"/>
      <c r="P307" s="15"/>
      <c r="Q307" s="15"/>
      <c r="R307" s="15"/>
      <c r="S307" s="15"/>
      <c r="T307" s="15"/>
      <c r="U307" s="15"/>
      <c r="V307" s="15"/>
      <c r="W307" s="15"/>
      <c r="X307" s="14"/>
      <c r="Y307" s="14"/>
      <c r="Z307" s="14"/>
      <c r="AA307" s="15"/>
      <c r="AB307" s="3"/>
      <c r="AC307" s="3"/>
      <c r="AD307" s="3"/>
      <c r="AE307" s="3"/>
      <c r="AF307" s="3"/>
      <c r="AG307" s="3"/>
      <c r="AH307" s="3"/>
      <c r="AI307" s="3"/>
      <c r="AJ307" s="3"/>
    </row>
    <row r="308" ht="15.75" customHeight="1">
      <c r="G308" s="478"/>
      <c r="J308" s="479"/>
      <c r="K308" s="238"/>
      <c r="L308" s="15"/>
      <c r="M308" s="15"/>
      <c r="N308" s="15"/>
      <c r="O308" s="15"/>
      <c r="P308" s="15"/>
      <c r="Q308" s="15"/>
      <c r="R308" s="15"/>
      <c r="S308" s="15"/>
      <c r="T308" s="15"/>
      <c r="U308" s="15"/>
      <c r="V308" s="15"/>
      <c r="W308" s="15"/>
      <c r="X308" s="14"/>
      <c r="Y308" s="14"/>
      <c r="Z308" s="14"/>
      <c r="AA308" s="15"/>
      <c r="AB308" s="3"/>
      <c r="AC308" s="3"/>
      <c r="AD308" s="3"/>
      <c r="AE308" s="3"/>
      <c r="AF308" s="3"/>
      <c r="AG308" s="3"/>
      <c r="AH308" s="3"/>
      <c r="AI308" s="3"/>
      <c r="AJ308" s="3"/>
    </row>
    <row r="309" ht="15.75" customHeight="1">
      <c r="G309" s="478"/>
      <c r="J309" s="479"/>
      <c r="K309" s="238"/>
      <c r="L309" s="15"/>
      <c r="M309" s="15"/>
      <c r="N309" s="15"/>
      <c r="O309" s="15"/>
      <c r="P309" s="15"/>
      <c r="Q309" s="15"/>
      <c r="R309" s="15"/>
      <c r="S309" s="15"/>
      <c r="T309" s="15"/>
      <c r="U309" s="15"/>
      <c r="V309" s="15"/>
      <c r="W309" s="15"/>
      <c r="X309" s="14"/>
      <c r="Y309" s="14"/>
      <c r="Z309" s="14"/>
      <c r="AA309" s="15"/>
      <c r="AB309" s="3"/>
      <c r="AC309" s="3"/>
      <c r="AD309" s="3"/>
      <c r="AE309" s="3"/>
      <c r="AF309" s="3"/>
      <c r="AG309" s="3"/>
      <c r="AH309" s="3"/>
      <c r="AI309" s="3"/>
      <c r="AJ309" s="3"/>
    </row>
    <row r="310" ht="15.75" customHeight="1">
      <c r="G310" s="478"/>
      <c r="J310" s="479"/>
      <c r="K310" s="238"/>
      <c r="L310" s="15"/>
      <c r="M310" s="15"/>
      <c r="N310" s="15"/>
      <c r="O310" s="15"/>
      <c r="P310" s="15"/>
      <c r="Q310" s="15"/>
      <c r="R310" s="15"/>
      <c r="S310" s="15"/>
      <c r="T310" s="15"/>
      <c r="U310" s="15"/>
      <c r="V310" s="15"/>
      <c r="W310" s="15"/>
      <c r="X310" s="14"/>
      <c r="Y310" s="14"/>
      <c r="Z310" s="14"/>
      <c r="AA310" s="15"/>
      <c r="AB310" s="3"/>
      <c r="AC310" s="3"/>
      <c r="AD310" s="3"/>
      <c r="AE310" s="3"/>
      <c r="AF310" s="3"/>
      <c r="AG310" s="3"/>
      <c r="AH310" s="3"/>
      <c r="AI310" s="3"/>
      <c r="AJ310" s="3"/>
    </row>
    <row r="311" ht="15.75" customHeight="1">
      <c r="G311" s="478"/>
      <c r="J311" s="479"/>
      <c r="K311" s="238"/>
      <c r="L311" s="15"/>
      <c r="M311" s="15"/>
      <c r="N311" s="15"/>
      <c r="O311" s="15"/>
      <c r="P311" s="15"/>
      <c r="Q311" s="15"/>
      <c r="R311" s="15"/>
      <c r="S311" s="15"/>
      <c r="T311" s="15"/>
      <c r="U311" s="15"/>
      <c r="V311" s="15"/>
      <c r="W311" s="15"/>
      <c r="X311" s="14"/>
      <c r="Y311" s="14"/>
      <c r="Z311" s="14"/>
      <c r="AA311" s="15"/>
      <c r="AB311" s="3"/>
      <c r="AC311" s="3"/>
      <c r="AD311" s="3"/>
      <c r="AE311" s="3"/>
      <c r="AF311" s="3"/>
      <c r="AG311" s="3"/>
      <c r="AH311" s="3"/>
      <c r="AI311" s="3"/>
      <c r="AJ311" s="3"/>
    </row>
    <row r="312" ht="15.75" customHeight="1">
      <c r="G312" s="478"/>
      <c r="J312" s="479"/>
      <c r="K312" s="238"/>
      <c r="L312" s="15"/>
      <c r="M312" s="15"/>
      <c r="N312" s="15"/>
      <c r="O312" s="15"/>
      <c r="P312" s="15"/>
      <c r="Q312" s="15"/>
      <c r="R312" s="15"/>
      <c r="S312" s="15"/>
      <c r="T312" s="15"/>
      <c r="U312" s="15"/>
      <c r="V312" s="15"/>
      <c r="W312" s="15"/>
      <c r="X312" s="14"/>
      <c r="Y312" s="14"/>
      <c r="Z312" s="14"/>
      <c r="AA312" s="15"/>
      <c r="AB312" s="3"/>
      <c r="AC312" s="3"/>
      <c r="AD312" s="3"/>
      <c r="AE312" s="3"/>
      <c r="AF312" s="3"/>
      <c r="AG312" s="3"/>
      <c r="AH312" s="3"/>
      <c r="AI312" s="3"/>
      <c r="AJ312" s="3"/>
    </row>
    <row r="313" ht="15.75" customHeight="1">
      <c r="G313" s="478"/>
      <c r="J313" s="479"/>
      <c r="K313" s="238"/>
      <c r="L313" s="15"/>
      <c r="M313" s="15"/>
      <c r="N313" s="15"/>
      <c r="O313" s="15"/>
      <c r="P313" s="15"/>
      <c r="Q313" s="15"/>
      <c r="R313" s="15"/>
      <c r="S313" s="15"/>
      <c r="T313" s="15"/>
      <c r="U313" s="15"/>
      <c r="V313" s="15"/>
      <c r="W313" s="15"/>
      <c r="X313" s="14"/>
      <c r="Y313" s="14"/>
      <c r="Z313" s="14"/>
      <c r="AA313" s="15"/>
      <c r="AB313" s="3"/>
      <c r="AC313" s="3"/>
      <c r="AD313" s="3"/>
      <c r="AE313" s="3"/>
      <c r="AF313" s="3"/>
      <c r="AG313" s="3"/>
      <c r="AH313" s="3"/>
      <c r="AI313" s="3"/>
      <c r="AJ313" s="3"/>
    </row>
    <row r="314" ht="15.75" customHeight="1">
      <c r="G314" s="478"/>
      <c r="J314" s="479"/>
      <c r="K314" s="238"/>
      <c r="L314" s="15"/>
      <c r="M314" s="15"/>
      <c r="N314" s="15"/>
      <c r="O314" s="15"/>
      <c r="P314" s="15"/>
      <c r="Q314" s="15"/>
      <c r="R314" s="15"/>
      <c r="S314" s="15"/>
      <c r="T314" s="15"/>
      <c r="U314" s="15"/>
      <c r="V314" s="15"/>
      <c r="W314" s="15"/>
      <c r="X314" s="14"/>
      <c r="Y314" s="14"/>
      <c r="Z314" s="14"/>
      <c r="AA314" s="15"/>
      <c r="AB314" s="3"/>
      <c r="AC314" s="3"/>
      <c r="AD314" s="3"/>
      <c r="AE314" s="3"/>
      <c r="AF314" s="3"/>
      <c r="AG314" s="3"/>
      <c r="AH314" s="3"/>
      <c r="AI314" s="3"/>
      <c r="AJ314" s="3"/>
    </row>
    <row r="315" ht="15.75" customHeight="1">
      <c r="G315" s="478"/>
      <c r="J315" s="479"/>
      <c r="K315" s="238"/>
      <c r="L315" s="15"/>
      <c r="M315" s="15"/>
      <c r="N315" s="15"/>
      <c r="O315" s="15"/>
      <c r="P315" s="15"/>
      <c r="Q315" s="15"/>
      <c r="R315" s="15"/>
      <c r="S315" s="15"/>
      <c r="T315" s="15"/>
      <c r="U315" s="15"/>
      <c r="V315" s="15"/>
      <c r="W315" s="15"/>
      <c r="X315" s="14"/>
      <c r="Y315" s="14"/>
      <c r="Z315" s="14"/>
      <c r="AA315" s="15"/>
      <c r="AB315" s="3"/>
      <c r="AC315" s="3"/>
      <c r="AD315" s="3"/>
      <c r="AE315" s="3"/>
      <c r="AF315" s="3"/>
      <c r="AG315" s="3"/>
      <c r="AH315" s="3"/>
      <c r="AI315" s="3"/>
      <c r="AJ315" s="3"/>
    </row>
    <row r="316" ht="15.75" customHeight="1">
      <c r="G316" s="478"/>
      <c r="J316" s="479"/>
      <c r="K316" s="238"/>
      <c r="L316" s="15"/>
      <c r="M316" s="15"/>
      <c r="N316" s="15"/>
      <c r="O316" s="15"/>
      <c r="P316" s="15"/>
      <c r="Q316" s="15"/>
      <c r="R316" s="15"/>
      <c r="S316" s="15"/>
      <c r="T316" s="15"/>
      <c r="U316" s="15"/>
      <c r="V316" s="15"/>
      <c r="W316" s="15"/>
      <c r="X316" s="14"/>
      <c r="Y316" s="14"/>
      <c r="Z316" s="14"/>
      <c r="AA316" s="15"/>
      <c r="AB316" s="3"/>
      <c r="AC316" s="3"/>
      <c r="AD316" s="3"/>
      <c r="AE316" s="3"/>
      <c r="AF316" s="3"/>
      <c r="AG316" s="3"/>
      <c r="AH316" s="3"/>
      <c r="AI316" s="3"/>
      <c r="AJ316" s="3"/>
    </row>
    <row r="317" ht="15.75" customHeight="1">
      <c r="G317" s="478"/>
      <c r="J317" s="479"/>
      <c r="K317" s="238"/>
      <c r="L317" s="15"/>
      <c r="M317" s="15"/>
      <c r="N317" s="15"/>
      <c r="O317" s="15"/>
      <c r="P317" s="15"/>
      <c r="Q317" s="15"/>
      <c r="R317" s="15"/>
      <c r="S317" s="15"/>
      <c r="T317" s="15"/>
      <c r="U317" s="15"/>
      <c r="V317" s="15"/>
      <c r="W317" s="15"/>
      <c r="X317" s="14"/>
      <c r="Y317" s="14"/>
      <c r="Z317" s="14"/>
      <c r="AA317" s="15"/>
      <c r="AB317" s="3"/>
      <c r="AC317" s="3"/>
      <c r="AD317" s="3"/>
      <c r="AE317" s="3"/>
      <c r="AF317" s="3"/>
      <c r="AG317" s="3"/>
      <c r="AH317" s="3"/>
      <c r="AI317" s="3"/>
      <c r="AJ317" s="3"/>
    </row>
    <row r="318" ht="15.75" customHeight="1">
      <c r="G318" s="478"/>
      <c r="J318" s="479"/>
      <c r="K318" s="238"/>
      <c r="L318" s="15"/>
      <c r="M318" s="15"/>
      <c r="N318" s="15"/>
      <c r="O318" s="15"/>
      <c r="P318" s="15"/>
      <c r="Q318" s="15"/>
      <c r="R318" s="15"/>
      <c r="S318" s="15"/>
      <c r="T318" s="15"/>
      <c r="U318" s="15"/>
      <c r="V318" s="15"/>
      <c r="W318" s="15"/>
      <c r="X318" s="14"/>
      <c r="Y318" s="14"/>
      <c r="Z318" s="14"/>
      <c r="AA318" s="15"/>
      <c r="AB318" s="3"/>
      <c r="AC318" s="3"/>
      <c r="AD318" s="3"/>
      <c r="AE318" s="3"/>
      <c r="AF318" s="3"/>
      <c r="AG318" s="3"/>
      <c r="AH318" s="3"/>
      <c r="AI318" s="3"/>
      <c r="AJ318" s="3"/>
    </row>
    <row r="319" ht="15.75" customHeight="1">
      <c r="G319" s="478"/>
      <c r="J319" s="479"/>
      <c r="K319" s="238"/>
      <c r="L319" s="15"/>
      <c r="M319" s="15"/>
      <c r="N319" s="15"/>
      <c r="O319" s="15"/>
      <c r="P319" s="15"/>
      <c r="Q319" s="15"/>
      <c r="R319" s="15"/>
      <c r="S319" s="15"/>
      <c r="T319" s="15"/>
      <c r="U319" s="15"/>
      <c r="V319" s="15"/>
      <c r="W319" s="15"/>
      <c r="X319" s="14"/>
      <c r="Y319" s="14"/>
      <c r="Z319" s="14"/>
      <c r="AA319" s="15"/>
      <c r="AB319" s="3"/>
      <c r="AC319" s="3"/>
      <c r="AD319" s="3"/>
      <c r="AE319" s="3"/>
      <c r="AF319" s="3"/>
      <c r="AG319" s="3"/>
      <c r="AH319" s="3"/>
      <c r="AI319" s="3"/>
      <c r="AJ319" s="3"/>
    </row>
    <row r="320" ht="15.75" customHeight="1">
      <c r="G320" s="478"/>
      <c r="J320" s="479"/>
      <c r="K320" s="238"/>
      <c r="L320" s="15"/>
      <c r="M320" s="15"/>
      <c r="N320" s="15"/>
      <c r="O320" s="15"/>
      <c r="P320" s="15"/>
      <c r="Q320" s="15"/>
      <c r="R320" s="15"/>
      <c r="S320" s="15"/>
      <c r="T320" s="15"/>
      <c r="U320" s="15"/>
      <c r="V320" s="15"/>
      <c r="W320" s="15"/>
      <c r="X320" s="14"/>
      <c r="Y320" s="14"/>
      <c r="Z320" s="14"/>
      <c r="AA320" s="15"/>
      <c r="AB320" s="3"/>
      <c r="AC320" s="3"/>
      <c r="AD320" s="3"/>
      <c r="AE320" s="3"/>
      <c r="AF320" s="3"/>
      <c r="AG320" s="3"/>
      <c r="AH320" s="3"/>
      <c r="AI320" s="3"/>
      <c r="AJ320" s="3"/>
    </row>
    <row r="321" ht="15.75" customHeight="1">
      <c r="G321" s="478"/>
      <c r="J321" s="479"/>
      <c r="K321" s="238"/>
      <c r="L321" s="15"/>
      <c r="M321" s="15"/>
      <c r="N321" s="15"/>
      <c r="O321" s="15"/>
      <c r="P321" s="15"/>
      <c r="Q321" s="15"/>
      <c r="R321" s="15"/>
      <c r="S321" s="15"/>
      <c r="T321" s="15"/>
      <c r="U321" s="15"/>
      <c r="V321" s="15"/>
      <c r="W321" s="15"/>
      <c r="X321" s="14"/>
      <c r="Y321" s="14"/>
      <c r="Z321" s="14"/>
      <c r="AA321" s="15"/>
      <c r="AB321" s="3"/>
      <c r="AC321" s="3"/>
      <c r="AD321" s="3"/>
      <c r="AE321" s="3"/>
      <c r="AF321" s="3"/>
      <c r="AG321" s="3"/>
      <c r="AH321" s="3"/>
      <c r="AI321" s="3"/>
      <c r="AJ321" s="3"/>
    </row>
    <row r="322" ht="15.75" customHeight="1">
      <c r="G322" s="478"/>
      <c r="J322" s="479"/>
      <c r="K322" s="238"/>
      <c r="L322" s="15"/>
      <c r="M322" s="15"/>
      <c r="N322" s="15"/>
      <c r="O322" s="15"/>
      <c r="P322" s="15"/>
      <c r="Q322" s="15"/>
      <c r="R322" s="15"/>
      <c r="S322" s="15"/>
      <c r="T322" s="15"/>
      <c r="U322" s="15"/>
      <c r="V322" s="15"/>
      <c r="W322" s="15"/>
      <c r="X322" s="14"/>
      <c r="Y322" s="14"/>
      <c r="Z322" s="14"/>
      <c r="AA322" s="15"/>
      <c r="AB322" s="3"/>
      <c r="AC322" s="3"/>
      <c r="AD322" s="3"/>
      <c r="AE322" s="3"/>
      <c r="AF322" s="3"/>
      <c r="AG322" s="3"/>
      <c r="AH322" s="3"/>
      <c r="AI322" s="3"/>
      <c r="AJ322" s="3"/>
    </row>
    <row r="323" ht="15.75" customHeight="1">
      <c r="G323" s="478"/>
      <c r="J323" s="479"/>
      <c r="K323" s="238"/>
      <c r="L323" s="15"/>
      <c r="M323" s="15"/>
      <c r="N323" s="15"/>
      <c r="O323" s="15"/>
      <c r="P323" s="15"/>
      <c r="Q323" s="15"/>
      <c r="R323" s="15"/>
      <c r="S323" s="15"/>
      <c r="T323" s="15"/>
      <c r="U323" s="15"/>
      <c r="V323" s="15"/>
      <c r="W323" s="15"/>
      <c r="X323" s="14"/>
      <c r="Y323" s="14"/>
      <c r="Z323" s="14"/>
      <c r="AA323" s="15"/>
      <c r="AB323" s="3"/>
      <c r="AC323" s="3"/>
      <c r="AD323" s="3"/>
      <c r="AE323" s="3"/>
      <c r="AF323" s="3"/>
      <c r="AG323" s="3"/>
      <c r="AH323" s="3"/>
      <c r="AI323" s="3"/>
      <c r="AJ323" s="3"/>
    </row>
    <row r="324" ht="15.75" customHeight="1">
      <c r="G324" s="478"/>
      <c r="J324" s="479"/>
      <c r="K324" s="238"/>
      <c r="L324" s="15"/>
      <c r="M324" s="15"/>
      <c r="N324" s="15"/>
      <c r="O324" s="15"/>
      <c r="P324" s="15"/>
      <c r="Q324" s="15"/>
      <c r="R324" s="15"/>
      <c r="S324" s="15"/>
      <c r="T324" s="15"/>
      <c r="U324" s="15"/>
      <c r="V324" s="15"/>
      <c r="W324" s="15"/>
      <c r="X324" s="14"/>
      <c r="Y324" s="14"/>
      <c r="Z324" s="14"/>
      <c r="AA324" s="15"/>
      <c r="AB324" s="3"/>
      <c r="AC324" s="3"/>
      <c r="AD324" s="3"/>
      <c r="AE324" s="3"/>
      <c r="AF324" s="3"/>
      <c r="AG324" s="3"/>
      <c r="AH324" s="3"/>
      <c r="AI324" s="3"/>
      <c r="AJ324" s="3"/>
    </row>
    <row r="325" ht="15.75" customHeight="1">
      <c r="G325" s="478"/>
      <c r="J325" s="479"/>
      <c r="K325" s="238"/>
      <c r="L325" s="15"/>
      <c r="M325" s="15"/>
      <c r="N325" s="15"/>
      <c r="O325" s="15"/>
      <c r="P325" s="15"/>
      <c r="Q325" s="15"/>
      <c r="R325" s="15"/>
      <c r="S325" s="15"/>
      <c r="T325" s="15"/>
      <c r="U325" s="15"/>
      <c r="V325" s="15"/>
      <c r="W325" s="15"/>
      <c r="X325" s="14"/>
      <c r="Y325" s="14"/>
      <c r="Z325" s="14"/>
      <c r="AA325" s="15"/>
      <c r="AB325" s="3"/>
      <c r="AC325" s="3"/>
      <c r="AD325" s="3"/>
      <c r="AE325" s="3"/>
      <c r="AF325" s="3"/>
      <c r="AG325" s="3"/>
      <c r="AH325" s="3"/>
      <c r="AI325" s="3"/>
      <c r="AJ325" s="3"/>
    </row>
    <row r="326" ht="15.75" customHeight="1">
      <c r="G326" s="478"/>
      <c r="J326" s="479"/>
      <c r="K326" s="238"/>
      <c r="L326" s="15"/>
      <c r="M326" s="15"/>
      <c r="N326" s="15"/>
      <c r="O326" s="15"/>
      <c r="P326" s="15"/>
      <c r="Q326" s="15"/>
      <c r="R326" s="15"/>
      <c r="S326" s="15"/>
      <c r="T326" s="15"/>
      <c r="U326" s="15"/>
      <c r="V326" s="15"/>
      <c r="W326" s="15"/>
      <c r="X326" s="14"/>
      <c r="Y326" s="14"/>
      <c r="Z326" s="14"/>
      <c r="AA326" s="15"/>
      <c r="AB326" s="3"/>
      <c r="AC326" s="3"/>
      <c r="AD326" s="3"/>
      <c r="AE326" s="3"/>
      <c r="AF326" s="3"/>
      <c r="AG326" s="3"/>
      <c r="AH326" s="3"/>
      <c r="AI326" s="3"/>
      <c r="AJ326" s="3"/>
    </row>
    <row r="327" ht="15.75" customHeight="1">
      <c r="G327" s="478"/>
      <c r="J327" s="479"/>
      <c r="K327" s="238"/>
      <c r="L327" s="15"/>
      <c r="M327" s="15"/>
      <c r="N327" s="15"/>
      <c r="O327" s="15"/>
      <c r="P327" s="15"/>
      <c r="Q327" s="15"/>
      <c r="R327" s="15"/>
      <c r="S327" s="15"/>
      <c r="T327" s="15"/>
      <c r="U327" s="15"/>
      <c r="V327" s="15"/>
      <c r="W327" s="15"/>
      <c r="X327" s="14"/>
      <c r="Y327" s="14"/>
      <c r="Z327" s="14"/>
      <c r="AA327" s="15"/>
      <c r="AB327" s="3"/>
      <c r="AC327" s="3"/>
      <c r="AD327" s="3"/>
      <c r="AE327" s="3"/>
      <c r="AF327" s="3"/>
      <c r="AG327" s="3"/>
      <c r="AH327" s="3"/>
      <c r="AI327" s="3"/>
      <c r="AJ327" s="3"/>
    </row>
    <row r="328" ht="15.75" customHeight="1">
      <c r="G328" s="478"/>
      <c r="J328" s="479"/>
      <c r="K328" s="238"/>
      <c r="L328" s="15"/>
      <c r="M328" s="15"/>
      <c r="N328" s="15"/>
      <c r="O328" s="15"/>
      <c r="P328" s="15"/>
      <c r="Q328" s="15"/>
      <c r="R328" s="15"/>
      <c r="S328" s="15"/>
      <c r="T328" s="15"/>
      <c r="U328" s="15"/>
      <c r="V328" s="15"/>
      <c r="W328" s="15"/>
      <c r="X328" s="14"/>
      <c r="Y328" s="14"/>
      <c r="Z328" s="14"/>
      <c r="AA328" s="15"/>
      <c r="AB328" s="3"/>
      <c r="AC328" s="3"/>
      <c r="AD328" s="3"/>
      <c r="AE328" s="3"/>
      <c r="AF328" s="3"/>
      <c r="AG328" s="3"/>
      <c r="AH328" s="3"/>
      <c r="AI328" s="3"/>
      <c r="AJ328" s="3"/>
    </row>
    <row r="329" ht="15.75" customHeight="1">
      <c r="G329" s="478"/>
      <c r="J329" s="479"/>
      <c r="K329" s="238"/>
      <c r="L329" s="15"/>
      <c r="M329" s="15"/>
      <c r="N329" s="15"/>
      <c r="O329" s="15"/>
      <c r="P329" s="15"/>
      <c r="Q329" s="15"/>
      <c r="R329" s="15"/>
      <c r="S329" s="15"/>
      <c r="T329" s="15"/>
      <c r="U329" s="15"/>
      <c r="V329" s="15"/>
      <c r="W329" s="15"/>
      <c r="X329" s="14"/>
      <c r="Y329" s="14"/>
      <c r="Z329" s="14"/>
      <c r="AA329" s="15"/>
      <c r="AB329" s="3"/>
      <c r="AC329" s="3"/>
      <c r="AD329" s="3"/>
      <c r="AE329" s="3"/>
      <c r="AF329" s="3"/>
      <c r="AG329" s="3"/>
      <c r="AH329" s="3"/>
      <c r="AI329" s="3"/>
      <c r="AJ329" s="3"/>
    </row>
    <row r="330" ht="15.75" customHeight="1">
      <c r="G330" s="478"/>
      <c r="J330" s="479"/>
      <c r="K330" s="238"/>
      <c r="L330" s="15"/>
      <c r="M330" s="15"/>
      <c r="N330" s="15"/>
      <c r="O330" s="15"/>
      <c r="P330" s="15"/>
      <c r="Q330" s="15"/>
      <c r="R330" s="15"/>
      <c r="S330" s="15"/>
      <c r="T330" s="15"/>
      <c r="U330" s="15"/>
      <c r="V330" s="15"/>
      <c r="W330" s="15"/>
      <c r="X330" s="14"/>
      <c r="Y330" s="14"/>
      <c r="Z330" s="14"/>
      <c r="AA330" s="15"/>
      <c r="AB330" s="3"/>
      <c r="AC330" s="3"/>
      <c r="AD330" s="3"/>
      <c r="AE330" s="3"/>
      <c r="AF330" s="3"/>
      <c r="AG330" s="3"/>
      <c r="AH330" s="3"/>
      <c r="AI330" s="3"/>
      <c r="AJ330" s="3"/>
    </row>
    <row r="331" ht="15.75" customHeight="1">
      <c r="G331" s="478"/>
      <c r="J331" s="479"/>
      <c r="K331" s="238"/>
      <c r="L331" s="15"/>
      <c r="M331" s="15"/>
      <c r="N331" s="15"/>
      <c r="O331" s="15"/>
      <c r="P331" s="15"/>
      <c r="Q331" s="15"/>
      <c r="R331" s="15"/>
      <c r="S331" s="15"/>
      <c r="T331" s="15"/>
      <c r="U331" s="15"/>
      <c r="V331" s="15"/>
      <c r="W331" s="15"/>
      <c r="X331" s="14"/>
      <c r="Y331" s="14"/>
      <c r="Z331" s="14"/>
      <c r="AA331" s="15"/>
      <c r="AB331" s="3"/>
      <c r="AC331" s="3"/>
      <c r="AD331" s="3"/>
      <c r="AE331" s="3"/>
      <c r="AF331" s="3"/>
      <c r="AG331" s="3"/>
      <c r="AH331" s="3"/>
      <c r="AI331" s="3"/>
      <c r="AJ331" s="3"/>
    </row>
    <row r="332" ht="15.75" customHeight="1">
      <c r="G332" s="478"/>
      <c r="J332" s="479"/>
      <c r="K332" s="238"/>
      <c r="L332" s="15"/>
      <c r="M332" s="15"/>
      <c r="N332" s="15"/>
      <c r="O332" s="15"/>
      <c r="P332" s="15"/>
      <c r="Q332" s="15"/>
      <c r="R332" s="15"/>
      <c r="S332" s="15"/>
      <c r="T332" s="15"/>
      <c r="U332" s="15"/>
      <c r="V332" s="15"/>
      <c r="W332" s="15"/>
      <c r="X332" s="14"/>
      <c r="Y332" s="14"/>
      <c r="Z332" s="14"/>
      <c r="AA332" s="15"/>
      <c r="AB332" s="3"/>
      <c r="AC332" s="3"/>
      <c r="AD332" s="3"/>
      <c r="AE332" s="3"/>
      <c r="AF332" s="3"/>
      <c r="AG332" s="3"/>
      <c r="AH332" s="3"/>
      <c r="AI332" s="3"/>
      <c r="AJ332" s="3"/>
    </row>
    <row r="333" ht="15.75" customHeight="1">
      <c r="G333" s="478"/>
      <c r="J333" s="479"/>
      <c r="K333" s="238"/>
      <c r="L333" s="15"/>
      <c r="M333" s="15"/>
      <c r="N333" s="15"/>
      <c r="O333" s="15"/>
      <c r="P333" s="15"/>
      <c r="Q333" s="15"/>
      <c r="R333" s="15"/>
      <c r="S333" s="15"/>
      <c r="T333" s="15"/>
      <c r="U333" s="15"/>
      <c r="V333" s="15"/>
      <c r="W333" s="15"/>
      <c r="X333" s="14"/>
      <c r="Y333" s="14"/>
      <c r="Z333" s="14"/>
      <c r="AA333" s="15"/>
      <c r="AB333" s="3"/>
      <c r="AC333" s="3"/>
      <c r="AD333" s="3"/>
      <c r="AE333" s="3"/>
      <c r="AF333" s="3"/>
      <c r="AG333" s="3"/>
      <c r="AH333" s="3"/>
      <c r="AI333" s="3"/>
      <c r="AJ333" s="3"/>
    </row>
    <row r="334" ht="15.75" customHeight="1">
      <c r="G334" s="478"/>
      <c r="J334" s="479"/>
      <c r="K334" s="238"/>
      <c r="L334" s="15"/>
      <c r="M334" s="15"/>
      <c r="N334" s="15"/>
      <c r="O334" s="15"/>
      <c r="P334" s="15"/>
      <c r="Q334" s="15"/>
      <c r="R334" s="15"/>
      <c r="S334" s="15"/>
      <c r="T334" s="15"/>
      <c r="U334" s="15"/>
      <c r="V334" s="15"/>
      <c r="W334" s="15"/>
      <c r="X334" s="14"/>
      <c r="Y334" s="14"/>
      <c r="Z334" s="14"/>
      <c r="AA334" s="15"/>
      <c r="AB334" s="3"/>
      <c r="AC334" s="3"/>
      <c r="AD334" s="3"/>
      <c r="AE334" s="3"/>
      <c r="AF334" s="3"/>
      <c r="AG334" s="3"/>
      <c r="AH334" s="3"/>
      <c r="AI334" s="3"/>
      <c r="AJ334" s="3"/>
    </row>
    <row r="335" ht="15.75" customHeight="1">
      <c r="G335" s="478"/>
      <c r="J335" s="479"/>
      <c r="K335" s="238"/>
      <c r="L335" s="15"/>
      <c r="M335" s="15"/>
      <c r="N335" s="15"/>
      <c r="O335" s="15"/>
      <c r="P335" s="15"/>
      <c r="Q335" s="15"/>
      <c r="R335" s="15"/>
      <c r="S335" s="15"/>
      <c r="T335" s="15"/>
      <c r="U335" s="15"/>
      <c r="V335" s="15"/>
      <c r="W335" s="15"/>
      <c r="X335" s="14"/>
      <c r="Y335" s="14"/>
      <c r="Z335" s="14"/>
      <c r="AA335" s="15"/>
      <c r="AB335" s="3"/>
      <c r="AC335" s="3"/>
      <c r="AD335" s="3"/>
      <c r="AE335" s="3"/>
      <c r="AF335" s="3"/>
      <c r="AG335" s="3"/>
      <c r="AH335" s="3"/>
      <c r="AI335" s="3"/>
      <c r="AJ335" s="3"/>
    </row>
    <row r="336" ht="15.75" customHeight="1">
      <c r="G336" s="478"/>
      <c r="J336" s="479"/>
      <c r="K336" s="238"/>
      <c r="L336" s="15"/>
      <c r="M336" s="15"/>
      <c r="N336" s="15"/>
      <c r="O336" s="15"/>
      <c r="P336" s="15"/>
      <c r="Q336" s="15"/>
      <c r="R336" s="15"/>
      <c r="S336" s="15"/>
      <c r="T336" s="15"/>
      <c r="U336" s="15"/>
      <c r="V336" s="15"/>
      <c r="W336" s="15"/>
      <c r="X336" s="14"/>
      <c r="Y336" s="14"/>
      <c r="Z336" s="14"/>
      <c r="AA336" s="15"/>
      <c r="AB336" s="3"/>
      <c r="AC336" s="3"/>
      <c r="AD336" s="3"/>
      <c r="AE336" s="3"/>
      <c r="AF336" s="3"/>
      <c r="AG336" s="3"/>
      <c r="AH336" s="3"/>
      <c r="AI336" s="3"/>
      <c r="AJ336" s="3"/>
    </row>
    <row r="337" ht="15.75" customHeight="1">
      <c r="G337" s="478"/>
      <c r="J337" s="479"/>
      <c r="K337" s="238"/>
      <c r="L337" s="15"/>
      <c r="M337" s="15"/>
      <c r="N337" s="15"/>
      <c r="O337" s="15"/>
      <c r="P337" s="15"/>
      <c r="Q337" s="15"/>
      <c r="R337" s="15"/>
      <c r="S337" s="15"/>
      <c r="T337" s="15"/>
      <c r="U337" s="15"/>
      <c r="V337" s="15"/>
      <c r="W337" s="15"/>
      <c r="X337" s="14"/>
      <c r="Y337" s="14"/>
      <c r="Z337" s="14"/>
      <c r="AA337" s="15"/>
      <c r="AB337" s="3"/>
      <c r="AC337" s="3"/>
      <c r="AD337" s="3"/>
      <c r="AE337" s="3"/>
      <c r="AF337" s="3"/>
      <c r="AG337" s="3"/>
      <c r="AH337" s="3"/>
      <c r="AI337" s="3"/>
      <c r="AJ337" s="3"/>
    </row>
    <row r="338" ht="15.75" customHeight="1">
      <c r="G338" s="478"/>
      <c r="J338" s="479"/>
      <c r="K338" s="238"/>
      <c r="L338" s="15"/>
      <c r="M338" s="15"/>
      <c r="N338" s="15"/>
      <c r="O338" s="15"/>
      <c r="P338" s="15"/>
      <c r="Q338" s="15"/>
      <c r="R338" s="15"/>
      <c r="S338" s="15"/>
      <c r="T338" s="15"/>
      <c r="U338" s="15"/>
      <c r="V338" s="15"/>
      <c r="W338" s="15"/>
      <c r="X338" s="14"/>
      <c r="Y338" s="14"/>
      <c r="Z338" s="14"/>
      <c r="AA338" s="15"/>
      <c r="AB338" s="3"/>
      <c r="AC338" s="3"/>
      <c r="AD338" s="3"/>
      <c r="AE338" s="3"/>
      <c r="AF338" s="3"/>
      <c r="AG338" s="3"/>
      <c r="AH338" s="3"/>
      <c r="AI338" s="3"/>
      <c r="AJ338" s="3"/>
    </row>
    <row r="339" ht="15.75" customHeight="1">
      <c r="G339" s="478"/>
      <c r="J339" s="479"/>
      <c r="K339" s="238"/>
      <c r="L339" s="15"/>
      <c r="M339" s="15"/>
      <c r="N339" s="15"/>
      <c r="O339" s="15"/>
      <c r="P339" s="15"/>
      <c r="Q339" s="15"/>
      <c r="R339" s="15"/>
      <c r="S339" s="15"/>
      <c r="T339" s="15"/>
      <c r="U339" s="15"/>
      <c r="V339" s="15"/>
      <c r="W339" s="15"/>
      <c r="X339" s="14"/>
      <c r="Y339" s="14"/>
      <c r="Z339" s="14"/>
      <c r="AA339" s="15"/>
      <c r="AB339" s="3"/>
      <c r="AC339" s="3"/>
      <c r="AD339" s="3"/>
      <c r="AE339" s="3"/>
      <c r="AF339" s="3"/>
      <c r="AG339" s="3"/>
      <c r="AH339" s="3"/>
      <c r="AI339" s="3"/>
      <c r="AJ339" s="3"/>
    </row>
    <row r="340" ht="15.75" customHeight="1">
      <c r="G340" s="478"/>
      <c r="J340" s="479"/>
      <c r="K340" s="238"/>
      <c r="L340" s="15"/>
      <c r="M340" s="15"/>
      <c r="N340" s="15"/>
      <c r="O340" s="15"/>
      <c r="P340" s="15"/>
      <c r="Q340" s="15"/>
      <c r="R340" s="15"/>
      <c r="S340" s="15"/>
      <c r="T340" s="15"/>
      <c r="U340" s="15"/>
      <c r="V340" s="15"/>
      <c r="W340" s="15"/>
      <c r="X340" s="14"/>
      <c r="Y340" s="14"/>
      <c r="Z340" s="14"/>
      <c r="AA340" s="15"/>
      <c r="AB340" s="3"/>
      <c r="AC340" s="3"/>
      <c r="AD340" s="3"/>
      <c r="AE340" s="3"/>
      <c r="AF340" s="3"/>
      <c r="AG340" s="3"/>
      <c r="AH340" s="3"/>
      <c r="AI340" s="3"/>
      <c r="AJ340" s="3"/>
    </row>
    <row r="341" ht="15.75" customHeight="1">
      <c r="G341" s="478"/>
      <c r="J341" s="479"/>
      <c r="K341" s="238"/>
      <c r="L341" s="15"/>
      <c r="M341" s="15"/>
      <c r="N341" s="15"/>
      <c r="O341" s="15"/>
      <c r="P341" s="15"/>
      <c r="Q341" s="15"/>
      <c r="R341" s="15"/>
      <c r="S341" s="15"/>
      <c r="T341" s="15"/>
      <c r="U341" s="15"/>
      <c r="V341" s="15"/>
      <c r="W341" s="15"/>
      <c r="X341" s="14"/>
      <c r="Y341" s="14"/>
      <c r="Z341" s="14"/>
      <c r="AA341" s="15"/>
      <c r="AB341" s="3"/>
      <c r="AC341" s="3"/>
      <c r="AD341" s="3"/>
      <c r="AE341" s="3"/>
      <c r="AF341" s="3"/>
      <c r="AG341" s="3"/>
      <c r="AH341" s="3"/>
      <c r="AI341" s="3"/>
      <c r="AJ341" s="3"/>
    </row>
    <row r="342" ht="15.75" customHeight="1">
      <c r="G342" s="478"/>
      <c r="J342" s="479"/>
      <c r="K342" s="238"/>
      <c r="L342" s="15"/>
      <c r="M342" s="15"/>
      <c r="N342" s="15"/>
      <c r="O342" s="15"/>
      <c r="P342" s="15"/>
      <c r="Q342" s="15"/>
      <c r="R342" s="15"/>
      <c r="S342" s="15"/>
      <c r="T342" s="15"/>
      <c r="U342" s="15"/>
      <c r="V342" s="15"/>
      <c r="W342" s="15"/>
      <c r="X342" s="14"/>
      <c r="Y342" s="14"/>
      <c r="Z342" s="14"/>
      <c r="AA342" s="15"/>
      <c r="AB342" s="3"/>
      <c r="AC342" s="3"/>
      <c r="AD342" s="3"/>
      <c r="AE342" s="3"/>
      <c r="AF342" s="3"/>
      <c r="AG342" s="3"/>
      <c r="AH342" s="3"/>
      <c r="AI342" s="3"/>
      <c r="AJ342" s="3"/>
    </row>
    <row r="343" ht="15.75" customHeight="1">
      <c r="G343" s="478"/>
      <c r="J343" s="479"/>
      <c r="K343" s="238"/>
      <c r="L343" s="15"/>
      <c r="M343" s="15"/>
      <c r="N343" s="15"/>
      <c r="O343" s="15"/>
      <c r="P343" s="15"/>
      <c r="Q343" s="15"/>
      <c r="R343" s="15"/>
      <c r="S343" s="15"/>
      <c r="T343" s="15"/>
      <c r="U343" s="15"/>
      <c r="V343" s="15"/>
      <c r="W343" s="15"/>
      <c r="X343" s="14"/>
      <c r="Y343" s="14"/>
      <c r="Z343" s="14"/>
      <c r="AA343" s="15"/>
      <c r="AB343" s="3"/>
      <c r="AC343" s="3"/>
      <c r="AD343" s="3"/>
      <c r="AE343" s="3"/>
      <c r="AF343" s="3"/>
      <c r="AG343" s="3"/>
      <c r="AH343" s="3"/>
      <c r="AI343" s="3"/>
      <c r="AJ343" s="3"/>
    </row>
    <row r="344" ht="15.75" customHeight="1">
      <c r="G344" s="478"/>
      <c r="J344" s="479"/>
      <c r="K344" s="238"/>
      <c r="L344" s="15"/>
      <c r="M344" s="15"/>
      <c r="N344" s="15"/>
      <c r="O344" s="15"/>
      <c r="P344" s="15"/>
      <c r="Q344" s="15"/>
      <c r="R344" s="15"/>
      <c r="S344" s="15"/>
      <c r="T344" s="15"/>
      <c r="U344" s="15"/>
      <c r="V344" s="15"/>
      <c r="W344" s="15"/>
      <c r="X344" s="14"/>
      <c r="Y344" s="14"/>
      <c r="Z344" s="14"/>
      <c r="AA344" s="15"/>
      <c r="AB344" s="3"/>
      <c r="AC344" s="3"/>
      <c r="AD344" s="3"/>
      <c r="AE344" s="3"/>
      <c r="AF344" s="3"/>
      <c r="AG344" s="3"/>
      <c r="AH344" s="3"/>
      <c r="AI344" s="3"/>
      <c r="AJ344" s="3"/>
    </row>
    <row r="345" ht="15.75" customHeight="1">
      <c r="G345" s="478"/>
      <c r="J345" s="479"/>
      <c r="K345" s="238"/>
      <c r="L345" s="15"/>
      <c r="M345" s="15"/>
      <c r="N345" s="15"/>
      <c r="O345" s="15"/>
      <c r="P345" s="15"/>
      <c r="Q345" s="15"/>
      <c r="R345" s="15"/>
      <c r="S345" s="15"/>
      <c r="T345" s="15"/>
      <c r="U345" s="15"/>
      <c r="V345" s="15"/>
      <c r="W345" s="15"/>
      <c r="X345" s="14"/>
      <c r="Y345" s="14"/>
      <c r="Z345" s="14"/>
      <c r="AA345" s="15"/>
      <c r="AB345" s="3"/>
      <c r="AC345" s="3"/>
      <c r="AD345" s="3"/>
      <c r="AE345" s="3"/>
      <c r="AF345" s="3"/>
      <c r="AG345" s="3"/>
      <c r="AH345" s="3"/>
      <c r="AI345" s="3"/>
      <c r="AJ345" s="3"/>
    </row>
    <row r="346" ht="15.75" customHeight="1">
      <c r="G346" s="478"/>
      <c r="J346" s="479"/>
      <c r="K346" s="238"/>
      <c r="L346" s="15"/>
      <c r="M346" s="15"/>
      <c r="N346" s="15"/>
      <c r="O346" s="15"/>
      <c r="P346" s="15"/>
      <c r="Q346" s="15"/>
      <c r="R346" s="15"/>
      <c r="S346" s="15"/>
      <c r="T346" s="15"/>
      <c r="U346" s="15"/>
      <c r="V346" s="15"/>
      <c r="W346" s="15"/>
      <c r="X346" s="14"/>
      <c r="Y346" s="14"/>
      <c r="Z346" s="14"/>
      <c r="AA346" s="15"/>
      <c r="AB346" s="3"/>
      <c r="AC346" s="3"/>
      <c r="AD346" s="3"/>
      <c r="AE346" s="3"/>
      <c r="AF346" s="3"/>
      <c r="AG346" s="3"/>
      <c r="AH346" s="3"/>
      <c r="AI346" s="3"/>
      <c r="AJ346" s="3"/>
    </row>
    <row r="347" ht="15.75" customHeight="1">
      <c r="G347" s="478"/>
      <c r="J347" s="479"/>
      <c r="K347" s="238"/>
      <c r="L347" s="15"/>
      <c r="M347" s="15"/>
      <c r="N347" s="15"/>
      <c r="O347" s="15"/>
      <c r="P347" s="15"/>
      <c r="Q347" s="15"/>
      <c r="R347" s="15"/>
      <c r="S347" s="15"/>
      <c r="T347" s="15"/>
      <c r="U347" s="15"/>
      <c r="V347" s="15"/>
      <c r="W347" s="15"/>
      <c r="X347" s="14"/>
      <c r="Y347" s="14"/>
      <c r="Z347" s="14"/>
      <c r="AA347" s="15"/>
      <c r="AB347" s="3"/>
      <c r="AC347" s="3"/>
      <c r="AD347" s="3"/>
      <c r="AE347" s="3"/>
      <c r="AF347" s="3"/>
      <c r="AG347" s="3"/>
      <c r="AH347" s="3"/>
      <c r="AI347" s="3"/>
      <c r="AJ347" s="3"/>
    </row>
    <row r="348" ht="15.75" customHeight="1">
      <c r="G348" s="478"/>
      <c r="J348" s="479"/>
      <c r="K348" s="238"/>
      <c r="L348" s="15"/>
      <c r="M348" s="15"/>
      <c r="N348" s="15"/>
      <c r="O348" s="15"/>
      <c r="P348" s="15"/>
      <c r="Q348" s="15"/>
      <c r="R348" s="15"/>
      <c r="S348" s="15"/>
      <c r="T348" s="15"/>
      <c r="U348" s="15"/>
      <c r="V348" s="15"/>
      <c r="W348" s="15"/>
      <c r="X348" s="14"/>
      <c r="Y348" s="14"/>
      <c r="Z348" s="14"/>
      <c r="AA348" s="15"/>
      <c r="AB348" s="3"/>
      <c r="AC348" s="3"/>
      <c r="AD348" s="3"/>
      <c r="AE348" s="3"/>
      <c r="AF348" s="3"/>
      <c r="AG348" s="3"/>
      <c r="AH348" s="3"/>
      <c r="AI348" s="3"/>
      <c r="AJ348" s="3"/>
    </row>
    <row r="349" ht="15.75" customHeight="1">
      <c r="G349" s="478"/>
      <c r="J349" s="479"/>
      <c r="K349" s="238"/>
      <c r="L349" s="15"/>
      <c r="M349" s="15"/>
      <c r="N349" s="15"/>
      <c r="O349" s="15"/>
      <c r="P349" s="15"/>
      <c r="Q349" s="15"/>
      <c r="R349" s="15"/>
      <c r="S349" s="15"/>
      <c r="T349" s="15"/>
      <c r="U349" s="15"/>
      <c r="V349" s="15"/>
      <c r="W349" s="15"/>
      <c r="X349" s="14"/>
      <c r="Y349" s="14"/>
      <c r="Z349" s="14"/>
      <c r="AA349" s="15"/>
      <c r="AB349" s="3"/>
      <c r="AC349" s="3"/>
      <c r="AD349" s="3"/>
      <c r="AE349" s="3"/>
      <c r="AF349" s="3"/>
      <c r="AG349" s="3"/>
      <c r="AH349" s="3"/>
      <c r="AI349" s="3"/>
      <c r="AJ349" s="3"/>
    </row>
    <row r="350" ht="15.75" customHeight="1">
      <c r="G350" s="478"/>
      <c r="J350" s="479"/>
      <c r="K350" s="238"/>
      <c r="L350" s="15"/>
      <c r="M350" s="15"/>
      <c r="N350" s="15"/>
      <c r="O350" s="15"/>
      <c r="P350" s="15"/>
      <c r="Q350" s="15"/>
      <c r="R350" s="15"/>
      <c r="S350" s="15"/>
      <c r="T350" s="15"/>
      <c r="U350" s="15"/>
      <c r="V350" s="15"/>
      <c r="W350" s="15"/>
      <c r="X350" s="14"/>
      <c r="Y350" s="14"/>
      <c r="Z350" s="14"/>
      <c r="AA350" s="15"/>
      <c r="AB350" s="3"/>
      <c r="AC350" s="3"/>
      <c r="AD350" s="3"/>
      <c r="AE350" s="3"/>
      <c r="AF350" s="3"/>
      <c r="AG350" s="3"/>
      <c r="AH350" s="3"/>
      <c r="AI350" s="3"/>
      <c r="AJ350" s="3"/>
    </row>
    <row r="351" ht="15.75" customHeight="1">
      <c r="G351" s="478"/>
      <c r="J351" s="479"/>
      <c r="K351" s="238"/>
      <c r="L351" s="15"/>
      <c r="M351" s="15"/>
      <c r="N351" s="15"/>
      <c r="O351" s="15"/>
      <c r="P351" s="15"/>
      <c r="Q351" s="15"/>
      <c r="R351" s="15"/>
      <c r="S351" s="15"/>
      <c r="T351" s="15"/>
      <c r="U351" s="15"/>
      <c r="V351" s="15"/>
      <c r="W351" s="15"/>
      <c r="X351" s="14"/>
      <c r="Y351" s="14"/>
      <c r="Z351" s="14"/>
      <c r="AA351" s="15"/>
      <c r="AB351" s="3"/>
      <c r="AC351" s="3"/>
      <c r="AD351" s="3"/>
      <c r="AE351" s="3"/>
      <c r="AF351" s="3"/>
      <c r="AG351" s="3"/>
      <c r="AH351" s="3"/>
      <c r="AI351" s="3"/>
      <c r="AJ351" s="3"/>
    </row>
    <row r="352" ht="15.75" customHeight="1">
      <c r="G352" s="478"/>
      <c r="J352" s="479"/>
      <c r="K352" s="238"/>
      <c r="L352" s="15"/>
      <c r="M352" s="15"/>
      <c r="N352" s="15"/>
      <c r="O352" s="15"/>
      <c r="P352" s="15"/>
      <c r="Q352" s="15"/>
      <c r="R352" s="15"/>
      <c r="S352" s="15"/>
      <c r="T352" s="15"/>
      <c r="U352" s="15"/>
      <c r="V352" s="15"/>
      <c r="AB352" s="3"/>
      <c r="AC352" s="3"/>
      <c r="AD352" s="3"/>
      <c r="AE352" s="3"/>
      <c r="AF352" s="3"/>
      <c r="AG352" s="3"/>
      <c r="AH352" s="3"/>
      <c r="AI352" s="3"/>
      <c r="AJ352" s="3"/>
    </row>
    <row r="353" ht="15.75" customHeight="1">
      <c r="G353" s="478"/>
      <c r="J353" s="488"/>
    </row>
    <row r="354" ht="15.75" customHeight="1">
      <c r="G354" s="478"/>
      <c r="J354" s="488"/>
    </row>
    <row r="355" ht="15.75" customHeight="1">
      <c r="G355" s="478"/>
      <c r="J355" s="488"/>
    </row>
    <row r="356" ht="15.75" customHeight="1">
      <c r="G356" s="478"/>
      <c r="J356" s="488"/>
    </row>
    <row r="357" ht="15.75" customHeight="1">
      <c r="G357" s="478"/>
      <c r="J357" s="488"/>
    </row>
    <row r="358" ht="15.75" customHeight="1">
      <c r="G358" s="478"/>
      <c r="J358" s="488"/>
    </row>
    <row r="359" ht="15.75" customHeight="1">
      <c r="G359" s="478"/>
      <c r="J359" s="488"/>
    </row>
    <row r="360" ht="15.75" customHeight="1">
      <c r="G360" s="478"/>
      <c r="J360" s="488"/>
    </row>
    <row r="361" ht="15.75" customHeight="1">
      <c r="G361" s="478"/>
      <c r="J361" s="488"/>
    </row>
    <row r="362" ht="15.75" customHeight="1">
      <c r="G362" s="478"/>
      <c r="J362" s="488"/>
    </row>
    <row r="363" ht="15.75" customHeight="1">
      <c r="G363" s="478"/>
      <c r="J363" s="488"/>
    </row>
    <row r="364" ht="15.75" customHeight="1">
      <c r="G364" s="478"/>
      <c r="J364" s="488"/>
    </row>
    <row r="365" ht="15.75" customHeight="1">
      <c r="G365" s="478"/>
      <c r="J365" s="488"/>
    </row>
    <row r="366" ht="15.75" customHeight="1">
      <c r="G366" s="478"/>
      <c r="J366" s="488"/>
    </row>
    <row r="367" ht="15.75" customHeight="1">
      <c r="G367" s="478"/>
      <c r="J367" s="488"/>
    </row>
    <row r="368" ht="15.75" customHeight="1">
      <c r="G368" s="478"/>
      <c r="J368" s="488"/>
    </row>
    <row r="369" ht="15.75" customHeight="1">
      <c r="G369" s="478"/>
      <c r="J369" s="488"/>
    </row>
    <row r="370" ht="15.75" customHeight="1">
      <c r="G370" s="478"/>
      <c r="J370" s="488"/>
    </row>
    <row r="371" ht="15.75" customHeight="1">
      <c r="G371" s="478"/>
      <c r="J371" s="488"/>
    </row>
    <row r="372" ht="15.75" customHeight="1">
      <c r="G372" s="478"/>
      <c r="J372" s="488"/>
    </row>
    <row r="373" ht="15.75" customHeight="1">
      <c r="G373" s="478"/>
      <c r="J373" s="488"/>
    </row>
    <row r="374" ht="15.75" customHeight="1">
      <c r="G374" s="478"/>
      <c r="J374" s="488"/>
    </row>
    <row r="375" ht="15.75" customHeight="1">
      <c r="G375" s="478"/>
      <c r="J375" s="488"/>
    </row>
    <row r="376" ht="15.75" customHeight="1">
      <c r="G376" s="478"/>
      <c r="J376" s="488"/>
    </row>
    <row r="377" ht="15.75" customHeight="1">
      <c r="G377" s="478"/>
      <c r="J377" s="488"/>
    </row>
    <row r="378" ht="15.75" customHeight="1">
      <c r="G378" s="478"/>
      <c r="J378" s="488"/>
    </row>
    <row r="379" ht="15.75" customHeight="1">
      <c r="G379" s="478"/>
      <c r="J379" s="488"/>
    </row>
    <row r="380" ht="15.75" customHeight="1">
      <c r="G380" s="478"/>
      <c r="J380" s="488"/>
    </row>
    <row r="381" ht="15.75" customHeight="1">
      <c r="G381" s="478"/>
      <c r="J381" s="488"/>
    </row>
    <row r="382" ht="15.75" customHeight="1">
      <c r="G382" s="478"/>
      <c r="J382" s="488"/>
    </row>
    <row r="383" ht="15.75" customHeight="1">
      <c r="G383" s="478"/>
      <c r="J383" s="488"/>
    </row>
    <row r="384" ht="15.75" customHeight="1">
      <c r="G384" s="478"/>
      <c r="J384" s="488"/>
    </row>
    <row r="385" ht="15.75" customHeight="1">
      <c r="G385" s="478"/>
      <c r="J385" s="488"/>
    </row>
    <row r="386" ht="15.75" customHeight="1">
      <c r="G386" s="478"/>
      <c r="J386" s="488"/>
    </row>
    <row r="387" ht="15.75" customHeight="1">
      <c r="G387" s="478"/>
      <c r="J387" s="488"/>
    </row>
    <row r="388" ht="15.75" customHeight="1">
      <c r="G388" s="478"/>
      <c r="J388" s="488"/>
    </row>
    <row r="389" ht="15.75" customHeight="1">
      <c r="G389" s="478"/>
      <c r="J389" s="488"/>
    </row>
    <row r="390" ht="15.75" customHeight="1">
      <c r="G390" s="478"/>
      <c r="J390" s="488"/>
    </row>
    <row r="391" ht="15.75" customHeight="1">
      <c r="G391" s="478"/>
      <c r="J391" s="488"/>
    </row>
    <row r="392" ht="15.75" customHeight="1">
      <c r="G392" s="478"/>
      <c r="J392" s="488"/>
    </row>
    <row r="393" ht="15.75" customHeight="1">
      <c r="G393" s="478"/>
      <c r="J393" s="488"/>
    </row>
    <row r="394" ht="15.75" customHeight="1">
      <c r="G394" s="478"/>
      <c r="J394" s="488"/>
    </row>
    <row r="395" ht="15.75" customHeight="1">
      <c r="G395" s="478"/>
      <c r="J395" s="488"/>
    </row>
    <row r="396" ht="15.75" customHeight="1">
      <c r="G396" s="478"/>
      <c r="J396" s="488"/>
    </row>
    <row r="397" ht="15.75" customHeight="1">
      <c r="G397" s="478"/>
      <c r="J397" s="488"/>
    </row>
    <row r="398" ht="15.75" customHeight="1">
      <c r="G398" s="478"/>
      <c r="J398" s="488"/>
    </row>
    <row r="399" ht="15.75" customHeight="1">
      <c r="G399" s="478"/>
      <c r="J399" s="488"/>
    </row>
    <row r="400" ht="15.75" customHeight="1">
      <c r="G400" s="478"/>
      <c r="J400" s="488"/>
    </row>
    <row r="401" ht="15.75" customHeight="1">
      <c r="G401" s="478"/>
      <c r="J401" s="488"/>
    </row>
    <row r="402" ht="15.75" customHeight="1">
      <c r="G402" s="478"/>
      <c r="J402" s="488"/>
    </row>
    <row r="403" ht="15.75" customHeight="1">
      <c r="G403" s="478"/>
      <c r="J403" s="488"/>
    </row>
    <row r="404" ht="15.75" customHeight="1">
      <c r="G404" s="478"/>
      <c r="J404" s="488"/>
    </row>
    <row r="405" ht="15.75" customHeight="1">
      <c r="G405" s="478"/>
      <c r="J405" s="488"/>
    </row>
    <row r="406" ht="15.75" customHeight="1">
      <c r="G406" s="478"/>
      <c r="J406" s="488"/>
    </row>
    <row r="407" ht="15.75" customHeight="1">
      <c r="G407" s="478"/>
      <c r="J407" s="488"/>
    </row>
    <row r="408" ht="15.75" customHeight="1">
      <c r="G408" s="478"/>
      <c r="J408" s="488"/>
    </row>
    <row r="409" ht="15.75" customHeight="1">
      <c r="G409" s="478"/>
      <c r="J409" s="488"/>
    </row>
    <row r="410" ht="15.75" customHeight="1">
      <c r="G410" s="478"/>
      <c r="J410" s="488"/>
    </row>
    <row r="411" ht="15.75" customHeight="1">
      <c r="G411" s="478"/>
      <c r="J411" s="488"/>
    </row>
    <row r="412" ht="15.75" customHeight="1">
      <c r="G412" s="478"/>
      <c r="J412" s="488"/>
    </row>
    <row r="413" ht="15.75" customHeight="1">
      <c r="G413" s="478"/>
      <c r="J413" s="488"/>
    </row>
    <row r="414" ht="15.75" customHeight="1">
      <c r="G414" s="478"/>
      <c r="J414" s="488"/>
    </row>
    <row r="415" ht="15.75" customHeight="1">
      <c r="G415" s="478"/>
      <c r="J415" s="488"/>
    </row>
    <row r="416" ht="15.75" customHeight="1">
      <c r="G416" s="478"/>
      <c r="J416" s="488"/>
    </row>
    <row r="417" ht="15.75" customHeight="1">
      <c r="G417" s="478"/>
      <c r="J417" s="488"/>
    </row>
    <row r="418" ht="15.75" customHeight="1">
      <c r="G418" s="478"/>
      <c r="J418" s="488"/>
    </row>
    <row r="419" ht="15.75" customHeight="1">
      <c r="G419" s="478"/>
      <c r="J419" s="488"/>
    </row>
    <row r="420" ht="15.75" customHeight="1">
      <c r="G420" s="478"/>
      <c r="J420" s="488"/>
    </row>
    <row r="421" ht="15.75" customHeight="1">
      <c r="G421" s="478"/>
      <c r="J421" s="488"/>
    </row>
    <row r="422" ht="15.75" customHeight="1">
      <c r="G422" s="478"/>
      <c r="J422" s="488"/>
    </row>
    <row r="423" ht="15.75" customHeight="1">
      <c r="G423" s="478"/>
      <c r="J423" s="488"/>
    </row>
    <row r="424" ht="15.75" customHeight="1">
      <c r="G424" s="478"/>
      <c r="J424" s="488"/>
    </row>
    <row r="425" ht="15.75" customHeight="1">
      <c r="G425" s="478"/>
      <c r="J425" s="488"/>
    </row>
    <row r="426" ht="15.75" customHeight="1">
      <c r="G426" s="478"/>
      <c r="J426" s="488"/>
    </row>
    <row r="427" ht="15.75" customHeight="1">
      <c r="G427" s="478"/>
      <c r="J427" s="488"/>
    </row>
    <row r="428" ht="15.75" customHeight="1">
      <c r="G428" s="478"/>
      <c r="J428" s="488"/>
    </row>
    <row r="429" ht="15.75" customHeight="1">
      <c r="G429" s="478"/>
      <c r="J429" s="488"/>
    </row>
    <row r="430" ht="15.75" customHeight="1">
      <c r="G430" s="478"/>
      <c r="J430" s="488"/>
    </row>
    <row r="431" ht="15.75" customHeight="1">
      <c r="G431" s="478"/>
      <c r="J431" s="488"/>
    </row>
    <row r="432" ht="15.75" customHeight="1">
      <c r="G432" s="478"/>
      <c r="J432" s="488"/>
    </row>
    <row r="433" ht="15.75" customHeight="1">
      <c r="G433" s="478"/>
      <c r="J433" s="488"/>
    </row>
    <row r="434" ht="15.75" customHeight="1">
      <c r="G434" s="478"/>
      <c r="J434" s="488"/>
    </row>
    <row r="435" ht="15.75" customHeight="1">
      <c r="G435" s="478"/>
      <c r="J435" s="488"/>
    </row>
    <row r="436" ht="15.75" customHeight="1">
      <c r="G436" s="478"/>
      <c r="J436" s="488"/>
    </row>
    <row r="437" ht="15.75" customHeight="1">
      <c r="G437" s="478"/>
      <c r="J437" s="488"/>
    </row>
    <row r="438" ht="15.75" customHeight="1">
      <c r="G438" s="478"/>
      <c r="J438" s="488"/>
    </row>
    <row r="439" ht="15.75" customHeight="1">
      <c r="G439" s="478"/>
      <c r="J439" s="488"/>
    </row>
    <row r="440" ht="15.75" customHeight="1">
      <c r="G440" s="478"/>
      <c r="J440" s="488"/>
    </row>
    <row r="441" ht="15.75" customHeight="1">
      <c r="G441" s="478"/>
      <c r="J441" s="488"/>
    </row>
    <row r="442" ht="15.75" customHeight="1">
      <c r="G442" s="478"/>
      <c r="J442" s="488"/>
    </row>
    <row r="443" ht="15.75" customHeight="1">
      <c r="G443" s="478"/>
      <c r="J443" s="488"/>
    </row>
    <row r="444" ht="15.75" customHeight="1">
      <c r="G444" s="478"/>
      <c r="J444" s="488"/>
    </row>
    <row r="445" ht="15.75" customHeight="1">
      <c r="G445" s="478"/>
      <c r="J445" s="488"/>
    </row>
    <row r="446" ht="15.75" customHeight="1">
      <c r="G446" s="478"/>
      <c r="J446" s="488"/>
    </row>
    <row r="447" ht="15.75" customHeight="1">
      <c r="G447" s="478"/>
      <c r="J447" s="488"/>
    </row>
    <row r="448" ht="15.75" customHeight="1">
      <c r="G448" s="478"/>
      <c r="J448" s="488"/>
    </row>
    <row r="449" ht="15.75" customHeight="1">
      <c r="G449" s="478"/>
      <c r="J449" s="488"/>
    </row>
    <row r="450" ht="15.75" customHeight="1">
      <c r="G450" s="478"/>
      <c r="J450" s="488"/>
    </row>
    <row r="451" ht="15.75" customHeight="1">
      <c r="G451" s="478"/>
      <c r="J451" s="488"/>
    </row>
    <row r="452" ht="15.75" customHeight="1">
      <c r="G452" s="478"/>
      <c r="J452" s="488"/>
    </row>
    <row r="453" ht="15.75" customHeight="1">
      <c r="G453" s="478"/>
      <c r="J453" s="488"/>
    </row>
    <row r="454" ht="15.75" customHeight="1">
      <c r="G454" s="478"/>
      <c r="J454" s="488"/>
    </row>
    <row r="455" ht="15.75" customHeight="1">
      <c r="G455" s="478"/>
      <c r="J455" s="488"/>
    </row>
    <row r="456" ht="15.75" customHeight="1">
      <c r="G456" s="478"/>
      <c r="J456" s="488"/>
    </row>
    <row r="457" ht="15.75" customHeight="1">
      <c r="G457" s="478"/>
      <c r="J457" s="488"/>
    </row>
    <row r="458" ht="15.75" customHeight="1">
      <c r="G458" s="478"/>
      <c r="J458" s="488"/>
    </row>
    <row r="459" ht="15.75" customHeight="1">
      <c r="G459" s="478"/>
      <c r="J459" s="488"/>
    </row>
    <row r="460" ht="15.75" customHeight="1">
      <c r="G460" s="478"/>
      <c r="J460" s="488"/>
    </row>
    <row r="461" ht="15.75" customHeight="1">
      <c r="G461" s="478"/>
      <c r="J461" s="488"/>
    </row>
    <row r="462" ht="15.75" customHeight="1">
      <c r="G462" s="478"/>
      <c r="J462" s="488"/>
    </row>
    <row r="463" ht="15.75" customHeight="1">
      <c r="G463" s="478"/>
      <c r="J463" s="488"/>
    </row>
    <row r="464" ht="15.75" customHeight="1">
      <c r="G464" s="478"/>
      <c r="J464" s="488"/>
    </row>
    <row r="465" ht="15.75" customHeight="1">
      <c r="G465" s="478"/>
      <c r="J465" s="488"/>
    </row>
    <row r="466" ht="15.75" customHeight="1">
      <c r="G466" s="478"/>
      <c r="J466" s="488"/>
    </row>
    <row r="467" ht="15.75" customHeight="1">
      <c r="G467" s="478"/>
      <c r="J467" s="488"/>
    </row>
    <row r="468" ht="15.75" customHeight="1">
      <c r="G468" s="478"/>
      <c r="J468" s="488"/>
    </row>
    <row r="469" ht="15.75" customHeight="1">
      <c r="G469" s="478"/>
      <c r="J469" s="488"/>
    </row>
    <row r="470" ht="15.75" customHeight="1">
      <c r="G470" s="478"/>
      <c r="J470" s="488"/>
    </row>
    <row r="471" ht="15.75" customHeight="1">
      <c r="G471" s="478"/>
      <c r="J471" s="488"/>
    </row>
    <row r="472" ht="15.75" customHeight="1">
      <c r="G472" s="478"/>
      <c r="J472" s="488"/>
    </row>
    <row r="473" ht="15.75" customHeight="1">
      <c r="G473" s="478"/>
      <c r="J473" s="488"/>
    </row>
    <row r="474" ht="15.75" customHeight="1">
      <c r="G474" s="478"/>
      <c r="J474" s="488"/>
    </row>
    <row r="475" ht="15.75" customHeight="1">
      <c r="G475" s="478"/>
      <c r="J475" s="488"/>
    </row>
    <row r="476" ht="15.75" customHeight="1">
      <c r="G476" s="478"/>
      <c r="J476" s="488"/>
    </row>
    <row r="477" ht="15.75" customHeight="1">
      <c r="G477" s="478"/>
      <c r="J477" s="488"/>
    </row>
    <row r="478" ht="15.75" customHeight="1">
      <c r="G478" s="478"/>
      <c r="J478" s="488"/>
    </row>
    <row r="479" ht="15.75" customHeight="1">
      <c r="G479" s="478"/>
      <c r="J479" s="488"/>
    </row>
    <row r="480" ht="15.75" customHeight="1">
      <c r="G480" s="478"/>
      <c r="J480" s="488"/>
    </row>
    <row r="481" ht="15.75" customHeight="1">
      <c r="G481" s="478"/>
      <c r="J481" s="488"/>
    </row>
    <row r="482" ht="15.75" customHeight="1">
      <c r="G482" s="478"/>
      <c r="J482" s="488"/>
    </row>
    <row r="483" ht="15.75" customHeight="1">
      <c r="G483" s="478"/>
      <c r="J483" s="488"/>
    </row>
    <row r="484" ht="15.75" customHeight="1">
      <c r="G484" s="478"/>
      <c r="J484" s="488"/>
    </row>
    <row r="485" ht="15.75" customHeight="1">
      <c r="G485" s="478"/>
      <c r="J485" s="488"/>
    </row>
    <row r="486" ht="15.75" customHeight="1">
      <c r="G486" s="478"/>
      <c r="J486" s="488"/>
    </row>
    <row r="487" ht="15.75" customHeight="1">
      <c r="G487" s="478"/>
      <c r="J487" s="488"/>
    </row>
    <row r="488" ht="15.75" customHeight="1">
      <c r="G488" s="478"/>
      <c r="J488" s="488"/>
    </row>
    <row r="489" ht="15.75" customHeight="1">
      <c r="G489" s="478"/>
      <c r="J489" s="488"/>
    </row>
    <row r="490" ht="15.75" customHeight="1">
      <c r="G490" s="478"/>
      <c r="J490" s="488"/>
    </row>
    <row r="491" ht="15.75" customHeight="1">
      <c r="G491" s="478"/>
      <c r="J491" s="488"/>
    </row>
    <row r="492" ht="15.75" customHeight="1">
      <c r="G492" s="478"/>
      <c r="J492" s="488"/>
    </row>
    <row r="493" ht="15.75" customHeight="1">
      <c r="G493" s="478"/>
      <c r="J493" s="488"/>
    </row>
    <row r="494" ht="15.75" customHeight="1">
      <c r="G494" s="478"/>
      <c r="J494" s="488"/>
    </row>
    <row r="495" ht="15.75" customHeight="1">
      <c r="G495" s="478"/>
      <c r="J495" s="488"/>
    </row>
    <row r="496" ht="15.75" customHeight="1">
      <c r="G496" s="478"/>
      <c r="J496" s="488"/>
    </row>
    <row r="497" ht="15.75" customHeight="1">
      <c r="G497" s="478"/>
      <c r="J497" s="488"/>
    </row>
    <row r="498" ht="15.75" customHeight="1">
      <c r="G498" s="478"/>
      <c r="J498" s="488"/>
    </row>
    <row r="499" ht="15.75" customHeight="1">
      <c r="G499" s="478"/>
      <c r="J499" s="488"/>
    </row>
    <row r="500" ht="15.75" customHeight="1">
      <c r="G500" s="478"/>
      <c r="J500" s="488"/>
    </row>
    <row r="501" ht="15.75" customHeight="1">
      <c r="G501" s="478"/>
      <c r="J501" s="488"/>
    </row>
    <row r="502" ht="15.75" customHeight="1">
      <c r="G502" s="478"/>
      <c r="J502" s="488"/>
    </row>
    <row r="503" ht="15.75" customHeight="1">
      <c r="G503" s="478"/>
      <c r="J503" s="488"/>
    </row>
    <row r="504" ht="15.75" customHeight="1">
      <c r="G504" s="478"/>
      <c r="J504" s="488"/>
    </row>
    <row r="505" ht="15.75" customHeight="1">
      <c r="G505" s="478"/>
      <c r="J505" s="488"/>
    </row>
    <row r="506" ht="15.75" customHeight="1">
      <c r="G506" s="478"/>
      <c r="J506" s="488"/>
    </row>
    <row r="507" ht="15.75" customHeight="1">
      <c r="G507" s="478"/>
      <c r="J507" s="488"/>
    </row>
    <row r="508" ht="15.75" customHeight="1">
      <c r="G508" s="478"/>
      <c r="J508" s="488"/>
    </row>
    <row r="509" ht="15.75" customHeight="1">
      <c r="G509" s="478"/>
      <c r="J509" s="488"/>
    </row>
    <row r="510" ht="15.75" customHeight="1">
      <c r="G510" s="478"/>
      <c r="J510" s="488"/>
    </row>
    <row r="511" ht="15.75" customHeight="1">
      <c r="G511" s="478"/>
      <c r="J511" s="488"/>
    </row>
    <row r="512" ht="15.75" customHeight="1">
      <c r="G512" s="478"/>
      <c r="J512" s="488"/>
    </row>
    <row r="513" ht="15.75" customHeight="1">
      <c r="G513" s="478"/>
      <c r="J513" s="488"/>
    </row>
    <row r="514" ht="15.75" customHeight="1">
      <c r="G514" s="478"/>
      <c r="J514" s="488"/>
    </row>
    <row r="515" ht="15.75" customHeight="1">
      <c r="G515" s="478"/>
      <c r="J515" s="488"/>
    </row>
    <row r="516" ht="15.75" customHeight="1">
      <c r="G516" s="478"/>
      <c r="J516" s="488"/>
    </row>
    <row r="517" ht="15.75" customHeight="1">
      <c r="G517" s="478"/>
      <c r="J517" s="488"/>
    </row>
    <row r="518" ht="15.75" customHeight="1">
      <c r="G518" s="478"/>
      <c r="J518" s="488"/>
    </row>
    <row r="519" ht="15.75" customHeight="1">
      <c r="G519" s="478"/>
      <c r="J519" s="488"/>
    </row>
    <row r="520" ht="15.75" customHeight="1">
      <c r="G520" s="478"/>
      <c r="J520" s="488"/>
    </row>
    <row r="521" ht="15.75" customHeight="1">
      <c r="G521" s="478"/>
      <c r="J521" s="488"/>
    </row>
    <row r="522" ht="15.75" customHeight="1">
      <c r="G522" s="478"/>
      <c r="J522" s="488"/>
    </row>
    <row r="523" ht="15.75" customHeight="1">
      <c r="G523" s="478"/>
      <c r="J523" s="488"/>
    </row>
    <row r="524" ht="15.75" customHeight="1">
      <c r="G524" s="478"/>
      <c r="J524" s="488"/>
    </row>
    <row r="525" ht="15.75" customHeight="1">
      <c r="G525" s="478"/>
      <c r="J525" s="488"/>
    </row>
    <row r="526" ht="15.75" customHeight="1">
      <c r="G526" s="478"/>
      <c r="J526" s="488"/>
    </row>
    <row r="527" ht="15.75" customHeight="1">
      <c r="G527" s="478"/>
      <c r="J527" s="488"/>
    </row>
    <row r="528" ht="15.75" customHeight="1">
      <c r="G528" s="478"/>
      <c r="J528" s="488"/>
    </row>
    <row r="529" ht="15.75" customHeight="1">
      <c r="G529" s="478"/>
      <c r="J529" s="488"/>
    </row>
    <row r="530" ht="15.75" customHeight="1">
      <c r="G530" s="478"/>
      <c r="J530" s="488"/>
    </row>
    <row r="531" ht="15.75" customHeight="1">
      <c r="G531" s="478"/>
      <c r="J531" s="488"/>
    </row>
    <row r="532" ht="15.75" customHeight="1">
      <c r="G532" s="478"/>
      <c r="J532" s="488"/>
    </row>
    <row r="533" ht="15.75" customHeight="1">
      <c r="G533" s="478"/>
      <c r="J533" s="488"/>
    </row>
    <row r="534" ht="15.75" customHeight="1">
      <c r="G534" s="478"/>
      <c r="J534" s="488"/>
    </row>
    <row r="535" ht="15.75" customHeight="1">
      <c r="G535" s="478"/>
      <c r="J535" s="488"/>
    </row>
    <row r="536" ht="15.75" customHeight="1">
      <c r="G536" s="478"/>
      <c r="J536" s="488"/>
    </row>
    <row r="537" ht="15.75" customHeight="1">
      <c r="G537" s="478"/>
      <c r="J537" s="488"/>
    </row>
    <row r="538" ht="15.75" customHeight="1">
      <c r="G538" s="478"/>
      <c r="J538" s="488"/>
    </row>
    <row r="539" ht="15.75" customHeight="1">
      <c r="G539" s="478"/>
      <c r="J539" s="488"/>
    </row>
    <row r="540" ht="15.75" customHeight="1">
      <c r="G540" s="478"/>
      <c r="J540" s="488"/>
    </row>
    <row r="541" ht="15.75" customHeight="1">
      <c r="G541" s="478"/>
      <c r="J541" s="488"/>
    </row>
    <row r="542" ht="15.75" customHeight="1">
      <c r="G542" s="478"/>
      <c r="J542" s="488"/>
    </row>
    <row r="543" ht="15.75" customHeight="1">
      <c r="G543" s="478"/>
      <c r="J543" s="488"/>
    </row>
    <row r="544" ht="15.75" customHeight="1">
      <c r="G544" s="478"/>
      <c r="J544" s="488"/>
    </row>
    <row r="545" ht="15.75" customHeight="1">
      <c r="G545" s="478"/>
      <c r="J545" s="488"/>
    </row>
    <row r="546" ht="15.75" customHeight="1">
      <c r="G546" s="478"/>
      <c r="J546" s="488"/>
    </row>
    <row r="547" ht="15.75" customHeight="1">
      <c r="G547" s="478"/>
      <c r="J547" s="488"/>
    </row>
    <row r="548" ht="15.75" customHeight="1">
      <c r="G548" s="478"/>
      <c r="J548" s="488"/>
    </row>
    <row r="549" ht="15.75" customHeight="1">
      <c r="G549" s="478"/>
      <c r="J549" s="488"/>
    </row>
    <row r="550" ht="15.75" customHeight="1">
      <c r="G550" s="478"/>
      <c r="J550" s="488"/>
    </row>
    <row r="551" ht="15.75" customHeight="1">
      <c r="G551" s="478"/>
      <c r="J551" s="488"/>
    </row>
    <row r="552" ht="15.75" customHeight="1">
      <c r="G552" s="478"/>
      <c r="J552" s="488"/>
    </row>
    <row r="553" ht="15.75" customHeight="1">
      <c r="G553" s="478"/>
      <c r="J553" s="488"/>
    </row>
    <row r="554" ht="15.75" customHeight="1">
      <c r="G554" s="478"/>
      <c r="J554" s="488"/>
    </row>
    <row r="555" ht="15.75" customHeight="1">
      <c r="G555" s="478"/>
      <c r="J555" s="488"/>
    </row>
    <row r="556" ht="15.75" customHeight="1">
      <c r="G556" s="478"/>
      <c r="J556" s="488"/>
    </row>
    <row r="557" ht="15.75" customHeight="1">
      <c r="G557" s="478"/>
      <c r="J557" s="488"/>
    </row>
    <row r="558" ht="15.75" customHeight="1">
      <c r="G558" s="478"/>
      <c r="J558" s="488"/>
    </row>
    <row r="559" ht="15.75" customHeight="1">
      <c r="G559" s="478"/>
      <c r="J559" s="488"/>
    </row>
    <row r="560" ht="15.75" customHeight="1">
      <c r="G560" s="478"/>
      <c r="J560" s="488"/>
    </row>
    <row r="561" ht="15.75" customHeight="1">
      <c r="G561" s="478"/>
      <c r="J561" s="488"/>
    </row>
    <row r="562" ht="15.75" customHeight="1">
      <c r="G562" s="478"/>
      <c r="J562" s="488"/>
    </row>
    <row r="563" ht="15.75" customHeight="1">
      <c r="G563" s="478"/>
      <c r="J563" s="488"/>
    </row>
    <row r="564" ht="15.75" customHeight="1">
      <c r="G564" s="478"/>
      <c r="J564" s="488"/>
    </row>
    <row r="565" ht="15.75" customHeight="1">
      <c r="G565" s="478"/>
      <c r="J565" s="488"/>
    </row>
    <row r="566" ht="15.75" customHeight="1">
      <c r="G566" s="478"/>
      <c r="J566" s="488"/>
    </row>
    <row r="567" ht="15.75" customHeight="1">
      <c r="G567" s="478"/>
      <c r="J567" s="488"/>
    </row>
    <row r="568" ht="15.75" customHeight="1">
      <c r="G568" s="478"/>
      <c r="J568" s="488"/>
    </row>
    <row r="569" ht="15.75" customHeight="1">
      <c r="G569" s="478"/>
      <c r="J569" s="488"/>
    </row>
    <row r="570" ht="15.75" customHeight="1">
      <c r="G570" s="478"/>
      <c r="J570" s="488"/>
    </row>
    <row r="571" ht="15.75" customHeight="1">
      <c r="G571" s="478"/>
      <c r="J571" s="488"/>
    </row>
    <row r="572" ht="15.75" customHeight="1">
      <c r="G572" s="478"/>
      <c r="J572" s="488"/>
    </row>
    <row r="573" ht="15.75" customHeight="1">
      <c r="G573" s="478"/>
      <c r="J573" s="488"/>
    </row>
    <row r="574" ht="15.75" customHeight="1">
      <c r="G574" s="478"/>
      <c r="J574" s="488"/>
    </row>
    <row r="575" ht="15.75" customHeight="1">
      <c r="G575" s="478"/>
      <c r="J575" s="488"/>
    </row>
    <row r="576" ht="15.75" customHeight="1">
      <c r="G576" s="478"/>
      <c r="J576" s="488"/>
    </row>
    <row r="577" ht="15.75" customHeight="1">
      <c r="G577" s="478"/>
      <c r="J577" s="488"/>
    </row>
    <row r="578" ht="15.75" customHeight="1">
      <c r="G578" s="478"/>
      <c r="J578" s="488"/>
    </row>
    <row r="579" ht="15.75" customHeight="1">
      <c r="G579" s="478"/>
      <c r="J579" s="488"/>
    </row>
    <row r="580" ht="15.75" customHeight="1">
      <c r="G580" s="478"/>
      <c r="J580" s="488"/>
    </row>
    <row r="581" ht="15.75" customHeight="1">
      <c r="G581" s="478"/>
      <c r="J581" s="488"/>
    </row>
    <row r="582" ht="15.75" customHeight="1">
      <c r="G582" s="478"/>
      <c r="J582" s="488"/>
    </row>
    <row r="583" ht="15.75" customHeight="1">
      <c r="G583" s="478"/>
      <c r="J583" s="488"/>
    </row>
    <row r="584" ht="15.75" customHeight="1">
      <c r="G584" s="478"/>
      <c r="J584" s="488"/>
    </row>
    <row r="585" ht="15.75" customHeight="1">
      <c r="G585" s="478"/>
      <c r="J585" s="488"/>
    </row>
    <row r="586" ht="15.75" customHeight="1">
      <c r="G586" s="478"/>
      <c r="J586" s="488"/>
    </row>
    <row r="587" ht="15.75" customHeight="1">
      <c r="G587" s="478"/>
      <c r="J587" s="488"/>
    </row>
    <row r="588" ht="15.75" customHeight="1">
      <c r="G588" s="478"/>
      <c r="J588" s="488"/>
    </row>
    <row r="589" ht="15.75" customHeight="1">
      <c r="G589" s="478"/>
      <c r="J589" s="488"/>
    </row>
    <row r="590" ht="15.75" customHeight="1">
      <c r="G590" s="478"/>
      <c r="J590" s="488"/>
    </row>
    <row r="591" ht="15.75" customHeight="1">
      <c r="G591" s="478"/>
      <c r="J591" s="488"/>
    </row>
    <row r="592" ht="15.75" customHeight="1">
      <c r="G592" s="478"/>
      <c r="J592" s="488"/>
    </row>
    <row r="593" ht="15.75" customHeight="1">
      <c r="G593" s="478"/>
      <c r="J593" s="488"/>
    </row>
    <row r="594" ht="15.75" customHeight="1">
      <c r="G594" s="478"/>
      <c r="J594" s="488"/>
    </row>
    <row r="595" ht="15.75" customHeight="1">
      <c r="G595" s="478"/>
      <c r="J595" s="488"/>
    </row>
    <row r="596" ht="15.75" customHeight="1">
      <c r="G596" s="478"/>
      <c r="J596" s="488"/>
    </row>
    <row r="597" ht="15.75" customHeight="1">
      <c r="G597" s="478"/>
      <c r="J597" s="488"/>
    </row>
    <row r="598" ht="15.75" customHeight="1">
      <c r="G598" s="478"/>
      <c r="J598" s="488"/>
    </row>
    <row r="599" ht="15.75" customHeight="1">
      <c r="G599" s="478"/>
      <c r="J599" s="488"/>
    </row>
    <row r="600" ht="15.75" customHeight="1">
      <c r="G600" s="478"/>
      <c r="J600" s="488"/>
    </row>
    <row r="601" ht="15.75" customHeight="1">
      <c r="G601" s="478"/>
      <c r="J601" s="488"/>
    </row>
    <row r="602" ht="15.75" customHeight="1">
      <c r="G602" s="478"/>
      <c r="J602" s="488"/>
    </row>
    <row r="603" ht="15.75" customHeight="1">
      <c r="G603" s="478"/>
      <c r="J603" s="488"/>
    </row>
    <row r="604" ht="15.75" customHeight="1">
      <c r="G604" s="478"/>
      <c r="J604" s="488"/>
    </row>
    <row r="605" ht="15.75" customHeight="1">
      <c r="G605" s="478"/>
      <c r="J605" s="488"/>
    </row>
    <row r="606" ht="15.75" customHeight="1">
      <c r="G606" s="478"/>
      <c r="J606" s="488"/>
    </row>
    <row r="607" ht="15.75" customHeight="1">
      <c r="G607" s="478"/>
      <c r="J607" s="488"/>
    </row>
    <row r="608" ht="15.75" customHeight="1">
      <c r="G608" s="478"/>
      <c r="J608" s="488"/>
    </row>
    <row r="609" ht="15.75" customHeight="1">
      <c r="G609" s="478"/>
      <c r="J609" s="488"/>
    </row>
    <row r="610" ht="15.75" customHeight="1">
      <c r="G610" s="478"/>
      <c r="J610" s="488"/>
    </row>
    <row r="611" ht="15.75" customHeight="1">
      <c r="G611" s="478"/>
      <c r="J611" s="488"/>
    </row>
    <row r="612" ht="15.75" customHeight="1">
      <c r="G612" s="478"/>
      <c r="J612" s="488"/>
    </row>
    <row r="613" ht="15.75" customHeight="1">
      <c r="G613" s="478"/>
      <c r="J613" s="488"/>
    </row>
    <row r="614" ht="15.75" customHeight="1">
      <c r="G614" s="478"/>
      <c r="J614" s="488"/>
    </row>
    <row r="615" ht="15.75" customHeight="1">
      <c r="G615" s="478"/>
      <c r="J615" s="488"/>
    </row>
    <row r="616" ht="15.75" customHeight="1">
      <c r="G616" s="478"/>
      <c r="J616" s="488"/>
    </row>
    <row r="617" ht="15.75" customHeight="1">
      <c r="G617" s="478"/>
      <c r="J617" s="488"/>
    </row>
    <row r="618" ht="15.75" customHeight="1">
      <c r="G618" s="478"/>
      <c r="J618" s="488"/>
    </row>
    <row r="619" ht="15.75" customHeight="1">
      <c r="G619" s="478"/>
      <c r="J619" s="488"/>
    </row>
    <row r="620" ht="15.75" customHeight="1">
      <c r="G620" s="478"/>
      <c r="J620" s="488"/>
    </row>
    <row r="621" ht="15.75" customHeight="1">
      <c r="G621" s="478"/>
      <c r="J621" s="488"/>
    </row>
    <row r="622" ht="15.75" customHeight="1">
      <c r="G622" s="478"/>
      <c r="J622" s="488"/>
    </row>
    <row r="623" ht="15.75" customHeight="1">
      <c r="G623" s="478"/>
      <c r="J623" s="488"/>
    </row>
    <row r="624" ht="15.75" customHeight="1">
      <c r="G624" s="478"/>
      <c r="J624" s="488"/>
    </row>
    <row r="625" ht="15.75" customHeight="1">
      <c r="G625" s="478"/>
      <c r="J625" s="488"/>
    </row>
    <row r="626" ht="15.75" customHeight="1">
      <c r="G626" s="478"/>
      <c r="J626" s="488"/>
    </row>
    <row r="627" ht="15.75" customHeight="1">
      <c r="G627" s="478"/>
      <c r="J627" s="488"/>
    </row>
    <row r="628" ht="15.75" customHeight="1">
      <c r="G628" s="478"/>
      <c r="J628" s="488"/>
    </row>
    <row r="629" ht="15.75" customHeight="1">
      <c r="G629" s="478"/>
      <c r="J629" s="488"/>
    </row>
    <row r="630" ht="15.75" customHeight="1">
      <c r="G630" s="478"/>
      <c r="J630" s="488"/>
    </row>
    <row r="631" ht="15.75" customHeight="1">
      <c r="G631" s="478"/>
      <c r="J631" s="488"/>
    </row>
    <row r="632" ht="15.75" customHeight="1">
      <c r="G632" s="478"/>
      <c r="J632" s="488"/>
    </row>
    <row r="633" ht="15.75" customHeight="1">
      <c r="G633" s="478"/>
      <c r="J633" s="488"/>
    </row>
    <row r="634" ht="15.75" customHeight="1">
      <c r="G634" s="478"/>
      <c r="J634" s="488"/>
    </row>
    <row r="635" ht="15.75" customHeight="1">
      <c r="G635" s="478"/>
      <c r="J635" s="488"/>
    </row>
    <row r="636" ht="15.75" customHeight="1">
      <c r="G636" s="478"/>
      <c r="J636" s="488"/>
    </row>
    <row r="637" ht="15.75" customHeight="1">
      <c r="G637" s="478"/>
      <c r="J637" s="488"/>
    </row>
    <row r="638" ht="15.75" customHeight="1">
      <c r="G638" s="478"/>
      <c r="J638" s="488"/>
    </row>
    <row r="639" ht="15.75" customHeight="1">
      <c r="G639" s="478"/>
      <c r="J639" s="488"/>
    </row>
    <row r="640" ht="15.75" customHeight="1">
      <c r="G640" s="478"/>
      <c r="J640" s="488"/>
    </row>
    <row r="641" ht="15.75" customHeight="1">
      <c r="G641" s="478"/>
      <c r="J641" s="488"/>
    </row>
    <row r="642" ht="15.75" customHeight="1">
      <c r="G642" s="478"/>
      <c r="J642" s="488"/>
    </row>
    <row r="643" ht="15.75" customHeight="1">
      <c r="G643" s="478"/>
      <c r="J643" s="488"/>
    </row>
    <row r="644" ht="15.75" customHeight="1">
      <c r="G644" s="478"/>
      <c r="J644" s="488"/>
    </row>
    <row r="645" ht="15.75" customHeight="1">
      <c r="G645" s="478"/>
      <c r="J645" s="488"/>
    </row>
    <row r="646" ht="15.75" customHeight="1">
      <c r="G646" s="478"/>
      <c r="J646" s="488"/>
    </row>
    <row r="647" ht="15.75" customHeight="1">
      <c r="G647" s="478"/>
      <c r="J647" s="488"/>
    </row>
    <row r="648" ht="15.75" customHeight="1">
      <c r="G648" s="478"/>
      <c r="J648" s="488"/>
    </row>
    <row r="649" ht="15.75" customHeight="1">
      <c r="G649" s="478"/>
      <c r="J649" s="488"/>
    </row>
    <row r="650" ht="15.75" customHeight="1">
      <c r="G650" s="478"/>
      <c r="J650" s="488"/>
    </row>
    <row r="651" ht="15.75" customHeight="1">
      <c r="G651" s="478"/>
      <c r="J651" s="488"/>
    </row>
    <row r="652" ht="15.75" customHeight="1">
      <c r="G652" s="478"/>
      <c r="J652" s="488"/>
    </row>
    <row r="653" ht="15.75" customHeight="1">
      <c r="G653" s="478"/>
      <c r="J653" s="488"/>
    </row>
    <row r="654" ht="15.75" customHeight="1">
      <c r="G654" s="478"/>
      <c r="J654" s="488"/>
    </row>
    <row r="655" ht="15.75" customHeight="1">
      <c r="G655" s="478"/>
      <c r="J655" s="488"/>
    </row>
    <row r="656" ht="15.75" customHeight="1">
      <c r="G656" s="478"/>
      <c r="J656" s="488"/>
    </row>
    <row r="657" ht="15.75" customHeight="1">
      <c r="G657" s="478"/>
      <c r="J657" s="488"/>
    </row>
    <row r="658" ht="15.75" customHeight="1">
      <c r="G658" s="478"/>
      <c r="J658" s="488"/>
    </row>
    <row r="659" ht="15.75" customHeight="1">
      <c r="G659" s="478"/>
      <c r="J659" s="488"/>
    </row>
    <row r="660" ht="15.75" customHeight="1">
      <c r="G660" s="478"/>
      <c r="J660" s="488"/>
    </row>
    <row r="661" ht="15.75" customHeight="1">
      <c r="G661" s="478"/>
      <c r="J661" s="488"/>
    </row>
    <row r="662" ht="15.75" customHeight="1">
      <c r="G662" s="478"/>
      <c r="J662" s="488"/>
    </row>
    <row r="663" ht="15.75" customHeight="1">
      <c r="G663" s="478"/>
      <c r="J663" s="488"/>
    </row>
    <row r="664" ht="15.75" customHeight="1">
      <c r="G664" s="478"/>
      <c r="J664" s="488"/>
    </row>
    <row r="665" ht="15.75" customHeight="1">
      <c r="G665" s="478"/>
      <c r="J665" s="488"/>
    </row>
    <row r="666" ht="15.75" customHeight="1">
      <c r="G666" s="478"/>
      <c r="J666" s="488"/>
    </row>
    <row r="667" ht="15.75" customHeight="1">
      <c r="G667" s="478"/>
      <c r="J667" s="488"/>
    </row>
    <row r="668" ht="15.75" customHeight="1">
      <c r="G668" s="478"/>
      <c r="J668" s="488"/>
    </row>
    <row r="669" ht="15.75" customHeight="1">
      <c r="G669" s="478"/>
      <c r="J669" s="488"/>
    </row>
    <row r="670" ht="15.75" customHeight="1">
      <c r="G670" s="478"/>
      <c r="J670" s="488"/>
    </row>
    <row r="671" ht="15.75" customHeight="1">
      <c r="G671" s="478"/>
      <c r="J671" s="488"/>
    </row>
    <row r="672" ht="15.75" customHeight="1">
      <c r="G672" s="478"/>
      <c r="J672" s="488"/>
    </row>
    <row r="673" ht="15.75" customHeight="1">
      <c r="G673" s="478"/>
      <c r="J673" s="488"/>
    </row>
    <row r="674" ht="15.75" customHeight="1">
      <c r="G674" s="478"/>
      <c r="J674" s="488"/>
    </row>
    <row r="675" ht="15.75" customHeight="1">
      <c r="G675" s="478"/>
      <c r="J675" s="488"/>
    </row>
    <row r="676" ht="15.75" customHeight="1">
      <c r="G676" s="478"/>
      <c r="J676" s="488"/>
    </row>
    <row r="677" ht="15.75" customHeight="1">
      <c r="G677" s="478"/>
      <c r="J677" s="488"/>
    </row>
    <row r="678" ht="15.75" customHeight="1">
      <c r="G678" s="478"/>
      <c r="J678" s="488"/>
    </row>
    <row r="679" ht="15.75" customHeight="1">
      <c r="G679" s="478"/>
      <c r="J679" s="488"/>
    </row>
    <row r="680" ht="15.75" customHeight="1">
      <c r="G680" s="478"/>
      <c r="J680" s="488"/>
    </row>
    <row r="681" ht="15.75" customHeight="1">
      <c r="G681" s="478"/>
      <c r="J681" s="488"/>
    </row>
    <row r="682" ht="15.75" customHeight="1">
      <c r="G682" s="478"/>
      <c r="J682" s="488"/>
    </row>
    <row r="683" ht="15.75" customHeight="1">
      <c r="G683" s="478"/>
      <c r="J683" s="488"/>
    </row>
    <row r="684" ht="15.75" customHeight="1">
      <c r="G684" s="478"/>
      <c r="J684" s="488"/>
    </row>
    <row r="685" ht="15.75" customHeight="1">
      <c r="G685" s="478"/>
      <c r="J685" s="488"/>
    </row>
    <row r="686" ht="15.75" customHeight="1">
      <c r="G686" s="478"/>
      <c r="J686" s="488"/>
    </row>
    <row r="687" ht="15.75" customHeight="1">
      <c r="G687" s="478"/>
      <c r="J687" s="488"/>
    </row>
    <row r="688" ht="15.75" customHeight="1">
      <c r="G688" s="478"/>
      <c r="J688" s="488"/>
    </row>
    <row r="689" ht="15.75" customHeight="1">
      <c r="G689" s="478"/>
      <c r="J689" s="488"/>
    </row>
    <row r="690" ht="15.75" customHeight="1">
      <c r="G690" s="478"/>
      <c r="J690" s="488"/>
    </row>
    <row r="691" ht="15.75" customHeight="1">
      <c r="G691" s="478"/>
      <c r="J691" s="488"/>
    </row>
    <row r="692" ht="15.75" customHeight="1">
      <c r="G692" s="478"/>
      <c r="J692" s="488"/>
    </row>
    <row r="693" ht="15.75" customHeight="1">
      <c r="G693" s="478"/>
      <c r="J693" s="488"/>
    </row>
    <row r="694" ht="15.75" customHeight="1">
      <c r="G694" s="478"/>
      <c r="J694" s="488"/>
    </row>
    <row r="695" ht="15.75" customHeight="1">
      <c r="G695" s="478"/>
      <c r="J695" s="488"/>
    </row>
    <row r="696" ht="15.75" customHeight="1">
      <c r="G696" s="478"/>
      <c r="J696" s="488"/>
    </row>
    <row r="697" ht="15.75" customHeight="1">
      <c r="G697" s="478"/>
      <c r="J697" s="488"/>
    </row>
    <row r="698" ht="15.75" customHeight="1">
      <c r="G698" s="478"/>
      <c r="J698" s="488"/>
    </row>
    <row r="699" ht="15.75" customHeight="1">
      <c r="G699" s="478"/>
      <c r="J699" s="488"/>
    </row>
    <row r="700" ht="15.75" customHeight="1">
      <c r="G700" s="478"/>
      <c r="J700" s="488"/>
    </row>
    <row r="701" ht="15.75" customHeight="1">
      <c r="G701" s="478"/>
      <c r="J701" s="488"/>
    </row>
    <row r="702" ht="15.75" customHeight="1">
      <c r="G702" s="478"/>
      <c r="J702" s="488"/>
    </row>
    <row r="703" ht="15.75" customHeight="1">
      <c r="G703" s="478"/>
      <c r="J703" s="488"/>
    </row>
    <row r="704" ht="15.75" customHeight="1">
      <c r="G704" s="478"/>
      <c r="J704" s="488"/>
    </row>
    <row r="705" ht="15.75" customHeight="1">
      <c r="G705" s="478"/>
      <c r="J705" s="488"/>
    </row>
    <row r="706" ht="15.75" customHeight="1">
      <c r="G706" s="478"/>
      <c r="J706" s="488"/>
    </row>
    <row r="707" ht="15.75" customHeight="1">
      <c r="G707" s="478"/>
      <c r="J707" s="488"/>
    </row>
    <row r="708" ht="15.75" customHeight="1">
      <c r="G708" s="478"/>
      <c r="J708" s="488"/>
    </row>
    <row r="709" ht="15.75" customHeight="1">
      <c r="G709" s="478"/>
      <c r="J709" s="488"/>
    </row>
    <row r="710" ht="15.75" customHeight="1">
      <c r="G710" s="478"/>
      <c r="J710" s="488"/>
    </row>
    <row r="711" ht="15.75" customHeight="1">
      <c r="G711" s="478"/>
      <c r="J711" s="488"/>
    </row>
    <row r="712" ht="15.75" customHeight="1">
      <c r="G712" s="478"/>
      <c r="J712" s="488"/>
    </row>
    <row r="713" ht="15.75" customHeight="1">
      <c r="G713" s="478"/>
      <c r="J713" s="488"/>
    </row>
    <row r="714" ht="15.75" customHeight="1">
      <c r="G714" s="478"/>
      <c r="J714" s="488"/>
    </row>
    <row r="715" ht="15.75" customHeight="1">
      <c r="G715" s="478"/>
      <c r="J715" s="488"/>
    </row>
    <row r="716" ht="15.75" customHeight="1">
      <c r="G716" s="478"/>
      <c r="J716" s="488"/>
    </row>
    <row r="717" ht="15.75" customHeight="1">
      <c r="G717" s="478"/>
      <c r="J717" s="488"/>
    </row>
    <row r="718" ht="15.75" customHeight="1">
      <c r="G718" s="478"/>
      <c r="J718" s="488"/>
    </row>
    <row r="719" ht="15.75" customHeight="1">
      <c r="G719" s="478"/>
      <c r="J719" s="488"/>
    </row>
    <row r="720" ht="15.75" customHeight="1">
      <c r="G720" s="478"/>
      <c r="J720" s="488"/>
    </row>
    <row r="721" ht="15.75" customHeight="1">
      <c r="G721" s="478"/>
      <c r="J721" s="488"/>
    </row>
    <row r="722" ht="15.75" customHeight="1">
      <c r="G722" s="478"/>
      <c r="J722" s="488"/>
    </row>
    <row r="723" ht="15.75" customHeight="1">
      <c r="G723" s="478"/>
      <c r="J723" s="488"/>
    </row>
    <row r="724" ht="15.75" customHeight="1">
      <c r="G724" s="478"/>
      <c r="J724" s="488"/>
    </row>
    <row r="725" ht="15.75" customHeight="1">
      <c r="G725" s="478"/>
      <c r="J725" s="488"/>
    </row>
    <row r="726" ht="15.75" customHeight="1">
      <c r="G726" s="478"/>
      <c r="J726" s="488"/>
    </row>
    <row r="727" ht="15.75" customHeight="1">
      <c r="G727" s="478"/>
      <c r="J727" s="488"/>
    </row>
    <row r="728" ht="15.75" customHeight="1">
      <c r="G728" s="478"/>
      <c r="J728" s="488"/>
    </row>
    <row r="729" ht="15.75" customHeight="1">
      <c r="G729" s="478"/>
      <c r="J729" s="488"/>
    </row>
    <row r="730" ht="15.75" customHeight="1">
      <c r="G730" s="478"/>
      <c r="J730" s="488"/>
    </row>
    <row r="731" ht="15.75" customHeight="1">
      <c r="G731" s="478"/>
      <c r="J731" s="488"/>
    </row>
    <row r="732" ht="15.75" customHeight="1">
      <c r="G732" s="478"/>
      <c r="J732" s="488"/>
    </row>
    <row r="733" ht="15.75" customHeight="1">
      <c r="G733" s="478"/>
      <c r="J733" s="488"/>
    </row>
    <row r="734" ht="15.75" customHeight="1">
      <c r="G734" s="478"/>
      <c r="J734" s="488"/>
    </row>
    <row r="735" ht="15.75" customHeight="1">
      <c r="G735" s="478"/>
      <c r="J735" s="488"/>
    </row>
    <row r="736" ht="15.75" customHeight="1">
      <c r="G736" s="478"/>
      <c r="J736" s="488"/>
    </row>
    <row r="737" ht="15.75" customHeight="1">
      <c r="G737" s="478"/>
      <c r="J737" s="488"/>
    </row>
    <row r="738" ht="15.75" customHeight="1">
      <c r="G738" s="478"/>
      <c r="J738" s="488"/>
    </row>
    <row r="739" ht="15.75" customHeight="1">
      <c r="G739" s="478"/>
      <c r="J739" s="488"/>
    </row>
    <row r="740" ht="15.75" customHeight="1">
      <c r="G740" s="478"/>
      <c r="J740" s="488"/>
    </row>
    <row r="741" ht="15.75" customHeight="1">
      <c r="G741" s="478"/>
      <c r="J741" s="488"/>
    </row>
    <row r="742" ht="15.75" customHeight="1">
      <c r="G742" s="478"/>
      <c r="J742" s="488"/>
    </row>
    <row r="743" ht="15.75" customHeight="1">
      <c r="G743" s="478"/>
      <c r="J743" s="488"/>
    </row>
    <row r="744" ht="15.75" customHeight="1">
      <c r="G744" s="478"/>
      <c r="J744" s="488"/>
    </row>
    <row r="745" ht="15.75" customHeight="1">
      <c r="G745" s="478"/>
      <c r="J745" s="488"/>
    </row>
    <row r="746" ht="15.75" customHeight="1">
      <c r="G746" s="478"/>
      <c r="J746" s="488"/>
    </row>
    <row r="747" ht="15.75" customHeight="1">
      <c r="G747" s="478"/>
      <c r="J747" s="488"/>
    </row>
    <row r="748" ht="15.75" customHeight="1">
      <c r="G748" s="478"/>
      <c r="J748" s="488"/>
    </row>
    <row r="749" ht="15.75" customHeight="1">
      <c r="G749" s="478"/>
      <c r="J749" s="488"/>
    </row>
    <row r="750" ht="15.75" customHeight="1">
      <c r="G750" s="478"/>
      <c r="J750" s="488"/>
    </row>
    <row r="751" ht="15.75" customHeight="1">
      <c r="G751" s="478"/>
      <c r="J751" s="488"/>
    </row>
    <row r="752" ht="15.75" customHeight="1">
      <c r="G752" s="478"/>
      <c r="J752" s="488"/>
    </row>
    <row r="753" ht="15.75" customHeight="1">
      <c r="G753" s="478"/>
      <c r="J753" s="488"/>
    </row>
    <row r="754" ht="15.75" customHeight="1">
      <c r="G754" s="478"/>
      <c r="J754" s="488"/>
    </row>
    <row r="755" ht="15.75" customHeight="1">
      <c r="G755" s="478"/>
      <c r="J755" s="488"/>
    </row>
    <row r="756" ht="15.75" customHeight="1">
      <c r="G756" s="478"/>
      <c r="J756" s="488"/>
    </row>
    <row r="757" ht="15.75" customHeight="1">
      <c r="G757" s="478"/>
      <c r="J757" s="488"/>
    </row>
    <row r="758" ht="15.75" customHeight="1">
      <c r="G758" s="478"/>
      <c r="J758" s="488"/>
    </row>
    <row r="759" ht="15.75" customHeight="1">
      <c r="G759" s="478"/>
      <c r="J759" s="488"/>
    </row>
    <row r="760" ht="15.75" customHeight="1">
      <c r="G760" s="478"/>
      <c r="J760" s="488"/>
    </row>
    <row r="761" ht="15.75" customHeight="1">
      <c r="G761" s="478"/>
      <c r="J761" s="488"/>
    </row>
    <row r="762" ht="15.75" customHeight="1">
      <c r="G762" s="478"/>
      <c r="J762" s="488"/>
    </row>
    <row r="763" ht="15.75" customHeight="1">
      <c r="G763" s="478"/>
      <c r="J763" s="488"/>
    </row>
    <row r="764" ht="15.75" customHeight="1">
      <c r="G764" s="478"/>
      <c r="J764" s="488"/>
    </row>
    <row r="765" ht="15.75" customHeight="1">
      <c r="G765" s="478"/>
      <c r="J765" s="488"/>
    </row>
    <row r="766" ht="15.75" customHeight="1">
      <c r="G766" s="478"/>
      <c r="J766" s="488"/>
    </row>
    <row r="767" ht="15.75" customHeight="1">
      <c r="G767" s="478"/>
      <c r="J767" s="488"/>
    </row>
    <row r="768" ht="15.75" customHeight="1">
      <c r="G768" s="478"/>
      <c r="J768" s="488"/>
    </row>
    <row r="769" ht="15.75" customHeight="1">
      <c r="G769" s="478"/>
      <c r="J769" s="488"/>
    </row>
    <row r="770" ht="15.75" customHeight="1">
      <c r="G770" s="478"/>
      <c r="J770" s="488"/>
    </row>
    <row r="771" ht="15.75" customHeight="1">
      <c r="G771" s="478"/>
      <c r="J771" s="488"/>
    </row>
    <row r="772" ht="15.75" customHeight="1">
      <c r="G772" s="478"/>
      <c r="J772" s="488"/>
    </row>
    <row r="773" ht="15.75" customHeight="1">
      <c r="G773" s="478"/>
      <c r="J773" s="488"/>
    </row>
    <row r="774" ht="15.75" customHeight="1">
      <c r="G774" s="478"/>
      <c r="J774" s="488"/>
    </row>
    <row r="775" ht="15.75" customHeight="1">
      <c r="G775" s="478"/>
      <c r="J775" s="488"/>
    </row>
    <row r="776" ht="15.75" customHeight="1">
      <c r="G776" s="478"/>
      <c r="J776" s="488"/>
    </row>
    <row r="777" ht="15.75" customHeight="1">
      <c r="G777" s="478"/>
      <c r="J777" s="488"/>
    </row>
    <row r="778" ht="15.75" customHeight="1">
      <c r="G778" s="478"/>
      <c r="J778" s="488"/>
    </row>
    <row r="779" ht="15.75" customHeight="1">
      <c r="G779" s="478"/>
      <c r="J779" s="488"/>
    </row>
    <row r="780" ht="15.75" customHeight="1">
      <c r="G780" s="478"/>
      <c r="J780" s="488"/>
    </row>
    <row r="781" ht="15.75" customHeight="1">
      <c r="G781" s="478"/>
      <c r="J781" s="488"/>
    </row>
    <row r="782" ht="15.75" customHeight="1">
      <c r="G782" s="478"/>
      <c r="J782" s="488"/>
    </row>
    <row r="783" ht="15.75" customHeight="1">
      <c r="G783" s="478"/>
      <c r="J783" s="488"/>
    </row>
    <row r="784" ht="15.75" customHeight="1">
      <c r="G784" s="478"/>
      <c r="J784" s="488"/>
    </row>
    <row r="785" ht="15.75" customHeight="1">
      <c r="G785" s="478"/>
      <c r="J785" s="488"/>
    </row>
    <row r="786" ht="15.75" customHeight="1">
      <c r="G786" s="478"/>
      <c r="J786" s="488"/>
    </row>
    <row r="787" ht="15.75" customHeight="1">
      <c r="G787" s="478"/>
      <c r="J787" s="488"/>
    </row>
    <row r="788" ht="15.75" customHeight="1">
      <c r="G788" s="478"/>
      <c r="J788" s="488"/>
    </row>
    <row r="789" ht="15.75" customHeight="1">
      <c r="G789" s="478"/>
      <c r="J789" s="488"/>
    </row>
    <row r="790" ht="15.75" customHeight="1">
      <c r="G790" s="478"/>
      <c r="J790" s="488"/>
    </row>
    <row r="791" ht="15.75" customHeight="1">
      <c r="G791" s="478"/>
      <c r="J791" s="488"/>
    </row>
    <row r="792" ht="15.75" customHeight="1">
      <c r="G792" s="478"/>
      <c r="J792" s="488"/>
    </row>
    <row r="793" ht="15.75" customHeight="1">
      <c r="G793" s="478"/>
      <c r="J793" s="488"/>
    </row>
    <row r="794" ht="15.75" customHeight="1">
      <c r="G794" s="478"/>
      <c r="J794" s="488"/>
    </row>
    <row r="795" ht="15.75" customHeight="1">
      <c r="G795" s="478"/>
      <c r="J795" s="488"/>
    </row>
    <row r="796" ht="15.75" customHeight="1">
      <c r="G796" s="478"/>
      <c r="J796" s="488"/>
    </row>
    <row r="797" ht="15.75" customHeight="1">
      <c r="G797" s="478"/>
      <c r="J797" s="488"/>
    </row>
    <row r="798" ht="15.75" customHeight="1">
      <c r="G798" s="478"/>
      <c r="J798" s="488"/>
    </row>
    <row r="799" ht="15.75" customHeight="1">
      <c r="G799" s="478"/>
      <c r="J799" s="488"/>
    </row>
    <row r="800" ht="15.75" customHeight="1">
      <c r="G800" s="478"/>
      <c r="J800" s="488"/>
    </row>
    <row r="801" ht="15.75" customHeight="1">
      <c r="G801" s="478"/>
      <c r="J801" s="488"/>
    </row>
    <row r="802" ht="15.75" customHeight="1">
      <c r="G802" s="478"/>
      <c r="J802" s="488"/>
    </row>
    <row r="803" ht="15.75" customHeight="1">
      <c r="G803" s="478"/>
      <c r="J803" s="488"/>
    </row>
    <row r="804" ht="15.75" customHeight="1">
      <c r="G804" s="478"/>
      <c r="J804" s="488"/>
    </row>
    <row r="805" ht="15.75" customHeight="1">
      <c r="G805" s="478"/>
      <c r="J805" s="488"/>
    </row>
    <row r="806" ht="15.75" customHeight="1">
      <c r="G806" s="478"/>
      <c r="J806" s="488"/>
    </row>
    <row r="807" ht="15.75" customHeight="1">
      <c r="G807" s="478"/>
      <c r="J807" s="488"/>
    </row>
    <row r="808" ht="15.75" customHeight="1">
      <c r="G808" s="478"/>
      <c r="J808" s="488"/>
    </row>
    <row r="809" ht="15.75" customHeight="1">
      <c r="G809" s="478"/>
      <c r="J809" s="488"/>
    </row>
    <row r="810" ht="15.75" customHeight="1">
      <c r="G810" s="478"/>
      <c r="J810" s="488"/>
    </row>
    <row r="811" ht="15.75" customHeight="1">
      <c r="G811" s="478"/>
      <c r="J811" s="488"/>
    </row>
    <row r="812" ht="15.75" customHeight="1">
      <c r="G812" s="478"/>
      <c r="J812" s="488"/>
    </row>
    <row r="813" ht="15.75" customHeight="1">
      <c r="G813" s="478"/>
      <c r="J813" s="488"/>
    </row>
    <row r="814" ht="15.75" customHeight="1">
      <c r="G814" s="478"/>
      <c r="J814" s="488"/>
    </row>
    <row r="815" ht="15.75" customHeight="1">
      <c r="G815" s="478"/>
      <c r="J815" s="488"/>
    </row>
    <row r="816" ht="15.75" customHeight="1">
      <c r="G816" s="478"/>
      <c r="J816" s="488"/>
    </row>
    <row r="817" ht="15.75" customHeight="1">
      <c r="G817" s="478"/>
      <c r="J817" s="488"/>
    </row>
    <row r="818" ht="15.75" customHeight="1">
      <c r="G818" s="478"/>
      <c r="J818" s="488"/>
    </row>
    <row r="819" ht="15.75" customHeight="1">
      <c r="G819" s="478"/>
      <c r="J819" s="488"/>
    </row>
    <row r="820" ht="15.75" customHeight="1">
      <c r="G820" s="478"/>
      <c r="J820" s="488"/>
    </row>
    <row r="821" ht="15.75" customHeight="1">
      <c r="G821" s="478"/>
      <c r="J821" s="488"/>
    </row>
    <row r="822" ht="15.75" customHeight="1">
      <c r="G822" s="478"/>
      <c r="J822" s="488"/>
    </row>
    <row r="823" ht="15.75" customHeight="1">
      <c r="G823" s="478"/>
      <c r="J823" s="488"/>
    </row>
    <row r="824" ht="15.75" customHeight="1">
      <c r="G824" s="478"/>
      <c r="J824" s="488"/>
    </row>
    <row r="825" ht="15.75" customHeight="1">
      <c r="G825" s="478"/>
      <c r="J825" s="488"/>
    </row>
    <row r="826" ht="15.75" customHeight="1">
      <c r="G826" s="478"/>
      <c r="J826" s="488"/>
    </row>
    <row r="827" ht="15.75" customHeight="1">
      <c r="G827" s="478"/>
      <c r="J827" s="488"/>
    </row>
    <row r="828" ht="15.75" customHeight="1">
      <c r="G828" s="478"/>
      <c r="J828" s="488"/>
    </row>
    <row r="829" ht="15.75" customHeight="1">
      <c r="G829" s="478"/>
      <c r="J829" s="488"/>
    </row>
    <row r="830" ht="15.75" customHeight="1">
      <c r="G830" s="478"/>
      <c r="J830" s="488"/>
    </row>
    <row r="831" ht="15.75" customHeight="1">
      <c r="G831" s="478"/>
      <c r="J831" s="488"/>
    </row>
    <row r="832" ht="15.75" customHeight="1">
      <c r="G832" s="478"/>
      <c r="J832" s="488"/>
    </row>
    <row r="833" ht="15.75" customHeight="1">
      <c r="G833" s="478"/>
      <c r="J833" s="488"/>
    </row>
    <row r="834" ht="15.75" customHeight="1">
      <c r="G834" s="478"/>
      <c r="J834" s="488"/>
    </row>
    <row r="835" ht="15.75" customHeight="1">
      <c r="G835" s="478"/>
      <c r="J835" s="488"/>
    </row>
    <row r="836" ht="15.75" customHeight="1">
      <c r="G836" s="478"/>
      <c r="J836" s="488"/>
    </row>
    <row r="837" ht="15.75" customHeight="1">
      <c r="G837" s="478"/>
      <c r="J837" s="488"/>
    </row>
    <row r="838" ht="15.75" customHeight="1">
      <c r="G838" s="478"/>
      <c r="J838" s="488"/>
    </row>
    <row r="839" ht="15.75" customHeight="1">
      <c r="G839" s="478"/>
      <c r="J839" s="488"/>
    </row>
    <row r="840" ht="15.75" customHeight="1">
      <c r="G840" s="478"/>
      <c r="J840" s="488"/>
    </row>
    <row r="841" ht="15.75" customHeight="1">
      <c r="G841" s="478"/>
      <c r="J841" s="488"/>
    </row>
    <row r="842" ht="15.75" customHeight="1">
      <c r="G842" s="478"/>
      <c r="J842" s="488"/>
    </row>
    <row r="843" ht="15.75" customHeight="1">
      <c r="G843" s="478"/>
      <c r="J843" s="488"/>
    </row>
    <row r="844" ht="15.75" customHeight="1">
      <c r="G844" s="478"/>
      <c r="J844" s="488"/>
    </row>
    <row r="845" ht="15.75" customHeight="1">
      <c r="G845" s="478"/>
      <c r="J845" s="488"/>
    </row>
    <row r="846" ht="15.75" customHeight="1">
      <c r="G846" s="478"/>
      <c r="J846" s="488"/>
    </row>
    <row r="847" ht="15.75" customHeight="1">
      <c r="G847" s="478"/>
      <c r="J847" s="488"/>
    </row>
    <row r="848" ht="15.75" customHeight="1">
      <c r="G848" s="478"/>
      <c r="J848" s="488"/>
    </row>
    <row r="849" ht="15.75" customHeight="1">
      <c r="G849" s="478"/>
      <c r="J849" s="488"/>
    </row>
    <row r="850" ht="15.75" customHeight="1">
      <c r="G850" s="478"/>
      <c r="J850" s="488"/>
    </row>
    <row r="851" ht="15.75" customHeight="1">
      <c r="G851" s="478"/>
      <c r="J851" s="488"/>
    </row>
    <row r="852" ht="15.75" customHeight="1">
      <c r="G852" s="478"/>
      <c r="J852" s="488"/>
    </row>
    <row r="853" ht="15.75" customHeight="1">
      <c r="G853" s="478"/>
      <c r="J853" s="488"/>
    </row>
    <row r="854" ht="15.75" customHeight="1">
      <c r="G854" s="478"/>
      <c r="J854" s="488"/>
    </row>
    <row r="855" ht="15.75" customHeight="1">
      <c r="G855" s="478"/>
      <c r="J855" s="488"/>
    </row>
    <row r="856" ht="15.75" customHeight="1">
      <c r="G856" s="478"/>
      <c r="J856" s="488"/>
    </row>
    <row r="857" ht="15.75" customHeight="1">
      <c r="G857" s="478"/>
      <c r="J857" s="488"/>
    </row>
    <row r="858" ht="15.75" customHeight="1">
      <c r="G858" s="478"/>
      <c r="J858" s="488"/>
    </row>
    <row r="859" ht="15.75" customHeight="1">
      <c r="G859" s="478"/>
      <c r="J859" s="488"/>
    </row>
    <row r="860" ht="15.75" customHeight="1">
      <c r="G860" s="478"/>
      <c r="J860" s="488"/>
    </row>
    <row r="861" ht="15.75" customHeight="1">
      <c r="G861" s="478"/>
      <c r="J861" s="488"/>
    </row>
    <row r="862" ht="15.75" customHeight="1">
      <c r="G862" s="478"/>
      <c r="J862" s="488"/>
    </row>
    <row r="863" ht="15.75" customHeight="1">
      <c r="G863" s="478"/>
      <c r="J863" s="488"/>
    </row>
    <row r="864" ht="15.75" customHeight="1">
      <c r="G864" s="478"/>
      <c r="J864" s="488"/>
    </row>
    <row r="865" ht="15.75" customHeight="1">
      <c r="G865" s="478"/>
      <c r="J865" s="488"/>
    </row>
    <row r="866" ht="15.75" customHeight="1">
      <c r="G866" s="478"/>
      <c r="J866" s="488"/>
    </row>
    <row r="867" ht="15.75" customHeight="1">
      <c r="G867" s="478"/>
      <c r="J867" s="488"/>
    </row>
    <row r="868" ht="15.75" customHeight="1">
      <c r="G868" s="478"/>
      <c r="J868" s="488"/>
    </row>
    <row r="869" ht="15.75" customHeight="1">
      <c r="G869" s="478"/>
      <c r="J869" s="488"/>
    </row>
    <row r="870" ht="15.75" customHeight="1">
      <c r="G870" s="478"/>
      <c r="J870" s="488"/>
    </row>
    <row r="871" ht="15.75" customHeight="1">
      <c r="G871" s="478"/>
      <c r="J871" s="488"/>
    </row>
    <row r="872" ht="15.75" customHeight="1">
      <c r="G872" s="478"/>
      <c r="J872" s="488"/>
    </row>
    <row r="873" ht="15.75" customHeight="1">
      <c r="G873" s="478"/>
      <c r="J873" s="488"/>
    </row>
    <row r="874" ht="15.75" customHeight="1">
      <c r="G874" s="478"/>
      <c r="J874" s="488"/>
    </row>
    <row r="875" ht="15.75" customHeight="1">
      <c r="G875" s="478"/>
      <c r="J875" s="488"/>
    </row>
    <row r="876" ht="15.75" customHeight="1">
      <c r="G876" s="478"/>
      <c r="J876" s="488"/>
    </row>
    <row r="877" ht="15.75" customHeight="1">
      <c r="G877" s="478"/>
      <c r="J877" s="488"/>
    </row>
    <row r="878" ht="15.75" customHeight="1">
      <c r="G878" s="478"/>
      <c r="J878" s="488"/>
    </row>
    <row r="879" ht="15.75" customHeight="1">
      <c r="G879" s="478"/>
      <c r="J879" s="488"/>
    </row>
    <row r="880" ht="15.75" customHeight="1">
      <c r="G880" s="478"/>
      <c r="J880" s="488"/>
    </row>
    <row r="881" ht="15.75" customHeight="1">
      <c r="G881" s="478"/>
      <c r="J881" s="488"/>
    </row>
    <row r="882" ht="15.75" customHeight="1">
      <c r="G882" s="478"/>
      <c r="J882" s="488"/>
    </row>
    <row r="883" ht="15.75" customHeight="1">
      <c r="G883" s="478"/>
      <c r="J883" s="488"/>
    </row>
    <row r="884" ht="15.75" customHeight="1">
      <c r="G884" s="478"/>
      <c r="J884" s="488"/>
    </row>
    <row r="885" ht="15.75" customHeight="1">
      <c r="G885" s="478"/>
      <c r="J885" s="488"/>
    </row>
    <row r="886" ht="15.75" customHeight="1">
      <c r="G886" s="478"/>
      <c r="J886" s="488"/>
    </row>
    <row r="887" ht="15.75" customHeight="1">
      <c r="G887" s="478"/>
      <c r="J887" s="488"/>
    </row>
    <row r="888" ht="15.75" customHeight="1">
      <c r="G888" s="478"/>
      <c r="J888" s="488"/>
    </row>
    <row r="889" ht="15.75" customHeight="1">
      <c r="G889" s="478"/>
      <c r="J889" s="488"/>
    </row>
    <row r="890" ht="15.75" customHeight="1">
      <c r="G890" s="478"/>
      <c r="J890" s="488"/>
    </row>
    <row r="891" ht="15.75" customHeight="1">
      <c r="G891" s="478"/>
      <c r="J891" s="488"/>
    </row>
    <row r="892" ht="15.75" customHeight="1">
      <c r="G892" s="478"/>
      <c r="J892" s="488"/>
    </row>
    <row r="893" ht="15.75" customHeight="1">
      <c r="G893" s="478"/>
      <c r="J893" s="488"/>
    </row>
    <row r="894" ht="15.75" customHeight="1">
      <c r="G894" s="478"/>
      <c r="J894" s="488"/>
    </row>
    <row r="895" ht="15.75" customHeight="1">
      <c r="G895" s="478"/>
      <c r="J895" s="488"/>
    </row>
    <row r="896" ht="15.75" customHeight="1">
      <c r="G896" s="478"/>
      <c r="J896" s="488"/>
    </row>
    <row r="897" ht="15.75" customHeight="1">
      <c r="G897" s="478"/>
      <c r="J897" s="488"/>
    </row>
    <row r="898" ht="15.75" customHeight="1">
      <c r="G898" s="478"/>
      <c r="J898" s="488"/>
    </row>
    <row r="899" ht="15.75" customHeight="1">
      <c r="G899" s="478"/>
      <c r="J899" s="488"/>
    </row>
    <row r="900" ht="15.75" customHeight="1">
      <c r="G900" s="478"/>
      <c r="J900" s="488"/>
    </row>
    <row r="901" ht="15.75" customHeight="1">
      <c r="G901" s="478"/>
      <c r="J901" s="488"/>
    </row>
    <row r="902" ht="15.75" customHeight="1">
      <c r="G902" s="478"/>
      <c r="J902" s="488"/>
    </row>
    <row r="903" ht="15.75" customHeight="1">
      <c r="G903" s="478"/>
      <c r="J903" s="488"/>
    </row>
    <row r="904" ht="15.75" customHeight="1">
      <c r="G904" s="478"/>
      <c r="J904" s="488"/>
    </row>
    <row r="905" ht="15.75" customHeight="1">
      <c r="G905" s="478"/>
      <c r="J905" s="488"/>
    </row>
    <row r="906" ht="15.75" customHeight="1">
      <c r="G906" s="478"/>
      <c r="J906" s="488"/>
    </row>
    <row r="907" ht="15.75" customHeight="1">
      <c r="G907" s="478"/>
      <c r="J907" s="488"/>
    </row>
    <row r="908" ht="15.75" customHeight="1">
      <c r="G908" s="478"/>
      <c r="J908" s="488"/>
    </row>
    <row r="909" ht="15.75" customHeight="1">
      <c r="G909" s="478"/>
      <c r="J909" s="488"/>
    </row>
    <row r="910" ht="15.75" customHeight="1">
      <c r="G910" s="478"/>
      <c r="J910" s="488"/>
    </row>
    <row r="911" ht="15.75" customHeight="1">
      <c r="G911" s="478"/>
      <c r="J911" s="488"/>
    </row>
    <row r="912" ht="15.75" customHeight="1">
      <c r="G912" s="478"/>
      <c r="J912" s="488"/>
    </row>
    <row r="913" ht="15.75" customHeight="1">
      <c r="G913" s="478"/>
      <c r="J913" s="488"/>
    </row>
    <row r="914" ht="15.75" customHeight="1">
      <c r="G914" s="478"/>
      <c r="J914" s="488"/>
    </row>
    <row r="915" ht="15.75" customHeight="1">
      <c r="G915" s="478"/>
      <c r="J915" s="488"/>
    </row>
    <row r="916" ht="15.75" customHeight="1">
      <c r="G916" s="478"/>
      <c r="J916" s="488"/>
    </row>
    <row r="917" ht="15.75" customHeight="1">
      <c r="G917" s="478"/>
      <c r="J917" s="488"/>
    </row>
    <row r="918" ht="15.75" customHeight="1">
      <c r="G918" s="478"/>
      <c r="J918" s="488"/>
    </row>
    <row r="919" ht="15.75" customHeight="1">
      <c r="G919" s="478"/>
      <c r="J919" s="488"/>
    </row>
    <row r="920" ht="15.75" customHeight="1">
      <c r="G920" s="478"/>
      <c r="J920" s="488"/>
    </row>
    <row r="921" ht="15.75" customHeight="1">
      <c r="G921" s="478"/>
      <c r="J921" s="488"/>
    </row>
    <row r="922" ht="15.75" customHeight="1">
      <c r="G922" s="478"/>
      <c r="J922" s="488"/>
    </row>
    <row r="923" ht="15.75" customHeight="1">
      <c r="G923" s="478"/>
      <c r="J923" s="488"/>
    </row>
    <row r="924" ht="15.75" customHeight="1">
      <c r="G924" s="478"/>
      <c r="J924" s="488"/>
    </row>
    <row r="925" ht="15.75" customHeight="1">
      <c r="G925" s="478"/>
      <c r="J925" s="488"/>
    </row>
    <row r="926" ht="15.75" customHeight="1">
      <c r="G926" s="478"/>
      <c r="J926" s="488"/>
    </row>
    <row r="927" ht="15.75" customHeight="1">
      <c r="G927" s="478"/>
      <c r="J927" s="488"/>
    </row>
    <row r="928" ht="15.75" customHeight="1">
      <c r="G928" s="478"/>
      <c r="J928" s="488"/>
    </row>
    <row r="929" ht="15.75" customHeight="1">
      <c r="G929" s="478"/>
      <c r="J929" s="488"/>
    </row>
    <row r="930" ht="15.75" customHeight="1">
      <c r="G930" s="478"/>
      <c r="J930" s="488"/>
    </row>
    <row r="931" ht="15.75" customHeight="1">
      <c r="G931" s="478"/>
      <c r="J931" s="488"/>
    </row>
    <row r="932" ht="15.75" customHeight="1">
      <c r="G932" s="478"/>
      <c r="J932" s="488"/>
    </row>
    <row r="933" ht="15.75" customHeight="1">
      <c r="G933" s="478"/>
      <c r="J933" s="488"/>
    </row>
    <row r="934" ht="15.75" customHeight="1">
      <c r="G934" s="478"/>
      <c r="J934" s="488"/>
    </row>
    <row r="935" ht="15.75" customHeight="1">
      <c r="G935" s="478"/>
      <c r="J935" s="488"/>
    </row>
    <row r="936" ht="15.75" customHeight="1">
      <c r="G936" s="478"/>
      <c r="J936" s="488"/>
    </row>
    <row r="937" ht="15.75" customHeight="1">
      <c r="G937" s="478"/>
      <c r="J937" s="488"/>
    </row>
    <row r="938" ht="15.75" customHeight="1">
      <c r="G938" s="478"/>
      <c r="J938" s="488"/>
    </row>
    <row r="939" ht="15.75" customHeight="1">
      <c r="G939" s="478"/>
      <c r="J939" s="488"/>
    </row>
    <row r="940" ht="15.75" customHeight="1">
      <c r="G940" s="478"/>
      <c r="J940" s="488"/>
    </row>
    <row r="941" ht="15.75" customHeight="1">
      <c r="G941" s="478"/>
      <c r="J941" s="488"/>
    </row>
    <row r="942" ht="15.75" customHeight="1">
      <c r="G942" s="478"/>
      <c r="J942" s="488"/>
    </row>
    <row r="943" ht="15.75" customHeight="1">
      <c r="G943" s="478"/>
      <c r="J943" s="488"/>
    </row>
    <row r="944" ht="15.75" customHeight="1">
      <c r="G944" s="478"/>
      <c r="J944" s="488"/>
    </row>
    <row r="945" ht="15.75" customHeight="1">
      <c r="G945" s="478"/>
      <c r="J945" s="488"/>
    </row>
    <row r="946" ht="15.75" customHeight="1">
      <c r="G946" s="478"/>
      <c r="J946" s="488"/>
    </row>
    <row r="947" ht="15.75" customHeight="1">
      <c r="G947" s="478"/>
      <c r="J947" s="488"/>
    </row>
    <row r="948" ht="15.75" customHeight="1">
      <c r="G948" s="478"/>
      <c r="J948" s="488"/>
    </row>
    <row r="949" ht="15.75" customHeight="1">
      <c r="G949" s="478"/>
      <c r="J949" s="488"/>
    </row>
    <row r="950" ht="15.75" customHeight="1">
      <c r="G950" s="478"/>
      <c r="J950" s="488"/>
    </row>
    <row r="951" ht="15.75" customHeight="1">
      <c r="G951" s="478"/>
      <c r="J951" s="488"/>
    </row>
    <row r="952" ht="15.75" customHeight="1">
      <c r="G952" s="478"/>
      <c r="J952" s="488"/>
    </row>
    <row r="953" ht="15.75" customHeight="1">
      <c r="G953" s="478"/>
      <c r="J953" s="488"/>
    </row>
    <row r="954" ht="15.75" customHeight="1">
      <c r="G954" s="478"/>
      <c r="J954" s="488"/>
    </row>
    <row r="955" ht="15.75" customHeight="1">
      <c r="G955" s="478"/>
      <c r="J955" s="488"/>
    </row>
    <row r="956" ht="15.75" customHeight="1">
      <c r="G956" s="478"/>
      <c r="J956" s="488"/>
    </row>
    <row r="957" ht="15.75" customHeight="1">
      <c r="G957" s="478"/>
      <c r="J957" s="488"/>
    </row>
    <row r="958" ht="15.75" customHeight="1">
      <c r="G958" s="478"/>
      <c r="J958" s="488"/>
    </row>
    <row r="959" ht="15.75" customHeight="1">
      <c r="G959" s="478"/>
      <c r="J959" s="488"/>
    </row>
    <row r="960" ht="15.75" customHeight="1">
      <c r="G960" s="478"/>
      <c r="J960" s="488"/>
    </row>
    <row r="961" ht="15.75" customHeight="1">
      <c r="G961" s="478"/>
      <c r="J961" s="488"/>
    </row>
    <row r="962" ht="15.75" customHeight="1">
      <c r="G962" s="478"/>
      <c r="J962" s="488"/>
    </row>
    <row r="963" ht="15.75" customHeight="1">
      <c r="G963" s="478"/>
      <c r="J963" s="488"/>
    </row>
    <row r="964" ht="15.75" customHeight="1">
      <c r="G964" s="478"/>
      <c r="J964" s="488"/>
    </row>
    <row r="965" ht="15.75" customHeight="1">
      <c r="G965" s="478"/>
      <c r="J965" s="488"/>
    </row>
    <row r="966" ht="15.75" customHeight="1">
      <c r="G966" s="478"/>
      <c r="J966" s="488"/>
    </row>
    <row r="967" ht="15.75" customHeight="1">
      <c r="G967" s="478"/>
      <c r="J967" s="488"/>
    </row>
    <row r="968" ht="15.75" customHeight="1">
      <c r="G968" s="478"/>
      <c r="J968" s="488"/>
    </row>
    <row r="969" ht="15.75" customHeight="1">
      <c r="G969" s="478"/>
      <c r="J969" s="488"/>
    </row>
    <row r="970" ht="15.75" customHeight="1">
      <c r="G970" s="478"/>
      <c r="J970" s="488"/>
    </row>
    <row r="971" ht="15.75" customHeight="1">
      <c r="G971" s="478"/>
      <c r="J971" s="488"/>
    </row>
    <row r="972" ht="15.75" customHeight="1">
      <c r="G972" s="478"/>
      <c r="J972" s="488"/>
    </row>
    <row r="973" ht="15.75" customHeight="1">
      <c r="G973" s="478"/>
      <c r="J973" s="488"/>
    </row>
    <row r="974" ht="15.75" customHeight="1">
      <c r="G974" s="478"/>
      <c r="J974" s="488"/>
    </row>
    <row r="975" ht="15.75" customHeight="1">
      <c r="G975" s="478"/>
      <c r="J975" s="488"/>
    </row>
    <row r="976" ht="15.75" customHeight="1">
      <c r="G976" s="478"/>
      <c r="J976" s="488"/>
    </row>
    <row r="977" ht="15.75" customHeight="1">
      <c r="G977" s="478"/>
      <c r="J977" s="488"/>
    </row>
    <row r="978" ht="15.75" customHeight="1">
      <c r="G978" s="478"/>
      <c r="J978" s="488"/>
    </row>
    <row r="979" ht="15.75" customHeight="1">
      <c r="G979" s="478"/>
      <c r="J979" s="488"/>
    </row>
    <row r="980" ht="15.75" customHeight="1">
      <c r="G980" s="478"/>
      <c r="J980" s="488"/>
    </row>
    <row r="981" ht="15.75" customHeight="1">
      <c r="G981" s="478"/>
      <c r="J981" s="488"/>
    </row>
    <row r="982" ht="15.75" customHeight="1">
      <c r="G982" s="478"/>
      <c r="J982" s="488"/>
    </row>
    <row r="983" ht="15.75" customHeight="1">
      <c r="G983" s="478"/>
      <c r="J983" s="488"/>
    </row>
    <row r="984" ht="15.75" customHeight="1">
      <c r="G984" s="478"/>
      <c r="J984" s="488"/>
    </row>
    <row r="985" ht="15.75" customHeight="1">
      <c r="G985" s="478"/>
      <c r="J985" s="488"/>
    </row>
    <row r="986" ht="15.75" customHeight="1">
      <c r="G986" s="478"/>
      <c r="J986" s="488"/>
    </row>
    <row r="987" ht="15.75" customHeight="1">
      <c r="G987" s="478"/>
      <c r="J987" s="488"/>
    </row>
    <row r="988" ht="15.75" customHeight="1">
      <c r="G988" s="478"/>
      <c r="J988" s="488"/>
    </row>
    <row r="989" ht="15.75" customHeight="1">
      <c r="G989" s="478"/>
      <c r="J989" s="488"/>
    </row>
    <row r="990" ht="15.75" customHeight="1">
      <c r="G990" s="478"/>
      <c r="J990" s="488"/>
    </row>
    <row r="991" ht="15.75" customHeight="1">
      <c r="G991" s="478"/>
      <c r="J991" s="488"/>
    </row>
    <row r="992" ht="15.75" customHeight="1">
      <c r="G992" s="478"/>
      <c r="J992" s="488"/>
    </row>
    <row r="993" ht="15.75" customHeight="1">
      <c r="G993" s="478"/>
      <c r="J993" s="488"/>
    </row>
    <row r="994" ht="15.75" customHeight="1">
      <c r="G994" s="478"/>
      <c r="J994" s="488"/>
    </row>
    <row r="995" ht="15.75" customHeight="1">
      <c r="G995" s="478"/>
      <c r="J995" s="488"/>
    </row>
    <row r="996" ht="15.75" customHeight="1">
      <c r="G996" s="478"/>
      <c r="J996" s="488"/>
    </row>
    <row r="997" ht="15.75" customHeight="1">
      <c r="G997" s="478"/>
      <c r="J997" s="488"/>
    </row>
    <row r="998" ht="15.75" customHeight="1">
      <c r="G998" s="478"/>
      <c r="J998" s="488"/>
    </row>
    <row r="999" ht="15.75" customHeight="1">
      <c r="G999" s="478"/>
      <c r="J999" s="488"/>
    </row>
    <row r="1000" ht="15.75" customHeight="1">
      <c r="G1000" s="478"/>
      <c r="J1000" s="488"/>
    </row>
    <row r="1001" ht="15.75" customHeight="1">
      <c r="G1001" s="478"/>
      <c r="J1001" s="488"/>
    </row>
    <row r="1002" ht="15.75" customHeight="1">
      <c r="G1002" s="478"/>
      <c r="J1002" s="488"/>
    </row>
    <row r="1003" ht="15.75" customHeight="1">
      <c r="G1003" s="478"/>
      <c r="J1003" s="488"/>
    </row>
    <row r="1004" ht="15.75" customHeight="1">
      <c r="G1004" s="478"/>
      <c r="J1004" s="488"/>
    </row>
    <row r="1005" ht="15.75" customHeight="1">
      <c r="G1005" s="478"/>
      <c r="J1005" s="488"/>
    </row>
    <row r="1006" ht="15.75" customHeight="1">
      <c r="G1006" s="478"/>
      <c r="J1006" s="488"/>
    </row>
    <row r="1007" ht="15.75" customHeight="1">
      <c r="G1007" s="478"/>
      <c r="J1007" s="488"/>
    </row>
    <row r="1008" ht="15.75" customHeight="1">
      <c r="G1008" s="478"/>
      <c r="J1008" s="488"/>
    </row>
    <row r="1009" ht="15.75" customHeight="1">
      <c r="G1009" s="478"/>
      <c r="J1009" s="488"/>
    </row>
    <row r="1010" ht="15.75" customHeight="1">
      <c r="G1010" s="478"/>
      <c r="J1010" s="488"/>
    </row>
    <row r="1011" ht="15.75" customHeight="1">
      <c r="G1011" s="478"/>
      <c r="J1011" s="488"/>
    </row>
    <row r="1012" ht="15.75" customHeight="1">
      <c r="G1012" s="478"/>
      <c r="J1012" s="488"/>
    </row>
    <row r="1013" ht="15.75" customHeight="1">
      <c r="G1013" s="478"/>
      <c r="J1013" s="488"/>
    </row>
    <row r="1014" ht="15.75" customHeight="1">
      <c r="G1014" s="478"/>
      <c r="J1014" s="488"/>
    </row>
    <row r="1015" ht="15.75" customHeight="1">
      <c r="G1015" s="478"/>
      <c r="J1015" s="488"/>
    </row>
    <row r="1016" ht="15.75" customHeight="1">
      <c r="G1016" s="478"/>
      <c r="J1016" s="488"/>
    </row>
    <row r="1017" ht="15.75" customHeight="1">
      <c r="G1017" s="478"/>
      <c r="J1017" s="488"/>
    </row>
    <row r="1018" ht="15.75" customHeight="1">
      <c r="G1018" s="478"/>
      <c r="J1018" s="488"/>
    </row>
    <row r="1019" ht="15.75" customHeight="1">
      <c r="G1019" s="478"/>
      <c r="J1019" s="488"/>
    </row>
    <row r="1020" ht="15.75" customHeight="1">
      <c r="G1020" s="478"/>
      <c r="J1020" s="488"/>
    </row>
    <row r="1021" ht="15.75" customHeight="1">
      <c r="G1021" s="478"/>
      <c r="J1021" s="488"/>
    </row>
    <row r="1022" ht="15.75" customHeight="1">
      <c r="G1022" s="478"/>
      <c r="J1022" s="488"/>
    </row>
    <row r="1023" ht="15.75" customHeight="1">
      <c r="G1023" s="478"/>
      <c r="J1023" s="488"/>
    </row>
    <row r="1024" ht="15.75" customHeight="1">
      <c r="G1024" s="478"/>
      <c r="J1024" s="488"/>
    </row>
    <row r="1025" ht="15.75" customHeight="1">
      <c r="G1025" s="478"/>
      <c r="J1025" s="488"/>
    </row>
    <row r="1026" ht="15.75" customHeight="1">
      <c r="G1026" s="478"/>
      <c r="J1026" s="488"/>
    </row>
    <row r="1027" ht="15.75" customHeight="1">
      <c r="G1027" s="478"/>
      <c r="J1027" s="488"/>
    </row>
    <row r="1028" ht="15.75" customHeight="1">
      <c r="G1028" s="478"/>
      <c r="J1028" s="488"/>
    </row>
    <row r="1029" ht="15.75" customHeight="1">
      <c r="G1029" s="478"/>
      <c r="J1029" s="488"/>
    </row>
    <row r="1030" ht="15.75" customHeight="1">
      <c r="G1030" s="478"/>
      <c r="J1030" s="488"/>
    </row>
    <row r="1031" ht="15.75" customHeight="1">
      <c r="G1031" s="478"/>
      <c r="J1031" s="488"/>
    </row>
    <row r="1032" ht="15.75" customHeight="1">
      <c r="G1032" s="478"/>
      <c r="J1032" s="488"/>
    </row>
    <row r="1033" ht="15.75" customHeight="1">
      <c r="G1033" s="478"/>
      <c r="J1033" s="488"/>
    </row>
    <row r="1034" ht="15.75" customHeight="1">
      <c r="G1034" s="478"/>
      <c r="J1034" s="488"/>
    </row>
    <row r="1035" ht="15.75" customHeight="1">
      <c r="G1035" s="478"/>
      <c r="J1035" s="488"/>
    </row>
    <row r="1036" ht="15.75" customHeight="1">
      <c r="G1036" s="478"/>
      <c r="J1036" s="488"/>
    </row>
    <row r="1037" ht="15.75" customHeight="1">
      <c r="G1037" s="478"/>
      <c r="J1037" s="488"/>
    </row>
    <row r="1038" ht="15.75" customHeight="1">
      <c r="G1038" s="478"/>
      <c r="J1038" s="488"/>
    </row>
    <row r="1039" ht="15.75" customHeight="1">
      <c r="G1039" s="478"/>
      <c r="J1039" s="488"/>
    </row>
    <row r="1040" ht="15.75" customHeight="1">
      <c r="G1040" s="478"/>
      <c r="J1040" s="488"/>
    </row>
    <row r="1041" ht="15.75" customHeight="1">
      <c r="G1041" s="478"/>
      <c r="J1041" s="488"/>
    </row>
    <row r="1042" ht="15.75" customHeight="1">
      <c r="G1042" s="478"/>
      <c r="J1042" s="488"/>
    </row>
    <row r="1043" ht="15.75" customHeight="1">
      <c r="G1043" s="478"/>
      <c r="J1043" s="488"/>
    </row>
  </sheetData>
  <mergeCells count="2">
    <mergeCell ref="G1:I1"/>
    <mergeCell ref="P149:U158"/>
  </mergeCells>
  <printOptions/>
  <pageMargins bottom="0.787401575" footer="0.0" header="0.0" left="0.511811024" right="0.511811024" top="0.787401575"/>
  <pageSetup orientation="landscape"/>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10.0" ySplit="2.0" topLeftCell="K3" activePane="bottomRight" state="frozen"/>
      <selection activeCell="K1" sqref="K1" pane="topRight"/>
      <selection activeCell="A3" sqref="A3" pane="bottomLeft"/>
      <selection activeCell="K3" sqref="K3" pane="bottomRight"/>
    </sheetView>
  </sheetViews>
  <sheetFormatPr customHeight="1" defaultColWidth="14.43" defaultRowHeight="15.0"/>
  <cols>
    <col customWidth="1" min="1" max="1" width="1.43"/>
    <col customWidth="1" min="2" max="2" width="3.0"/>
    <col customWidth="1" hidden="1" min="3" max="3" width="20.29"/>
    <col customWidth="1" hidden="1" min="4" max="5" width="8.86"/>
    <col customWidth="1" hidden="1" min="6" max="6" width="13.43"/>
    <col customWidth="1" hidden="1" min="7" max="7" width="13.29"/>
    <col customWidth="1" hidden="1" min="8" max="8" width="7.43"/>
    <col customWidth="1" hidden="1" min="9" max="9" width="6.43"/>
    <col customWidth="1" min="10" max="10" width="21.0"/>
    <col customWidth="1" min="11" max="11" width="8.29"/>
    <col customWidth="1" min="12" max="12" width="15.14"/>
    <col customWidth="1" min="13" max="16" width="15.0"/>
    <col customWidth="1" min="17" max="23" width="16.43"/>
    <col customWidth="1" min="24" max="24" width="16.14"/>
    <col customWidth="1" min="25" max="25" width="14.86"/>
    <col customWidth="1" min="26" max="26" width="13.0"/>
    <col customWidth="1" min="27" max="27" width="6.0"/>
    <col customWidth="1" min="28" max="28" width="9.86"/>
    <col customWidth="1" min="29" max="31" width="9.14"/>
  </cols>
  <sheetData>
    <row r="1" ht="15.75" customHeight="1">
      <c r="A1" s="1"/>
      <c r="B1" s="2"/>
      <c r="C1" s="1"/>
      <c r="D1" s="1"/>
      <c r="E1" s="3"/>
      <c r="F1" s="4"/>
      <c r="G1" s="453">
        <v>2025.0</v>
      </c>
      <c r="H1" s="6"/>
      <c r="I1" s="7"/>
      <c r="J1" s="8"/>
      <c r="K1" s="9"/>
      <c r="L1" s="12"/>
      <c r="M1" s="196"/>
      <c r="N1" s="11"/>
      <c r="O1" s="11"/>
      <c r="P1" s="11"/>
      <c r="Q1" s="11"/>
      <c r="R1" s="11"/>
      <c r="S1" s="11"/>
      <c r="T1" s="11"/>
      <c r="U1" s="11"/>
      <c r="V1" s="11"/>
      <c r="W1" s="12"/>
      <c r="X1" s="13"/>
      <c r="Y1" s="14"/>
      <c r="Z1" s="489"/>
      <c r="AA1" s="3"/>
      <c r="AB1" s="3"/>
      <c r="AC1" s="3"/>
      <c r="AD1" s="3"/>
      <c r="AE1" s="3"/>
    </row>
    <row r="2" ht="15.75" customHeight="1">
      <c r="A2" s="1"/>
      <c r="B2" s="2"/>
      <c r="C2" s="16" t="s">
        <v>1</v>
      </c>
      <c r="D2" s="17" t="s">
        <v>2</v>
      </c>
      <c r="E2" s="18" t="s">
        <v>3</v>
      </c>
      <c r="F2" s="454" t="s">
        <v>137</v>
      </c>
      <c r="G2" s="455" t="s">
        <v>5</v>
      </c>
      <c r="H2" s="20" t="s">
        <v>6</v>
      </c>
      <c r="I2" s="20" t="s">
        <v>7</v>
      </c>
      <c r="J2" s="21"/>
      <c r="K2" s="22"/>
      <c r="L2" s="456"/>
      <c r="M2" s="456"/>
      <c r="N2" s="24"/>
      <c r="O2" s="24"/>
      <c r="P2" s="24"/>
      <c r="Q2" s="214"/>
      <c r="R2" s="24"/>
      <c r="S2" s="24"/>
      <c r="T2" s="24"/>
      <c r="U2" s="24"/>
      <c r="V2" s="24"/>
      <c r="W2" s="12"/>
      <c r="X2" s="364">
        <v>2028.0</v>
      </c>
      <c r="Y2" s="399">
        <v>2027.0</v>
      </c>
      <c r="Z2" s="490" t="s">
        <v>146</v>
      </c>
      <c r="AA2" s="3"/>
      <c r="AB2" s="3"/>
      <c r="AC2" s="3"/>
      <c r="AD2" s="3"/>
      <c r="AE2" s="3"/>
    </row>
    <row r="3">
      <c r="A3" s="1"/>
      <c r="B3" s="26">
        <v>1.0</v>
      </c>
      <c r="C3" s="27" t="s">
        <v>8</v>
      </c>
      <c r="D3" s="28"/>
      <c r="E3" s="29"/>
      <c r="F3" s="30"/>
      <c r="G3" s="458">
        <v>3.442912982002714E7</v>
      </c>
      <c r="H3" s="32">
        <v>329237.0</v>
      </c>
      <c r="I3" s="33">
        <v>104.57248067509771</v>
      </c>
      <c r="J3" s="459" t="s">
        <v>9</v>
      </c>
      <c r="K3" s="395">
        <v>7.0</v>
      </c>
      <c r="L3" s="397" t="s">
        <v>10</v>
      </c>
      <c r="M3" s="398" t="s">
        <v>14</v>
      </c>
      <c r="N3" s="397" t="s">
        <v>18</v>
      </c>
      <c r="O3" s="398" t="s">
        <v>22</v>
      </c>
      <c r="P3" s="397" t="s">
        <v>26</v>
      </c>
      <c r="Q3" s="398" t="s">
        <v>30</v>
      </c>
      <c r="R3" s="397" t="s">
        <v>34</v>
      </c>
      <c r="S3" s="398" t="s">
        <v>38</v>
      </c>
      <c r="T3" s="397" t="s">
        <v>42</v>
      </c>
      <c r="U3" s="398" t="s">
        <v>46</v>
      </c>
      <c r="V3" s="397" t="s">
        <v>50</v>
      </c>
      <c r="W3" s="398" t="s">
        <v>54</v>
      </c>
      <c r="X3" s="364">
        <v>2028.0</v>
      </c>
      <c r="Y3" s="399">
        <v>2027.0</v>
      </c>
      <c r="Z3" s="491" t="s">
        <v>63</v>
      </c>
      <c r="AA3" s="3"/>
      <c r="AB3" s="3"/>
      <c r="AC3" s="3"/>
      <c r="AD3" s="3"/>
      <c r="AE3" s="3"/>
    </row>
    <row r="4">
      <c r="A4" s="1"/>
      <c r="B4" s="26"/>
      <c r="C4" s="27"/>
      <c r="D4" s="28"/>
      <c r="E4" s="29"/>
      <c r="F4" s="30"/>
      <c r="G4" s="458"/>
      <c r="H4" s="32"/>
      <c r="I4" s="33"/>
      <c r="J4" s="72" t="s">
        <v>64</v>
      </c>
      <c r="K4" s="400"/>
      <c r="L4" s="401">
        <v>0.08</v>
      </c>
      <c r="M4" s="401">
        <v>0.04</v>
      </c>
      <c r="N4" s="401">
        <v>0.05</v>
      </c>
      <c r="O4" s="401">
        <v>0.06</v>
      </c>
      <c r="P4" s="401">
        <v>0.06</v>
      </c>
      <c r="Q4" s="401">
        <v>0.06</v>
      </c>
      <c r="R4" s="401">
        <v>0.07</v>
      </c>
      <c r="S4" s="401">
        <v>0.08</v>
      </c>
      <c r="T4" s="401">
        <v>0.1</v>
      </c>
      <c r="U4" s="401">
        <v>0.12</v>
      </c>
      <c r="V4" s="401">
        <v>0.14</v>
      </c>
      <c r="W4" s="401">
        <v>0.14</v>
      </c>
      <c r="X4" s="166">
        <f>SUM(L4:W4)</f>
        <v>1</v>
      </c>
      <c r="Y4" s="460">
        <v>1.0</v>
      </c>
      <c r="Z4" s="491"/>
      <c r="AA4" s="3"/>
      <c r="AB4" s="3"/>
      <c r="AC4" s="3"/>
      <c r="AD4" s="3"/>
      <c r="AE4" s="3"/>
    </row>
    <row r="5">
      <c r="A5" s="1"/>
      <c r="B5" s="26"/>
      <c r="C5" s="27"/>
      <c r="D5" s="28"/>
      <c r="E5" s="29"/>
      <c r="F5" s="30"/>
      <c r="G5" s="458"/>
      <c r="H5" s="32"/>
      <c r="I5" s="33"/>
      <c r="J5" s="72" t="s">
        <v>66</v>
      </c>
      <c r="K5" s="400"/>
      <c r="L5" s="91">
        <f t="shared" ref="L5:W5" si="1">($X$5)*L4</f>
        <v>5356000</v>
      </c>
      <c r="M5" s="91">
        <f t="shared" si="1"/>
        <v>2678000</v>
      </c>
      <c r="N5" s="91">
        <f t="shared" si="1"/>
        <v>3347500</v>
      </c>
      <c r="O5" s="91">
        <f t="shared" si="1"/>
        <v>4017000</v>
      </c>
      <c r="P5" s="91">
        <f t="shared" si="1"/>
        <v>4017000</v>
      </c>
      <c r="Q5" s="91">
        <f t="shared" si="1"/>
        <v>4017000</v>
      </c>
      <c r="R5" s="91">
        <f t="shared" si="1"/>
        <v>4686500</v>
      </c>
      <c r="S5" s="91">
        <f t="shared" si="1"/>
        <v>5356000</v>
      </c>
      <c r="T5" s="91">
        <f t="shared" si="1"/>
        <v>6695000</v>
      </c>
      <c r="U5" s="91">
        <f t="shared" si="1"/>
        <v>8034000</v>
      </c>
      <c r="V5" s="91">
        <f t="shared" si="1"/>
        <v>9373000</v>
      </c>
      <c r="W5" s="91">
        <f t="shared" si="1"/>
        <v>9373000</v>
      </c>
      <c r="X5" s="492">
        <v>6.695E7</v>
      </c>
      <c r="Y5" s="403">
        <v>6.5E7</v>
      </c>
      <c r="Z5" s="491">
        <f t="shared" ref="Z5:Z7" si="3">X5/Y5-1</f>
        <v>0.03</v>
      </c>
      <c r="AA5" s="3"/>
      <c r="AB5" s="3"/>
      <c r="AC5" s="3"/>
      <c r="AD5" s="3"/>
      <c r="AE5" s="3"/>
    </row>
    <row r="6">
      <c r="A6" s="1"/>
      <c r="B6" s="26"/>
      <c r="C6" s="27"/>
      <c r="D6" s="28"/>
      <c r="E6" s="29"/>
      <c r="F6" s="30"/>
      <c r="G6" s="458"/>
      <c r="H6" s="32"/>
      <c r="I6" s="33"/>
      <c r="J6" s="72" t="s">
        <v>67</v>
      </c>
      <c r="K6" s="404">
        <v>90.0</v>
      </c>
      <c r="L6" s="109">
        <f t="shared" ref="L6:W6" si="2">L5/$K$6</f>
        <v>59511.11111</v>
      </c>
      <c r="M6" s="109">
        <f t="shared" si="2"/>
        <v>29755.55556</v>
      </c>
      <c r="N6" s="109">
        <f t="shared" si="2"/>
        <v>37194.44444</v>
      </c>
      <c r="O6" s="109">
        <f t="shared" si="2"/>
        <v>44633.33333</v>
      </c>
      <c r="P6" s="109">
        <f t="shared" si="2"/>
        <v>44633.33333</v>
      </c>
      <c r="Q6" s="109">
        <f t="shared" si="2"/>
        <v>44633.33333</v>
      </c>
      <c r="R6" s="109">
        <f t="shared" si="2"/>
        <v>52072.22222</v>
      </c>
      <c r="S6" s="109">
        <f t="shared" si="2"/>
        <v>59511.11111</v>
      </c>
      <c r="T6" s="109">
        <f t="shared" si="2"/>
        <v>74388.88889</v>
      </c>
      <c r="U6" s="109">
        <f t="shared" si="2"/>
        <v>89266.66667</v>
      </c>
      <c r="V6" s="109">
        <f t="shared" si="2"/>
        <v>104144.4444</v>
      </c>
      <c r="W6" s="109">
        <f t="shared" si="2"/>
        <v>104144.4444</v>
      </c>
      <c r="X6" s="172">
        <f t="shared" ref="X6:X7" si="5">SUM(L6:W6)</f>
        <v>743888.8889</v>
      </c>
      <c r="Y6" s="405">
        <v>722222.2222222222</v>
      </c>
      <c r="Z6" s="491">
        <f t="shared" si="3"/>
        <v>0.03</v>
      </c>
      <c r="AA6" s="3"/>
      <c r="AB6" s="3"/>
      <c r="AC6" s="3"/>
      <c r="AD6" s="3"/>
      <c r="AE6" s="3"/>
    </row>
    <row r="7">
      <c r="A7" s="1"/>
      <c r="B7" s="26"/>
      <c r="C7" s="27"/>
      <c r="D7" s="28"/>
      <c r="E7" s="29"/>
      <c r="F7" s="30"/>
      <c r="G7" s="458"/>
      <c r="H7" s="32"/>
      <c r="I7" s="33"/>
      <c r="J7" s="124" t="s">
        <v>69</v>
      </c>
      <c r="K7" s="406">
        <v>0.049</v>
      </c>
      <c r="L7" s="130">
        <f t="shared" ref="L7:W7" si="4">L5*$K$7</f>
        <v>262444</v>
      </c>
      <c r="M7" s="130">
        <f t="shared" si="4"/>
        <v>131222</v>
      </c>
      <c r="N7" s="130">
        <f t="shared" si="4"/>
        <v>164027.5</v>
      </c>
      <c r="O7" s="130">
        <f t="shared" si="4"/>
        <v>196833</v>
      </c>
      <c r="P7" s="130">
        <f t="shared" si="4"/>
        <v>196833</v>
      </c>
      <c r="Q7" s="130">
        <f t="shared" si="4"/>
        <v>196833</v>
      </c>
      <c r="R7" s="130">
        <f t="shared" si="4"/>
        <v>229638.5</v>
      </c>
      <c r="S7" s="130">
        <f t="shared" si="4"/>
        <v>262444</v>
      </c>
      <c r="T7" s="130">
        <f t="shared" si="4"/>
        <v>328055</v>
      </c>
      <c r="U7" s="130">
        <f t="shared" si="4"/>
        <v>393666</v>
      </c>
      <c r="V7" s="130">
        <f t="shared" si="4"/>
        <v>459277</v>
      </c>
      <c r="W7" s="130">
        <f t="shared" si="4"/>
        <v>459277</v>
      </c>
      <c r="X7" s="181">
        <f t="shared" si="5"/>
        <v>3280550</v>
      </c>
      <c r="Y7" s="407">
        <v>3185000.0</v>
      </c>
      <c r="Z7" s="489">
        <f t="shared" si="3"/>
        <v>0.03</v>
      </c>
      <c r="AA7" s="3"/>
      <c r="AB7" s="3"/>
      <c r="AC7" s="3"/>
      <c r="AD7" s="3"/>
      <c r="AE7" s="3"/>
    </row>
    <row r="8">
      <c r="A8" s="151"/>
      <c r="B8" s="151"/>
      <c r="C8" s="151"/>
      <c r="D8" s="151"/>
      <c r="E8" s="151"/>
      <c r="F8" s="151"/>
      <c r="G8" s="151"/>
      <c r="H8" s="151"/>
      <c r="I8" s="151"/>
      <c r="J8" s="151"/>
      <c r="K8" s="151"/>
      <c r="L8" s="151"/>
      <c r="M8" s="151"/>
      <c r="N8" s="151"/>
      <c r="O8" s="151"/>
      <c r="P8" s="151"/>
      <c r="Q8" s="151"/>
      <c r="R8" s="151"/>
      <c r="S8" s="151"/>
      <c r="T8" s="151"/>
      <c r="U8" s="151"/>
      <c r="V8" s="151"/>
      <c r="W8" s="151"/>
      <c r="X8" s="151"/>
      <c r="Y8" s="151"/>
      <c r="Z8" s="489"/>
      <c r="AA8" s="151"/>
      <c r="AB8" s="151"/>
      <c r="AC8" s="151"/>
      <c r="AD8" s="151"/>
      <c r="AE8" s="151"/>
    </row>
    <row r="9">
      <c r="A9" s="1"/>
      <c r="B9" s="142">
        <v>2.0</v>
      </c>
      <c r="C9" s="143" t="s">
        <v>133</v>
      </c>
      <c r="D9" s="144"/>
      <c r="E9" s="145"/>
      <c r="F9" s="146"/>
      <c r="G9" s="463">
        <v>339.51</v>
      </c>
      <c r="H9" s="148">
        <v>31.0</v>
      </c>
      <c r="I9" s="149">
        <v>10.951935483870967</v>
      </c>
      <c r="J9" s="459" t="s">
        <v>71</v>
      </c>
      <c r="K9" s="395"/>
      <c r="L9" s="397" t="s">
        <v>10</v>
      </c>
      <c r="M9" s="398" t="s">
        <v>14</v>
      </c>
      <c r="N9" s="397" t="s">
        <v>18</v>
      </c>
      <c r="O9" s="398" t="s">
        <v>22</v>
      </c>
      <c r="P9" s="397" t="s">
        <v>26</v>
      </c>
      <c r="Q9" s="398" t="s">
        <v>30</v>
      </c>
      <c r="R9" s="397" t="s">
        <v>34</v>
      </c>
      <c r="S9" s="398" t="s">
        <v>38</v>
      </c>
      <c r="T9" s="397" t="s">
        <v>42</v>
      </c>
      <c r="U9" s="398" t="s">
        <v>46</v>
      </c>
      <c r="V9" s="397" t="s">
        <v>50</v>
      </c>
      <c r="W9" s="398" t="s">
        <v>54</v>
      </c>
      <c r="X9" s="364">
        <v>2028.0</v>
      </c>
      <c r="Y9" s="399">
        <v>2027.0</v>
      </c>
      <c r="Z9" s="491" t="s">
        <v>63</v>
      </c>
      <c r="AA9" s="3"/>
      <c r="AB9" s="3"/>
      <c r="AC9" s="3"/>
      <c r="AD9" s="3"/>
      <c r="AE9" s="3"/>
    </row>
    <row r="10">
      <c r="A10" s="1"/>
      <c r="B10" s="142"/>
      <c r="C10" s="143"/>
      <c r="D10" s="144"/>
      <c r="E10" s="145"/>
      <c r="F10" s="146"/>
      <c r="G10" s="463"/>
      <c r="H10" s="148"/>
      <c r="I10" s="149"/>
      <c r="J10" s="72" t="s">
        <v>64</v>
      </c>
      <c r="K10" s="400"/>
      <c r="L10" s="401">
        <v>0.1</v>
      </c>
      <c r="M10" s="401">
        <v>0.08</v>
      </c>
      <c r="N10" s="401">
        <v>0.08</v>
      </c>
      <c r="O10" s="401">
        <v>0.08</v>
      </c>
      <c r="P10" s="401">
        <v>0.06</v>
      </c>
      <c r="Q10" s="401">
        <v>0.06</v>
      </c>
      <c r="R10" s="401">
        <v>0.05</v>
      </c>
      <c r="S10" s="401">
        <v>0.08</v>
      </c>
      <c r="T10" s="401">
        <v>0.09</v>
      </c>
      <c r="U10" s="401">
        <v>0.1</v>
      </c>
      <c r="V10" s="401">
        <v>0.11</v>
      </c>
      <c r="W10" s="401">
        <v>0.11</v>
      </c>
      <c r="X10" s="166">
        <f>SUM(L10:W10)</f>
        <v>1</v>
      </c>
      <c r="Y10" s="460">
        <v>0.9999999999999999</v>
      </c>
      <c r="Z10" s="491"/>
      <c r="AA10" s="3"/>
      <c r="AB10" s="3"/>
      <c r="AC10" s="3"/>
      <c r="AD10" s="3"/>
      <c r="AE10" s="3"/>
    </row>
    <row r="11">
      <c r="A11" s="1"/>
      <c r="B11" s="142"/>
      <c r="C11" s="143"/>
      <c r="D11" s="144"/>
      <c r="E11" s="145"/>
      <c r="F11" s="146"/>
      <c r="G11" s="463"/>
      <c r="H11" s="148"/>
      <c r="I11" s="149"/>
      <c r="J11" s="72" t="s">
        <v>66</v>
      </c>
      <c r="K11" s="400"/>
      <c r="L11" s="91">
        <f t="shared" ref="L11:W11" si="6">($X$11)*L10</f>
        <v>600000</v>
      </c>
      <c r="M11" s="91">
        <f t="shared" si="6"/>
        <v>480000</v>
      </c>
      <c r="N11" s="91">
        <f t="shared" si="6"/>
        <v>480000</v>
      </c>
      <c r="O11" s="91">
        <f t="shared" si="6"/>
        <v>480000</v>
      </c>
      <c r="P11" s="91">
        <f t="shared" si="6"/>
        <v>360000</v>
      </c>
      <c r="Q11" s="91">
        <f t="shared" si="6"/>
        <v>360000</v>
      </c>
      <c r="R11" s="91">
        <f t="shared" si="6"/>
        <v>300000</v>
      </c>
      <c r="S11" s="91">
        <f t="shared" si="6"/>
        <v>480000</v>
      </c>
      <c r="T11" s="91">
        <f t="shared" si="6"/>
        <v>540000</v>
      </c>
      <c r="U11" s="91">
        <f t="shared" si="6"/>
        <v>600000</v>
      </c>
      <c r="V11" s="91">
        <f t="shared" si="6"/>
        <v>660000</v>
      </c>
      <c r="W11" s="91">
        <f t="shared" si="6"/>
        <v>660000</v>
      </c>
      <c r="X11" s="492">
        <v>6000000.0</v>
      </c>
      <c r="Y11" s="403">
        <v>4000000.0</v>
      </c>
      <c r="Z11" s="491">
        <f t="shared" ref="Z11:Z13" si="8">X11/Y11-1</f>
        <v>0.5</v>
      </c>
      <c r="AA11" s="3"/>
      <c r="AB11" s="3"/>
      <c r="AC11" s="3"/>
      <c r="AD11" s="3"/>
      <c r="AE11" s="3"/>
    </row>
    <row r="12">
      <c r="A12" s="1"/>
      <c r="B12" s="142"/>
      <c r="C12" s="143"/>
      <c r="D12" s="144"/>
      <c r="E12" s="145"/>
      <c r="F12" s="146"/>
      <c r="G12" s="463"/>
      <c r="H12" s="148"/>
      <c r="I12" s="149"/>
      <c r="J12" s="72" t="s">
        <v>67</v>
      </c>
      <c r="K12" s="404">
        <v>30.0</v>
      </c>
      <c r="L12" s="109">
        <f t="shared" ref="L12:W12" si="7">L11/$K$12</f>
        <v>20000</v>
      </c>
      <c r="M12" s="109">
        <f t="shared" si="7"/>
        <v>16000</v>
      </c>
      <c r="N12" s="109">
        <f t="shared" si="7"/>
        <v>16000</v>
      </c>
      <c r="O12" s="109">
        <f t="shared" si="7"/>
        <v>16000</v>
      </c>
      <c r="P12" s="109">
        <f t="shared" si="7"/>
        <v>12000</v>
      </c>
      <c r="Q12" s="109">
        <f t="shared" si="7"/>
        <v>12000</v>
      </c>
      <c r="R12" s="109">
        <f t="shared" si="7"/>
        <v>10000</v>
      </c>
      <c r="S12" s="109">
        <f t="shared" si="7"/>
        <v>16000</v>
      </c>
      <c r="T12" s="109">
        <f t="shared" si="7"/>
        <v>18000</v>
      </c>
      <c r="U12" s="109">
        <f t="shared" si="7"/>
        <v>20000</v>
      </c>
      <c r="V12" s="109">
        <f t="shared" si="7"/>
        <v>22000</v>
      </c>
      <c r="W12" s="109">
        <f t="shared" si="7"/>
        <v>22000</v>
      </c>
      <c r="X12" s="172">
        <f t="shared" ref="X12:X13" si="10">SUM(L12:W12)</f>
        <v>200000</v>
      </c>
      <c r="Y12" s="405">
        <v>133333.33333333334</v>
      </c>
      <c r="Z12" s="491">
        <f t="shared" si="8"/>
        <v>0.5</v>
      </c>
      <c r="AA12" s="3"/>
      <c r="AB12" s="3"/>
      <c r="AC12" s="3"/>
      <c r="AD12" s="3"/>
      <c r="AE12" s="3"/>
    </row>
    <row r="13">
      <c r="A13" s="1"/>
      <c r="B13" s="142"/>
      <c r="C13" s="143"/>
      <c r="D13" s="144"/>
      <c r="E13" s="145"/>
      <c r="F13" s="146"/>
      <c r="G13" s="463"/>
      <c r="H13" s="148"/>
      <c r="I13" s="149"/>
      <c r="J13" s="124" t="s">
        <v>69</v>
      </c>
      <c r="K13" s="408">
        <v>1.4</v>
      </c>
      <c r="L13" s="127">
        <f t="shared" ref="L13:W13" si="9">IF(L12=0, 0,
  MIN(L12, 10000) * 1.4 +
  MAX(0, MIN(L12, 25000) - 10000) * 1.25 +
  MAX(0, MIN(L12, 50000) - 25000) * 1.15 +
  MAX(0, MIN(L12, 100000) - 50000) * 0.9 +
  MAX(0, MIN(L12, 150000) - 100000) * 0.8 +
  MAX(0, L12 - 150000) * 0.7
)</f>
        <v>26500</v>
      </c>
      <c r="M13" s="127">
        <f t="shared" si="9"/>
        <v>21500</v>
      </c>
      <c r="N13" s="127">
        <f t="shared" si="9"/>
        <v>21500</v>
      </c>
      <c r="O13" s="127">
        <f t="shared" si="9"/>
        <v>21500</v>
      </c>
      <c r="P13" s="127">
        <f t="shared" si="9"/>
        <v>16500</v>
      </c>
      <c r="Q13" s="127">
        <f t="shared" si="9"/>
        <v>16500</v>
      </c>
      <c r="R13" s="127">
        <f t="shared" si="9"/>
        <v>14000</v>
      </c>
      <c r="S13" s="127">
        <f t="shared" si="9"/>
        <v>21500</v>
      </c>
      <c r="T13" s="127">
        <f t="shared" si="9"/>
        <v>24000</v>
      </c>
      <c r="U13" s="127">
        <f t="shared" si="9"/>
        <v>26500</v>
      </c>
      <c r="V13" s="127">
        <f t="shared" si="9"/>
        <v>29000</v>
      </c>
      <c r="W13" s="127">
        <f t="shared" si="9"/>
        <v>29000</v>
      </c>
      <c r="X13" s="181">
        <f t="shared" si="10"/>
        <v>268000</v>
      </c>
      <c r="Y13" s="407">
        <v>183566.66666666666</v>
      </c>
      <c r="Z13" s="489">
        <f t="shared" si="8"/>
        <v>0.4599600508</v>
      </c>
      <c r="AA13" s="3"/>
      <c r="AB13" s="3"/>
      <c r="AC13" s="3"/>
      <c r="AD13" s="3"/>
      <c r="AE13" s="3"/>
    </row>
    <row r="14">
      <c r="A14" s="1"/>
      <c r="B14" s="142"/>
      <c r="C14" s="143"/>
      <c r="D14" s="144"/>
      <c r="E14" s="145"/>
      <c r="F14" s="146"/>
      <c r="G14" s="463"/>
      <c r="H14" s="148"/>
      <c r="I14" s="149"/>
      <c r="J14" s="461"/>
      <c r="K14" s="184"/>
      <c r="L14" s="185"/>
      <c r="M14" s="185"/>
      <c r="N14" s="185"/>
      <c r="O14" s="185"/>
      <c r="P14" s="185"/>
      <c r="Q14" s="214"/>
      <c r="R14" s="185"/>
      <c r="S14" s="185"/>
      <c r="T14" s="185"/>
      <c r="U14" s="185"/>
      <c r="V14" s="185"/>
      <c r="W14" s="185"/>
      <c r="X14" s="186"/>
      <c r="Y14" s="464"/>
      <c r="Z14" s="489"/>
      <c r="AA14" s="3"/>
      <c r="AB14" s="3"/>
      <c r="AC14" s="3"/>
      <c r="AD14" s="3"/>
      <c r="AE14" s="3"/>
    </row>
    <row r="15">
      <c r="A15" s="1"/>
      <c r="B15" s="142">
        <v>3.0</v>
      </c>
      <c r="C15" s="143" t="s">
        <v>73</v>
      </c>
      <c r="D15" s="144"/>
      <c r="E15" s="145"/>
      <c r="F15" s="146"/>
      <c r="G15" s="463"/>
      <c r="H15" s="148"/>
      <c r="I15" s="149"/>
      <c r="J15" s="459" t="s">
        <v>74</v>
      </c>
      <c r="K15" s="395"/>
      <c r="L15" s="397" t="s">
        <v>10</v>
      </c>
      <c r="M15" s="398" t="s">
        <v>14</v>
      </c>
      <c r="N15" s="397" t="s">
        <v>18</v>
      </c>
      <c r="O15" s="398" t="s">
        <v>22</v>
      </c>
      <c r="P15" s="397" t="s">
        <v>26</v>
      </c>
      <c r="Q15" s="398" t="s">
        <v>30</v>
      </c>
      <c r="R15" s="397" t="s">
        <v>34</v>
      </c>
      <c r="S15" s="398" t="s">
        <v>38</v>
      </c>
      <c r="T15" s="397" t="s">
        <v>42</v>
      </c>
      <c r="U15" s="398" t="s">
        <v>46</v>
      </c>
      <c r="V15" s="397" t="s">
        <v>50</v>
      </c>
      <c r="W15" s="398" t="s">
        <v>54</v>
      </c>
      <c r="X15" s="364">
        <v>2028.0</v>
      </c>
      <c r="Y15" s="399">
        <v>2027.0</v>
      </c>
      <c r="Z15" s="491" t="s">
        <v>63</v>
      </c>
      <c r="AA15" s="3"/>
      <c r="AB15" s="3"/>
      <c r="AC15" s="3"/>
      <c r="AD15" s="3"/>
      <c r="AE15" s="3"/>
    </row>
    <row r="16">
      <c r="A16" s="1"/>
      <c r="B16" s="142"/>
      <c r="C16" s="143"/>
      <c r="D16" s="144"/>
      <c r="E16" s="145"/>
      <c r="F16" s="146"/>
      <c r="G16" s="463"/>
      <c r="H16" s="148"/>
      <c r="I16" s="149"/>
      <c r="J16" s="72" t="s">
        <v>64</v>
      </c>
      <c r="K16" s="400"/>
      <c r="L16" s="401">
        <v>0.09</v>
      </c>
      <c r="M16" s="401">
        <v>0.07</v>
      </c>
      <c r="N16" s="401">
        <v>0.07</v>
      </c>
      <c r="O16" s="401">
        <v>0.08</v>
      </c>
      <c r="P16" s="401">
        <v>0.08</v>
      </c>
      <c r="Q16" s="401">
        <v>0.09</v>
      </c>
      <c r="R16" s="401">
        <v>0.09</v>
      </c>
      <c r="S16" s="401">
        <v>0.08</v>
      </c>
      <c r="T16" s="401">
        <v>0.08</v>
      </c>
      <c r="U16" s="401">
        <v>0.1</v>
      </c>
      <c r="V16" s="401">
        <v>0.1</v>
      </c>
      <c r="W16" s="401">
        <v>0.07</v>
      </c>
      <c r="X16" s="166">
        <f>SUM(L16:W16)</f>
        <v>1</v>
      </c>
      <c r="Y16" s="460">
        <v>0.9999999999999998</v>
      </c>
      <c r="Z16" s="491"/>
      <c r="AA16" s="3"/>
      <c r="AB16" s="3"/>
      <c r="AC16" s="3"/>
      <c r="AD16" s="3"/>
      <c r="AE16" s="3"/>
    </row>
    <row r="17">
      <c r="A17" s="1"/>
      <c r="B17" s="142"/>
      <c r="C17" s="143"/>
      <c r="D17" s="144"/>
      <c r="E17" s="145"/>
      <c r="F17" s="146"/>
      <c r="G17" s="463"/>
      <c r="H17" s="148"/>
      <c r="I17" s="149"/>
      <c r="J17" s="72" t="s">
        <v>66</v>
      </c>
      <c r="K17" s="400"/>
      <c r="L17" s="91">
        <f t="shared" ref="L17:W17" si="11">($X$17)*L16</f>
        <v>810000</v>
      </c>
      <c r="M17" s="91">
        <f t="shared" si="11"/>
        <v>630000</v>
      </c>
      <c r="N17" s="91">
        <f t="shared" si="11"/>
        <v>630000</v>
      </c>
      <c r="O17" s="91">
        <f t="shared" si="11"/>
        <v>720000</v>
      </c>
      <c r="P17" s="91">
        <f t="shared" si="11"/>
        <v>720000</v>
      </c>
      <c r="Q17" s="91">
        <f t="shared" si="11"/>
        <v>810000</v>
      </c>
      <c r="R17" s="91">
        <f t="shared" si="11"/>
        <v>810000</v>
      </c>
      <c r="S17" s="91">
        <f t="shared" si="11"/>
        <v>720000</v>
      </c>
      <c r="T17" s="91">
        <f t="shared" si="11"/>
        <v>720000</v>
      </c>
      <c r="U17" s="91">
        <f t="shared" si="11"/>
        <v>900000</v>
      </c>
      <c r="V17" s="91">
        <f t="shared" si="11"/>
        <v>900000</v>
      </c>
      <c r="W17" s="91">
        <f t="shared" si="11"/>
        <v>630000</v>
      </c>
      <c r="X17" s="168">
        <v>9000000.0</v>
      </c>
      <c r="Y17" s="403">
        <v>6000000.0</v>
      </c>
      <c r="Z17" s="491">
        <f t="shared" ref="Z17:Z19" si="13">X17/Y17-1</f>
        <v>0.5</v>
      </c>
      <c r="AA17" s="3"/>
      <c r="AB17" s="3"/>
      <c r="AC17" s="3"/>
      <c r="AD17" s="3"/>
      <c r="AE17" s="3"/>
    </row>
    <row r="18">
      <c r="A18" s="1"/>
      <c r="B18" s="142"/>
      <c r="C18" s="143"/>
      <c r="D18" s="144"/>
      <c r="E18" s="145"/>
      <c r="F18" s="146"/>
      <c r="G18" s="463"/>
      <c r="H18" s="148"/>
      <c r="I18" s="149"/>
      <c r="J18" s="72" t="s">
        <v>67</v>
      </c>
      <c r="K18" s="404">
        <v>180.0</v>
      </c>
      <c r="L18" s="109">
        <f t="shared" ref="L18:W18" si="12">L17/$K$18</f>
        <v>4500</v>
      </c>
      <c r="M18" s="109">
        <f t="shared" si="12"/>
        <v>3500</v>
      </c>
      <c r="N18" s="109">
        <f t="shared" si="12"/>
        <v>3500</v>
      </c>
      <c r="O18" s="109">
        <f t="shared" si="12"/>
        <v>4000</v>
      </c>
      <c r="P18" s="109">
        <f t="shared" si="12"/>
        <v>4000</v>
      </c>
      <c r="Q18" s="109">
        <f t="shared" si="12"/>
        <v>4500</v>
      </c>
      <c r="R18" s="109">
        <f t="shared" si="12"/>
        <v>4500</v>
      </c>
      <c r="S18" s="109">
        <f t="shared" si="12"/>
        <v>4000</v>
      </c>
      <c r="T18" s="109">
        <f t="shared" si="12"/>
        <v>4000</v>
      </c>
      <c r="U18" s="109">
        <f t="shared" si="12"/>
        <v>5000</v>
      </c>
      <c r="V18" s="109">
        <f t="shared" si="12"/>
        <v>5000</v>
      </c>
      <c r="W18" s="109">
        <f t="shared" si="12"/>
        <v>3500</v>
      </c>
      <c r="X18" s="172">
        <f t="shared" ref="X18:X19" si="15">SUM(L18:W18)</f>
        <v>50000</v>
      </c>
      <c r="Y18" s="405">
        <v>33333.333333333336</v>
      </c>
      <c r="Z18" s="491">
        <f t="shared" si="13"/>
        <v>0.5</v>
      </c>
      <c r="AA18" s="3"/>
      <c r="AB18" s="3"/>
      <c r="AC18" s="3"/>
      <c r="AD18" s="3"/>
      <c r="AE18" s="3"/>
    </row>
    <row r="19">
      <c r="A19" s="1"/>
      <c r="B19" s="142"/>
      <c r="C19" s="143"/>
      <c r="D19" s="144"/>
      <c r="E19" s="145"/>
      <c r="F19" s="146"/>
      <c r="G19" s="463"/>
      <c r="H19" s="148"/>
      <c r="I19" s="149"/>
      <c r="J19" s="124" t="s">
        <v>69</v>
      </c>
      <c r="K19" s="408">
        <v>4.5</v>
      </c>
      <c r="L19" s="130">
        <f t="shared" ref="L19:W19" si="14">$K$19*L18</f>
        <v>20250</v>
      </c>
      <c r="M19" s="130">
        <f t="shared" si="14"/>
        <v>15750</v>
      </c>
      <c r="N19" s="130">
        <f t="shared" si="14"/>
        <v>15750</v>
      </c>
      <c r="O19" s="130">
        <f t="shared" si="14"/>
        <v>18000</v>
      </c>
      <c r="P19" s="130">
        <f t="shared" si="14"/>
        <v>18000</v>
      </c>
      <c r="Q19" s="130">
        <f t="shared" si="14"/>
        <v>20250</v>
      </c>
      <c r="R19" s="130">
        <f t="shared" si="14"/>
        <v>20250</v>
      </c>
      <c r="S19" s="130">
        <f t="shared" si="14"/>
        <v>18000</v>
      </c>
      <c r="T19" s="130">
        <f t="shared" si="14"/>
        <v>18000</v>
      </c>
      <c r="U19" s="130">
        <f t="shared" si="14"/>
        <v>22500</v>
      </c>
      <c r="V19" s="130">
        <f t="shared" si="14"/>
        <v>22500</v>
      </c>
      <c r="W19" s="130">
        <f t="shared" si="14"/>
        <v>15750</v>
      </c>
      <c r="X19" s="181">
        <f t="shared" si="15"/>
        <v>225000</v>
      </c>
      <c r="Y19" s="407">
        <v>150000.0</v>
      </c>
      <c r="Z19" s="489">
        <f t="shared" si="13"/>
        <v>0.5</v>
      </c>
      <c r="AA19" s="3"/>
      <c r="AB19" s="3"/>
      <c r="AC19" s="3"/>
      <c r="AD19" s="3"/>
      <c r="AE19" s="3"/>
    </row>
    <row r="20">
      <c r="A20" s="1"/>
      <c r="B20" s="142"/>
      <c r="C20" s="143"/>
      <c r="D20" s="144"/>
      <c r="E20" s="145"/>
      <c r="F20" s="146"/>
      <c r="G20" s="463"/>
      <c r="H20" s="148"/>
      <c r="I20" s="189"/>
      <c r="J20" s="8"/>
      <c r="K20" s="195"/>
      <c r="L20" s="12"/>
      <c r="M20" s="196"/>
      <c r="N20" s="196"/>
      <c r="O20" s="197"/>
      <c r="P20" s="196"/>
      <c r="Q20" s="214"/>
      <c r="R20" s="196"/>
      <c r="S20" s="12"/>
      <c r="T20" s="12"/>
      <c r="U20" s="12"/>
      <c r="V20" s="12"/>
      <c r="W20" s="12"/>
      <c r="X20" s="13"/>
      <c r="Y20" s="14"/>
      <c r="Z20" s="489"/>
      <c r="AA20" s="3"/>
      <c r="AB20" s="3"/>
      <c r="AC20" s="3"/>
      <c r="AD20" s="3"/>
      <c r="AE20" s="3"/>
    </row>
    <row r="21" ht="15.75" customHeight="1">
      <c r="A21" s="1"/>
      <c r="B21" s="142">
        <v>4.0</v>
      </c>
      <c r="C21" s="143" t="s">
        <v>75</v>
      </c>
      <c r="D21" s="144">
        <f>15000*12*4</f>
        <v>720000</v>
      </c>
      <c r="E21" s="192">
        <v>92.0</v>
      </c>
      <c r="F21" s="146">
        <f>E21*D21</f>
        <v>66240000</v>
      </c>
      <c r="G21" s="463">
        <v>1632825.7999999607</v>
      </c>
      <c r="H21" s="148">
        <v>15759.0</v>
      </c>
      <c r="I21" s="189">
        <v>103.61227235230413</v>
      </c>
      <c r="J21" s="459" t="s">
        <v>76</v>
      </c>
      <c r="K21" s="409"/>
      <c r="L21" s="397" t="s">
        <v>10</v>
      </c>
      <c r="M21" s="398" t="s">
        <v>14</v>
      </c>
      <c r="N21" s="397" t="s">
        <v>18</v>
      </c>
      <c r="O21" s="398" t="s">
        <v>22</v>
      </c>
      <c r="P21" s="397" t="s">
        <v>26</v>
      </c>
      <c r="Q21" s="398" t="s">
        <v>30</v>
      </c>
      <c r="R21" s="397" t="s">
        <v>34</v>
      </c>
      <c r="S21" s="398" t="s">
        <v>38</v>
      </c>
      <c r="T21" s="397" t="s">
        <v>42</v>
      </c>
      <c r="U21" s="398" t="s">
        <v>46</v>
      </c>
      <c r="V21" s="397" t="s">
        <v>50</v>
      </c>
      <c r="W21" s="398" t="s">
        <v>54</v>
      </c>
      <c r="X21" s="364">
        <v>2028.0</v>
      </c>
      <c r="Y21" s="399">
        <v>2027.0</v>
      </c>
      <c r="Z21" s="491"/>
      <c r="AA21" s="3"/>
      <c r="AB21" s="3"/>
      <c r="AC21" s="3"/>
      <c r="AD21" s="3"/>
      <c r="AE21" s="3"/>
    </row>
    <row r="22" ht="15.75" customHeight="1">
      <c r="A22" s="1"/>
      <c r="B22" s="26"/>
      <c r="C22" s="27"/>
      <c r="D22" s="28"/>
      <c r="E22" s="29"/>
      <c r="F22" s="30"/>
      <c r="G22" s="458"/>
      <c r="H22" s="32"/>
      <c r="I22" s="33"/>
      <c r="J22" s="72" t="s">
        <v>64</v>
      </c>
      <c r="K22" s="400"/>
      <c r="L22" s="401">
        <v>0.06</v>
      </c>
      <c r="M22" s="401">
        <v>0.05</v>
      </c>
      <c r="N22" s="401">
        <v>0.06</v>
      </c>
      <c r="O22" s="401">
        <v>0.07</v>
      </c>
      <c r="P22" s="401">
        <v>0.07</v>
      </c>
      <c r="Q22" s="401">
        <v>0.08</v>
      </c>
      <c r="R22" s="401">
        <v>0.08</v>
      </c>
      <c r="S22" s="401">
        <v>0.09</v>
      </c>
      <c r="T22" s="401">
        <v>0.09</v>
      </c>
      <c r="U22" s="401">
        <v>0.11</v>
      </c>
      <c r="V22" s="401">
        <v>0.12</v>
      </c>
      <c r="W22" s="401">
        <v>0.12</v>
      </c>
      <c r="X22" s="166">
        <f>SUM(L22:W22)</f>
        <v>1</v>
      </c>
      <c r="Y22" s="460">
        <v>1.0</v>
      </c>
      <c r="Z22" s="491"/>
      <c r="AA22" s="3"/>
      <c r="AB22" s="3"/>
      <c r="AC22" s="3"/>
      <c r="AD22" s="3"/>
      <c r="AE22" s="3"/>
    </row>
    <row r="23" ht="15.75" customHeight="1">
      <c r="A23" s="1"/>
      <c r="B23" s="142"/>
      <c r="C23" s="143"/>
      <c r="D23" s="144"/>
      <c r="E23" s="192"/>
      <c r="F23" s="146"/>
      <c r="G23" s="458"/>
      <c r="H23" s="32"/>
      <c r="I23" s="193"/>
      <c r="J23" s="72" t="s">
        <v>66</v>
      </c>
      <c r="K23" s="400"/>
      <c r="L23" s="91">
        <f t="shared" ref="L23:W23" si="16">($X$23)*L22</f>
        <v>794880</v>
      </c>
      <c r="M23" s="91">
        <f t="shared" si="16"/>
        <v>662400</v>
      </c>
      <c r="N23" s="91">
        <f t="shared" si="16"/>
        <v>794880</v>
      </c>
      <c r="O23" s="91">
        <f t="shared" si="16"/>
        <v>927360</v>
      </c>
      <c r="P23" s="91">
        <f t="shared" si="16"/>
        <v>927360</v>
      </c>
      <c r="Q23" s="91">
        <f t="shared" si="16"/>
        <v>1059840</v>
      </c>
      <c r="R23" s="91">
        <f t="shared" si="16"/>
        <v>1059840</v>
      </c>
      <c r="S23" s="91">
        <f t="shared" si="16"/>
        <v>1192320</v>
      </c>
      <c r="T23" s="91">
        <f t="shared" si="16"/>
        <v>1192320</v>
      </c>
      <c r="U23" s="91">
        <f t="shared" si="16"/>
        <v>1457280</v>
      </c>
      <c r="V23" s="91">
        <f t="shared" si="16"/>
        <v>1589760</v>
      </c>
      <c r="W23" s="91">
        <f t="shared" si="16"/>
        <v>1589760</v>
      </c>
      <c r="X23" s="168">
        <v>1.3248E7</v>
      </c>
      <c r="Y23" s="403">
        <v>1.0E7</v>
      </c>
      <c r="Z23" s="491">
        <f t="shared" ref="Z23:Z25" si="18">X23/Y23-1</f>
        <v>0.3248</v>
      </c>
      <c r="AA23" s="3"/>
      <c r="AB23" s="3"/>
      <c r="AC23" s="3"/>
      <c r="AD23" s="3"/>
      <c r="AE23" s="3"/>
    </row>
    <row r="24" ht="15.75" customHeight="1">
      <c r="A24" s="1"/>
      <c r="B24" s="142"/>
      <c r="C24" s="143"/>
      <c r="D24" s="144"/>
      <c r="E24" s="192"/>
      <c r="F24" s="146"/>
      <c r="G24" s="463"/>
      <c r="H24" s="148"/>
      <c r="I24" s="189"/>
      <c r="J24" s="72" t="s">
        <v>67</v>
      </c>
      <c r="K24" s="404">
        <v>107.0</v>
      </c>
      <c r="L24" s="109">
        <f t="shared" ref="L24:W24" si="17">L23/$K$24</f>
        <v>7428.785047</v>
      </c>
      <c r="M24" s="109">
        <f t="shared" si="17"/>
        <v>6190.654206</v>
      </c>
      <c r="N24" s="109">
        <f t="shared" si="17"/>
        <v>7428.785047</v>
      </c>
      <c r="O24" s="109">
        <f t="shared" si="17"/>
        <v>8666.915888</v>
      </c>
      <c r="P24" s="109">
        <f t="shared" si="17"/>
        <v>8666.915888</v>
      </c>
      <c r="Q24" s="109">
        <f t="shared" si="17"/>
        <v>9905.046729</v>
      </c>
      <c r="R24" s="109">
        <f t="shared" si="17"/>
        <v>9905.046729</v>
      </c>
      <c r="S24" s="109">
        <f t="shared" si="17"/>
        <v>11143.17757</v>
      </c>
      <c r="T24" s="109">
        <f t="shared" si="17"/>
        <v>11143.17757</v>
      </c>
      <c r="U24" s="109">
        <f t="shared" si="17"/>
        <v>13619.43925</v>
      </c>
      <c r="V24" s="109">
        <f t="shared" si="17"/>
        <v>14857.57009</v>
      </c>
      <c r="W24" s="109">
        <f t="shared" si="17"/>
        <v>14857.57009</v>
      </c>
      <c r="X24" s="172">
        <f t="shared" ref="X24:X25" si="20">SUM(L24:W24)</f>
        <v>123813.0841</v>
      </c>
      <c r="Y24" s="405">
        <v>93457.94392523365</v>
      </c>
      <c r="Z24" s="491">
        <f t="shared" si="18"/>
        <v>0.3248</v>
      </c>
      <c r="AA24" s="3"/>
      <c r="AB24" s="3"/>
      <c r="AC24" s="3"/>
      <c r="AD24" s="3"/>
      <c r="AE24" s="3"/>
    </row>
    <row r="25" ht="15.75" customHeight="1">
      <c r="A25" s="1"/>
      <c r="B25" s="142"/>
      <c r="C25" s="143"/>
      <c r="D25" s="144"/>
      <c r="E25" s="192"/>
      <c r="F25" s="146"/>
      <c r="G25" s="463"/>
      <c r="H25" s="148"/>
      <c r="I25" s="189"/>
      <c r="J25" s="124" t="s">
        <v>69</v>
      </c>
      <c r="K25" s="406">
        <v>0.039</v>
      </c>
      <c r="L25" s="127">
        <f t="shared" ref="L25:W25" si="19">IF(L24=0, 0, (L23/L24) * (
  MIN(L24, 1000) * 0.049 +
  MAX(0, MIN(L24, 2500) - 1000) * 0.039 +
  MAX(0, MIN(L24, 5000) - 2500) * 0.032 +
  MAX(0, L24 - 5000) * 0.029
))</f>
        <v>27599.02</v>
      </c>
      <c r="M25" s="127">
        <f t="shared" si="19"/>
        <v>23757.1</v>
      </c>
      <c r="N25" s="127">
        <f t="shared" si="19"/>
        <v>27599.02</v>
      </c>
      <c r="O25" s="127">
        <f t="shared" si="19"/>
        <v>31440.94</v>
      </c>
      <c r="P25" s="127">
        <f t="shared" si="19"/>
        <v>31440.94</v>
      </c>
      <c r="Q25" s="127">
        <f t="shared" si="19"/>
        <v>35282.86</v>
      </c>
      <c r="R25" s="127">
        <f t="shared" si="19"/>
        <v>35282.86</v>
      </c>
      <c r="S25" s="127">
        <f t="shared" si="19"/>
        <v>39124.78</v>
      </c>
      <c r="T25" s="127">
        <f t="shared" si="19"/>
        <v>39124.78</v>
      </c>
      <c r="U25" s="127">
        <f t="shared" si="19"/>
        <v>46808.62</v>
      </c>
      <c r="V25" s="127">
        <f t="shared" si="19"/>
        <v>50650.54</v>
      </c>
      <c r="W25" s="127">
        <f t="shared" si="19"/>
        <v>50650.54</v>
      </c>
      <c r="X25" s="181">
        <f t="shared" si="20"/>
        <v>438762</v>
      </c>
      <c r="Y25" s="407">
        <v>344465.0</v>
      </c>
      <c r="Z25" s="489">
        <f t="shared" si="18"/>
        <v>0.2737491472</v>
      </c>
      <c r="AA25" s="3"/>
      <c r="AB25" s="3"/>
      <c r="AC25" s="3"/>
      <c r="AD25" s="3"/>
      <c r="AE25" s="3"/>
    </row>
    <row r="26" ht="15.75" customHeight="1">
      <c r="A26" s="1"/>
      <c r="B26" s="142"/>
      <c r="C26" s="143"/>
      <c r="D26" s="144"/>
      <c r="E26" s="192"/>
      <c r="F26" s="146"/>
      <c r="G26" s="463"/>
      <c r="H26" s="148"/>
      <c r="I26" s="149"/>
      <c r="J26" s="8"/>
      <c r="K26" s="195"/>
      <c r="L26" s="12"/>
      <c r="M26" s="196"/>
      <c r="N26" s="196"/>
      <c r="O26" s="196"/>
      <c r="P26" s="196"/>
      <c r="Q26" s="214"/>
      <c r="R26" s="196"/>
      <c r="S26" s="12"/>
      <c r="T26" s="12"/>
      <c r="U26" s="12"/>
      <c r="V26" s="12"/>
      <c r="W26" s="12"/>
      <c r="X26" s="13"/>
      <c r="Y26" s="14"/>
      <c r="Z26" s="489"/>
      <c r="AA26" s="3"/>
      <c r="AB26" s="3"/>
      <c r="AC26" s="3"/>
      <c r="AD26" s="3"/>
      <c r="AE26" s="3"/>
    </row>
    <row r="27" ht="15.75" customHeight="1">
      <c r="A27" s="1"/>
      <c r="B27" s="142">
        <v>5.0</v>
      </c>
      <c r="C27" s="143" t="s">
        <v>77</v>
      </c>
      <c r="D27" s="144">
        <f>28*2*12</f>
        <v>672</v>
      </c>
      <c r="E27" s="192"/>
      <c r="F27" s="146">
        <f>D27*35</f>
        <v>23520</v>
      </c>
      <c r="G27" s="463">
        <v>14.9</v>
      </c>
      <c r="H27" s="148">
        <v>1.0</v>
      </c>
      <c r="I27" s="149">
        <v>14.9</v>
      </c>
      <c r="J27" s="459" t="s">
        <v>78</v>
      </c>
      <c r="K27" s="409"/>
      <c r="L27" s="397" t="s">
        <v>10</v>
      </c>
      <c r="M27" s="398" t="s">
        <v>14</v>
      </c>
      <c r="N27" s="397" t="s">
        <v>18</v>
      </c>
      <c r="O27" s="398" t="s">
        <v>22</v>
      </c>
      <c r="P27" s="397" t="s">
        <v>26</v>
      </c>
      <c r="Q27" s="398" t="s">
        <v>30</v>
      </c>
      <c r="R27" s="397" t="s">
        <v>34</v>
      </c>
      <c r="S27" s="398" t="s">
        <v>38</v>
      </c>
      <c r="T27" s="397" t="s">
        <v>42</v>
      </c>
      <c r="U27" s="398" t="s">
        <v>46</v>
      </c>
      <c r="V27" s="397" t="s">
        <v>50</v>
      </c>
      <c r="W27" s="398" t="s">
        <v>54</v>
      </c>
      <c r="X27" s="364">
        <v>2028.0</v>
      </c>
      <c r="Y27" s="399">
        <v>2027.0</v>
      </c>
      <c r="Z27" s="491"/>
      <c r="AA27" s="3"/>
      <c r="AB27" s="3"/>
      <c r="AC27" s="3"/>
      <c r="AD27" s="3"/>
      <c r="AE27" s="3"/>
    </row>
    <row r="28" ht="15.75" customHeight="1">
      <c r="A28" s="1"/>
      <c r="B28" s="142"/>
      <c r="C28" s="143"/>
      <c r="D28" s="144"/>
      <c r="E28" s="192"/>
      <c r="F28" s="146"/>
      <c r="G28" s="463"/>
      <c r="H28" s="148"/>
      <c r="I28" s="149"/>
      <c r="J28" s="72" t="s">
        <v>64</v>
      </c>
      <c r="K28" s="400"/>
      <c r="L28" s="401">
        <v>0.01</v>
      </c>
      <c r="M28" s="401">
        <v>0.02</v>
      </c>
      <c r="N28" s="401">
        <v>0.03</v>
      </c>
      <c r="O28" s="401">
        <v>0.03</v>
      </c>
      <c r="P28" s="401">
        <v>0.04</v>
      </c>
      <c r="Q28" s="401">
        <v>0.04</v>
      </c>
      <c r="R28" s="401">
        <v>0.06</v>
      </c>
      <c r="S28" s="401">
        <v>0.08</v>
      </c>
      <c r="T28" s="401">
        <v>0.12</v>
      </c>
      <c r="U28" s="401">
        <v>0.15</v>
      </c>
      <c r="V28" s="401">
        <v>0.2</v>
      </c>
      <c r="W28" s="401">
        <v>0.22</v>
      </c>
      <c r="X28" s="166">
        <f>SUM(L28:W28)</f>
        <v>1</v>
      </c>
      <c r="Y28" s="460">
        <v>1.0</v>
      </c>
      <c r="Z28" s="491"/>
      <c r="AA28" s="3"/>
      <c r="AB28" s="3"/>
      <c r="AC28" s="3"/>
      <c r="AD28" s="3"/>
      <c r="AE28" s="3"/>
    </row>
    <row r="29" ht="15.75" customHeight="1">
      <c r="A29" s="1"/>
      <c r="B29" s="142"/>
      <c r="C29" s="143"/>
      <c r="D29" s="144"/>
      <c r="E29" s="192"/>
      <c r="F29" s="146"/>
      <c r="G29" s="463"/>
      <c r="H29" s="148"/>
      <c r="I29" s="149"/>
      <c r="J29" s="72" t="s">
        <v>66</v>
      </c>
      <c r="K29" s="400"/>
      <c r="L29" s="91">
        <f t="shared" ref="L29:W29" si="21">($X$29)*L28</f>
        <v>11000</v>
      </c>
      <c r="M29" s="91">
        <f t="shared" si="21"/>
        <v>22000</v>
      </c>
      <c r="N29" s="91">
        <f t="shared" si="21"/>
        <v>33000</v>
      </c>
      <c r="O29" s="91">
        <f t="shared" si="21"/>
        <v>33000</v>
      </c>
      <c r="P29" s="91">
        <f t="shared" si="21"/>
        <v>44000</v>
      </c>
      <c r="Q29" s="91">
        <f t="shared" si="21"/>
        <v>44000</v>
      </c>
      <c r="R29" s="91">
        <f t="shared" si="21"/>
        <v>66000</v>
      </c>
      <c r="S29" s="91">
        <f t="shared" si="21"/>
        <v>88000</v>
      </c>
      <c r="T29" s="91">
        <f t="shared" si="21"/>
        <v>132000</v>
      </c>
      <c r="U29" s="91">
        <f t="shared" si="21"/>
        <v>165000</v>
      </c>
      <c r="V29" s="91">
        <f t="shared" si="21"/>
        <v>220000</v>
      </c>
      <c r="W29" s="91">
        <f t="shared" si="21"/>
        <v>242000</v>
      </c>
      <c r="X29" s="168">
        <v>1100000.0</v>
      </c>
      <c r="Y29" s="403">
        <v>1000000.0</v>
      </c>
      <c r="Z29" s="491">
        <f t="shared" ref="Z29:Z31" si="23">X29/Y29-1</f>
        <v>0.1</v>
      </c>
      <c r="AA29" s="3"/>
      <c r="AB29" s="3"/>
      <c r="AC29" s="3"/>
      <c r="AD29" s="3"/>
      <c r="AE29" s="3"/>
    </row>
    <row r="30" ht="15.75" customHeight="1">
      <c r="A30" s="1"/>
      <c r="B30" s="142"/>
      <c r="C30" s="143"/>
      <c r="D30" s="144"/>
      <c r="E30" s="192"/>
      <c r="F30" s="146"/>
      <c r="G30" s="463"/>
      <c r="H30" s="148"/>
      <c r="I30" s="149"/>
      <c r="J30" s="72" t="s">
        <v>67</v>
      </c>
      <c r="K30" s="404">
        <v>60.0</v>
      </c>
      <c r="L30" s="109">
        <f t="shared" ref="L30:W30" si="22">L29/$K$30</f>
        <v>183.3333333</v>
      </c>
      <c r="M30" s="109">
        <f t="shared" si="22"/>
        <v>366.6666667</v>
      </c>
      <c r="N30" s="109">
        <f t="shared" si="22"/>
        <v>550</v>
      </c>
      <c r="O30" s="109">
        <f t="shared" si="22"/>
        <v>550</v>
      </c>
      <c r="P30" s="109">
        <f t="shared" si="22"/>
        <v>733.3333333</v>
      </c>
      <c r="Q30" s="109">
        <f t="shared" si="22"/>
        <v>733.3333333</v>
      </c>
      <c r="R30" s="109">
        <f t="shared" si="22"/>
        <v>1100</v>
      </c>
      <c r="S30" s="109">
        <f t="shared" si="22"/>
        <v>1466.666667</v>
      </c>
      <c r="T30" s="109">
        <f t="shared" si="22"/>
        <v>2200</v>
      </c>
      <c r="U30" s="109">
        <f t="shared" si="22"/>
        <v>2750</v>
      </c>
      <c r="V30" s="109">
        <f t="shared" si="22"/>
        <v>3666.666667</v>
      </c>
      <c r="W30" s="109">
        <f t="shared" si="22"/>
        <v>4033.333333</v>
      </c>
      <c r="X30" s="172">
        <f t="shared" ref="X30:X31" si="25">SUM(L30:W30)</f>
        <v>18333.33333</v>
      </c>
      <c r="Y30" s="405">
        <v>16666.666666666668</v>
      </c>
      <c r="Z30" s="491">
        <f t="shared" si="23"/>
        <v>0.1</v>
      </c>
      <c r="AA30" s="3"/>
      <c r="AB30" s="3"/>
      <c r="AC30" s="3"/>
      <c r="AD30" s="3"/>
      <c r="AE30" s="3"/>
    </row>
    <row r="31" ht="15.75" customHeight="1">
      <c r="A31" s="1"/>
      <c r="B31" s="142"/>
      <c r="C31" s="143"/>
      <c r="D31" s="144"/>
      <c r="E31" s="192"/>
      <c r="F31" s="146"/>
      <c r="G31" s="463"/>
      <c r="H31" s="148"/>
      <c r="I31" s="149"/>
      <c r="J31" s="124" t="s">
        <v>69</v>
      </c>
      <c r="K31" s="406">
        <v>0.049</v>
      </c>
      <c r="L31" s="130">
        <f t="shared" ref="L31:W31" si="24">L29*$K$31</f>
        <v>539</v>
      </c>
      <c r="M31" s="130">
        <f t="shared" si="24"/>
        <v>1078</v>
      </c>
      <c r="N31" s="130">
        <f t="shared" si="24"/>
        <v>1617</v>
      </c>
      <c r="O31" s="130">
        <f t="shared" si="24"/>
        <v>1617</v>
      </c>
      <c r="P31" s="130">
        <f t="shared" si="24"/>
        <v>2156</v>
      </c>
      <c r="Q31" s="130">
        <f t="shared" si="24"/>
        <v>2156</v>
      </c>
      <c r="R31" s="130">
        <f t="shared" si="24"/>
        <v>3234</v>
      </c>
      <c r="S31" s="130">
        <f t="shared" si="24"/>
        <v>4312</v>
      </c>
      <c r="T31" s="130">
        <f t="shared" si="24"/>
        <v>6468</v>
      </c>
      <c r="U31" s="130">
        <f t="shared" si="24"/>
        <v>8085</v>
      </c>
      <c r="V31" s="130">
        <f t="shared" si="24"/>
        <v>10780</v>
      </c>
      <c r="W31" s="130">
        <f t="shared" si="24"/>
        <v>11858</v>
      </c>
      <c r="X31" s="181">
        <f t="shared" si="25"/>
        <v>53900</v>
      </c>
      <c r="Y31" s="407">
        <v>49000.0</v>
      </c>
      <c r="Z31" s="489">
        <f t="shared" si="23"/>
        <v>0.1</v>
      </c>
      <c r="AA31" s="3"/>
      <c r="AB31" s="3"/>
      <c r="AC31" s="3"/>
      <c r="AD31" s="3"/>
      <c r="AE31" s="3"/>
    </row>
    <row r="32" ht="15.75" customHeight="1">
      <c r="A32" s="1"/>
      <c r="B32" s="142"/>
      <c r="C32" s="143"/>
      <c r="D32" s="144"/>
      <c r="E32" s="192"/>
      <c r="F32" s="146"/>
      <c r="G32" s="463"/>
      <c r="H32" s="148"/>
      <c r="I32" s="149"/>
      <c r="J32" s="8"/>
      <c r="K32" s="195"/>
      <c r="L32" s="12"/>
      <c r="M32" s="196"/>
      <c r="N32" s="196"/>
      <c r="O32" s="196"/>
      <c r="P32" s="196"/>
      <c r="Q32" s="214"/>
      <c r="R32" s="196"/>
      <c r="S32" s="12"/>
      <c r="T32" s="12"/>
      <c r="U32" s="12"/>
      <c r="V32" s="12"/>
      <c r="W32" s="12"/>
      <c r="X32" s="13"/>
      <c r="Y32" s="14"/>
      <c r="Z32" s="493"/>
      <c r="AA32" s="3"/>
      <c r="AB32" s="3"/>
      <c r="AC32" s="3"/>
      <c r="AD32" s="3"/>
      <c r="AE32" s="3"/>
    </row>
    <row r="33" ht="15.75" customHeight="1">
      <c r="A33" s="1"/>
      <c r="B33" s="142">
        <v>6.0</v>
      </c>
      <c r="C33" s="143" t="s">
        <v>79</v>
      </c>
      <c r="D33" s="144">
        <f>17000*12</f>
        <v>204000</v>
      </c>
      <c r="E33" s="192">
        <v>170.0</v>
      </c>
      <c r="F33" s="146">
        <f>E33*D33</f>
        <v>34680000</v>
      </c>
      <c r="G33" s="463">
        <v>368854.13999999926</v>
      </c>
      <c r="H33" s="148">
        <v>5074.0</v>
      </c>
      <c r="I33" s="149">
        <v>72.69494284588082</v>
      </c>
      <c r="J33" s="459" t="s">
        <v>81</v>
      </c>
      <c r="K33" s="395"/>
      <c r="L33" s="397" t="s">
        <v>10</v>
      </c>
      <c r="M33" s="398" t="s">
        <v>14</v>
      </c>
      <c r="N33" s="397" t="s">
        <v>18</v>
      </c>
      <c r="O33" s="398" t="s">
        <v>22</v>
      </c>
      <c r="P33" s="397" t="s">
        <v>26</v>
      </c>
      <c r="Q33" s="398" t="s">
        <v>30</v>
      </c>
      <c r="R33" s="397" t="s">
        <v>34</v>
      </c>
      <c r="S33" s="398" t="s">
        <v>38</v>
      </c>
      <c r="T33" s="397" t="s">
        <v>42</v>
      </c>
      <c r="U33" s="398" t="s">
        <v>46</v>
      </c>
      <c r="V33" s="397" t="s">
        <v>50</v>
      </c>
      <c r="W33" s="398" t="s">
        <v>54</v>
      </c>
      <c r="X33" s="364">
        <v>2028.0</v>
      </c>
      <c r="Y33" s="399">
        <v>2027.0</v>
      </c>
      <c r="Z33" s="491"/>
      <c r="AA33" s="3"/>
      <c r="AB33" s="3"/>
      <c r="AC33" s="3"/>
      <c r="AD33" s="3"/>
      <c r="AE33" s="3"/>
    </row>
    <row r="34" ht="15.75" customHeight="1">
      <c r="A34" s="1"/>
      <c r="B34" s="142"/>
      <c r="C34" s="143"/>
      <c r="D34" s="144"/>
      <c r="E34" s="192"/>
      <c r="F34" s="146"/>
      <c r="G34" s="463"/>
      <c r="H34" s="148"/>
      <c r="I34" s="149"/>
      <c r="J34" s="72" t="s">
        <v>83</v>
      </c>
      <c r="K34" s="400"/>
      <c r="L34" s="401">
        <v>0.08</v>
      </c>
      <c r="M34" s="401">
        <v>0.06</v>
      </c>
      <c r="N34" s="401">
        <v>0.07</v>
      </c>
      <c r="O34" s="401">
        <v>0.07</v>
      </c>
      <c r="P34" s="401">
        <v>0.08</v>
      </c>
      <c r="Q34" s="401">
        <v>0.08</v>
      </c>
      <c r="R34" s="401">
        <v>0.07</v>
      </c>
      <c r="S34" s="401">
        <v>0.08</v>
      </c>
      <c r="T34" s="401">
        <v>0.08</v>
      </c>
      <c r="U34" s="401">
        <v>0.09</v>
      </c>
      <c r="V34" s="401">
        <v>0.11</v>
      </c>
      <c r="W34" s="401">
        <v>0.13</v>
      </c>
      <c r="X34" s="166">
        <f>SUM(L34:W34)</f>
        <v>1</v>
      </c>
      <c r="Y34" s="460">
        <v>0.9999999999999999</v>
      </c>
      <c r="Z34" s="491"/>
      <c r="AA34" s="3"/>
      <c r="AB34" s="3"/>
      <c r="AC34" s="3"/>
      <c r="AD34" s="3"/>
      <c r="AE34" s="3"/>
    </row>
    <row r="35" ht="15.75" customHeight="1">
      <c r="A35" s="1"/>
      <c r="B35" s="142"/>
      <c r="C35" s="143"/>
      <c r="D35" s="144"/>
      <c r="E35" s="192"/>
      <c r="F35" s="146"/>
      <c r="G35" s="463"/>
      <c r="H35" s="148"/>
      <c r="I35" s="149"/>
      <c r="J35" s="72" t="s">
        <v>66</v>
      </c>
      <c r="K35" s="400"/>
      <c r="L35" s="91">
        <f t="shared" ref="L35:W35" si="26">($X$35)*L34</f>
        <v>554880</v>
      </c>
      <c r="M35" s="91">
        <f t="shared" si="26"/>
        <v>416160</v>
      </c>
      <c r="N35" s="91">
        <f t="shared" si="26"/>
        <v>485520</v>
      </c>
      <c r="O35" s="91">
        <f t="shared" si="26"/>
        <v>485520</v>
      </c>
      <c r="P35" s="91">
        <f t="shared" si="26"/>
        <v>554880</v>
      </c>
      <c r="Q35" s="91">
        <f t="shared" si="26"/>
        <v>554880</v>
      </c>
      <c r="R35" s="91">
        <f t="shared" si="26"/>
        <v>485520</v>
      </c>
      <c r="S35" s="91">
        <f t="shared" si="26"/>
        <v>554880</v>
      </c>
      <c r="T35" s="91">
        <f t="shared" si="26"/>
        <v>554880</v>
      </c>
      <c r="U35" s="91">
        <f t="shared" si="26"/>
        <v>624240</v>
      </c>
      <c r="V35" s="91">
        <f t="shared" si="26"/>
        <v>762960</v>
      </c>
      <c r="W35" s="91">
        <f t="shared" si="26"/>
        <v>901680</v>
      </c>
      <c r="X35" s="168">
        <v>6936000.0</v>
      </c>
      <c r="Y35" s="403">
        <v>2000000.0</v>
      </c>
      <c r="Z35" s="491">
        <f t="shared" ref="Z35:Z37" si="28">X35/Y35-1</f>
        <v>2.468</v>
      </c>
      <c r="AA35" s="3"/>
      <c r="AB35" s="3"/>
      <c r="AC35" s="3"/>
      <c r="AD35" s="3"/>
      <c r="AE35" s="3"/>
    </row>
    <row r="36" ht="15.75" customHeight="1">
      <c r="A36" s="1"/>
      <c r="B36" s="142"/>
      <c r="C36" s="143"/>
      <c r="D36" s="144"/>
      <c r="E36" s="192"/>
      <c r="F36" s="146"/>
      <c r="G36" s="463"/>
      <c r="H36" s="148"/>
      <c r="I36" s="149"/>
      <c r="J36" s="72" t="s">
        <v>67</v>
      </c>
      <c r="K36" s="404">
        <v>72.0</v>
      </c>
      <c r="L36" s="109">
        <f t="shared" ref="L36:W36" si="27">L35/$K$36</f>
        <v>7706.666667</v>
      </c>
      <c r="M36" s="109">
        <f t="shared" si="27"/>
        <v>5780</v>
      </c>
      <c r="N36" s="109">
        <f t="shared" si="27"/>
        <v>6743.333333</v>
      </c>
      <c r="O36" s="109">
        <f t="shared" si="27"/>
        <v>6743.333333</v>
      </c>
      <c r="P36" s="109">
        <f t="shared" si="27"/>
        <v>7706.666667</v>
      </c>
      <c r="Q36" s="109">
        <f t="shared" si="27"/>
        <v>7706.666667</v>
      </c>
      <c r="R36" s="109">
        <f t="shared" si="27"/>
        <v>6743.333333</v>
      </c>
      <c r="S36" s="109">
        <f t="shared" si="27"/>
        <v>7706.666667</v>
      </c>
      <c r="T36" s="109">
        <f t="shared" si="27"/>
        <v>7706.666667</v>
      </c>
      <c r="U36" s="109">
        <f t="shared" si="27"/>
        <v>8670</v>
      </c>
      <c r="V36" s="109">
        <f t="shared" si="27"/>
        <v>10596.66667</v>
      </c>
      <c r="W36" s="109">
        <f t="shared" si="27"/>
        <v>12523.33333</v>
      </c>
      <c r="X36" s="172">
        <f t="shared" ref="X36:X37" si="30">SUM(L36:W36)</f>
        <v>96333.33333</v>
      </c>
      <c r="Y36" s="405">
        <v>27777.77777777778</v>
      </c>
      <c r="Z36" s="491">
        <f t="shared" si="28"/>
        <v>2.468</v>
      </c>
      <c r="AA36" s="3"/>
      <c r="AB36" s="3"/>
      <c r="AC36" s="3"/>
      <c r="AD36" s="3"/>
      <c r="AE36" s="3"/>
    </row>
    <row r="37" ht="15.75" customHeight="1">
      <c r="A37" s="1"/>
      <c r="B37" s="142"/>
      <c r="C37" s="143"/>
      <c r="D37" s="144"/>
      <c r="E37" s="192"/>
      <c r="F37" s="146"/>
      <c r="G37" s="463"/>
      <c r="H37" s="148"/>
      <c r="I37" s="149"/>
      <c r="J37" s="124" t="s">
        <v>69</v>
      </c>
      <c r="K37" s="406">
        <v>0.04</v>
      </c>
      <c r="L37" s="127">
        <f t="shared" ref="L37:W37" si="29">MIN(L35, 500000) * 0.04 +
 MAX(0, MIN(L35, 1000000) - 500000) * 0.035 +
 MAX(0, L35 - 1000000) * 0.03</f>
        <v>21920.8</v>
      </c>
      <c r="M37" s="127">
        <f t="shared" si="29"/>
        <v>16646.4</v>
      </c>
      <c r="N37" s="127">
        <f t="shared" si="29"/>
        <v>19420.8</v>
      </c>
      <c r="O37" s="127">
        <f t="shared" si="29"/>
        <v>19420.8</v>
      </c>
      <c r="P37" s="127">
        <f t="shared" si="29"/>
        <v>21920.8</v>
      </c>
      <c r="Q37" s="127">
        <f t="shared" si="29"/>
        <v>21920.8</v>
      </c>
      <c r="R37" s="127">
        <f t="shared" si="29"/>
        <v>19420.8</v>
      </c>
      <c r="S37" s="127">
        <f t="shared" si="29"/>
        <v>21920.8</v>
      </c>
      <c r="T37" s="127">
        <f t="shared" si="29"/>
        <v>21920.8</v>
      </c>
      <c r="U37" s="127">
        <f t="shared" si="29"/>
        <v>24348.4</v>
      </c>
      <c r="V37" s="127">
        <f t="shared" si="29"/>
        <v>29203.6</v>
      </c>
      <c r="W37" s="127">
        <f t="shared" si="29"/>
        <v>34058.8</v>
      </c>
      <c r="X37" s="181">
        <f t="shared" si="30"/>
        <v>272123.6</v>
      </c>
      <c r="Y37" s="407">
        <v>80000.0</v>
      </c>
      <c r="Z37" s="489">
        <f t="shared" si="28"/>
        <v>2.401545</v>
      </c>
      <c r="AA37" s="3"/>
      <c r="AB37" s="3"/>
      <c r="AC37" s="3"/>
      <c r="AD37" s="3"/>
      <c r="AE37" s="3"/>
    </row>
    <row r="38" ht="15.75" customHeight="1">
      <c r="A38" s="1"/>
      <c r="B38" s="142"/>
      <c r="C38" s="143"/>
      <c r="D38" s="144"/>
      <c r="E38" s="192"/>
      <c r="F38" s="146"/>
      <c r="G38" s="463"/>
      <c r="H38" s="148"/>
      <c r="I38" s="149"/>
      <c r="J38" s="461"/>
      <c r="K38" s="150"/>
      <c r="L38" s="185"/>
      <c r="M38" s="185"/>
      <c r="N38" s="185"/>
      <c r="O38" s="196">
        <f t="shared" ref="O38:P38" si="31">O41/7000</f>
        <v>80</v>
      </c>
      <c r="P38" s="196">
        <f t="shared" si="31"/>
        <v>91.42857143</v>
      </c>
      <c r="Q38" s="214"/>
      <c r="R38" s="196">
        <f t="shared" ref="R38:W38" si="32">R41/7000</f>
        <v>114.2857143</v>
      </c>
      <c r="S38" s="196">
        <f t="shared" si="32"/>
        <v>91.42857143</v>
      </c>
      <c r="T38" s="196">
        <f t="shared" si="32"/>
        <v>91.42857143</v>
      </c>
      <c r="U38" s="196">
        <f t="shared" si="32"/>
        <v>114.2857143</v>
      </c>
      <c r="V38" s="196">
        <f t="shared" si="32"/>
        <v>114.2857143</v>
      </c>
      <c r="W38" s="196">
        <f t="shared" si="32"/>
        <v>114.2857143</v>
      </c>
      <c r="X38" s="186"/>
      <c r="Y38" s="464"/>
      <c r="Z38" s="494"/>
      <c r="AA38" s="3"/>
      <c r="AB38" s="3"/>
      <c r="AC38" s="3"/>
      <c r="AD38" s="3"/>
      <c r="AE38" s="3"/>
    </row>
    <row r="39" ht="15.75" customHeight="1">
      <c r="A39" s="1"/>
      <c r="B39" s="142">
        <v>7.0</v>
      </c>
      <c r="C39" s="143" t="s">
        <v>82</v>
      </c>
      <c r="D39" s="144"/>
      <c r="E39" s="192"/>
      <c r="F39" s="146"/>
      <c r="G39" s="463"/>
      <c r="H39" s="148"/>
      <c r="I39" s="149"/>
      <c r="J39" s="459" t="s">
        <v>84</v>
      </c>
      <c r="K39" s="395"/>
      <c r="L39" s="397" t="s">
        <v>10</v>
      </c>
      <c r="M39" s="398" t="s">
        <v>14</v>
      </c>
      <c r="N39" s="397" t="s">
        <v>18</v>
      </c>
      <c r="O39" s="398" t="s">
        <v>22</v>
      </c>
      <c r="P39" s="397" t="s">
        <v>26</v>
      </c>
      <c r="Q39" s="398" t="s">
        <v>30</v>
      </c>
      <c r="R39" s="397" t="s">
        <v>34</v>
      </c>
      <c r="S39" s="398" t="s">
        <v>38</v>
      </c>
      <c r="T39" s="397" t="s">
        <v>42</v>
      </c>
      <c r="U39" s="398" t="s">
        <v>46</v>
      </c>
      <c r="V39" s="397" t="s">
        <v>50</v>
      </c>
      <c r="W39" s="398" t="s">
        <v>54</v>
      </c>
      <c r="X39" s="364">
        <v>2028.0</v>
      </c>
      <c r="Y39" s="399">
        <v>2027.0</v>
      </c>
      <c r="Z39" s="491"/>
      <c r="AA39" s="3"/>
      <c r="AB39" s="3"/>
      <c r="AC39" s="3"/>
      <c r="AD39" s="3"/>
      <c r="AE39" s="3"/>
    </row>
    <row r="40" ht="15.75" customHeight="1">
      <c r="A40" s="1"/>
      <c r="B40" s="142"/>
      <c r="C40" s="143"/>
      <c r="D40" s="144"/>
      <c r="E40" s="192"/>
      <c r="F40" s="146"/>
      <c r="G40" s="463"/>
      <c r="H40" s="148"/>
      <c r="I40" s="149"/>
      <c r="J40" s="72" t="s">
        <v>64</v>
      </c>
      <c r="K40" s="400"/>
      <c r="L40" s="401">
        <v>0.07</v>
      </c>
      <c r="M40" s="401">
        <v>0.05</v>
      </c>
      <c r="N40" s="401">
        <v>0.07</v>
      </c>
      <c r="O40" s="401">
        <v>0.07</v>
      </c>
      <c r="P40" s="401">
        <v>0.08</v>
      </c>
      <c r="Q40" s="401">
        <v>0.1</v>
      </c>
      <c r="R40" s="401">
        <v>0.1</v>
      </c>
      <c r="S40" s="401">
        <v>0.08</v>
      </c>
      <c r="T40" s="401">
        <v>0.08</v>
      </c>
      <c r="U40" s="401">
        <v>0.1</v>
      </c>
      <c r="V40" s="401">
        <v>0.1</v>
      </c>
      <c r="W40" s="401">
        <v>0.1</v>
      </c>
      <c r="X40" s="166">
        <f>SUM(L40:W40)</f>
        <v>1</v>
      </c>
      <c r="Y40" s="460">
        <v>0.9999999999999999</v>
      </c>
      <c r="Z40" s="491"/>
      <c r="AA40" s="3"/>
      <c r="AB40" s="3"/>
      <c r="AC40" s="3"/>
      <c r="AD40" s="3"/>
      <c r="AE40" s="3"/>
    </row>
    <row r="41" ht="15.75" customHeight="1">
      <c r="A41" s="1"/>
      <c r="B41" s="142"/>
      <c r="C41" s="143"/>
      <c r="D41" s="144"/>
      <c r="E41" s="192"/>
      <c r="F41" s="146"/>
      <c r="G41" s="463"/>
      <c r="H41" s="148"/>
      <c r="I41" s="149"/>
      <c r="J41" s="72" t="s">
        <v>66</v>
      </c>
      <c r="K41" s="400"/>
      <c r="L41" s="91">
        <f t="shared" ref="L41:W41" si="33">($X$41)*L40</f>
        <v>560000</v>
      </c>
      <c r="M41" s="91">
        <f t="shared" si="33"/>
        <v>400000</v>
      </c>
      <c r="N41" s="91">
        <f t="shared" si="33"/>
        <v>560000</v>
      </c>
      <c r="O41" s="91">
        <f t="shared" si="33"/>
        <v>560000</v>
      </c>
      <c r="P41" s="91">
        <f t="shared" si="33"/>
        <v>640000</v>
      </c>
      <c r="Q41" s="91">
        <f t="shared" si="33"/>
        <v>800000</v>
      </c>
      <c r="R41" s="91">
        <f t="shared" si="33"/>
        <v>800000</v>
      </c>
      <c r="S41" s="91">
        <f t="shared" si="33"/>
        <v>640000</v>
      </c>
      <c r="T41" s="91">
        <f t="shared" si="33"/>
        <v>640000</v>
      </c>
      <c r="U41" s="91">
        <f t="shared" si="33"/>
        <v>800000</v>
      </c>
      <c r="V41" s="91">
        <f t="shared" si="33"/>
        <v>800000</v>
      </c>
      <c r="W41" s="91">
        <f t="shared" si="33"/>
        <v>800000</v>
      </c>
      <c r="X41" s="168">
        <v>8000000.0</v>
      </c>
      <c r="Y41" s="403">
        <v>8000000.0</v>
      </c>
      <c r="Z41" s="491">
        <f t="shared" ref="Z41:Z43" si="35">X41/Y41-1</f>
        <v>0</v>
      </c>
      <c r="AA41" s="3"/>
      <c r="AB41" s="3"/>
      <c r="AC41" s="3"/>
      <c r="AD41" s="3"/>
      <c r="AE41" s="3"/>
    </row>
    <row r="42" ht="15.75" customHeight="1">
      <c r="A42" s="1"/>
      <c r="B42" s="142"/>
      <c r="C42" s="143"/>
      <c r="D42" s="144"/>
      <c r="E42" s="192"/>
      <c r="F42" s="146"/>
      <c r="G42" s="463"/>
      <c r="H42" s="148"/>
      <c r="I42" s="149"/>
      <c r="J42" s="72" t="s">
        <v>67</v>
      </c>
      <c r="K42" s="404">
        <v>105.0</v>
      </c>
      <c r="L42" s="109">
        <f t="shared" ref="L42:W42" si="34">L41/$K$42</f>
        <v>5333.333333</v>
      </c>
      <c r="M42" s="109">
        <f t="shared" si="34"/>
        <v>3809.52381</v>
      </c>
      <c r="N42" s="109">
        <f t="shared" si="34"/>
        <v>5333.333333</v>
      </c>
      <c r="O42" s="109">
        <f t="shared" si="34"/>
        <v>5333.333333</v>
      </c>
      <c r="P42" s="109">
        <f t="shared" si="34"/>
        <v>6095.238095</v>
      </c>
      <c r="Q42" s="109">
        <f t="shared" si="34"/>
        <v>7619.047619</v>
      </c>
      <c r="R42" s="109">
        <f t="shared" si="34"/>
        <v>7619.047619</v>
      </c>
      <c r="S42" s="109">
        <f t="shared" si="34"/>
        <v>6095.238095</v>
      </c>
      <c r="T42" s="109">
        <f t="shared" si="34"/>
        <v>6095.238095</v>
      </c>
      <c r="U42" s="109">
        <f t="shared" si="34"/>
        <v>7619.047619</v>
      </c>
      <c r="V42" s="109">
        <f t="shared" si="34"/>
        <v>7619.047619</v>
      </c>
      <c r="W42" s="109">
        <f t="shared" si="34"/>
        <v>7619.047619</v>
      </c>
      <c r="X42" s="172">
        <f>SUM(L42:W42)</f>
        <v>76190.47619</v>
      </c>
      <c r="Y42" s="405">
        <v>76190.47619047618</v>
      </c>
      <c r="Z42" s="491">
        <f t="shared" si="35"/>
        <v>0</v>
      </c>
      <c r="AA42" s="3"/>
      <c r="AB42" s="3"/>
      <c r="AC42" s="3"/>
      <c r="AD42" s="3"/>
      <c r="AE42" s="3"/>
    </row>
    <row r="43" ht="15.75" customHeight="1">
      <c r="A43" s="1"/>
      <c r="B43" s="142"/>
      <c r="C43" s="143"/>
      <c r="D43" s="144"/>
      <c r="E43" s="192"/>
      <c r="F43" s="146"/>
      <c r="G43" s="463"/>
      <c r="H43" s="148"/>
      <c r="I43" s="149"/>
      <c r="J43" s="124" t="s">
        <v>69</v>
      </c>
      <c r="K43" s="406">
        <v>0.03</v>
      </c>
      <c r="L43" s="127">
        <f t="shared" ref="L43:W43" si="36">MIN(L41, 500000) * 0.03 + MAX(0, MIN(L41, 1000000) - 500000) * 0.025 + MAX(0, MIN(L41, 2000000) - 1000000) * 0.0225 + MAX(0, MIN(L41, 3000000) - 2000000) * 0.02 + MAX(0, MIN(L41, 5000000) - 3000000) * 0.0175 + MAX(0, L41 - 5000000) * 0.015</f>
        <v>16500</v>
      </c>
      <c r="M43" s="127">
        <f t="shared" si="36"/>
        <v>12000</v>
      </c>
      <c r="N43" s="127">
        <f t="shared" si="36"/>
        <v>16500</v>
      </c>
      <c r="O43" s="127">
        <f t="shared" si="36"/>
        <v>16500</v>
      </c>
      <c r="P43" s="127">
        <f t="shared" si="36"/>
        <v>18500</v>
      </c>
      <c r="Q43" s="127">
        <f t="shared" si="36"/>
        <v>22500</v>
      </c>
      <c r="R43" s="127">
        <f t="shared" si="36"/>
        <v>22500</v>
      </c>
      <c r="S43" s="127">
        <f t="shared" si="36"/>
        <v>18500</v>
      </c>
      <c r="T43" s="127">
        <f t="shared" si="36"/>
        <v>18500</v>
      </c>
      <c r="U43" s="127">
        <f t="shared" si="36"/>
        <v>22500</v>
      </c>
      <c r="V43" s="127">
        <f t="shared" si="36"/>
        <v>22500</v>
      </c>
      <c r="W43" s="127">
        <f t="shared" si="36"/>
        <v>22500</v>
      </c>
      <c r="X43" s="181">
        <f>X41*$K$43</f>
        <v>240000</v>
      </c>
      <c r="Y43" s="407">
        <v>240000.0</v>
      </c>
      <c r="Z43" s="489">
        <f t="shared" si="35"/>
        <v>0</v>
      </c>
      <c r="AA43" s="3"/>
      <c r="AB43" s="3"/>
      <c r="AC43" s="3"/>
      <c r="AD43" s="3"/>
      <c r="AE43" s="3"/>
    </row>
    <row r="44" ht="15.75" customHeight="1">
      <c r="A44" s="1"/>
      <c r="B44" s="142"/>
      <c r="C44" s="143"/>
      <c r="D44" s="144"/>
      <c r="E44" s="192"/>
      <c r="F44" s="146"/>
      <c r="G44" s="463"/>
      <c r="H44" s="148"/>
      <c r="I44" s="149"/>
      <c r="J44" s="8"/>
      <c r="K44" s="195"/>
      <c r="L44" s="222">
        <f>L47/4600</f>
        <v>1043.478261</v>
      </c>
      <c r="M44" s="196">
        <f>M47/2890</f>
        <v>1162.629758</v>
      </c>
      <c r="N44" s="196">
        <f>N47/3000</f>
        <v>1280</v>
      </c>
      <c r="O44" s="196">
        <f>O47/10000</f>
        <v>384</v>
      </c>
      <c r="P44" s="196">
        <f>P47/15000</f>
        <v>224</v>
      </c>
      <c r="Q44" s="214"/>
      <c r="R44" s="196">
        <f t="shared" ref="R44:U44" si="37">R47/15000</f>
        <v>192</v>
      </c>
      <c r="S44" s="196">
        <f t="shared" si="37"/>
        <v>256</v>
      </c>
      <c r="T44" s="196">
        <f t="shared" si="37"/>
        <v>288</v>
      </c>
      <c r="U44" s="196">
        <f t="shared" si="37"/>
        <v>320</v>
      </c>
      <c r="V44" s="196">
        <f>V47/25000</f>
        <v>192</v>
      </c>
      <c r="W44" s="196">
        <f>W47/15000</f>
        <v>352</v>
      </c>
      <c r="X44" s="13"/>
      <c r="Y44" s="14"/>
      <c r="Z44" s="494"/>
      <c r="AA44" s="208"/>
      <c r="AB44" s="3"/>
      <c r="AC44" s="3"/>
      <c r="AD44" s="3"/>
      <c r="AE44" s="3"/>
    </row>
    <row r="45" ht="15.75" customHeight="1">
      <c r="A45" s="1"/>
      <c r="B45" s="142">
        <v>8.0</v>
      </c>
      <c r="C45" s="466" t="s">
        <v>85</v>
      </c>
      <c r="D45" s="144">
        <v>3000000.0</v>
      </c>
      <c r="E45" s="192">
        <v>80.0</v>
      </c>
      <c r="F45" s="146">
        <f>E45*D45</f>
        <v>240000000</v>
      </c>
      <c r="G45" s="463">
        <v>294165.12000000407</v>
      </c>
      <c r="H45" s="148">
        <v>3683.0</v>
      </c>
      <c r="I45" s="189">
        <v>79.87106163453817</v>
      </c>
      <c r="J45" s="467" t="s">
        <v>86</v>
      </c>
      <c r="K45" s="395"/>
      <c r="L45" s="397" t="s">
        <v>10</v>
      </c>
      <c r="M45" s="398" t="s">
        <v>14</v>
      </c>
      <c r="N45" s="397" t="s">
        <v>18</v>
      </c>
      <c r="O45" s="398" t="s">
        <v>22</v>
      </c>
      <c r="P45" s="397" t="s">
        <v>26</v>
      </c>
      <c r="Q45" s="398" t="s">
        <v>30</v>
      </c>
      <c r="R45" s="397" t="s">
        <v>34</v>
      </c>
      <c r="S45" s="398" t="s">
        <v>38</v>
      </c>
      <c r="T45" s="397" t="s">
        <v>42</v>
      </c>
      <c r="U45" s="398" t="s">
        <v>46</v>
      </c>
      <c r="V45" s="397" t="s">
        <v>50</v>
      </c>
      <c r="W45" s="398" t="s">
        <v>54</v>
      </c>
      <c r="X45" s="364">
        <v>2028.0</v>
      </c>
      <c r="Y45" s="399">
        <v>2027.0</v>
      </c>
      <c r="Z45" s="491"/>
      <c r="AA45" s="3"/>
      <c r="AB45" s="3"/>
      <c r="AC45" s="3"/>
      <c r="AD45" s="3"/>
      <c r="AE45" s="3"/>
    </row>
    <row r="46" ht="15.75" customHeight="1">
      <c r="A46" s="1"/>
      <c r="B46" s="142"/>
      <c r="C46" s="143"/>
      <c r="D46" s="144"/>
      <c r="E46" s="192"/>
      <c r="F46" s="146"/>
      <c r="G46" s="463"/>
      <c r="H46" s="148"/>
      <c r="I46" s="189"/>
      <c r="J46" s="72" t="s">
        <v>64</v>
      </c>
      <c r="K46" s="400"/>
      <c r="L46" s="401">
        <v>0.1</v>
      </c>
      <c r="M46" s="401">
        <v>0.07</v>
      </c>
      <c r="N46" s="401">
        <v>0.08</v>
      </c>
      <c r="O46" s="401">
        <v>0.08</v>
      </c>
      <c r="P46" s="401">
        <v>0.07</v>
      </c>
      <c r="Q46" s="401">
        <v>0.06</v>
      </c>
      <c r="R46" s="401">
        <v>0.06</v>
      </c>
      <c r="S46" s="401">
        <v>0.08</v>
      </c>
      <c r="T46" s="401">
        <v>0.09</v>
      </c>
      <c r="U46" s="401">
        <v>0.1</v>
      </c>
      <c r="V46" s="401">
        <v>0.1</v>
      </c>
      <c r="W46" s="401">
        <v>0.11</v>
      </c>
      <c r="X46" s="166">
        <f>SUM(L46:W46)</f>
        <v>1</v>
      </c>
      <c r="Y46" s="460">
        <v>0.9999999999999999</v>
      </c>
      <c r="Z46" s="491"/>
      <c r="AA46" s="3"/>
      <c r="AB46" s="3"/>
      <c r="AC46" s="3"/>
      <c r="AD46" s="3"/>
      <c r="AE46" s="3"/>
    </row>
    <row r="47" ht="15.75" customHeight="1">
      <c r="A47" s="1"/>
      <c r="B47" s="142"/>
      <c r="C47" s="143"/>
      <c r="D47" s="144"/>
      <c r="E47" s="192"/>
      <c r="F47" s="146"/>
      <c r="G47" s="463"/>
      <c r="H47" s="148"/>
      <c r="I47" s="189"/>
      <c r="J47" s="72" t="s">
        <v>66</v>
      </c>
      <c r="K47" s="400"/>
      <c r="L47" s="91">
        <f t="shared" ref="L47:W47" si="38">($X$47)*L46</f>
        <v>4800000</v>
      </c>
      <c r="M47" s="91">
        <f t="shared" si="38"/>
        <v>3360000</v>
      </c>
      <c r="N47" s="91">
        <f t="shared" si="38"/>
        <v>3840000</v>
      </c>
      <c r="O47" s="91">
        <f t="shared" si="38"/>
        <v>3840000</v>
      </c>
      <c r="P47" s="91">
        <f t="shared" si="38"/>
        <v>3360000</v>
      </c>
      <c r="Q47" s="91">
        <f t="shared" si="38"/>
        <v>2880000</v>
      </c>
      <c r="R47" s="91">
        <f t="shared" si="38"/>
        <v>2880000</v>
      </c>
      <c r="S47" s="91">
        <f t="shared" si="38"/>
        <v>3840000</v>
      </c>
      <c r="T47" s="91">
        <f t="shared" si="38"/>
        <v>4320000</v>
      </c>
      <c r="U47" s="91">
        <f t="shared" si="38"/>
        <v>4800000</v>
      </c>
      <c r="V47" s="91">
        <f t="shared" si="38"/>
        <v>4800000</v>
      </c>
      <c r="W47" s="91">
        <f t="shared" si="38"/>
        <v>5280000</v>
      </c>
      <c r="X47" s="168">
        <v>4.8E7</v>
      </c>
      <c r="Y47" s="403">
        <v>7200000.0</v>
      </c>
      <c r="Z47" s="491">
        <f t="shared" ref="Z47:Z49" si="40">X47/Y47-1</f>
        <v>5.666666667</v>
      </c>
      <c r="AA47" s="3"/>
      <c r="AB47" s="3"/>
      <c r="AC47" s="3"/>
      <c r="AD47" s="3"/>
      <c r="AE47" s="3"/>
    </row>
    <row r="48" ht="15.75" customHeight="1">
      <c r="A48" s="1"/>
      <c r="B48" s="142"/>
      <c r="C48" s="143"/>
      <c r="D48" s="144"/>
      <c r="E48" s="192"/>
      <c r="F48" s="146"/>
      <c r="G48" s="463"/>
      <c r="H48" s="148"/>
      <c r="I48" s="189"/>
      <c r="J48" s="72" t="s">
        <v>67</v>
      </c>
      <c r="K48" s="404">
        <v>92.0</v>
      </c>
      <c r="L48" s="109">
        <f t="shared" ref="L48:X48" si="39">L47/$K$48</f>
        <v>52173.91304</v>
      </c>
      <c r="M48" s="109">
        <f t="shared" si="39"/>
        <v>36521.73913</v>
      </c>
      <c r="N48" s="109">
        <f t="shared" si="39"/>
        <v>41739.13043</v>
      </c>
      <c r="O48" s="109">
        <f t="shared" si="39"/>
        <v>41739.13043</v>
      </c>
      <c r="P48" s="109">
        <f t="shared" si="39"/>
        <v>36521.73913</v>
      </c>
      <c r="Q48" s="109">
        <f t="shared" si="39"/>
        <v>31304.34783</v>
      </c>
      <c r="R48" s="109">
        <f t="shared" si="39"/>
        <v>31304.34783</v>
      </c>
      <c r="S48" s="109">
        <f t="shared" si="39"/>
        <v>41739.13043</v>
      </c>
      <c r="T48" s="109">
        <f t="shared" si="39"/>
        <v>46956.52174</v>
      </c>
      <c r="U48" s="109">
        <f t="shared" si="39"/>
        <v>52173.91304</v>
      </c>
      <c r="V48" s="109">
        <f t="shared" si="39"/>
        <v>52173.91304</v>
      </c>
      <c r="W48" s="109">
        <f t="shared" si="39"/>
        <v>57391.30435</v>
      </c>
      <c r="X48" s="172">
        <f t="shared" si="39"/>
        <v>521739.1304</v>
      </c>
      <c r="Y48" s="405">
        <v>78260.86956521739</v>
      </c>
      <c r="Z48" s="491">
        <f t="shared" si="40"/>
        <v>5.666666667</v>
      </c>
      <c r="AA48" s="3"/>
      <c r="AB48" s="3"/>
      <c r="AC48" s="3"/>
      <c r="AD48" s="3"/>
      <c r="AE48" s="3"/>
    </row>
    <row r="49" ht="15.75" customHeight="1">
      <c r="A49" s="1"/>
      <c r="B49" s="142"/>
      <c r="C49" s="143"/>
      <c r="D49" s="144"/>
      <c r="E49" s="192"/>
      <c r="F49" s="146"/>
      <c r="G49" s="463"/>
      <c r="H49" s="148"/>
      <c r="I49" s="221">
        <v>0.0325</v>
      </c>
      <c r="J49" s="124" t="s">
        <v>69</v>
      </c>
      <c r="K49" s="406">
        <v>0.0325</v>
      </c>
      <c r="L49" s="127">
        <f t="shared" ref="L49:W49" si="41">IF(L48=0, 0, (MIN(L48, 10000) * 0.0325 + MAX(0, MIN(L48, 25000) - 10000) * 0.03 + MAX(0, MIN(L48, 50000) - 25000) * 0.0275 + MAX(0, L48 - 50000) * 0.025) * (L47 / L48))</f>
        <v>139550</v>
      </c>
      <c r="M49" s="127">
        <f t="shared" si="41"/>
        <v>100450</v>
      </c>
      <c r="N49" s="127">
        <f t="shared" si="41"/>
        <v>113650</v>
      </c>
      <c r="O49" s="127">
        <f t="shared" si="41"/>
        <v>113650</v>
      </c>
      <c r="P49" s="127">
        <f t="shared" si="41"/>
        <v>100450</v>
      </c>
      <c r="Q49" s="127">
        <f t="shared" si="41"/>
        <v>87250</v>
      </c>
      <c r="R49" s="127">
        <f t="shared" si="41"/>
        <v>87250</v>
      </c>
      <c r="S49" s="127">
        <f t="shared" si="41"/>
        <v>113650</v>
      </c>
      <c r="T49" s="127">
        <f t="shared" si="41"/>
        <v>126850</v>
      </c>
      <c r="U49" s="127">
        <f t="shared" si="41"/>
        <v>139550</v>
      </c>
      <c r="V49" s="127">
        <f t="shared" si="41"/>
        <v>139550</v>
      </c>
      <c r="W49" s="127">
        <f t="shared" si="41"/>
        <v>151550</v>
      </c>
      <c r="X49" s="181">
        <f>SUM(L49:W49)</f>
        <v>1413400</v>
      </c>
      <c r="Y49" s="407">
        <v>234000.0</v>
      </c>
      <c r="Z49" s="489">
        <f t="shared" si="40"/>
        <v>5.04017094</v>
      </c>
      <c r="AA49" s="3"/>
      <c r="AB49" s="3"/>
      <c r="AC49" s="3"/>
      <c r="AD49" s="3"/>
      <c r="AE49" s="3"/>
    </row>
    <row r="50" ht="15.75" customHeight="1">
      <c r="A50" s="1"/>
      <c r="B50" s="142"/>
      <c r="C50" s="143"/>
      <c r="D50" s="144"/>
      <c r="E50" s="192"/>
      <c r="F50" s="146"/>
      <c r="G50" s="463"/>
      <c r="H50" s="148"/>
      <c r="I50" s="223"/>
      <c r="J50" s="461"/>
      <c r="K50" s="225"/>
      <c r="L50" s="185"/>
      <c r="M50" s="185"/>
      <c r="N50" s="185"/>
      <c r="O50" s="185"/>
      <c r="P50" s="185"/>
      <c r="Q50" s="214"/>
      <c r="R50" s="185"/>
      <c r="S50" s="185"/>
      <c r="T50" s="185"/>
      <c r="U50" s="185"/>
      <c r="V50" s="185"/>
      <c r="W50" s="185"/>
      <c r="X50" s="186"/>
      <c r="Y50" s="464"/>
      <c r="Z50" s="494"/>
      <c r="AA50" s="3"/>
      <c r="AB50" s="3"/>
      <c r="AC50" s="3"/>
      <c r="AD50" s="3"/>
      <c r="AE50" s="3"/>
    </row>
    <row r="51" ht="15.75" customHeight="1">
      <c r="A51" s="1"/>
      <c r="B51" s="142">
        <v>9.0</v>
      </c>
      <c r="C51" s="466" t="s">
        <v>87</v>
      </c>
      <c r="D51" s="144">
        <v>7200000.0</v>
      </c>
      <c r="E51" s="192">
        <v>30.0</v>
      </c>
      <c r="F51" s="146">
        <f>E51*D51</f>
        <v>216000000</v>
      </c>
      <c r="G51" s="463">
        <v>1580724.5999999477</v>
      </c>
      <c r="H51" s="148">
        <v>66014.0</v>
      </c>
      <c r="I51" s="189">
        <v>23.945293422606532</v>
      </c>
      <c r="J51" s="468" t="s">
        <v>88</v>
      </c>
      <c r="K51" s="395"/>
      <c r="L51" s="397" t="s">
        <v>10</v>
      </c>
      <c r="M51" s="398" t="s">
        <v>14</v>
      </c>
      <c r="N51" s="397" t="s">
        <v>18</v>
      </c>
      <c r="O51" s="398" t="s">
        <v>22</v>
      </c>
      <c r="P51" s="397" t="s">
        <v>26</v>
      </c>
      <c r="Q51" s="398" t="s">
        <v>30</v>
      </c>
      <c r="R51" s="397" t="s">
        <v>34</v>
      </c>
      <c r="S51" s="398" t="s">
        <v>38</v>
      </c>
      <c r="T51" s="397" t="s">
        <v>42</v>
      </c>
      <c r="U51" s="398" t="s">
        <v>46</v>
      </c>
      <c r="V51" s="397" t="s">
        <v>50</v>
      </c>
      <c r="W51" s="398" t="s">
        <v>54</v>
      </c>
      <c r="X51" s="364">
        <v>2028.0</v>
      </c>
      <c r="Y51" s="399">
        <v>2027.0</v>
      </c>
      <c r="Z51" s="491"/>
      <c r="AA51" s="3"/>
      <c r="AB51" s="3"/>
      <c r="AC51" s="3"/>
      <c r="AD51" s="3"/>
      <c r="AE51" s="3"/>
    </row>
    <row r="52" ht="15.75" customHeight="1">
      <c r="A52" s="1"/>
      <c r="B52" s="142"/>
      <c r="C52" s="143"/>
      <c r="D52" s="144"/>
      <c r="E52" s="192"/>
      <c r="F52" s="146"/>
      <c r="G52" s="463"/>
      <c r="H52" s="148"/>
      <c r="I52" s="189"/>
      <c r="J52" s="72" t="s">
        <v>64</v>
      </c>
      <c r="K52" s="400"/>
      <c r="L52" s="401">
        <v>0.1</v>
      </c>
      <c r="M52" s="401">
        <v>0.07</v>
      </c>
      <c r="N52" s="401">
        <v>0.08</v>
      </c>
      <c r="O52" s="401">
        <v>0.08</v>
      </c>
      <c r="P52" s="401">
        <v>0.07</v>
      </c>
      <c r="Q52" s="401">
        <v>0.06</v>
      </c>
      <c r="R52" s="401">
        <v>0.06</v>
      </c>
      <c r="S52" s="401">
        <v>0.08</v>
      </c>
      <c r="T52" s="401">
        <v>0.09</v>
      </c>
      <c r="U52" s="401">
        <v>0.1</v>
      </c>
      <c r="V52" s="401">
        <v>0.1</v>
      </c>
      <c r="W52" s="401">
        <v>0.11</v>
      </c>
      <c r="X52" s="166">
        <f>SUM(L52:W52)</f>
        <v>1</v>
      </c>
      <c r="Y52" s="460">
        <v>0.9999999999999999</v>
      </c>
      <c r="Z52" s="491"/>
      <c r="AA52" s="3"/>
      <c r="AB52" s="3"/>
      <c r="AC52" s="3"/>
      <c r="AD52" s="3"/>
      <c r="AE52" s="3"/>
    </row>
    <row r="53" ht="15.75" customHeight="1">
      <c r="A53" s="1"/>
      <c r="B53" s="142"/>
      <c r="C53" s="143"/>
      <c r="D53" s="144"/>
      <c r="E53" s="192"/>
      <c r="F53" s="146"/>
      <c r="G53" s="463"/>
      <c r="H53" s="148"/>
      <c r="I53" s="189"/>
      <c r="J53" s="72" t="s">
        <v>66</v>
      </c>
      <c r="K53" s="400"/>
      <c r="L53" s="91">
        <f t="shared" ref="L53:W53" si="42">($X$53)*L52</f>
        <v>4320000</v>
      </c>
      <c r="M53" s="91">
        <f t="shared" si="42"/>
        <v>3024000</v>
      </c>
      <c r="N53" s="91">
        <f t="shared" si="42"/>
        <v>3456000</v>
      </c>
      <c r="O53" s="91">
        <f t="shared" si="42"/>
        <v>3456000</v>
      </c>
      <c r="P53" s="91">
        <f t="shared" si="42"/>
        <v>3024000</v>
      </c>
      <c r="Q53" s="91">
        <f t="shared" si="42"/>
        <v>2592000</v>
      </c>
      <c r="R53" s="91">
        <f t="shared" si="42"/>
        <v>2592000</v>
      </c>
      <c r="S53" s="91">
        <f t="shared" si="42"/>
        <v>3456000</v>
      </c>
      <c r="T53" s="91">
        <f t="shared" si="42"/>
        <v>3888000</v>
      </c>
      <c r="U53" s="91">
        <f t="shared" si="42"/>
        <v>4320000</v>
      </c>
      <c r="V53" s="91">
        <f t="shared" si="42"/>
        <v>4320000</v>
      </c>
      <c r="W53" s="91">
        <f t="shared" si="42"/>
        <v>4752000</v>
      </c>
      <c r="X53" s="168">
        <v>4.32E7</v>
      </c>
      <c r="Y53" s="403">
        <v>2.0E7</v>
      </c>
      <c r="Z53" s="491">
        <f t="shared" ref="Z53:Z55" si="44">X53/Y53-1</f>
        <v>1.16</v>
      </c>
      <c r="AA53" s="3"/>
      <c r="AB53" s="3"/>
      <c r="AC53" s="3"/>
      <c r="AD53" s="3"/>
      <c r="AE53" s="3"/>
    </row>
    <row r="54" ht="15.75" customHeight="1">
      <c r="A54" s="1"/>
      <c r="B54" s="142"/>
      <c r="C54" s="143"/>
      <c r="D54" s="144"/>
      <c r="E54" s="192"/>
      <c r="F54" s="146"/>
      <c r="G54" s="463"/>
      <c r="H54" s="148"/>
      <c r="I54" s="189"/>
      <c r="J54" s="72" t="s">
        <v>67</v>
      </c>
      <c r="K54" s="404">
        <v>30.0</v>
      </c>
      <c r="L54" s="109">
        <f t="shared" ref="L54:W54" si="43">L53/$K$54</f>
        <v>144000</v>
      </c>
      <c r="M54" s="109">
        <f t="shared" si="43"/>
        <v>100800</v>
      </c>
      <c r="N54" s="109">
        <f t="shared" si="43"/>
        <v>115200</v>
      </c>
      <c r="O54" s="109">
        <f t="shared" si="43"/>
        <v>115200</v>
      </c>
      <c r="P54" s="109">
        <f t="shared" si="43"/>
        <v>100800</v>
      </c>
      <c r="Q54" s="109">
        <f t="shared" si="43"/>
        <v>86400</v>
      </c>
      <c r="R54" s="109">
        <f t="shared" si="43"/>
        <v>86400</v>
      </c>
      <c r="S54" s="109">
        <f t="shared" si="43"/>
        <v>115200</v>
      </c>
      <c r="T54" s="109">
        <f t="shared" si="43"/>
        <v>129600</v>
      </c>
      <c r="U54" s="109">
        <f t="shared" si="43"/>
        <v>144000</v>
      </c>
      <c r="V54" s="109">
        <f t="shared" si="43"/>
        <v>144000</v>
      </c>
      <c r="W54" s="109">
        <f t="shared" si="43"/>
        <v>158400</v>
      </c>
      <c r="X54" s="172">
        <f t="shared" ref="X54:X55" si="46">SUM(L54:W54)</f>
        <v>1440000</v>
      </c>
      <c r="Y54" s="405">
        <v>666666.6666666666</v>
      </c>
      <c r="Z54" s="491">
        <f t="shared" si="44"/>
        <v>1.16</v>
      </c>
      <c r="AA54" s="3"/>
      <c r="AB54" s="3"/>
      <c r="AC54" s="3"/>
      <c r="AD54" s="3"/>
      <c r="AE54" s="3"/>
    </row>
    <row r="55" ht="15.75" customHeight="1">
      <c r="A55" s="1"/>
      <c r="B55" s="142"/>
      <c r="C55" s="143"/>
      <c r="D55" s="144"/>
      <c r="E55" s="192"/>
      <c r="F55" s="146"/>
      <c r="G55" s="463"/>
      <c r="H55" s="148"/>
      <c r="I55" s="149"/>
      <c r="J55" s="124" t="s">
        <v>69</v>
      </c>
      <c r="K55" s="406">
        <v>0.04</v>
      </c>
      <c r="L55" s="127">
        <f t="shared" ref="L55:W55" si="45">IF(L53&gt;=1000000,$K$55*L53,0)</f>
        <v>172800</v>
      </c>
      <c r="M55" s="127">
        <f t="shared" si="45"/>
        <v>120960</v>
      </c>
      <c r="N55" s="127">
        <f t="shared" si="45"/>
        <v>138240</v>
      </c>
      <c r="O55" s="127">
        <f t="shared" si="45"/>
        <v>138240</v>
      </c>
      <c r="P55" s="127">
        <f t="shared" si="45"/>
        <v>120960</v>
      </c>
      <c r="Q55" s="127">
        <f t="shared" si="45"/>
        <v>103680</v>
      </c>
      <c r="R55" s="127">
        <f t="shared" si="45"/>
        <v>103680</v>
      </c>
      <c r="S55" s="127">
        <f t="shared" si="45"/>
        <v>138240</v>
      </c>
      <c r="T55" s="127">
        <f t="shared" si="45"/>
        <v>155520</v>
      </c>
      <c r="U55" s="127">
        <f t="shared" si="45"/>
        <v>172800</v>
      </c>
      <c r="V55" s="127">
        <f t="shared" si="45"/>
        <v>172800</v>
      </c>
      <c r="W55" s="127">
        <f t="shared" si="45"/>
        <v>190080</v>
      </c>
      <c r="X55" s="181">
        <f t="shared" si="46"/>
        <v>1728000</v>
      </c>
      <c r="Y55" s="407">
        <v>800000.0</v>
      </c>
      <c r="Z55" s="489">
        <f t="shared" si="44"/>
        <v>1.16</v>
      </c>
      <c r="AA55" s="3"/>
      <c r="AB55" s="3"/>
      <c r="AC55" s="3"/>
      <c r="AD55" s="3"/>
      <c r="AE55" s="3"/>
    </row>
    <row r="56" ht="15.75" customHeight="1">
      <c r="A56" s="1"/>
      <c r="B56" s="142"/>
      <c r="C56" s="143"/>
      <c r="D56" s="144"/>
      <c r="E56" s="192"/>
      <c r="F56" s="146"/>
      <c r="G56" s="463"/>
      <c r="H56" s="148"/>
      <c r="I56" s="149"/>
      <c r="J56" s="461"/>
      <c r="K56" s="150"/>
      <c r="L56" s="196"/>
      <c r="M56" s="196"/>
      <c r="N56" s="196"/>
      <c r="O56" s="196"/>
      <c r="P56" s="196"/>
      <c r="Q56" s="214"/>
      <c r="R56" s="196"/>
      <c r="S56" s="196"/>
      <c r="T56" s="196"/>
      <c r="U56" s="196"/>
      <c r="V56" s="196"/>
      <c r="W56" s="196"/>
      <c r="X56" s="226"/>
      <c r="Y56" s="470"/>
      <c r="Z56" s="494"/>
      <c r="AA56" s="3"/>
      <c r="AB56" s="3"/>
      <c r="AC56" s="3"/>
      <c r="AD56" s="3"/>
      <c r="AE56" s="3"/>
    </row>
    <row r="57" ht="15.75" customHeight="1">
      <c r="A57" s="1"/>
      <c r="B57" s="142">
        <v>10.0</v>
      </c>
      <c r="C57" s="466" t="s">
        <v>89</v>
      </c>
      <c r="D57" s="144">
        <f>3000*12*8</f>
        <v>288000</v>
      </c>
      <c r="E57" s="192">
        <v>100.0</v>
      </c>
      <c r="F57" s="146">
        <f>E57*D57</f>
        <v>28800000</v>
      </c>
      <c r="G57" s="463">
        <v>195455.89999999918</v>
      </c>
      <c r="H57" s="148">
        <v>1727.0</v>
      </c>
      <c r="I57" s="149">
        <v>113.17654892877775</v>
      </c>
      <c r="J57" s="459" t="s">
        <v>90</v>
      </c>
      <c r="K57" s="395"/>
      <c r="L57" s="397" t="s">
        <v>10</v>
      </c>
      <c r="M57" s="398" t="s">
        <v>14</v>
      </c>
      <c r="N57" s="397" t="s">
        <v>18</v>
      </c>
      <c r="O57" s="398" t="s">
        <v>22</v>
      </c>
      <c r="P57" s="397" t="s">
        <v>26</v>
      </c>
      <c r="Q57" s="398" t="s">
        <v>30</v>
      </c>
      <c r="R57" s="397" t="s">
        <v>34</v>
      </c>
      <c r="S57" s="398" t="s">
        <v>38</v>
      </c>
      <c r="T57" s="397" t="s">
        <v>42</v>
      </c>
      <c r="U57" s="398" t="s">
        <v>46</v>
      </c>
      <c r="V57" s="397" t="s">
        <v>50</v>
      </c>
      <c r="W57" s="398" t="s">
        <v>54</v>
      </c>
      <c r="X57" s="364">
        <v>2028.0</v>
      </c>
      <c r="Y57" s="399">
        <v>2027.0</v>
      </c>
      <c r="Z57" s="491"/>
      <c r="AA57" s="3"/>
      <c r="AB57" s="3"/>
      <c r="AC57" s="3"/>
      <c r="AD57" s="3"/>
      <c r="AE57" s="3"/>
    </row>
    <row r="58" ht="15.75" customHeight="1">
      <c r="A58" s="1"/>
      <c r="B58" s="142"/>
      <c r="C58" s="143"/>
      <c r="D58" s="144"/>
      <c r="E58" s="192"/>
      <c r="F58" s="146"/>
      <c r="G58" s="463"/>
      <c r="H58" s="148"/>
      <c r="I58" s="149"/>
      <c r="J58" s="72" t="s">
        <v>64</v>
      </c>
      <c r="K58" s="400"/>
      <c r="L58" s="401">
        <v>0.08</v>
      </c>
      <c r="M58" s="401">
        <v>0.06</v>
      </c>
      <c r="N58" s="401">
        <v>0.07</v>
      </c>
      <c r="O58" s="401">
        <v>0.07</v>
      </c>
      <c r="P58" s="401">
        <v>0.08</v>
      </c>
      <c r="Q58" s="401">
        <v>0.08</v>
      </c>
      <c r="R58" s="401">
        <v>0.08</v>
      </c>
      <c r="S58" s="401">
        <v>0.08</v>
      </c>
      <c r="T58" s="401">
        <v>0.09</v>
      </c>
      <c r="U58" s="401">
        <v>0.1</v>
      </c>
      <c r="V58" s="401">
        <v>0.11</v>
      </c>
      <c r="W58" s="401">
        <v>0.1</v>
      </c>
      <c r="X58" s="166">
        <f>SUM(L58:W58)</f>
        <v>1</v>
      </c>
      <c r="Y58" s="460">
        <v>0.9999999999999999</v>
      </c>
      <c r="Z58" s="491"/>
      <c r="AA58" s="3"/>
      <c r="AB58" s="3"/>
      <c r="AC58" s="3"/>
      <c r="AD58" s="3"/>
      <c r="AE58" s="3"/>
    </row>
    <row r="59" ht="15.75" customHeight="1">
      <c r="A59" s="1"/>
      <c r="B59" s="142"/>
      <c r="C59" s="143"/>
      <c r="D59" s="144"/>
      <c r="E59" s="192"/>
      <c r="F59" s="146"/>
      <c r="G59" s="463"/>
      <c r="H59" s="148"/>
      <c r="I59" s="149"/>
      <c r="J59" s="72" t="s">
        <v>66</v>
      </c>
      <c r="K59" s="400"/>
      <c r="L59" s="91">
        <f t="shared" ref="L59:W59" si="47">($X$59)*L58</f>
        <v>460800</v>
      </c>
      <c r="M59" s="91">
        <f t="shared" si="47"/>
        <v>345600</v>
      </c>
      <c r="N59" s="91">
        <f t="shared" si="47"/>
        <v>403200</v>
      </c>
      <c r="O59" s="91">
        <f t="shared" si="47"/>
        <v>403200</v>
      </c>
      <c r="P59" s="91">
        <f t="shared" si="47"/>
        <v>460800</v>
      </c>
      <c r="Q59" s="91">
        <f t="shared" si="47"/>
        <v>460800</v>
      </c>
      <c r="R59" s="91">
        <f t="shared" si="47"/>
        <v>460800</v>
      </c>
      <c r="S59" s="91">
        <f t="shared" si="47"/>
        <v>460800</v>
      </c>
      <c r="T59" s="91">
        <f t="shared" si="47"/>
        <v>518400</v>
      </c>
      <c r="U59" s="91">
        <f t="shared" si="47"/>
        <v>576000</v>
      </c>
      <c r="V59" s="91">
        <f t="shared" si="47"/>
        <v>633600</v>
      </c>
      <c r="W59" s="91">
        <f t="shared" si="47"/>
        <v>576000</v>
      </c>
      <c r="X59" s="168">
        <v>5760000.0</v>
      </c>
      <c r="Y59" s="403">
        <v>2100000.0</v>
      </c>
      <c r="Z59" s="491">
        <f t="shared" ref="Z59:Z61" si="49">X59/Y59-1</f>
        <v>1.742857143</v>
      </c>
      <c r="AA59" s="3"/>
      <c r="AB59" s="3"/>
      <c r="AC59" s="3"/>
      <c r="AD59" s="3"/>
      <c r="AE59" s="3"/>
    </row>
    <row r="60" ht="15.75" customHeight="1">
      <c r="A60" s="1"/>
      <c r="B60" s="142"/>
      <c r="C60" s="143"/>
      <c r="D60" s="144"/>
      <c r="E60" s="192"/>
      <c r="F60" s="146"/>
      <c r="G60" s="463"/>
      <c r="H60" s="148"/>
      <c r="I60" s="149"/>
      <c r="J60" s="72" t="s">
        <v>67</v>
      </c>
      <c r="K60" s="404">
        <v>114.0</v>
      </c>
      <c r="L60" s="109">
        <f t="shared" ref="L60:W60" si="48">L59/$K$60</f>
        <v>4042.105263</v>
      </c>
      <c r="M60" s="109">
        <f t="shared" si="48"/>
        <v>3031.578947</v>
      </c>
      <c r="N60" s="109">
        <f t="shared" si="48"/>
        <v>3536.842105</v>
      </c>
      <c r="O60" s="109">
        <f t="shared" si="48"/>
        <v>3536.842105</v>
      </c>
      <c r="P60" s="109">
        <f t="shared" si="48"/>
        <v>4042.105263</v>
      </c>
      <c r="Q60" s="109">
        <f t="shared" si="48"/>
        <v>4042.105263</v>
      </c>
      <c r="R60" s="109">
        <f t="shared" si="48"/>
        <v>4042.105263</v>
      </c>
      <c r="S60" s="109">
        <f t="shared" si="48"/>
        <v>4042.105263</v>
      </c>
      <c r="T60" s="109">
        <f t="shared" si="48"/>
        <v>4547.368421</v>
      </c>
      <c r="U60" s="109">
        <f t="shared" si="48"/>
        <v>5052.631579</v>
      </c>
      <c r="V60" s="109">
        <f t="shared" si="48"/>
        <v>5557.894737</v>
      </c>
      <c r="W60" s="109">
        <f t="shared" si="48"/>
        <v>5052.631579</v>
      </c>
      <c r="X60" s="172">
        <f t="shared" ref="X60:X61" si="51">SUM(L60:W60)</f>
        <v>50526.31579</v>
      </c>
      <c r="Y60" s="405">
        <v>18421.052631578947</v>
      </c>
      <c r="Z60" s="491">
        <f t="shared" si="49"/>
        <v>1.742857143</v>
      </c>
      <c r="AA60" s="3"/>
      <c r="AB60" s="3"/>
      <c r="AC60" s="3"/>
      <c r="AD60" s="3"/>
      <c r="AE60" s="3"/>
    </row>
    <row r="61" ht="15.75" customHeight="1">
      <c r="A61" s="1"/>
      <c r="B61" s="142"/>
      <c r="C61" s="143"/>
      <c r="D61" s="144"/>
      <c r="E61" s="192"/>
      <c r="F61" s="146"/>
      <c r="G61" s="463"/>
      <c r="H61" s="148"/>
      <c r="I61" s="149"/>
      <c r="J61" s="124" t="s">
        <v>69</v>
      </c>
      <c r="K61" s="406">
        <v>0.039</v>
      </c>
      <c r="L61" s="127">
        <f t="shared" ref="L61:W61" si="50">L59*$K$61</f>
        <v>17971.2</v>
      </c>
      <c r="M61" s="127">
        <f t="shared" si="50"/>
        <v>13478.4</v>
      </c>
      <c r="N61" s="127">
        <f t="shared" si="50"/>
        <v>15724.8</v>
      </c>
      <c r="O61" s="127">
        <f t="shared" si="50"/>
        <v>15724.8</v>
      </c>
      <c r="P61" s="127">
        <f t="shared" si="50"/>
        <v>17971.2</v>
      </c>
      <c r="Q61" s="127">
        <f t="shared" si="50"/>
        <v>17971.2</v>
      </c>
      <c r="R61" s="127">
        <f t="shared" si="50"/>
        <v>17971.2</v>
      </c>
      <c r="S61" s="127">
        <f t="shared" si="50"/>
        <v>17971.2</v>
      </c>
      <c r="T61" s="127">
        <f t="shared" si="50"/>
        <v>20217.6</v>
      </c>
      <c r="U61" s="127">
        <f t="shared" si="50"/>
        <v>22464</v>
      </c>
      <c r="V61" s="127">
        <f t="shared" si="50"/>
        <v>24710.4</v>
      </c>
      <c r="W61" s="127">
        <f t="shared" si="50"/>
        <v>22464</v>
      </c>
      <c r="X61" s="181">
        <f t="shared" si="51"/>
        <v>224640</v>
      </c>
      <c r="Y61" s="407">
        <v>81900.0</v>
      </c>
      <c r="Z61" s="489">
        <f t="shared" si="49"/>
        <v>1.742857143</v>
      </c>
      <c r="AA61" s="3"/>
      <c r="AB61" s="3"/>
      <c r="AC61" s="3"/>
      <c r="AD61" s="3"/>
      <c r="AE61" s="3"/>
    </row>
    <row r="62" ht="15.75" customHeight="1">
      <c r="A62" s="1"/>
      <c r="B62" s="142"/>
      <c r="C62" s="143"/>
      <c r="D62" s="144"/>
      <c r="E62" s="192"/>
      <c r="F62" s="146"/>
      <c r="G62" s="463"/>
      <c r="H62" s="148"/>
      <c r="I62" s="149"/>
      <c r="J62" s="8"/>
      <c r="K62" s="195"/>
      <c r="L62" s="185"/>
      <c r="M62" s="185"/>
      <c r="N62" s="185"/>
      <c r="O62" s="185"/>
      <c r="P62" s="185"/>
      <c r="Q62" s="214"/>
      <c r="R62" s="185"/>
      <c r="S62" s="185"/>
      <c r="T62" s="185"/>
      <c r="U62" s="185"/>
      <c r="V62" s="185"/>
      <c r="W62" s="185"/>
      <c r="X62" s="186"/>
      <c r="Y62" s="464"/>
      <c r="Z62" s="494"/>
      <c r="AA62" s="3"/>
      <c r="AB62" s="3"/>
      <c r="AC62" s="3"/>
      <c r="AD62" s="3"/>
      <c r="AE62" s="3"/>
    </row>
    <row r="63" ht="15.75" customHeight="1">
      <c r="A63" s="1"/>
      <c r="B63" s="142">
        <v>11.0</v>
      </c>
      <c r="C63" s="466" t="s">
        <v>91</v>
      </c>
      <c r="D63" s="144">
        <f>80000*12</f>
        <v>960000</v>
      </c>
      <c r="E63" s="192">
        <v>60.0</v>
      </c>
      <c r="F63" s="146">
        <f>E63*D63</f>
        <v>57600000</v>
      </c>
      <c r="G63" s="463">
        <v>409141.4900000167</v>
      </c>
      <c r="H63" s="148">
        <v>13480.0</v>
      </c>
      <c r="I63" s="149">
        <v>30.351742581603613</v>
      </c>
      <c r="J63" s="459" t="s">
        <v>92</v>
      </c>
      <c r="K63" s="395"/>
      <c r="L63" s="397" t="s">
        <v>10</v>
      </c>
      <c r="M63" s="398" t="s">
        <v>14</v>
      </c>
      <c r="N63" s="397" t="s">
        <v>18</v>
      </c>
      <c r="O63" s="398" t="s">
        <v>22</v>
      </c>
      <c r="P63" s="397" t="s">
        <v>26</v>
      </c>
      <c r="Q63" s="398" t="s">
        <v>30</v>
      </c>
      <c r="R63" s="397" t="s">
        <v>34</v>
      </c>
      <c r="S63" s="398" t="s">
        <v>38</v>
      </c>
      <c r="T63" s="397" t="s">
        <v>42</v>
      </c>
      <c r="U63" s="398" t="s">
        <v>46</v>
      </c>
      <c r="V63" s="397" t="s">
        <v>50</v>
      </c>
      <c r="W63" s="398" t="s">
        <v>54</v>
      </c>
      <c r="X63" s="364">
        <v>2028.0</v>
      </c>
      <c r="Y63" s="399">
        <v>2027.0</v>
      </c>
      <c r="Z63" s="491"/>
      <c r="AA63" s="3"/>
      <c r="AB63" s="3"/>
      <c r="AC63" s="3"/>
      <c r="AD63" s="3"/>
      <c r="AE63" s="3"/>
    </row>
    <row r="64" ht="15.75" customHeight="1">
      <c r="A64" s="1"/>
      <c r="B64" s="142"/>
      <c r="C64" s="143"/>
      <c r="D64" s="144"/>
      <c r="E64" s="192"/>
      <c r="F64" s="146"/>
      <c r="G64" s="463"/>
      <c r="H64" s="148"/>
      <c r="I64" s="149"/>
      <c r="J64" s="72" t="s">
        <v>64</v>
      </c>
      <c r="K64" s="400"/>
      <c r="L64" s="401">
        <v>0.1</v>
      </c>
      <c r="M64" s="401">
        <v>0.07</v>
      </c>
      <c r="N64" s="401">
        <v>0.08</v>
      </c>
      <c r="O64" s="401">
        <v>0.08</v>
      </c>
      <c r="P64" s="401">
        <v>0.07</v>
      </c>
      <c r="Q64" s="401">
        <v>0.06</v>
      </c>
      <c r="R64" s="401">
        <v>0.06</v>
      </c>
      <c r="S64" s="401">
        <v>0.08</v>
      </c>
      <c r="T64" s="401">
        <v>0.09</v>
      </c>
      <c r="U64" s="401">
        <v>0.1</v>
      </c>
      <c r="V64" s="401">
        <v>0.1</v>
      </c>
      <c r="W64" s="401">
        <v>0.11</v>
      </c>
      <c r="X64" s="166">
        <f>SUM(L64:W64)</f>
        <v>1</v>
      </c>
      <c r="Y64" s="460">
        <v>0.9999999999999999</v>
      </c>
      <c r="Z64" s="491"/>
      <c r="AA64" s="3"/>
      <c r="AB64" s="3"/>
      <c r="AC64" s="3"/>
      <c r="AD64" s="3"/>
      <c r="AE64" s="3"/>
    </row>
    <row r="65" ht="15.75" customHeight="1">
      <c r="A65" s="1"/>
      <c r="B65" s="142"/>
      <c r="C65" s="143"/>
      <c r="D65" s="144"/>
      <c r="E65" s="192"/>
      <c r="F65" s="146"/>
      <c r="G65" s="463"/>
      <c r="H65" s="148"/>
      <c r="I65" s="149"/>
      <c r="J65" s="72" t="s">
        <v>66</v>
      </c>
      <c r="K65" s="400"/>
      <c r="L65" s="91">
        <f t="shared" ref="L65:W65" si="52">($X$65)*L64</f>
        <v>1152000</v>
      </c>
      <c r="M65" s="91">
        <f t="shared" si="52"/>
        <v>806400</v>
      </c>
      <c r="N65" s="91">
        <f t="shared" si="52"/>
        <v>921600</v>
      </c>
      <c r="O65" s="91">
        <f t="shared" si="52"/>
        <v>921600</v>
      </c>
      <c r="P65" s="91">
        <f t="shared" si="52"/>
        <v>806400</v>
      </c>
      <c r="Q65" s="91">
        <f t="shared" si="52"/>
        <v>691200</v>
      </c>
      <c r="R65" s="91">
        <f t="shared" si="52"/>
        <v>691200</v>
      </c>
      <c r="S65" s="91">
        <f t="shared" si="52"/>
        <v>921600</v>
      </c>
      <c r="T65" s="91">
        <f t="shared" si="52"/>
        <v>1036800</v>
      </c>
      <c r="U65" s="91">
        <f t="shared" si="52"/>
        <v>1152000</v>
      </c>
      <c r="V65" s="91">
        <f t="shared" si="52"/>
        <v>1152000</v>
      </c>
      <c r="W65" s="91">
        <f t="shared" si="52"/>
        <v>1267200</v>
      </c>
      <c r="X65" s="168">
        <v>1.152E7</v>
      </c>
      <c r="Y65" s="403">
        <v>3600000.0</v>
      </c>
      <c r="Z65" s="491">
        <f t="shared" ref="Z65:Z67" si="54">X65/Y65-1</f>
        <v>2.2</v>
      </c>
      <c r="AA65" s="3"/>
      <c r="AB65" s="3"/>
      <c r="AC65" s="3"/>
      <c r="AD65" s="3"/>
      <c r="AE65" s="3"/>
    </row>
    <row r="66" ht="15.75" customHeight="1">
      <c r="A66" s="1"/>
      <c r="B66" s="142"/>
      <c r="C66" s="143"/>
      <c r="D66" s="144"/>
      <c r="E66" s="192"/>
      <c r="F66" s="146"/>
      <c r="G66" s="463"/>
      <c r="H66" s="148"/>
      <c r="I66" s="149"/>
      <c r="J66" s="72" t="s">
        <v>67</v>
      </c>
      <c r="K66" s="471">
        <v>40.0</v>
      </c>
      <c r="L66" s="109">
        <f t="shared" ref="L66:W66" si="53">L65/$K$66</f>
        <v>28800</v>
      </c>
      <c r="M66" s="109">
        <f t="shared" si="53"/>
        <v>20160</v>
      </c>
      <c r="N66" s="109">
        <f t="shared" si="53"/>
        <v>23040</v>
      </c>
      <c r="O66" s="109">
        <f t="shared" si="53"/>
        <v>23040</v>
      </c>
      <c r="P66" s="109">
        <f t="shared" si="53"/>
        <v>20160</v>
      </c>
      <c r="Q66" s="109">
        <f t="shared" si="53"/>
        <v>17280</v>
      </c>
      <c r="R66" s="109">
        <f t="shared" si="53"/>
        <v>17280</v>
      </c>
      <c r="S66" s="109">
        <f t="shared" si="53"/>
        <v>23040</v>
      </c>
      <c r="T66" s="109">
        <f t="shared" si="53"/>
        <v>25920</v>
      </c>
      <c r="U66" s="109">
        <f t="shared" si="53"/>
        <v>28800</v>
      </c>
      <c r="V66" s="109">
        <f t="shared" si="53"/>
        <v>28800</v>
      </c>
      <c r="W66" s="109">
        <f t="shared" si="53"/>
        <v>31680</v>
      </c>
      <c r="X66" s="172">
        <f t="shared" ref="X66:X67" si="56">SUM(L66:W66)</f>
        <v>288000</v>
      </c>
      <c r="Y66" s="405">
        <v>90000.0</v>
      </c>
      <c r="Z66" s="491">
        <f t="shared" si="54"/>
        <v>2.2</v>
      </c>
      <c r="AA66" s="3"/>
      <c r="AB66" s="3"/>
      <c r="AC66" s="3"/>
      <c r="AD66" s="3"/>
      <c r="AE66" s="3"/>
    </row>
    <row r="67" ht="15.75" customHeight="1">
      <c r="A67" s="1"/>
      <c r="B67" s="142"/>
      <c r="C67" s="143"/>
      <c r="D67" s="144"/>
      <c r="E67" s="192"/>
      <c r="F67" s="146"/>
      <c r="G67" s="463"/>
      <c r="H67" s="148"/>
      <c r="I67" s="149"/>
      <c r="J67" s="124" t="s">
        <v>69</v>
      </c>
      <c r="K67" s="406">
        <v>0.03</v>
      </c>
      <c r="L67" s="127">
        <f t="shared" ref="L67:W67" si="55">MIN(L65, 650000) * 0.03 +
 MAX(0, MIN(L65, 2500000) - 650000) * 0.025 +
 MAX(0, MIN(L65, 4500000) - 2500000) * 0.0225 +
 MAX(0, MIN(L65, 7500000) - 4500000) * 0.02 +
 MAX(0, MIN(L65, 11500000) - 7500000) * 0.015 +
 MAX(0, L65 - 11500000) * 0.01</f>
        <v>32050</v>
      </c>
      <c r="M67" s="127">
        <f t="shared" si="55"/>
        <v>23410</v>
      </c>
      <c r="N67" s="127">
        <f t="shared" si="55"/>
        <v>26290</v>
      </c>
      <c r="O67" s="127">
        <f t="shared" si="55"/>
        <v>26290</v>
      </c>
      <c r="P67" s="127">
        <f t="shared" si="55"/>
        <v>23410</v>
      </c>
      <c r="Q67" s="127">
        <f t="shared" si="55"/>
        <v>20530</v>
      </c>
      <c r="R67" s="127">
        <f t="shared" si="55"/>
        <v>20530</v>
      </c>
      <c r="S67" s="127">
        <f t="shared" si="55"/>
        <v>26290</v>
      </c>
      <c r="T67" s="127">
        <f t="shared" si="55"/>
        <v>29170</v>
      </c>
      <c r="U67" s="127">
        <f t="shared" si="55"/>
        <v>32050</v>
      </c>
      <c r="V67" s="127">
        <f t="shared" si="55"/>
        <v>32050</v>
      </c>
      <c r="W67" s="127">
        <f t="shared" si="55"/>
        <v>34930</v>
      </c>
      <c r="X67" s="181">
        <f t="shared" si="56"/>
        <v>327000</v>
      </c>
      <c r="Y67" s="407">
        <v>108000.0</v>
      </c>
      <c r="Z67" s="489">
        <f t="shared" si="54"/>
        <v>2.027777778</v>
      </c>
      <c r="AA67" s="3"/>
      <c r="AB67" s="3"/>
      <c r="AC67" s="3"/>
      <c r="AD67" s="3"/>
      <c r="AE67" s="3"/>
    </row>
    <row r="68" ht="15.75" customHeight="1">
      <c r="A68" s="1"/>
      <c r="B68" s="142"/>
      <c r="C68" s="143"/>
      <c r="D68" s="144"/>
      <c r="E68" s="192"/>
      <c r="F68" s="146"/>
      <c r="G68" s="463"/>
      <c r="H68" s="148"/>
      <c r="I68" s="149"/>
      <c r="J68" s="8"/>
      <c r="K68" s="195"/>
      <c r="L68" s="185"/>
      <c r="M68" s="185"/>
      <c r="N68" s="185"/>
      <c r="O68" s="185"/>
      <c r="P68" s="185"/>
      <c r="Q68" s="214"/>
      <c r="R68" s="185"/>
      <c r="S68" s="185"/>
      <c r="T68" s="185"/>
      <c r="U68" s="185"/>
      <c r="V68" s="185"/>
      <c r="W68" s="185"/>
      <c r="X68" s="186"/>
      <c r="Y68" s="464"/>
      <c r="Z68" s="494"/>
      <c r="AA68" s="3"/>
      <c r="AB68" s="3"/>
      <c r="AC68" s="3"/>
      <c r="AD68" s="3"/>
      <c r="AE68" s="3"/>
    </row>
    <row r="69" ht="15.75" customHeight="1">
      <c r="A69" s="1"/>
      <c r="B69" s="142">
        <v>12.0</v>
      </c>
      <c r="C69" s="466" t="s">
        <v>93</v>
      </c>
      <c r="D69" s="144"/>
      <c r="E69" s="192"/>
      <c r="F69" s="146"/>
      <c r="G69" s="472">
        <v>1.776575282001109E7</v>
      </c>
      <c r="H69" s="229">
        <v>181714.0</v>
      </c>
      <c r="I69" s="230">
        <v>97.76766138003175</v>
      </c>
      <c r="J69" s="473" t="s">
        <v>94</v>
      </c>
      <c r="K69" s="395"/>
      <c r="L69" s="397" t="s">
        <v>10</v>
      </c>
      <c r="M69" s="398" t="s">
        <v>14</v>
      </c>
      <c r="N69" s="397" t="s">
        <v>18</v>
      </c>
      <c r="O69" s="398" t="s">
        <v>22</v>
      </c>
      <c r="P69" s="397" t="s">
        <v>26</v>
      </c>
      <c r="Q69" s="398" t="s">
        <v>30</v>
      </c>
      <c r="R69" s="397" t="s">
        <v>34</v>
      </c>
      <c r="S69" s="398" t="s">
        <v>38</v>
      </c>
      <c r="T69" s="397" t="s">
        <v>42</v>
      </c>
      <c r="U69" s="398" t="s">
        <v>46</v>
      </c>
      <c r="V69" s="397" t="s">
        <v>50</v>
      </c>
      <c r="W69" s="398" t="s">
        <v>54</v>
      </c>
      <c r="X69" s="364">
        <v>2028.0</v>
      </c>
      <c r="Y69" s="399">
        <v>2027.0</v>
      </c>
      <c r="Z69" s="491"/>
      <c r="AA69" s="3"/>
      <c r="AB69" s="3"/>
      <c r="AC69" s="3"/>
      <c r="AD69" s="3"/>
      <c r="AE69" s="3"/>
    </row>
    <row r="70" ht="15.75" customHeight="1">
      <c r="A70" s="1"/>
      <c r="B70" s="142"/>
      <c r="C70" s="143"/>
      <c r="D70" s="144"/>
      <c r="E70" s="192"/>
      <c r="F70" s="146"/>
      <c r="G70" s="463"/>
      <c r="H70" s="148"/>
      <c r="I70" s="149"/>
      <c r="J70" s="72" t="s">
        <v>64</v>
      </c>
      <c r="K70" s="400"/>
      <c r="L70" s="401">
        <v>0.08</v>
      </c>
      <c r="M70" s="401">
        <v>0.06</v>
      </c>
      <c r="N70" s="401">
        <v>0.07</v>
      </c>
      <c r="O70" s="401">
        <v>0.07</v>
      </c>
      <c r="P70" s="401">
        <v>0.08</v>
      </c>
      <c r="Q70" s="401">
        <v>0.08</v>
      </c>
      <c r="R70" s="401">
        <v>0.08</v>
      </c>
      <c r="S70" s="401">
        <v>0.08</v>
      </c>
      <c r="T70" s="401">
        <v>0.09</v>
      </c>
      <c r="U70" s="401">
        <v>0.1</v>
      </c>
      <c r="V70" s="401">
        <v>0.11</v>
      </c>
      <c r="W70" s="401">
        <v>0.1</v>
      </c>
      <c r="X70" s="166">
        <f>SUM(L70:W70)</f>
        <v>1</v>
      </c>
      <c r="Y70" s="460">
        <v>0.9999999999999999</v>
      </c>
      <c r="Z70" s="491"/>
      <c r="AA70" s="3"/>
      <c r="AB70" s="3"/>
      <c r="AC70" s="3"/>
      <c r="AD70" s="3"/>
      <c r="AE70" s="3"/>
    </row>
    <row r="71" ht="15.75" customHeight="1">
      <c r="A71" s="1"/>
      <c r="B71" s="142"/>
      <c r="C71" s="143"/>
      <c r="D71" s="144"/>
      <c r="E71" s="192"/>
      <c r="F71" s="146"/>
      <c r="G71" s="463"/>
      <c r="H71" s="148"/>
      <c r="I71" s="149"/>
      <c r="J71" s="72" t="s">
        <v>66</v>
      </c>
      <c r="K71" s="400"/>
      <c r="L71" s="91">
        <f t="shared" ref="L71:W71" si="57">($X$71)*L70</f>
        <v>3840000</v>
      </c>
      <c r="M71" s="91">
        <f t="shared" si="57"/>
        <v>2880000</v>
      </c>
      <c r="N71" s="91">
        <f t="shared" si="57"/>
        <v>3360000</v>
      </c>
      <c r="O71" s="91">
        <f t="shared" si="57"/>
        <v>3360000</v>
      </c>
      <c r="P71" s="91">
        <f t="shared" si="57"/>
        <v>3840000</v>
      </c>
      <c r="Q71" s="91">
        <f t="shared" si="57"/>
        <v>3840000</v>
      </c>
      <c r="R71" s="91">
        <f t="shared" si="57"/>
        <v>3840000</v>
      </c>
      <c r="S71" s="91">
        <f t="shared" si="57"/>
        <v>3840000</v>
      </c>
      <c r="T71" s="91">
        <f t="shared" si="57"/>
        <v>4320000</v>
      </c>
      <c r="U71" s="91">
        <f t="shared" si="57"/>
        <v>4800000</v>
      </c>
      <c r="V71" s="91">
        <f t="shared" si="57"/>
        <v>5280000</v>
      </c>
      <c r="W71" s="91">
        <f t="shared" si="57"/>
        <v>4800000</v>
      </c>
      <c r="X71" s="168">
        <v>4.8E7</v>
      </c>
      <c r="Y71" s="403">
        <v>3.0E7</v>
      </c>
      <c r="Z71" s="491">
        <f t="shared" ref="Z71:Z73" si="59">X71/Y71-1</f>
        <v>0.6</v>
      </c>
      <c r="AA71" s="3"/>
      <c r="AB71" s="3"/>
      <c r="AC71" s="3"/>
      <c r="AD71" s="3"/>
      <c r="AE71" s="3"/>
    </row>
    <row r="72" ht="15.75" customHeight="1">
      <c r="A72" s="1"/>
      <c r="B72" s="142"/>
      <c r="C72" s="143"/>
      <c r="D72" s="144"/>
      <c r="E72" s="192"/>
      <c r="F72" s="146"/>
      <c r="G72" s="463"/>
      <c r="H72" s="148"/>
      <c r="I72" s="149"/>
      <c r="J72" s="72" t="s">
        <v>67</v>
      </c>
      <c r="K72" s="404">
        <v>100.0</v>
      </c>
      <c r="L72" s="109">
        <f t="shared" ref="L72:W72" si="58">L71/$K$72</f>
        <v>38400</v>
      </c>
      <c r="M72" s="109">
        <f t="shared" si="58"/>
        <v>28800</v>
      </c>
      <c r="N72" s="109">
        <f t="shared" si="58"/>
        <v>33600</v>
      </c>
      <c r="O72" s="109">
        <f t="shared" si="58"/>
        <v>33600</v>
      </c>
      <c r="P72" s="109">
        <f t="shared" si="58"/>
        <v>38400</v>
      </c>
      <c r="Q72" s="109">
        <f t="shared" si="58"/>
        <v>38400</v>
      </c>
      <c r="R72" s="109">
        <f t="shared" si="58"/>
        <v>38400</v>
      </c>
      <c r="S72" s="109">
        <f t="shared" si="58"/>
        <v>38400</v>
      </c>
      <c r="T72" s="109">
        <f t="shared" si="58"/>
        <v>43200</v>
      </c>
      <c r="U72" s="109">
        <f t="shared" si="58"/>
        <v>48000</v>
      </c>
      <c r="V72" s="109">
        <f t="shared" si="58"/>
        <v>52800</v>
      </c>
      <c r="W72" s="109">
        <f t="shared" si="58"/>
        <v>48000</v>
      </c>
      <c r="X72" s="172">
        <f t="shared" ref="X72:X73" si="61">SUM(L72:W72)</f>
        <v>480000</v>
      </c>
      <c r="Y72" s="405">
        <v>300000.0</v>
      </c>
      <c r="Z72" s="491">
        <f t="shared" si="59"/>
        <v>0.6</v>
      </c>
      <c r="AA72" s="3"/>
      <c r="AB72" s="3"/>
      <c r="AC72" s="3"/>
      <c r="AD72" s="3"/>
      <c r="AE72" s="3"/>
    </row>
    <row r="73" ht="15.75" customHeight="1">
      <c r="A73" s="1"/>
      <c r="B73" s="142"/>
      <c r="C73" s="143"/>
      <c r="D73" s="144"/>
      <c r="E73" s="192"/>
      <c r="F73" s="146"/>
      <c r="G73" s="463"/>
      <c r="H73" s="148"/>
      <c r="I73" s="149"/>
      <c r="J73" s="124" t="s">
        <v>69</v>
      </c>
      <c r="K73" s="406">
        <v>0.06</v>
      </c>
      <c r="L73" s="127">
        <f t="shared" ref="L73:W73" si="60">IF(L71*$K$73&lt;100000,0,L71*$K$73)</f>
        <v>230400</v>
      </c>
      <c r="M73" s="127">
        <f t="shared" si="60"/>
        <v>172800</v>
      </c>
      <c r="N73" s="127">
        <f t="shared" si="60"/>
        <v>201600</v>
      </c>
      <c r="O73" s="127">
        <f t="shared" si="60"/>
        <v>201600</v>
      </c>
      <c r="P73" s="127">
        <f t="shared" si="60"/>
        <v>230400</v>
      </c>
      <c r="Q73" s="127">
        <f t="shared" si="60"/>
        <v>230400</v>
      </c>
      <c r="R73" s="127">
        <f t="shared" si="60"/>
        <v>230400</v>
      </c>
      <c r="S73" s="127">
        <f t="shared" si="60"/>
        <v>230400</v>
      </c>
      <c r="T73" s="127">
        <f t="shared" si="60"/>
        <v>259200</v>
      </c>
      <c r="U73" s="127">
        <f t="shared" si="60"/>
        <v>288000</v>
      </c>
      <c r="V73" s="127">
        <f t="shared" si="60"/>
        <v>316800</v>
      </c>
      <c r="W73" s="127">
        <f t="shared" si="60"/>
        <v>288000</v>
      </c>
      <c r="X73" s="181">
        <f t="shared" si="61"/>
        <v>2880000</v>
      </c>
      <c r="Y73" s="407">
        <v>1800000.0</v>
      </c>
      <c r="Z73" s="489">
        <f t="shared" si="59"/>
        <v>0.6</v>
      </c>
      <c r="AA73" s="3"/>
      <c r="AB73" s="3"/>
      <c r="AC73" s="3"/>
      <c r="AD73" s="3"/>
      <c r="AE73" s="3"/>
    </row>
    <row r="74" ht="15.75" customHeight="1">
      <c r="A74" s="1"/>
      <c r="B74" s="142"/>
      <c r="C74" s="143"/>
      <c r="D74" s="144"/>
      <c r="E74" s="192"/>
      <c r="F74" s="146"/>
      <c r="G74" s="463"/>
      <c r="H74" s="148"/>
      <c r="I74" s="149"/>
      <c r="J74" s="474"/>
      <c r="K74" s="238"/>
      <c r="L74" s="3"/>
      <c r="M74" s="3"/>
      <c r="N74" s="3"/>
      <c r="O74" s="3"/>
      <c r="P74" s="3"/>
      <c r="Q74" s="214"/>
      <c r="R74" s="3"/>
      <c r="S74" s="3"/>
      <c r="T74" s="3"/>
      <c r="U74" s="3"/>
      <c r="V74" s="3"/>
      <c r="W74" s="3"/>
      <c r="X74" s="3"/>
      <c r="Y74" s="3"/>
      <c r="Z74" s="494"/>
      <c r="AA74" s="3"/>
      <c r="AB74" s="3"/>
      <c r="AC74" s="3"/>
      <c r="AD74" s="3"/>
      <c r="AE74" s="3"/>
    </row>
    <row r="75" ht="15.75" customHeight="1">
      <c r="A75" s="1"/>
      <c r="B75" s="142">
        <v>13.0</v>
      </c>
      <c r="C75" s="466" t="s">
        <v>98</v>
      </c>
      <c r="D75" s="232"/>
      <c r="E75" s="233"/>
      <c r="F75" s="234"/>
      <c r="G75" s="475">
        <v>12323.000000000002</v>
      </c>
      <c r="H75" s="235">
        <v>52.0</v>
      </c>
      <c r="I75" s="236">
        <v>236.98076923076925</v>
      </c>
      <c r="J75" s="459" t="s">
        <v>98</v>
      </c>
      <c r="K75" s="395"/>
      <c r="L75" s="397" t="s">
        <v>10</v>
      </c>
      <c r="M75" s="398" t="s">
        <v>14</v>
      </c>
      <c r="N75" s="397" t="s">
        <v>18</v>
      </c>
      <c r="O75" s="398" t="s">
        <v>22</v>
      </c>
      <c r="P75" s="397" t="s">
        <v>26</v>
      </c>
      <c r="Q75" s="398" t="s">
        <v>30</v>
      </c>
      <c r="R75" s="397" t="s">
        <v>34</v>
      </c>
      <c r="S75" s="398" t="s">
        <v>38</v>
      </c>
      <c r="T75" s="397" t="s">
        <v>42</v>
      </c>
      <c r="U75" s="398" t="s">
        <v>46</v>
      </c>
      <c r="V75" s="397" t="s">
        <v>50</v>
      </c>
      <c r="W75" s="398" t="s">
        <v>54</v>
      </c>
      <c r="X75" s="364">
        <v>2028.0</v>
      </c>
      <c r="Y75" s="399">
        <v>2027.0</v>
      </c>
      <c r="Z75" s="491"/>
      <c r="AA75" s="3"/>
      <c r="AB75" s="3"/>
      <c r="AC75" s="3"/>
      <c r="AD75" s="3"/>
      <c r="AE75" s="3"/>
    </row>
    <row r="76" ht="15.75" customHeight="1">
      <c r="A76" s="1"/>
      <c r="B76" s="142"/>
      <c r="C76" s="143"/>
      <c r="D76" s="144"/>
      <c r="E76" s="192"/>
      <c r="F76" s="146"/>
      <c r="G76" s="463"/>
      <c r="H76" s="148"/>
      <c r="I76" s="149"/>
      <c r="J76" s="72" t="s">
        <v>64</v>
      </c>
      <c r="K76" s="400"/>
      <c r="L76" s="401">
        <v>0.07</v>
      </c>
      <c r="M76" s="401">
        <v>0.06</v>
      </c>
      <c r="N76" s="401">
        <v>0.07</v>
      </c>
      <c r="O76" s="401">
        <v>0.07</v>
      </c>
      <c r="P76" s="401">
        <v>0.08</v>
      </c>
      <c r="Q76" s="401">
        <v>0.06</v>
      </c>
      <c r="R76" s="401">
        <v>0.06</v>
      </c>
      <c r="S76" s="401">
        <v>0.07</v>
      </c>
      <c r="T76" s="401">
        <v>0.08</v>
      </c>
      <c r="U76" s="401">
        <v>0.09</v>
      </c>
      <c r="V76" s="401">
        <v>0.11</v>
      </c>
      <c r="W76" s="401">
        <v>0.18</v>
      </c>
      <c r="X76" s="166">
        <f>SUM(L76:W76)</f>
        <v>1</v>
      </c>
      <c r="Y76" s="460">
        <v>1.0</v>
      </c>
      <c r="Z76" s="491"/>
      <c r="AA76" s="3"/>
      <c r="AB76" s="3"/>
      <c r="AC76" s="3"/>
      <c r="AD76" s="3"/>
      <c r="AE76" s="3"/>
    </row>
    <row r="77" ht="15.75" customHeight="1">
      <c r="A77" s="1"/>
      <c r="B77" s="142"/>
      <c r="C77" s="143"/>
      <c r="D77" s="144"/>
      <c r="E77" s="192"/>
      <c r="F77" s="146"/>
      <c r="G77" s="463"/>
      <c r="H77" s="148"/>
      <c r="I77" s="149"/>
      <c r="J77" s="72" t="s">
        <v>66</v>
      </c>
      <c r="K77" s="400"/>
      <c r="L77" s="91">
        <f t="shared" ref="L77:W77" si="62">($X$77)*L76</f>
        <v>5574.53568</v>
      </c>
      <c r="M77" s="91">
        <f t="shared" si="62"/>
        <v>4778.17344</v>
      </c>
      <c r="N77" s="91">
        <f t="shared" si="62"/>
        <v>5574.53568</v>
      </c>
      <c r="O77" s="91">
        <f t="shared" si="62"/>
        <v>5574.53568</v>
      </c>
      <c r="P77" s="91">
        <f t="shared" si="62"/>
        <v>6370.89792</v>
      </c>
      <c r="Q77" s="91">
        <f t="shared" si="62"/>
        <v>4778.17344</v>
      </c>
      <c r="R77" s="91">
        <f t="shared" si="62"/>
        <v>4778.17344</v>
      </c>
      <c r="S77" s="91">
        <f t="shared" si="62"/>
        <v>5574.53568</v>
      </c>
      <c r="T77" s="91">
        <f t="shared" si="62"/>
        <v>6370.89792</v>
      </c>
      <c r="U77" s="91">
        <f t="shared" si="62"/>
        <v>7167.26016</v>
      </c>
      <c r="V77" s="91">
        <f t="shared" si="62"/>
        <v>8759.98464</v>
      </c>
      <c r="W77" s="91">
        <f t="shared" si="62"/>
        <v>14334.52032</v>
      </c>
      <c r="X77" s="168">
        <v>79636.224</v>
      </c>
      <c r="Y77" s="403">
        <v>40000.0</v>
      </c>
      <c r="Z77" s="491">
        <f t="shared" ref="Z77:Z79" si="64">X77/Y77-1</f>
        <v>0.9909056</v>
      </c>
      <c r="AA77" s="3"/>
      <c r="AB77" s="3"/>
      <c r="AC77" s="3"/>
      <c r="AD77" s="3"/>
      <c r="AE77" s="3"/>
    </row>
    <row r="78" ht="15.75" customHeight="1">
      <c r="A78" s="1"/>
      <c r="B78" s="142"/>
      <c r="C78" s="143"/>
      <c r="D78" s="144"/>
      <c r="E78" s="192"/>
      <c r="F78" s="146"/>
      <c r="G78" s="463"/>
      <c r="H78" s="148"/>
      <c r="I78" s="149"/>
      <c r="J78" s="72" t="s">
        <v>67</v>
      </c>
      <c r="K78" s="404">
        <v>115.0</v>
      </c>
      <c r="L78" s="109">
        <f t="shared" ref="L78:W78" si="63">L77/$K$78</f>
        <v>48.4742233</v>
      </c>
      <c r="M78" s="109">
        <f t="shared" si="63"/>
        <v>41.54933426</v>
      </c>
      <c r="N78" s="109">
        <f t="shared" si="63"/>
        <v>48.4742233</v>
      </c>
      <c r="O78" s="109">
        <f t="shared" si="63"/>
        <v>48.4742233</v>
      </c>
      <c r="P78" s="109">
        <f t="shared" si="63"/>
        <v>55.39911235</v>
      </c>
      <c r="Q78" s="109">
        <f t="shared" si="63"/>
        <v>41.54933426</v>
      </c>
      <c r="R78" s="109">
        <f t="shared" si="63"/>
        <v>41.54933426</v>
      </c>
      <c r="S78" s="109">
        <f t="shared" si="63"/>
        <v>48.4742233</v>
      </c>
      <c r="T78" s="109">
        <f t="shared" si="63"/>
        <v>55.39911235</v>
      </c>
      <c r="U78" s="109">
        <f t="shared" si="63"/>
        <v>62.32400139</v>
      </c>
      <c r="V78" s="109">
        <f t="shared" si="63"/>
        <v>76.17377948</v>
      </c>
      <c r="W78" s="109">
        <f t="shared" si="63"/>
        <v>124.6480028</v>
      </c>
      <c r="X78" s="172">
        <f t="shared" ref="X78:X79" si="66">SUM(L78:W78)</f>
        <v>692.4889043</v>
      </c>
      <c r="Y78" s="405">
        <v>347.8260869565218</v>
      </c>
      <c r="Z78" s="491">
        <f t="shared" si="64"/>
        <v>0.9909056</v>
      </c>
      <c r="AA78" s="3"/>
      <c r="AB78" s="3"/>
      <c r="AC78" s="3"/>
      <c r="AD78" s="3"/>
      <c r="AE78" s="3"/>
    </row>
    <row r="79" ht="15.75" customHeight="1">
      <c r="A79" s="1"/>
      <c r="B79" s="142"/>
      <c r="C79" s="143"/>
      <c r="D79" s="144"/>
      <c r="E79" s="192"/>
      <c r="F79" s="146"/>
      <c r="G79" s="463"/>
      <c r="H79" s="148"/>
      <c r="I79" s="149"/>
      <c r="J79" s="124" t="s">
        <v>69</v>
      </c>
      <c r="K79" s="412">
        <v>199.0</v>
      </c>
      <c r="L79" s="127">
        <f t="shared" ref="L79:W79" si="65">K79*1</f>
        <v>199</v>
      </c>
      <c r="M79" s="127">
        <f t="shared" si="65"/>
        <v>199</v>
      </c>
      <c r="N79" s="127">
        <f t="shared" si="65"/>
        <v>199</v>
      </c>
      <c r="O79" s="127">
        <f t="shared" si="65"/>
        <v>199</v>
      </c>
      <c r="P79" s="127">
        <f t="shared" si="65"/>
        <v>199</v>
      </c>
      <c r="Q79" s="127">
        <f t="shared" si="65"/>
        <v>199</v>
      </c>
      <c r="R79" s="127">
        <f t="shared" si="65"/>
        <v>199</v>
      </c>
      <c r="S79" s="127">
        <f t="shared" si="65"/>
        <v>199</v>
      </c>
      <c r="T79" s="127">
        <f t="shared" si="65"/>
        <v>199</v>
      </c>
      <c r="U79" s="127">
        <f t="shared" si="65"/>
        <v>199</v>
      </c>
      <c r="V79" s="127">
        <f t="shared" si="65"/>
        <v>199</v>
      </c>
      <c r="W79" s="127">
        <f t="shared" si="65"/>
        <v>199</v>
      </c>
      <c r="X79" s="181">
        <f t="shared" si="66"/>
        <v>2388</v>
      </c>
      <c r="Y79" s="407">
        <v>2388.0</v>
      </c>
      <c r="Z79" s="489">
        <f t="shared" si="64"/>
        <v>0</v>
      </c>
      <c r="AA79" s="3"/>
      <c r="AB79" s="3"/>
      <c r="AC79" s="3"/>
      <c r="AD79" s="3"/>
      <c r="AE79" s="3"/>
    </row>
    <row r="80" ht="15.75" customHeight="1">
      <c r="A80" s="1"/>
      <c r="B80" s="142"/>
      <c r="C80" s="143"/>
      <c r="D80" s="144"/>
      <c r="E80" s="192"/>
      <c r="F80" s="146"/>
      <c r="G80" s="463"/>
      <c r="H80" s="148"/>
      <c r="I80" s="149"/>
      <c r="J80" s="8"/>
      <c r="K80" s="9"/>
      <c r="L80" s="222"/>
      <c r="M80" s="222"/>
      <c r="N80" s="222"/>
      <c r="O80" s="222"/>
      <c r="P80" s="222"/>
      <c r="Q80" s="214"/>
      <c r="R80" s="222">
        <v>15.0</v>
      </c>
      <c r="S80" s="222">
        <v>25.0</v>
      </c>
      <c r="T80" s="222"/>
      <c r="U80" s="222"/>
      <c r="V80" s="222"/>
      <c r="W80" s="222"/>
      <c r="X80" s="222"/>
      <c r="Y80" s="222"/>
      <c r="Z80" s="493"/>
      <c r="AA80" s="185"/>
      <c r="AB80" s="185"/>
      <c r="AC80" s="3"/>
      <c r="AD80" s="3"/>
      <c r="AE80" s="3"/>
    </row>
    <row r="81" ht="15.75" customHeight="1">
      <c r="A81" s="1"/>
      <c r="B81" s="142">
        <v>14.0</v>
      </c>
      <c r="C81" s="466" t="s">
        <v>99</v>
      </c>
      <c r="D81" s="232">
        <f>200000*12</f>
        <v>2400000</v>
      </c>
      <c r="E81" s="233">
        <v>50.0</v>
      </c>
      <c r="F81" s="234">
        <f>E81*D81</f>
        <v>120000000</v>
      </c>
      <c r="G81" s="475" t="s">
        <v>63</v>
      </c>
      <c r="H81" s="235" t="s">
        <v>63</v>
      </c>
      <c r="I81" s="236" t="s">
        <v>63</v>
      </c>
      <c r="J81" s="459" t="s">
        <v>100</v>
      </c>
      <c r="K81" s="395"/>
      <c r="L81" s="397" t="s">
        <v>10</v>
      </c>
      <c r="M81" s="398" t="s">
        <v>14</v>
      </c>
      <c r="N81" s="397" t="s">
        <v>18</v>
      </c>
      <c r="O81" s="398" t="s">
        <v>22</v>
      </c>
      <c r="P81" s="397" t="s">
        <v>26</v>
      </c>
      <c r="Q81" s="398" t="s">
        <v>30</v>
      </c>
      <c r="R81" s="397" t="s">
        <v>34</v>
      </c>
      <c r="S81" s="398" t="s">
        <v>38</v>
      </c>
      <c r="T81" s="397" t="s">
        <v>42</v>
      </c>
      <c r="U81" s="398" t="s">
        <v>46</v>
      </c>
      <c r="V81" s="397" t="s">
        <v>50</v>
      </c>
      <c r="W81" s="398" t="s">
        <v>54</v>
      </c>
      <c r="X81" s="364">
        <v>2028.0</v>
      </c>
      <c r="Y81" s="399">
        <v>2027.0</v>
      </c>
      <c r="Z81" s="491"/>
      <c r="AA81" s="3"/>
      <c r="AB81" s="3"/>
      <c r="AC81" s="3"/>
      <c r="AD81" s="3"/>
      <c r="AE81" s="3"/>
    </row>
    <row r="82" ht="15.75" customHeight="1">
      <c r="A82" s="1"/>
      <c r="B82" s="142"/>
      <c r="C82" s="143"/>
      <c r="D82" s="144"/>
      <c r="E82" s="192"/>
      <c r="F82" s="146"/>
      <c r="G82" s="463"/>
      <c r="H82" s="148"/>
      <c r="I82" s="149"/>
      <c r="J82" s="72" t="s">
        <v>64</v>
      </c>
      <c r="K82" s="400"/>
      <c r="L82" s="401">
        <v>0.02</v>
      </c>
      <c r="M82" s="401">
        <v>0.02</v>
      </c>
      <c r="N82" s="401">
        <v>0.04</v>
      </c>
      <c r="O82" s="401">
        <v>0.05</v>
      </c>
      <c r="P82" s="401">
        <v>0.06</v>
      </c>
      <c r="Q82" s="401">
        <v>0.07</v>
      </c>
      <c r="R82" s="401">
        <v>0.08</v>
      </c>
      <c r="S82" s="401">
        <v>0.09</v>
      </c>
      <c r="T82" s="401">
        <v>0.12</v>
      </c>
      <c r="U82" s="401">
        <v>0.14</v>
      </c>
      <c r="V82" s="401">
        <v>0.15</v>
      </c>
      <c r="W82" s="401">
        <v>0.16</v>
      </c>
      <c r="X82" s="166">
        <f>SUM(L82:W82)</f>
        <v>1</v>
      </c>
      <c r="Y82" s="460">
        <v>1.0</v>
      </c>
      <c r="Z82" s="491"/>
      <c r="AA82" s="3"/>
      <c r="AB82" s="3"/>
      <c r="AC82" s="3"/>
      <c r="AD82" s="3"/>
      <c r="AE82" s="3"/>
    </row>
    <row r="83" ht="15.75" customHeight="1">
      <c r="A83" s="1"/>
      <c r="B83" s="142"/>
      <c r="C83" s="143"/>
      <c r="D83" s="144"/>
      <c r="E83" s="192"/>
      <c r="F83" s="146"/>
      <c r="G83" s="463"/>
      <c r="H83" s="148"/>
      <c r="I83" s="149"/>
      <c r="J83" s="72" t="s">
        <v>66</v>
      </c>
      <c r="K83" s="400"/>
      <c r="L83" s="91">
        <f t="shared" ref="L83:W83" si="67">($X$83)*L82</f>
        <v>480000</v>
      </c>
      <c r="M83" s="91">
        <f t="shared" si="67"/>
        <v>480000</v>
      </c>
      <c r="N83" s="91">
        <f t="shared" si="67"/>
        <v>960000</v>
      </c>
      <c r="O83" s="91">
        <f t="shared" si="67"/>
        <v>1200000</v>
      </c>
      <c r="P83" s="91">
        <f t="shared" si="67"/>
        <v>1440000</v>
      </c>
      <c r="Q83" s="91">
        <f t="shared" si="67"/>
        <v>1680000</v>
      </c>
      <c r="R83" s="91">
        <f t="shared" si="67"/>
        <v>1920000</v>
      </c>
      <c r="S83" s="91">
        <f t="shared" si="67"/>
        <v>2160000</v>
      </c>
      <c r="T83" s="91">
        <f t="shared" si="67"/>
        <v>2880000</v>
      </c>
      <c r="U83" s="91">
        <f t="shared" si="67"/>
        <v>3360000</v>
      </c>
      <c r="V83" s="91">
        <f t="shared" si="67"/>
        <v>3600000</v>
      </c>
      <c r="W83" s="91">
        <f t="shared" si="67"/>
        <v>3840000</v>
      </c>
      <c r="X83" s="168">
        <v>2.4E7</v>
      </c>
      <c r="Y83" s="403">
        <v>6000000.0</v>
      </c>
      <c r="Z83" s="491">
        <f t="shared" ref="Z83:Z85" si="69">X83/Y83-1</f>
        <v>3</v>
      </c>
      <c r="AA83" s="3"/>
      <c r="AB83" s="3"/>
      <c r="AC83" s="3"/>
      <c r="AD83" s="3"/>
      <c r="AE83" s="3"/>
    </row>
    <row r="84" ht="15.75" customHeight="1">
      <c r="A84" s="1"/>
      <c r="B84" s="142"/>
      <c r="C84" s="143"/>
      <c r="D84" s="144"/>
      <c r="E84" s="192"/>
      <c r="F84" s="146"/>
      <c r="G84" s="463"/>
      <c r="H84" s="148"/>
      <c r="I84" s="149"/>
      <c r="J84" s="72" t="s">
        <v>67</v>
      </c>
      <c r="K84" s="404">
        <v>50.0</v>
      </c>
      <c r="L84" s="109">
        <f t="shared" ref="L84:W84" si="68">L83/$K$84</f>
        <v>9600</v>
      </c>
      <c r="M84" s="109">
        <f t="shared" si="68"/>
        <v>9600</v>
      </c>
      <c r="N84" s="109">
        <f t="shared" si="68"/>
        <v>19200</v>
      </c>
      <c r="O84" s="109">
        <f t="shared" si="68"/>
        <v>24000</v>
      </c>
      <c r="P84" s="109">
        <f t="shared" si="68"/>
        <v>28800</v>
      </c>
      <c r="Q84" s="109">
        <f t="shared" si="68"/>
        <v>33600</v>
      </c>
      <c r="R84" s="109">
        <f t="shared" si="68"/>
        <v>38400</v>
      </c>
      <c r="S84" s="109">
        <f t="shared" si="68"/>
        <v>43200</v>
      </c>
      <c r="T84" s="109">
        <f t="shared" si="68"/>
        <v>57600</v>
      </c>
      <c r="U84" s="109">
        <f t="shared" si="68"/>
        <v>67200</v>
      </c>
      <c r="V84" s="109">
        <f t="shared" si="68"/>
        <v>72000</v>
      </c>
      <c r="W84" s="109">
        <f t="shared" si="68"/>
        <v>76800</v>
      </c>
      <c r="X84" s="172">
        <f t="shared" ref="X84:X85" si="71">SUM(L84:W84)</f>
        <v>480000</v>
      </c>
      <c r="Y84" s="405">
        <v>120000.0</v>
      </c>
      <c r="Z84" s="491">
        <f t="shared" si="69"/>
        <v>3</v>
      </c>
      <c r="AA84" s="3"/>
      <c r="AB84" s="3"/>
      <c r="AC84" s="3"/>
      <c r="AD84" s="3"/>
      <c r="AE84" s="3"/>
    </row>
    <row r="85" ht="15.75" customHeight="1">
      <c r="A85" s="1"/>
      <c r="B85" s="142"/>
      <c r="C85" s="143"/>
      <c r="D85" s="144"/>
      <c r="E85" s="192"/>
      <c r="F85" s="146"/>
      <c r="G85" s="463"/>
      <c r="H85" s="148"/>
      <c r="I85" s="149"/>
      <c r="J85" s="124" t="s">
        <v>69</v>
      </c>
      <c r="K85" s="406">
        <v>0.02</v>
      </c>
      <c r="L85" s="127">
        <f t="shared" ref="L85:W85" si="70">IF(L84=0, 0, (L83/L84) * (
  MIN(L84, 50000) * 0.02 +
  MAX(0, MIN(L84, 100000) - 50000) * 0.015 +
  MAX(0, L84 - 100000) * 0.01
))</f>
        <v>9600</v>
      </c>
      <c r="M85" s="127">
        <f t="shared" si="70"/>
        <v>9600</v>
      </c>
      <c r="N85" s="127">
        <f t="shared" si="70"/>
        <v>19200</v>
      </c>
      <c r="O85" s="127">
        <f t="shared" si="70"/>
        <v>24000</v>
      </c>
      <c r="P85" s="127">
        <f t="shared" si="70"/>
        <v>28800</v>
      </c>
      <c r="Q85" s="127">
        <f t="shared" si="70"/>
        <v>33600</v>
      </c>
      <c r="R85" s="127">
        <f t="shared" si="70"/>
        <v>38400</v>
      </c>
      <c r="S85" s="127">
        <f t="shared" si="70"/>
        <v>43200</v>
      </c>
      <c r="T85" s="127">
        <f t="shared" si="70"/>
        <v>55700</v>
      </c>
      <c r="U85" s="127">
        <f t="shared" si="70"/>
        <v>62900</v>
      </c>
      <c r="V85" s="127">
        <f t="shared" si="70"/>
        <v>66500</v>
      </c>
      <c r="W85" s="127">
        <f t="shared" si="70"/>
        <v>70100</v>
      </c>
      <c r="X85" s="181">
        <f t="shared" si="71"/>
        <v>461600</v>
      </c>
      <c r="Y85" s="407">
        <v>120000.0</v>
      </c>
      <c r="Z85" s="489">
        <f t="shared" si="69"/>
        <v>2.846666667</v>
      </c>
      <c r="AA85" s="3"/>
      <c r="AB85" s="3"/>
      <c r="AC85" s="3"/>
      <c r="AD85" s="3"/>
      <c r="AE85" s="3"/>
    </row>
    <row r="86" ht="15.75" customHeight="1">
      <c r="A86" s="1"/>
      <c r="B86" s="142"/>
      <c r="C86" s="143"/>
      <c r="D86" s="144"/>
      <c r="E86" s="192"/>
      <c r="F86" s="146"/>
      <c r="G86" s="463"/>
      <c r="H86" s="148"/>
      <c r="I86" s="149"/>
      <c r="J86" s="8"/>
      <c r="K86" s="9"/>
      <c r="L86" s="185"/>
      <c r="M86" s="185"/>
      <c r="N86" s="185"/>
      <c r="O86" s="185"/>
      <c r="P86" s="185"/>
      <c r="Q86" s="214"/>
      <c r="R86" s="185"/>
      <c r="S86" s="185"/>
      <c r="T86" s="185"/>
      <c r="U86" s="185"/>
      <c r="V86" s="185"/>
      <c r="W86" s="185"/>
      <c r="X86" s="185"/>
      <c r="Y86" s="185"/>
      <c r="Z86" s="494"/>
      <c r="AA86" s="185"/>
      <c r="AB86" s="185"/>
      <c r="AC86" s="185"/>
      <c r="AD86" s="185"/>
      <c r="AE86" s="185"/>
    </row>
    <row r="87" ht="15.75" customHeight="1">
      <c r="A87" s="1"/>
      <c r="B87" s="142">
        <v>15.0</v>
      </c>
      <c r="C87" s="466" t="s">
        <v>101</v>
      </c>
      <c r="D87" s="144">
        <f>3500*4*12</f>
        <v>168000</v>
      </c>
      <c r="E87" s="192">
        <v>40.0</v>
      </c>
      <c r="F87" s="146">
        <f>E87*D87</f>
        <v>6720000</v>
      </c>
      <c r="G87" s="463">
        <v>9704.999999999982</v>
      </c>
      <c r="H87" s="148">
        <v>519.0</v>
      </c>
      <c r="I87" s="149">
        <v>18.699421965317885</v>
      </c>
      <c r="J87" s="468" t="s">
        <v>102</v>
      </c>
      <c r="K87" s="395"/>
      <c r="L87" s="397" t="s">
        <v>10</v>
      </c>
      <c r="M87" s="398" t="s">
        <v>14</v>
      </c>
      <c r="N87" s="397" t="s">
        <v>18</v>
      </c>
      <c r="O87" s="398" t="s">
        <v>22</v>
      </c>
      <c r="P87" s="397" t="s">
        <v>26</v>
      </c>
      <c r="Q87" s="398" t="s">
        <v>30</v>
      </c>
      <c r="R87" s="397" t="s">
        <v>34</v>
      </c>
      <c r="S87" s="398" t="s">
        <v>38</v>
      </c>
      <c r="T87" s="397" t="s">
        <v>42</v>
      </c>
      <c r="U87" s="398" t="s">
        <v>46</v>
      </c>
      <c r="V87" s="397" t="s">
        <v>50</v>
      </c>
      <c r="W87" s="398" t="s">
        <v>54</v>
      </c>
      <c r="X87" s="364">
        <v>2028.0</v>
      </c>
      <c r="Y87" s="399">
        <v>2027.0</v>
      </c>
      <c r="Z87" s="491"/>
      <c r="AA87" s="3"/>
      <c r="AB87" s="3"/>
      <c r="AC87" s="3"/>
      <c r="AD87" s="3"/>
      <c r="AE87" s="3"/>
    </row>
    <row r="88" ht="15.75" customHeight="1">
      <c r="A88" s="1"/>
      <c r="B88" s="142"/>
      <c r="C88" s="143"/>
      <c r="D88" s="144"/>
      <c r="E88" s="192"/>
      <c r="F88" s="146"/>
      <c r="G88" s="463"/>
      <c r="H88" s="148"/>
      <c r="I88" s="149"/>
      <c r="J88" s="72" t="s">
        <v>64</v>
      </c>
      <c r="K88" s="400"/>
      <c r="L88" s="401">
        <v>0.08</v>
      </c>
      <c r="M88" s="401">
        <v>0.06</v>
      </c>
      <c r="N88" s="401">
        <v>0.07</v>
      </c>
      <c r="O88" s="401">
        <v>0.07</v>
      </c>
      <c r="P88" s="401">
        <v>0.08</v>
      </c>
      <c r="Q88" s="401">
        <v>0.08</v>
      </c>
      <c r="R88" s="401">
        <v>0.08</v>
      </c>
      <c r="S88" s="401">
        <v>0.08</v>
      </c>
      <c r="T88" s="401">
        <v>0.09</v>
      </c>
      <c r="U88" s="401">
        <v>0.1</v>
      </c>
      <c r="V88" s="401">
        <v>0.11</v>
      </c>
      <c r="W88" s="401">
        <v>0.1</v>
      </c>
      <c r="X88" s="166">
        <f>SUM(L88:W88)</f>
        <v>1</v>
      </c>
      <c r="Y88" s="460">
        <v>0.9999999999999999</v>
      </c>
      <c r="Z88" s="491"/>
      <c r="AA88" s="3"/>
      <c r="AB88" s="3"/>
      <c r="AC88" s="3"/>
      <c r="AD88" s="3"/>
      <c r="AE88" s="3"/>
    </row>
    <row r="89" ht="15.75" customHeight="1">
      <c r="A89" s="1"/>
      <c r="B89" s="142"/>
      <c r="C89" s="143"/>
      <c r="D89" s="144"/>
      <c r="E89" s="192"/>
      <c r="F89" s="146"/>
      <c r="G89" s="463"/>
      <c r="H89" s="148"/>
      <c r="I89" s="149"/>
      <c r="J89" s="72" t="s">
        <v>66</v>
      </c>
      <c r="K89" s="400"/>
      <c r="L89" s="91">
        <f t="shared" ref="L89:W89" si="72">($X$89)*L88</f>
        <v>107520</v>
      </c>
      <c r="M89" s="91">
        <f t="shared" si="72"/>
        <v>80640</v>
      </c>
      <c r="N89" s="91">
        <f t="shared" si="72"/>
        <v>94080</v>
      </c>
      <c r="O89" s="91">
        <f t="shared" si="72"/>
        <v>94080</v>
      </c>
      <c r="P89" s="91">
        <f t="shared" si="72"/>
        <v>107520</v>
      </c>
      <c r="Q89" s="91">
        <f t="shared" si="72"/>
        <v>107520</v>
      </c>
      <c r="R89" s="91">
        <f t="shared" si="72"/>
        <v>107520</v>
      </c>
      <c r="S89" s="91">
        <f t="shared" si="72"/>
        <v>107520</v>
      </c>
      <c r="T89" s="91">
        <f t="shared" si="72"/>
        <v>120960</v>
      </c>
      <c r="U89" s="91">
        <f t="shared" si="72"/>
        <v>134400</v>
      </c>
      <c r="V89" s="91">
        <f t="shared" si="72"/>
        <v>147840</v>
      </c>
      <c r="W89" s="91">
        <f t="shared" si="72"/>
        <v>134400</v>
      </c>
      <c r="X89" s="168">
        <v>1344000.0</v>
      </c>
      <c r="Y89" s="403">
        <v>165000.0</v>
      </c>
      <c r="Z89" s="491">
        <f t="shared" ref="Z89:Z91" si="74">X89/Y89-1</f>
        <v>7.145454545</v>
      </c>
      <c r="AA89" s="3"/>
      <c r="AB89" s="3"/>
      <c r="AC89" s="3"/>
      <c r="AD89" s="3"/>
      <c r="AE89" s="3"/>
    </row>
    <row r="90" ht="15.75" customHeight="1">
      <c r="A90" s="1"/>
      <c r="B90" s="142"/>
      <c r="C90" s="143"/>
      <c r="D90" s="144"/>
      <c r="E90" s="192"/>
      <c r="F90" s="146"/>
      <c r="G90" s="463"/>
      <c r="H90" s="148"/>
      <c r="I90" s="149"/>
      <c r="J90" s="72" t="s">
        <v>67</v>
      </c>
      <c r="K90" s="404">
        <v>30.0</v>
      </c>
      <c r="L90" s="109">
        <f t="shared" ref="L90:W90" si="73">L89/$K$90</f>
        <v>3584</v>
      </c>
      <c r="M90" s="109">
        <f t="shared" si="73"/>
        <v>2688</v>
      </c>
      <c r="N90" s="109">
        <f t="shared" si="73"/>
        <v>3136</v>
      </c>
      <c r="O90" s="109">
        <f t="shared" si="73"/>
        <v>3136</v>
      </c>
      <c r="P90" s="109">
        <f t="shared" si="73"/>
        <v>3584</v>
      </c>
      <c r="Q90" s="109">
        <f t="shared" si="73"/>
        <v>3584</v>
      </c>
      <c r="R90" s="109">
        <f t="shared" si="73"/>
        <v>3584</v>
      </c>
      <c r="S90" s="109">
        <f t="shared" si="73"/>
        <v>3584</v>
      </c>
      <c r="T90" s="109">
        <f t="shared" si="73"/>
        <v>4032</v>
      </c>
      <c r="U90" s="109">
        <f t="shared" si="73"/>
        <v>4480</v>
      </c>
      <c r="V90" s="109">
        <f t="shared" si="73"/>
        <v>4928</v>
      </c>
      <c r="W90" s="109">
        <f t="shared" si="73"/>
        <v>4480</v>
      </c>
      <c r="X90" s="172">
        <f t="shared" ref="X90:X91" si="76">SUM(L90:W90)</f>
        <v>44800</v>
      </c>
      <c r="Y90" s="405">
        <v>5500.0</v>
      </c>
      <c r="Z90" s="491">
        <f t="shared" si="74"/>
        <v>7.145454545</v>
      </c>
      <c r="AA90" s="3"/>
      <c r="AB90" s="3"/>
      <c r="AC90" s="3"/>
      <c r="AD90" s="3"/>
      <c r="AE90" s="3"/>
    </row>
    <row r="91" ht="15.75" customHeight="1">
      <c r="A91" s="1"/>
      <c r="B91" s="142"/>
      <c r="C91" s="143"/>
      <c r="D91" s="144"/>
      <c r="E91" s="192"/>
      <c r="F91" s="146"/>
      <c r="G91" s="463"/>
      <c r="H91" s="148"/>
      <c r="I91" s="149"/>
      <c r="J91" s="124" t="s">
        <v>69</v>
      </c>
      <c r="K91" s="406">
        <v>0.049</v>
      </c>
      <c r="L91" s="127">
        <f t="shared" ref="L91:W91" si="75">L89*$K$91</f>
        <v>5268.48</v>
      </c>
      <c r="M91" s="127">
        <f t="shared" si="75"/>
        <v>3951.36</v>
      </c>
      <c r="N91" s="127">
        <f t="shared" si="75"/>
        <v>4609.92</v>
      </c>
      <c r="O91" s="127">
        <f t="shared" si="75"/>
        <v>4609.92</v>
      </c>
      <c r="P91" s="127">
        <f t="shared" si="75"/>
        <v>5268.48</v>
      </c>
      <c r="Q91" s="127">
        <f t="shared" si="75"/>
        <v>5268.48</v>
      </c>
      <c r="R91" s="127">
        <f t="shared" si="75"/>
        <v>5268.48</v>
      </c>
      <c r="S91" s="127">
        <f t="shared" si="75"/>
        <v>5268.48</v>
      </c>
      <c r="T91" s="127">
        <f t="shared" si="75"/>
        <v>5927.04</v>
      </c>
      <c r="U91" s="127">
        <f t="shared" si="75"/>
        <v>6585.6</v>
      </c>
      <c r="V91" s="127">
        <f t="shared" si="75"/>
        <v>7244.16</v>
      </c>
      <c r="W91" s="127">
        <f t="shared" si="75"/>
        <v>6585.6</v>
      </c>
      <c r="X91" s="181">
        <f t="shared" si="76"/>
        <v>65856</v>
      </c>
      <c r="Y91" s="407">
        <v>8085.000000000001</v>
      </c>
      <c r="Z91" s="489">
        <f t="shared" si="74"/>
        <v>7.145454545</v>
      </c>
      <c r="AA91" s="3"/>
      <c r="AB91" s="3"/>
      <c r="AC91" s="3"/>
      <c r="AD91" s="3"/>
      <c r="AE91" s="3"/>
    </row>
    <row r="92" ht="15.75" customHeight="1">
      <c r="A92" s="1"/>
      <c r="B92" s="142"/>
      <c r="C92" s="143"/>
      <c r="D92" s="144"/>
      <c r="E92" s="192"/>
      <c r="F92" s="146"/>
      <c r="G92" s="463"/>
      <c r="H92" s="148"/>
      <c r="I92" s="149"/>
      <c r="J92" s="8"/>
      <c r="K92" s="9"/>
      <c r="L92" s="185"/>
      <c r="M92" s="185"/>
      <c r="N92" s="185"/>
      <c r="O92" s="185"/>
      <c r="P92" s="185"/>
      <c r="Q92" s="214"/>
      <c r="R92" s="185"/>
      <c r="S92" s="185"/>
      <c r="T92" s="185"/>
      <c r="U92" s="185"/>
      <c r="V92" s="185"/>
      <c r="W92" s="185"/>
      <c r="X92" s="185"/>
      <c r="Y92" s="185"/>
      <c r="Z92" s="494"/>
      <c r="AA92" s="3"/>
      <c r="AB92" s="3"/>
      <c r="AC92" s="3"/>
      <c r="AD92" s="3"/>
      <c r="AE92" s="3"/>
    </row>
    <row r="93" ht="15.75" customHeight="1">
      <c r="A93" s="1"/>
      <c r="B93" s="476">
        <v>16.0</v>
      </c>
      <c r="C93" s="143" t="s">
        <v>103</v>
      </c>
      <c r="D93" s="144">
        <f>15000*12</f>
        <v>180000</v>
      </c>
      <c r="E93" s="192">
        <v>32.0</v>
      </c>
      <c r="F93" s="146">
        <f>E93*D93</f>
        <v>5760000</v>
      </c>
      <c r="G93" s="477">
        <v>356599.2800000031</v>
      </c>
      <c r="H93" s="245">
        <v>11282.0</v>
      </c>
      <c r="I93" s="246">
        <v>31.607807126396306</v>
      </c>
      <c r="J93" s="468" t="s">
        <v>104</v>
      </c>
      <c r="K93" s="395"/>
      <c r="L93" s="397" t="s">
        <v>10</v>
      </c>
      <c r="M93" s="398" t="s">
        <v>14</v>
      </c>
      <c r="N93" s="397" t="s">
        <v>18</v>
      </c>
      <c r="O93" s="398" t="s">
        <v>22</v>
      </c>
      <c r="P93" s="397" t="s">
        <v>26</v>
      </c>
      <c r="Q93" s="398" t="s">
        <v>30</v>
      </c>
      <c r="R93" s="397" t="s">
        <v>34</v>
      </c>
      <c r="S93" s="398" t="s">
        <v>38</v>
      </c>
      <c r="T93" s="397" t="s">
        <v>42</v>
      </c>
      <c r="U93" s="398" t="s">
        <v>46</v>
      </c>
      <c r="V93" s="397" t="s">
        <v>50</v>
      </c>
      <c r="W93" s="398" t="s">
        <v>54</v>
      </c>
      <c r="X93" s="364">
        <v>2028.0</v>
      </c>
      <c r="Y93" s="399">
        <v>2027.0</v>
      </c>
      <c r="Z93" s="491"/>
      <c r="AA93" s="3"/>
      <c r="AB93" s="3"/>
      <c r="AC93" s="3"/>
      <c r="AD93" s="3"/>
      <c r="AE93" s="3"/>
    </row>
    <row r="94" ht="15.75" customHeight="1">
      <c r="A94" s="1"/>
      <c r="B94" s="142"/>
      <c r="C94" s="143"/>
      <c r="D94" s="144"/>
      <c r="E94" s="192"/>
      <c r="F94" s="146"/>
      <c r="G94" s="463"/>
      <c r="H94" s="148"/>
      <c r="I94" s="149"/>
      <c r="J94" s="72" t="s">
        <v>64</v>
      </c>
      <c r="K94" s="400"/>
      <c r="L94" s="401">
        <v>0.09</v>
      </c>
      <c r="M94" s="401">
        <v>0.06</v>
      </c>
      <c r="N94" s="401">
        <v>0.07</v>
      </c>
      <c r="O94" s="401">
        <v>0.07</v>
      </c>
      <c r="P94" s="401">
        <v>0.08</v>
      </c>
      <c r="Q94" s="401">
        <v>0.08</v>
      </c>
      <c r="R94" s="401">
        <v>0.08</v>
      </c>
      <c r="S94" s="401">
        <v>0.08</v>
      </c>
      <c r="T94" s="401">
        <v>0.09</v>
      </c>
      <c r="U94" s="401">
        <v>0.09</v>
      </c>
      <c r="V94" s="401">
        <v>0.1</v>
      </c>
      <c r="W94" s="401">
        <v>0.11</v>
      </c>
      <c r="X94" s="166">
        <f>SUM(L94:W94)</f>
        <v>1</v>
      </c>
      <c r="Y94" s="460">
        <v>0.9999999999999999</v>
      </c>
      <c r="Z94" s="491"/>
      <c r="AA94" s="3"/>
      <c r="AB94" s="3"/>
      <c r="AC94" s="3"/>
      <c r="AD94" s="3"/>
      <c r="AE94" s="3"/>
    </row>
    <row r="95" ht="15.75" customHeight="1">
      <c r="A95" s="1"/>
      <c r="B95" s="142"/>
      <c r="C95" s="143"/>
      <c r="D95" s="144"/>
      <c r="E95" s="192"/>
      <c r="F95" s="146"/>
      <c r="G95" s="463"/>
      <c r="H95" s="148"/>
      <c r="I95" s="149"/>
      <c r="J95" s="72" t="s">
        <v>66</v>
      </c>
      <c r="K95" s="400"/>
      <c r="L95" s="91">
        <f t="shared" ref="L95:W95" si="77">L94*$X$95</f>
        <v>103680</v>
      </c>
      <c r="M95" s="91">
        <f t="shared" si="77"/>
        <v>69120</v>
      </c>
      <c r="N95" s="91">
        <f t="shared" si="77"/>
        <v>80640</v>
      </c>
      <c r="O95" s="91">
        <f t="shared" si="77"/>
        <v>80640</v>
      </c>
      <c r="P95" s="91">
        <f t="shared" si="77"/>
        <v>92160</v>
      </c>
      <c r="Q95" s="91">
        <f t="shared" si="77"/>
        <v>92160</v>
      </c>
      <c r="R95" s="91">
        <f t="shared" si="77"/>
        <v>92160</v>
      </c>
      <c r="S95" s="91">
        <f t="shared" si="77"/>
        <v>92160</v>
      </c>
      <c r="T95" s="91">
        <f t="shared" si="77"/>
        <v>103680</v>
      </c>
      <c r="U95" s="91">
        <f t="shared" si="77"/>
        <v>103680</v>
      </c>
      <c r="V95" s="91">
        <f t="shared" si="77"/>
        <v>115200</v>
      </c>
      <c r="W95" s="91">
        <f t="shared" si="77"/>
        <v>126720</v>
      </c>
      <c r="X95" s="168">
        <v>1152000.0</v>
      </c>
      <c r="Y95" s="403">
        <v>750000.0</v>
      </c>
      <c r="Z95" s="491">
        <f t="shared" ref="Z95:Z97" si="79">X95/Y95-1</f>
        <v>0.536</v>
      </c>
      <c r="AA95" s="3"/>
      <c r="AB95" s="3"/>
      <c r="AC95" s="3"/>
      <c r="AD95" s="3"/>
      <c r="AE95" s="3"/>
    </row>
    <row r="96" ht="15.75" customHeight="1">
      <c r="A96" s="1"/>
      <c r="B96" s="142"/>
      <c r="C96" s="143"/>
      <c r="D96" s="144"/>
      <c r="E96" s="192"/>
      <c r="F96" s="146"/>
      <c r="G96" s="463"/>
      <c r="H96" s="148"/>
      <c r="I96" s="149"/>
      <c r="J96" s="72" t="s">
        <v>67</v>
      </c>
      <c r="K96" s="404">
        <v>30.0</v>
      </c>
      <c r="L96" s="109">
        <f t="shared" ref="L96:W96" si="78">L95/$K$96</f>
        <v>3456</v>
      </c>
      <c r="M96" s="109">
        <f t="shared" si="78"/>
        <v>2304</v>
      </c>
      <c r="N96" s="109">
        <f t="shared" si="78"/>
        <v>2688</v>
      </c>
      <c r="O96" s="109">
        <f t="shared" si="78"/>
        <v>2688</v>
      </c>
      <c r="P96" s="109">
        <f t="shared" si="78"/>
        <v>3072</v>
      </c>
      <c r="Q96" s="109">
        <f t="shared" si="78"/>
        <v>3072</v>
      </c>
      <c r="R96" s="109">
        <f t="shared" si="78"/>
        <v>3072</v>
      </c>
      <c r="S96" s="109">
        <f t="shared" si="78"/>
        <v>3072</v>
      </c>
      <c r="T96" s="109">
        <f t="shared" si="78"/>
        <v>3456</v>
      </c>
      <c r="U96" s="109">
        <f t="shared" si="78"/>
        <v>3456</v>
      </c>
      <c r="V96" s="109">
        <f t="shared" si="78"/>
        <v>3840</v>
      </c>
      <c r="W96" s="109">
        <f t="shared" si="78"/>
        <v>4224</v>
      </c>
      <c r="X96" s="172">
        <f t="shared" ref="X96:X97" si="81">SUM(L96:W96)</f>
        <v>38400</v>
      </c>
      <c r="Y96" s="405">
        <v>25000.0</v>
      </c>
      <c r="Z96" s="491">
        <f t="shared" si="79"/>
        <v>0.536</v>
      </c>
      <c r="AA96" s="3"/>
      <c r="AB96" s="3"/>
      <c r="AC96" s="3"/>
      <c r="AD96" s="3"/>
      <c r="AE96" s="3"/>
    </row>
    <row r="97" ht="15.75" customHeight="1">
      <c r="A97" s="1"/>
      <c r="B97" s="142"/>
      <c r="C97" s="143"/>
      <c r="D97" s="144"/>
      <c r="E97" s="192"/>
      <c r="F97" s="146"/>
      <c r="G97" s="463"/>
      <c r="H97" s="148"/>
      <c r="I97" s="149"/>
      <c r="J97" s="124" t="s">
        <v>69</v>
      </c>
      <c r="K97" s="413">
        <v>0.04</v>
      </c>
      <c r="L97" s="127">
        <f t="shared" ref="L97:W97" si="80">L95*$K$97</f>
        <v>4147.2</v>
      </c>
      <c r="M97" s="127">
        <f t="shared" si="80"/>
        <v>2764.8</v>
      </c>
      <c r="N97" s="127">
        <f t="shared" si="80"/>
        <v>3225.6</v>
      </c>
      <c r="O97" s="127">
        <f t="shared" si="80"/>
        <v>3225.6</v>
      </c>
      <c r="P97" s="127">
        <f t="shared" si="80"/>
        <v>3686.4</v>
      </c>
      <c r="Q97" s="127">
        <f t="shared" si="80"/>
        <v>3686.4</v>
      </c>
      <c r="R97" s="127">
        <f t="shared" si="80"/>
        <v>3686.4</v>
      </c>
      <c r="S97" s="127">
        <f t="shared" si="80"/>
        <v>3686.4</v>
      </c>
      <c r="T97" s="127">
        <f t="shared" si="80"/>
        <v>4147.2</v>
      </c>
      <c r="U97" s="127">
        <f t="shared" si="80"/>
        <v>4147.2</v>
      </c>
      <c r="V97" s="127">
        <f t="shared" si="80"/>
        <v>4608</v>
      </c>
      <c r="W97" s="127">
        <f t="shared" si="80"/>
        <v>5068.8</v>
      </c>
      <c r="X97" s="181">
        <f t="shared" si="81"/>
        <v>46080</v>
      </c>
      <c r="Y97" s="407">
        <v>30000.0</v>
      </c>
      <c r="Z97" s="489">
        <f t="shared" si="79"/>
        <v>0.536</v>
      </c>
      <c r="AA97" s="3"/>
      <c r="AB97" s="3"/>
      <c r="AC97" s="3"/>
      <c r="AD97" s="3"/>
      <c r="AE97" s="3"/>
    </row>
    <row r="98" ht="15.75" customHeight="1">
      <c r="G98" s="478"/>
      <c r="J98" s="479"/>
      <c r="K98" s="238"/>
      <c r="L98" s="15"/>
      <c r="M98" s="15"/>
      <c r="N98" s="15"/>
      <c r="O98" s="15"/>
      <c r="P98" s="15"/>
      <c r="Q98" s="214"/>
      <c r="R98" s="15"/>
      <c r="S98" s="15"/>
      <c r="T98" s="15"/>
      <c r="U98" s="15"/>
      <c r="V98" s="15"/>
      <c r="W98" s="15"/>
      <c r="X98" s="14"/>
      <c r="Y98" s="14"/>
      <c r="Z98" s="494"/>
      <c r="AA98" s="3"/>
      <c r="AB98" s="3"/>
      <c r="AC98" s="3"/>
      <c r="AD98" s="3"/>
      <c r="AE98" s="3"/>
    </row>
    <row r="99" ht="15.75" customHeight="1">
      <c r="A99" s="1"/>
      <c r="B99" s="476">
        <v>17.0</v>
      </c>
      <c r="C99" s="143" t="str">
        <f>J99</f>
        <v>OUTBACK (180)</v>
      </c>
      <c r="D99" s="144"/>
      <c r="E99" s="192"/>
      <c r="F99" s="146"/>
      <c r="G99" s="477"/>
      <c r="H99" s="245"/>
      <c r="I99" s="246"/>
      <c r="J99" s="459" t="s">
        <v>105</v>
      </c>
      <c r="K99" s="395"/>
      <c r="L99" s="397" t="s">
        <v>10</v>
      </c>
      <c r="M99" s="398" t="s">
        <v>14</v>
      </c>
      <c r="N99" s="397" t="s">
        <v>18</v>
      </c>
      <c r="O99" s="398" t="s">
        <v>22</v>
      </c>
      <c r="P99" s="397" t="s">
        <v>26</v>
      </c>
      <c r="Q99" s="398" t="s">
        <v>30</v>
      </c>
      <c r="R99" s="397" t="s">
        <v>34</v>
      </c>
      <c r="S99" s="398" t="s">
        <v>38</v>
      </c>
      <c r="T99" s="397" t="s">
        <v>42</v>
      </c>
      <c r="U99" s="398" t="s">
        <v>46</v>
      </c>
      <c r="V99" s="397" t="s">
        <v>50</v>
      </c>
      <c r="W99" s="398" t="s">
        <v>54</v>
      </c>
      <c r="X99" s="364">
        <v>2028.0</v>
      </c>
      <c r="Y99" s="399">
        <v>2027.0</v>
      </c>
      <c r="Z99" s="491"/>
      <c r="AA99" s="3"/>
      <c r="AB99" s="3"/>
      <c r="AC99" s="3"/>
      <c r="AD99" s="3"/>
      <c r="AE99" s="3"/>
    </row>
    <row r="100" ht="15.75" customHeight="1">
      <c r="A100" s="1"/>
      <c r="B100" s="142"/>
      <c r="C100" s="143"/>
      <c r="D100" s="144"/>
      <c r="E100" s="192"/>
      <c r="F100" s="146"/>
      <c r="G100" s="463"/>
      <c r="H100" s="148"/>
      <c r="I100" s="149"/>
      <c r="J100" s="72" t="s">
        <v>64</v>
      </c>
      <c r="K100" s="400"/>
      <c r="L100" s="401">
        <v>0.06</v>
      </c>
      <c r="M100" s="401">
        <v>0.05</v>
      </c>
      <c r="N100" s="401">
        <v>0.07</v>
      </c>
      <c r="O100" s="401">
        <v>0.07</v>
      </c>
      <c r="P100" s="401">
        <v>0.07</v>
      </c>
      <c r="Q100" s="401">
        <v>0.06</v>
      </c>
      <c r="R100" s="401">
        <v>0.06</v>
      </c>
      <c r="S100" s="401">
        <v>0.08</v>
      </c>
      <c r="T100" s="401">
        <v>0.1</v>
      </c>
      <c r="U100" s="401">
        <v>0.12</v>
      </c>
      <c r="V100" s="401">
        <v>0.12</v>
      </c>
      <c r="W100" s="401">
        <v>0.14</v>
      </c>
      <c r="X100" s="166">
        <f>SUM(L100:W100)</f>
        <v>1</v>
      </c>
      <c r="Y100" s="460">
        <v>1.0</v>
      </c>
      <c r="Z100" s="491"/>
      <c r="AA100" s="3"/>
      <c r="AB100" s="3"/>
      <c r="AC100" s="3"/>
      <c r="AD100" s="3"/>
      <c r="AE100" s="3"/>
    </row>
    <row r="101" ht="15.75" customHeight="1">
      <c r="A101" s="1"/>
      <c r="B101" s="142"/>
      <c r="C101" s="143"/>
      <c r="D101" s="144"/>
      <c r="E101" s="192"/>
      <c r="F101" s="146"/>
      <c r="G101" s="463"/>
      <c r="H101" s="148"/>
      <c r="I101" s="149"/>
      <c r="J101" s="72" t="s">
        <v>66</v>
      </c>
      <c r="K101" s="400"/>
      <c r="L101" s="91">
        <f t="shared" ref="L101:W101" si="82">($X$101*L100)</f>
        <v>7200000</v>
      </c>
      <c r="M101" s="91">
        <f t="shared" si="82"/>
        <v>6000000</v>
      </c>
      <c r="N101" s="91">
        <f t="shared" si="82"/>
        <v>8400000</v>
      </c>
      <c r="O101" s="91">
        <f t="shared" si="82"/>
        <v>8400000</v>
      </c>
      <c r="P101" s="91">
        <f t="shared" si="82"/>
        <v>8400000</v>
      </c>
      <c r="Q101" s="91">
        <f t="shared" si="82"/>
        <v>7200000</v>
      </c>
      <c r="R101" s="91">
        <f t="shared" si="82"/>
        <v>7200000</v>
      </c>
      <c r="S101" s="91">
        <f t="shared" si="82"/>
        <v>9600000</v>
      </c>
      <c r="T101" s="91">
        <f t="shared" si="82"/>
        <v>12000000</v>
      </c>
      <c r="U101" s="91">
        <f t="shared" si="82"/>
        <v>14400000</v>
      </c>
      <c r="V101" s="91">
        <f t="shared" si="82"/>
        <v>14400000</v>
      </c>
      <c r="W101" s="91">
        <f t="shared" si="82"/>
        <v>16800000</v>
      </c>
      <c r="X101" s="168">
        <v>1.2E8</v>
      </c>
      <c r="Y101" s="403">
        <v>6.0E7</v>
      </c>
      <c r="Z101" s="491">
        <f t="shared" ref="Z101:Z103" si="84">X101/Y101-1</f>
        <v>1</v>
      </c>
      <c r="AA101" s="3"/>
      <c r="AB101" s="3"/>
      <c r="AC101" s="3"/>
      <c r="AD101" s="3"/>
      <c r="AE101" s="3"/>
    </row>
    <row r="102" ht="15.75" customHeight="1">
      <c r="A102" s="1"/>
      <c r="B102" s="142"/>
      <c r="C102" s="143"/>
      <c r="D102" s="144"/>
      <c r="E102" s="192"/>
      <c r="F102" s="146"/>
      <c r="G102" s="463"/>
      <c r="H102" s="148"/>
      <c r="I102" s="149"/>
      <c r="J102" s="72" t="s">
        <v>67</v>
      </c>
      <c r="K102" s="404">
        <v>101.0</v>
      </c>
      <c r="L102" s="109">
        <f t="shared" ref="L102:W102" si="83">L101/$K$102</f>
        <v>71287.12871</v>
      </c>
      <c r="M102" s="109">
        <f t="shared" si="83"/>
        <v>59405.94059</v>
      </c>
      <c r="N102" s="109">
        <f t="shared" si="83"/>
        <v>83168.31683</v>
      </c>
      <c r="O102" s="109">
        <f t="shared" si="83"/>
        <v>83168.31683</v>
      </c>
      <c r="P102" s="109">
        <f t="shared" si="83"/>
        <v>83168.31683</v>
      </c>
      <c r="Q102" s="109">
        <f t="shared" si="83"/>
        <v>71287.12871</v>
      </c>
      <c r="R102" s="109">
        <f t="shared" si="83"/>
        <v>71287.12871</v>
      </c>
      <c r="S102" s="109">
        <f t="shared" si="83"/>
        <v>95049.50495</v>
      </c>
      <c r="T102" s="109">
        <f t="shared" si="83"/>
        <v>118811.8812</v>
      </c>
      <c r="U102" s="109">
        <f t="shared" si="83"/>
        <v>142574.2574</v>
      </c>
      <c r="V102" s="109">
        <f t="shared" si="83"/>
        <v>142574.2574</v>
      </c>
      <c r="W102" s="109">
        <f t="shared" si="83"/>
        <v>166336.6337</v>
      </c>
      <c r="X102" s="172">
        <f t="shared" ref="X102:X103" si="86">SUM(L102:W102)</f>
        <v>1188118.812</v>
      </c>
      <c r="Y102" s="405">
        <v>594059.405940594</v>
      </c>
      <c r="Z102" s="491">
        <f t="shared" si="84"/>
        <v>1</v>
      </c>
      <c r="AA102" s="3"/>
      <c r="AB102" s="3"/>
      <c r="AC102" s="3"/>
      <c r="AD102" s="3"/>
      <c r="AE102" s="3"/>
    </row>
    <row r="103" ht="15.75" customHeight="1">
      <c r="A103" s="1"/>
      <c r="B103" s="142"/>
      <c r="C103" s="143"/>
      <c r="D103" s="144"/>
      <c r="E103" s="192"/>
      <c r="F103" s="146"/>
      <c r="G103" s="463"/>
      <c r="H103" s="148"/>
      <c r="I103" s="149"/>
      <c r="J103" s="124" t="s">
        <v>69</v>
      </c>
      <c r="K103" s="413"/>
      <c r="L103" s="127">
        <f t="shared" ref="L103:W103" si="85">IF(L102=0, 0,
  MIN(L102, 10000) * 4 +
  MAX(0, MIN(L102, 20000) - 10000) * 3 +
  MAX(0, MIN(L102, 40000) - 20000) * 2 +
  MAX(0, MIN(L102, 80000) - 40000) * 1 +
  MAX(0, MIN(L102, 100000) - 80000) * 0.5 +
  MAX(0, L102 - 100000) * 0.25
)</f>
        <v>141287.1287</v>
      </c>
      <c r="M103" s="127">
        <f t="shared" si="85"/>
        <v>129405.9406</v>
      </c>
      <c r="N103" s="127">
        <f t="shared" si="85"/>
        <v>151584.1584</v>
      </c>
      <c r="O103" s="127">
        <f t="shared" si="85"/>
        <v>151584.1584</v>
      </c>
      <c r="P103" s="127">
        <f t="shared" si="85"/>
        <v>151584.1584</v>
      </c>
      <c r="Q103" s="127">
        <f t="shared" si="85"/>
        <v>141287.1287</v>
      </c>
      <c r="R103" s="127">
        <f t="shared" si="85"/>
        <v>141287.1287</v>
      </c>
      <c r="S103" s="127">
        <f t="shared" si="85"/>
        <v>157524.7525</v>
      </c>
      <c r="T103" s="127">
        <f t="shared" si="85"/>
        <v>164702.9703</v>
      </c>
      <c r="U103" s="127">
        <f t="shared" si="85"/>
        <v>170643.5644</v>
      </c>
      <c r="V103" s="127">
        <f t="shared" si="85"/>
        <v>170643.5644</v>
      </c>
      <c r="W103" s="127">
        <f t="shared" si="85"/>
        <v>176584.1584</v>
      </c>
      <c r="X103" s="181">
        <f t="shared" si="86"/>
        <v>1848118.812</v>
      </c>
      <c r="Y103" s="407">
        <v>1409108.9108910894</v>
      </c>
      <c r="Z103" s="489">
        <f t="shared" si="84"/>
        <v>0.3115514334</v>
      </c>
      <c r="AA103" s="3"/>
      <c r="AB103" s="3"/>
      <c r="AC103" s="3"/>
      <c r="AD103" s="3"/>
      <c r="AE103" s="3"/>
    </row>
    <row r="104" ht="15.75" customHeight="1">
      <c r="G104" s="478"/>
      <c r="J104" s="479"/>
      <c r="K104" s="238"/>
      <c r="L104" s="15"/>
      <c r="M104" s="15"/>
      <c r="N104" s="15"/>
      <c r="O104" s="15"/>
      <c r="P104" s="15"/>
      <c r="Q104" s="214"/>
      <c r="R104" s="15"/>
      <c r="S104" s="15"/>
      <c r="T104" s="15"/>
      <c r="U104" s="15"/>
      <c r="V104" s="15"/>
      <c r="W104" s="15"/>
      <c r="X104" s="14"/>
      <c r="Y104" s="14"/>
      <c r="Z104" s="494"/>
      <c r="AA104" s="3"/>
      <c r="AB104" s="3"/>
      <c r="AC104" s="3"/>
      <c r="AD104" s="3"/>
      <c r="AE104" s="3"/>
    </row>
    <row r="105" ht="15.75" customHeight="1">
      <c r="A105" s="1"/>
      <c r="B105" s="476">
        <v>18.0</v>
      </c>
      <c r="C105" s="143" t="str">
        <f>J105</f>
        <v>NINETTO</v>
      </c>
      <c r="D105" s="144"/>
      <c r="E105" s="192"/>
      <c r="F105" s="146"/>
      <c r="G105" s="477"/>
      <c r="H105" s="245"/>
      <c r="I105" s="246"/>
      <c r="J105" s="459" t="s">
        <v>106</v>
      </c>
      <c r="K105" s="395"/>
      <c r="L105" s="397" t="s">
        <v>10</v>
      </c>
      <c r="M105" s="398" t="s">
        <v>14</v>
      </c>
      <c r="N105" s="397" t="s">
        <v>18</v>
      </c>
      <c r="O105" s="398" t="s">
        <v>22</v>
      </c>
      <c r="P105" s="397" t="s">
        <v>26</v>
      </c>
      <c r="Q105" s="398" t="s">
        <v>30</v>
      </c>
      <c r="R105" s="397" t="s">
        <v>34</v>
      </c>
      <c r="S105" s="398" t="s">
        <v>38</v>
      </c>
      <c r="T105" s="397" t="s">
        <v>42</v>
      </c>
      <c r="U105" s="398" t="s">
        <v>46</v>
      </c>
      <c r="V105" s="397" t="s">
        <v>50</v>
      </c>
      <c r="W105" s="398" t="s">
        <v>54</v>
      </c>
      <c r="X105" s="364">
        <v>2028.0</v>
      </c>
      <c r="Y105" s="399">
        <v>2027.0</v>
      </c>
      <c r="Z105" s="491"/>
      <c r="AA105" s="3"/>
      <c r="AB105" s="3"/>
      <c r="AC105" s="3"/>
      <c r="AD105" s="3"/>
      <c r="AE105" s="3"/>
    </row>
    <row r="106" ht="15.75" customHeight="1">
      <c r="A106" s="1"/>
      <c r="B106" s="142"/>
      <c r="C106" s="143"/>
      <c r="D106" s="144"/>
      <c r="E106" s="192"/>
      <c r="F106" s="146"/>
      <c r="G106" s="463"/>
      <c r="H106" s="148"/>
      <c r="I106" s="149"/>
      <c r="J106" s="72" t="s">
        <v>64</v>
      </c>
      <c r="K106" s="400"/>
      <c r="L106" s="401">
        <v>0.01</v>
      </c>
      <c r="M106" s="401">
        <v>0.02</v>
      </c>
      <c r="N106" s="401">
        <v>0.03</v>
      </c>
      <c r="O106" s="401">
        <v>0.04</v>
      </c>
      <c r="P106" s="401">
        <v>0.05</v>
      </c>
      <c r="Q106" s="401">
        <v>0.07</v>
      </c>
      <c r="R106" s="401">
        <v>0.08</v>
      </c>
      <c r="S106" s="401">
        <v>0.1</v>
      </c>
      <c r="T106" s="401">
        <v>0.12</v>
      </c>
      <c r="U106" s="401">
        <v>0.14</v>
      </c>
      <c r="V106" s="401">
        <v>0.16</v>
      </c>
      <c r="W106" s="401">
        <v>0.18</v>
      </c>
      <c r="X106" s="166">
        <f>SUM(L106:W106)</f>
        <v>1</v>
      </c>
      <c r="Y106" s="460">
        <v>1.0</v>
      </c>
      <c r="Z106" s="491"/>
      <c r="AA106" s="3"/>
      <c r="AB106" s="3"/>
      <c r="AC106" s="3"/>
      <c r="AD106" s="3"/>
      <c r="AE106" s="3"/>
    </row>
    <row r="107" ht="15.75" customHeight="1">
      <c r="A107" s="1"/>
      <c r="B107" s="142"/>
      <c r="C107" s="143"/>
      <c r="D107" s="144"/>
      <c r="E107" s="192"/>
      <c r="F107" s="146"/>
      <c r="G107" s="463"/>
      <c r="H107" s="148"/>
      <c r="I107" s="149"/>
      <c r="J107" s="72" t="s">
        <v>66</v>
      </c>
      <c r="K107" s="400"/>
      <c r="L107" s="91">
        <f t="shared" ref="L107:W107" si="87">$X$107*L106</f>
        <v>20000</v>
      </c>
      <c r="M107" s="91">
        <f t="shared" si="87"/>
        <v>40000</v>
      </c>
      <c r="N107" s="91">
        <f t="shared" si="87"/>
        <v>60000</v>
      </c>
      <c r="O107" s="91">
        <f t="shared" si="87"/>
        <v>80000</v>
      </c>
      <c r="P107" s="91">
        <f t="shared" si="87"/>
        <v>100000</v>
      </c>
      <c r="Q107" s="91">
        <f t="shared" si="87"/>
        <v>140000</v>
      </c>
      <c r="R107" s="91">
        <f t="shared" si="87"/>
        <v>160000</v>
      </c>
      <c r="S107" s="91">
        <f t="shared" si="87"/>
        <v>200000</v>
      </c>
      <c r="T107" s="91">
        <f t="shared" si="87"/>
        <v>240000</v>
      </c>
      <c r="U107" s="91">
        <f t="shared" si="87"/>
        <v>280000</v>
      </c>
      <c r="V107" s="91">
        <f t="shared" si="87"/>
        <v>320000</v>
      </c>
      <c r="W107" s="91">
        <f t="shared" si="87"/>
        <v>360000</v>
      </c>
      <c r="X107" s="168">
        <v>2000000.0</v>
      </c>
      <c r="Y107" s="403">
        <v>500000.0</v>
      </c>
      <c r="Z107" s="491">
        <f t="shared" ref="Z107:Z109" si="89">X107/Y107-1</f>
        <v>3</v>
      </c>
      <c r="AA107" s="3"/>
      <c r="AB107" s="3"/>
      <c r="AC107" s="3"/>
      <c r="AD107" s="3"/>
      <c r="AE107" s="3"/>
    </row>
    <row r="108" ht="15.75" customHeight="1">
      <c r="A108" s="1"/>
      <c r="B108" s="142"/>
      <c r="C108" s="143"/>
      <c r="D108" s="144"/>
      <c r="E108" s="192"/>
      <c r="F108" s="146"/>
      <c r="G108" s="463"/>
      <c r="H108" s="148"/>
      <c r="I108" s="149"/>
      <c r="J108" s="72" t="s">
        <v>67</v>
      </c>
      <c r="K108" s="404">
        <v>120.0</v>
      </c>
      <c r="L108" s="109">
        <f t="shared" ref="L108:W108" si="88">L107/$K$102</f>
        <v>198.019802</v>
      </c>
      <c r="M108" s="109">
        <f t="shared" si="88"/>
        <v>396.039604</v>
      </c>
      <c r="N108" s="109">
        <f t="shared" si="88"/>
        <v>594.0594059</v>
      </c>
      <c r="O108" s="109">
        <f t="shared" si="88"/>
        <v>792.0792079</v>
      </c>
      <c r="P108" s="109">
        <f t="shared" si="88"/>
        <v>990.0990099</v>
      </c>
      <c r="Q108" s="109">
        <f t="shared" si="88"/>
        <v>1386.138614</v>
      </c>
      <c r="R108" s="109">
        <f t="shared" si="88"/>
        <v>1584.158416</v>
      </c>
      <c r="S108" s="109">
        <f t="shared" si="88"/>
        <v>1980.19802</v>
      </c>
      <c r="T108" s="109">
        <f t="shared" si="88"/>
        <v>2376.237624</v>
      </c>
      <c r="U108" s="109">
        <f t="shared" si="88"/>
        <v>2772.277228</v>
      </c>
      <c r="V108" s="109">
        <f t="shared" si="88"/>
        <v>3168.316832</v>
      </c>
      <c r="W108" s="109">
        <f t="shared" si="88"/>
        <v>3564.356436</v>
      </c>
      <c r="X108" s="172">
        <f t="shared" ref="X108:X109" si="91">SUM(L108:W108)</f>
        <v>19801.9802</v>
      </c>
      <c r="Y108" s="405">
        <v>4950.495049504951</v>
      </c>
      <c r="Z108" s="491">
        <f t="shared" si="89"/>
        <v>3</v>
      </c>
      <c r="AA108" s="3"/>
      <c r="AB108" s="3"/>
      <c r="AC108" s="3"/>
      <c r="AD108" s="3"/>
      <c r="AE108" s="3"/>
    </row>
    <row r="109" ht="15.75" customHeight="1">
      <c r="A109" s="1"/>
      <c r="B109" s="142"/>
      <c r="C109" s="143"/>
      <c r="D109" s="144"/>
      <c r="E109" s="192"/>
      <c r="F109" s="146"/>
      <c r="G109" s="463"/>
      <c r="H109" s="148"/>
      <c r="I109" s="149"/>
      <c r="J109" s="124" t="s">
        <v>69</v>
      </c>
      <c r="K109" s="413">
        <v>0.045</v>
      </c>
      <c r="L109" s="127">
        <f t="shared" ref="L109:W109" si="90">IF(L108=0, 0,
  MIN(L108, 10000) * 4 +
  MAX(0, MIN(L108, 20000) - 10000) * 3 +
  MAX(0, MIN(L108, 40000) - 20000) * 2 +
  MAX(0, MIN(L108, 80000) - 40000) * 1 +
  MAX(0, MIN(L108, 100000) - 80000) * 0.5 +
  MAX(0, L108 - 100000) * 0.25
)</f>
        <v>792.0792079</v>
      </c>
      <c r="M109" s="127">
        <f t="shared" si="90"/>
        <v>1584.158416</v>
      </c>
      <c r="N109" s="127">
        <f t="shared" si="90"/>
        <v>2376.237624</v>
      </c>
      <c r="O109" s="127">
        <f t="shared" si="90"/>
        <v>3168.316832</v>
      </c>
      <c r="P109" s="127">
        <f t="shared" si="90"/>
        <v>3960.39604</v>
      </c>
      <c r="Q109" s="127">
        <f t="shared" si="90"/>
        <v>5544.554455</v>
      </c>
      <c r="R109" s="127">
        <f t="shared" si="90"/>
        <v>6336.633663</v>
      </c>
      <c r="S109" s="127">
        <f t="shared" si="90"/>
        <v>7920.792079</v>
      </c>
      <c r="T109" s="127">
        <f t="shared" si="90"/>
        <v>9504.950495</v>
      </c>
      <c r="U109" s="127">
        <f t="shared" si="90"/>
        <v>11089.10891</v>
      </c>
      <c r="V109" s="127">
        <f t="shared" si="90"/>
        <v>12673.26733</v>
      </c>
      <c r="W109" s="127">
        <f t="shared" si="90"/>
        <v>14257.42574</v>
      </c>
      <c r="X109" s="181">
        <f t="shared" si="91"/>
        <v>79207.92079</v>
      </c>
      <c r="Y109" s="407">
        <v>19801.980198019803</v>
      </c>
      <c r="Z109" s="489">
        <f t="shared" si="89"/>
        <v>3</v>
      </c>
      <c r="AA109" s="3"/>
      <c r="AB109" s="3"/>
      <c r="AC109" s="3"/>
      <c r="AD109" s="3"/>
      <c r="AE109" s="3"/>
    </row>
    <row r="110" ht="15.75" customHeight="1">
      <c r="G110" s="478"/>
      <c r="J110" s="479"/>
      <c r="K110" s="238"/>
      <c r="L110" s="15"/>
      <c r="M110" s="15"/>
      <c r="N110" s="15"/>
      <c r="O110" s="15"/>
      <c r="P110" s="15"/>
      <c r="Q110" s="214"/>
      <c r="R110" s="15"/>
      <c r="S110" s="15"/>
      <c r="T110" s="15"/>
      <c r="U110" s="15"/>
      <c r="V110" s="15"/>
      <c r="W110" s="15"/>
      <c r="X110" s="14"/>
      <c r="Y110" s="14"/>
      <c r="Z110" s="494"/>
      <c r="AA110" s="3"/>
      <c r="AB110" s="3"/>
      <c r="AC110" s="3"/>
      <c r="AD110" s="3"/>
      <c r="AE110" s="3"/>
    </row>
    <row r="111" ht="15.75" customHeight="1">
      <c r="A111" s="1"/>
      <c r="B111" s="476">
        <v>19.0</v>
      </c>
      <c r="C111" s="143" t="str">
        <f>J111</f>
        <v>NINO CUCINA</v>
      </c>
      <c r="D111" s="144"/>
      <c r="E111" s="192"/>
      <c r="F111" s="146"/>
      <c r="G111" s="477"/>
      <c r="H111" s="245"/>
      <c r="I111" s="246"/>
      <c r="J111" s="459" t="s">
        <v>140</v>
      </c>
      <c r="K111" s="395"/>
      <c r="L111" s="397" t="s">
        <v>10</v>
      </c>
      <c r="M111" s="398" t="s">
        <v>14</v>
      </c>
      <c r="N111" s="397" t="s">
        <v>18</v>
      </c>
      <c r="O111" s="398" t="s">
        <v>22</v>
      </c>
      <c r="P111" s="397" t="s">
        <v>26</v>
      </c>
      <c r="Q111" s="398" t="s">
        <v>30</v>
      </c>
      <c r="R111" s="397" t="s">
        <v>34</v>
      </c>
      <c r="S111" s="398" t="s">
        <v>38</v>
      </c>
      <c r="T111" s="397" t="s">
        <v>42</v>
      </c>
      <c r="U111" s="398" t="s">
        <v>46</v>
      </c>
      <c r="V111" s="397" t="s">
        <v>50</v>
      </c>
      <c r="W111" s="398" t="s">
        <v>54</v>
      </c>
      <c r="X111" s="364">
        <v>2028.0</v>
      </c>
      <c r="Y111" s="399">
        <v>2027.0</v>
      </c>
      <c r="Z111" s="491"/>
      <c r="AA111" s="3"/>
      <c r="AB111" s="3"/>
      <c r="AC111" s="3"/>
      <c r="AD111" s="3"/>
      <c r="AE111" s="3"/>
    </row>
    <row r="112" ht="15.75" customHeight="1">
      <c r="A112" s="1"/>
      <c r="B112" s="142"/>
      <c r="C112" s="143"/>
      <c r="D112" s="144"/>
      <c r="E112" s="192"/>
      <c r="F112" s="146"/>
      <c r="G112" s="463"/>
      <c r="H112" s="148"/>
      <c r="I112" s="149"/>
      <c r="J112" s="72" t="s">
        <v>64</v>
      </c>
      <c r="K112" s="400"/>
      <c r="L112" s="401"/>
      <c r="M112" s="401">
        <v>0.01</v>
      </c>
      <c r="N112" s="401">
        <v>0.02</v>
      </c>
      <c r="O112" s="401">
        <v>0.03</v>
      </c>
      <c r="P112" s="401">
        <v>0.05</v>
      </c>
      <c r="Q112" s="401">
        <v>0.07</v>
      </c>
      <c r="R112" s="401">
        <v>0.08</v>
      </c>
      <c r="S112" s="401">
        <v>0.1</v>
      </c>
      <c r="T112" s="401">
        <v>0.12</v>
      </c>
      <c r="U112" s="401">
        <v>0.14</v>
      </c>
      <c r="V112" s="401">
        <v>0.18</v>
      </c>
      <c r="W112" s="401">
        <v>0.2</v>
      </c>
      <c r="X112" s="166">
        <f>SUM(L112:W112)</f>
        <v>1</v>
      </c>
      <c r="Y112" s="460">
        <v>1.0</v>
      </c>
      <c r="Z112" s="491"/>
      <c r="AA112" s="3"/>
      <c r="AB112" s="3"/>
      <c r="AC112" s="3"/>
      <c r="AD112" s="3"/>
      <c r="AE112" s="3"/>
    </row>
    <row r="113" ht="15.75" customHeight="1">
      <c r="A113" s="1"/>
      <c r="B113" s="142"/>
      <c r="C113" s="143"/>
      <c r="D113" s="144"/>
      <c r="E113" s="192"/>
      <c r="F113" s="146"/>
      <c r="G113" s="463"/>
      <c r="H113" s="148"/>
      <c r="I113" s="149"/>
      <c r="J113" s="72" t="s">
        <v>66</v>
      </c>
      <c r="K113" s="400"/>
      <c r="L113" s="91">
        <f t="shared" ref="L113:W113" si="92">$X$113*L112</f>
        <v>0</v>
      </c>
      <c r="M113" s="91">
        <f t="shared" si="92"/>
        <v>50000</v>
      </c>
      <c r="N113" s="91">
        <f t="shared" si="92"/>
        <v>100000</v>
      </c>
      <c r="O113" s="91">
        <f t="shared" si="92"/>
        <v>150000</v>
      </c>
      <c r="P113" s="91">
        <f t="shared" si="92"/>
        <v>250000</v>
      </c>
      <c r="Q113" s="91">
        <f t="shared" si="92"/>
        <v>350000</v>
      </c>
      <c r="R113" s="91">
        <f t="shared" si="92"/>
        <v>400000</v>
      </c>
      <c r="S113" s="91">
        <f t="shared" si="92"/>
        <v>500000</v>
      </c>
      <c r="T113" s="91">
        <f t="shared" si="92"/>
        <v>600000</v>
      </c>
      <c r="U113" s="91">
        <f t="shared" si="92"/>
        <v>700000</v>
      </c>
      <c r="V113" s="91">
        <f t="shared" si="92"/>
        <v>900000</v>
      </c>
      <c r="W113" s="91">
        <f t="shared" si="92"/>
        <v>1000000</v>
      </c>
      <c r="X113" s="168">
        <v>5000000.0</v>
      </c>
      <c r="Y113" s="403">
        <v>2016000.0</v>
      </c>
      <c r="Z113" s="491">
        <f t="shared" ref="Z113:Z115" si="94">X113/Y113-1</f>
        <v>1.48015873</v>
      </c>
      <c r="AA113" s="3"/>
      <c r="AB113" s="3"/>
      <c r="AC113" s="3"/>
      <c r="AD113" s="3"/>
      <c r="AE113" s="3"/>
    </row>
    <row r="114" ht="15.75" customHeight="1">
      <c r="A114" s="1"/>
      <c r="B114" s="142"/>
      <c r="C114" s="143"/>
      <c r="D114" s="144"/>
      <c r="E114" s="192"/>
      <c r="F114" s="146"/>
      <c r="G114" s="463"/>
      <c r="H114" s="148"/>
      <c r="I114" s="149"/>
      <c r="J114" s="72" t="s">
        <v>67</v>
      </c>
      <c r="K114" s="404">
        <v>160.0</v>
      </c>
      <c r="L114" s="109">
        <f t="shared" ref="L114:W114" si="93">L113/$K$102</f>
        <v>0</v>
      </c>
      <c r="M114" s="109">
        <f t="shared" si="93"/>
        <v>495.049505</v>
      </c>
      <c r="N114" s="109">
        <f t="shared" si="93"/>
        <v>990.0990099</v>
      </c>
      <c r="O114" s="109">
        <f t="shared" si="93"/>
        <v>1485.148515</v>
      </c>
      <c r="P114" s="109">
        <f t="shared" si="93"/>
        <v>2475.247525</v>
      </c>
      <c r="Q114" s="109">
        <f t="shared" si="93"/>
        <v>3465.346535</v>
      </c>
      <c r="R114" s="109">
        <f t="shared" si="93"/>
        <v>3960.39604</v>
      </c>
      <c r="S114" s="109">
        <f t="shared" si="93"/>
        <v>4950.49505</v>
      </c>
      <c r="T114" s="109">
        <f t="shared" si="93"/>
        <v>5940.594059</v>
      </c>
      <c r="U114" s="109">
        <f t="shared" si="93"/>
        <v>6930.693069</v>
      </c>
      <c r="V114" s="109">
        <f t="shared" si="93"/>
        <v>8910.891089</v>
      </c>
      <c r="W114" s="109">
        <f t="shared" si="93"/>
        <v>9900.990099</v>
      </c>
      <c r="X114" s="172">
        <f t="shared" ref="X114:X115" si="96">SUM(L114:W114)</f>
        <v>49504.9505</v>
      </c>
      <c r="Y114" s="405">
        <v>19960.396039603962</v>
      </c>
      <c r="Z114" s="491">
        <f t="shared" si="94"/>
        <v>1.48015873</v>
      </c>
      <c r="AA114" s="3"/>
      <c r="AB114" s="3"/>
      <c r="AC114" s="3"/>
      <c r="AD114" s="3"/>
      <c r="AE114" s="3"/>
    </row>
    <row r="115" ht="15.75" customHeight="1">
      <c r="A115" s="1"/>
      <c r="B115" s="142"/>
      <c r="C115" s="143"/>
      <c r="D115" s="144"/>
      <c r="E115" s="192"/>
      <c r="F115" s="146"/>
      <c r="G115" s="463"/>
      <c r="H115" s="148"/>
      <c r="I115" s="149"/>
      <c r="J115" s="124" t="s">
        <v>69</v>
      </c>
      <c r="K115" s="413">
        <v>0.045</v>
      </c>
      <c r="L115" s="127">
        <f t="shared" ref="L115:W115" si="95">IF(L114=0, 0,
  MIN(L114, 10000) * 4 +
  MAX(0, MIN(L114, 20000) - 10000) * 3 +
  MAX(0, MIN(L114, 40000) - 20000) * 2 +
  MAX(0, MIN(L114, 80000) - 40000) * 1 +
  MAX(0, MIN(L114, 100000) - 80000) * 0.5 +
  MAX(0, L114 - 100000) * 0.25
)</f>
        <v>0</v>
      </c>
      <c r="M115" s="127">
        <f t="shared" si="95"/>
        <v>1980.19802</v>
      </c>
      <c r="N115" s="127">
        <f t="shared" si="95"/>
        <v>3960.39604</v>
      </c>
      <c r="O115" s="127">
        <f t="shared" si="95"/>
        <v>5940.594059</v>
      </c>
      <c r="P115" s="127">
        <f t="shared" si="95"/>
        <v>9900.990099</v>
      </c>
      <c r="Q115" s="127">
        <f t="shared" si="95"/>
        <v>13861.38614</v>
      </c>
      <c r="R115" s="127">
        <f t="shared" si="95"/>
        <v>15841.58416</v>
      </c>
      <c r="S115" s="127">
        <f t="shared" si="95"/>
        <v>19801.9802</v>
      </c>
      <c r="T115" s="127">
        <f t="shared" si="95"/>
        <v>23762.37624</v>
      </c>
      <c r="U115" s="127">
        <f t="shared" si="95"/>
        <v>27722.77228</v>
      </c>
      <c r="V115" s="127">
        <f t="shared" si="95"/>
        <v>35643.56436</v>
      </c>
      <c r="W115" s="127">
        <f t="shared" si="95"/>
        <v>39603.9604</v>
      </c>
      <c r="X115" s="181">
        <f t="shared" si="96"/>
        <v>198019.802</v>
      </c>
      <c r="Y115" s="407">
        <v>79841.58415841585</v>
      </c>
      <c r="Z115" s="489">
        <f t="shared" si="94"/>
        <v>1.48015873</v>
      </c>
      <c r="AA115" s="3"/>
      <c r="AB115" s="3"/>
      <c r="AC115" s="3"/>
      <c r="AD115" s="3"/>
      <c r="AE115" s="3"/>
    </row>
    <row r="116" ht="15.75" customHeight="1">
      <c r="G116" s="478"/>
      <c r="J116" s="479"/>
      <c r="K116" s="238"/>
      <c r="L116" s="15"/>
      <c r="M116" s="15"/>
      <c r="N116" s="15"/>
      <c r="O116" s="15"/>
      <c r="P116" s="15"/>
      <c r="Q116" s="214"/>
      <c r="R116" s="15"/>
      <c r="S116" s="15"/>
      <c r="T116" s="15"/>
      <c r="U116" s="15"/>
      <c r="V116" s="15"/>
      <c r="W116" s="15"/>
      <c r="X116" s="14"/>
      <c r="Y116" s="14"/>
      <c r="Z116" s="493"/>
      <c r="AA116" s="3"/>
      <c r="AB116" s="3"/>
      <c r="AC116" s="3"/>
      <c r="AD116" s="3"/>
      <c r="AE116" s="3"/>
    </row>
    <row r="117" ht="15.75" customHeight="1">
      <c r="A117" s="1"/>
      <c r="B117" s="476">
        <v>20.0</v>
      </c>
      <c r="C117" s="143" t="str">
        <f>J117</f>
        <v>TATU BOLA</v>
      </c>
      <c r="D117" s="144"/>
      <c r="E117" s="192"/>
      <c r="F117" s="146"/>
      <c r="G117" s="477"/>
      <c r="H117" s="245"/>
      <c r="I117" s="246"/>
      <c r="J117" s="459" t="s">
        <v>141</v>
      </c>
      <c r="K117" s="395"/>
      <c r="L117" s="397" t="s">
        <v>10</v>
      </c>
      <c r="M117" s="398" t="s">
        <v>14</v>
      </c>
      <c r="N117" s="397" t="s">
        <v>18</v>
      </c>
      <c r="O117" s="398" t="s">
        <v>22</v>
      </c>
      <c r="P117" s="397" t="s">
        <v>26</v>
      </c>
      <c r="Q117" s="398" t="s">
        <v>30</v>
      </c>
      <c r="R117" s="397" t="s">
        <v>34</v>
      </c>
      <c r="S117" s="398" t="s">
        <v>38</v>
      </c>
      <c r="T117" s="397" t="s">
        <v>42</v>
      </c>
      <c r="U117" s="398" t="s">
        <v>46</v>
      </c>
      <c r="V117" s="397" t="s">
        <v>50</v>
      </c>
      <c r="W117" s="398" t="s">
        <v>54</v>
      </c>
      <c r="X117" s="364">
        <v>2028.0</v>
      </c>
      <c r="Y117" s="399">
        <v>2027.0</v>
      </c>
      <c r="Z117" s="491"/>
      <c r="AA117" s="3"/>
      <c r="AB117" s="3"/>
      <c r="AC117" s="3"/>
      <c r="AD117" s="3"/>
      <c r="AE117" s="3"/>
    </row>
    <row r="118" ht="15.75" customHeight="1">
      <c r="A118" s="1"/>
      <c r="B118" s="142"/>
      <c r="C118" s="143"/>
      <c r="D118" s="144"/>
      <c r="E118" s="192"/>
      <c r="F118" s="146"/>
      <c r="G118" s="463"/>
      <c r="H118" s="148"/>
      <c r="I118" s="149"/>
      <c r="J118" s="72" t="s">
        <v>64</v>
      </c>
      <c r="K118" s="400"/>
      <c r="L118" s="401"/>
      <c r="M118" s="401">
        <v>0.01</v>
      </c>
      <c r="N118" s="401">
        <v>0.02</v>
      </c>
      <c r="O118" s="401">
        <v>0.03</v>
      </c>
      <c r="P118" s="401">
        <v>0.05</v>
      </c>
      <c r="Q118" s="401">
        <v>0.07</v>
      </c>
      <c r="R118" s="401">
        <v>0.08</v>
      </c>
      <c r="S118" s="401">
        <v>0.1</v>
      </c>
      <c r="T118" s="401">
        <v>0.12</v>
      </c>
      <c r="U118" s="401">
        <v>0.14</v>
      </c>
      <c r="V118" s="401">
        <v>0.18</v>
      </c>
      <c r="W118" s="401">
        <v>0.2</v>
      </c>
      <c r="X118" s="166">
        <f>SUM(L118:W118)</f>
        <v>1</v>
      </c>
      <c r="Y118" s="460">
        <v>1.0</v>
      </c>
      <c r="Z118" s="491"/>
      <c r="AA118" s="3"/>
      <c r="AB118" s="3"/>
      <c r="AC118" s="3"/>
      <c r="AD118" s="3"/>
      <c r="AE118" s="3"/>
    </row>
    <row r="119" ht="15.75" customHeight="1">
      <c r="A119" s="1"/>
      <c r="B119" s="142"/>
      <c r="C119" s="143"/>
      <c r="D119" s="144"/>
      <c r="E119" s="192"/>
      <c r="F119" s="146"/>
      <c r="G119" s="463"/>
      <c r="H119" s="148"/>
      <c r="I119" s="149"/>
      <c r="J119" s="72" t="s">
        <v>66</v>
      </c>
      <c r="K119" s="400"/>
      <c r="L119" s="91">
        <f t="shared" ref="L119:W119" si="97">L118*$X$119</f>
        <v>0</v>
      </c>
      <c r="M119" s="91">
        <f t="shared" si="97"/>
        <v>20000</v>
      </c>
      <c r="N119" s="91">
        <f t="shared" si="97"/>
        <v>40000</v>
      </c>
      <c r="O119" s="91">
        <f t="shared" si="97"/>
        <v>60000</v>
      </c>
      <c r="P119" s="91">
        <f t="shared" si="97"/>
        <v>100000</v>
      </c>
      <c r="Q119" s="91">
        <f t="shared" si="97"/>
        <v>140000</v>
      </c>
      <c r="R119" s="91">
        <f t="shared" si="97"/>
        <v>160000</v>
      </c>
      <c r="S119" s="91">
        <f t="shared" si="97"/>
        <v>200000</v>
      </c>
      <c r="T119" s="91">
        <f t="shared" si="97"/>
        <v>240000</v>
      </c>
      <c r="U119" s="91">
        <f t="shared" si="97"/>
        <v>280000</v>
      </c>
      <c r="V119" s="91">
        <f t="shared" si="97"/>
        <v>360000</v>
      </c>
      <c r="W119" s="91">
        <f t="shared" si="97"/>
        <v>400000</v>
      </c>
      <c r="X119" s="168">
        <v>2000000.0</v>
      </c>
      <c r="Y119" s="403">
        <v>105000.0</v>
      </c>
      <c r="Z119" s="491">
        <f t="shared" ref="Z119:Z121" si="99">X119/Y119-1</f>
        <v>18.04761905</v>
      </c>
      <c r="AA119" s="3"/>
      <c r="AB119" s="3"/>
      <c r="AC119" s="3"/>
      <c r="AD119" s="3"/>
      <c r="AE119" s="3"/>
    </row>
    <row r="120" ht="15.75" customHeight="1">
      <c r="A120" s="1"/>
      <c r="B120" s="142"/>
      <c r="C120" s="143"/>
      <c r="D120" s="144"/>
      <c r="E120" s="192"/>
      <c r="F120" s="146"/>
      <c r="G120" s="463"/>
      <c r="H120" s="148"/>
      <c r="I120" s="149"/>
      <c r="J120" s="72" t="s">
        <v>67</v>
      </c>
      <c r="K120" s="404">
        <v>65.0</v>
      </c>
      <c r="L120" s="109">
        <f t="shared" ref="L120:W120" si="98">L119/$K$102</f>
        <v>0</v>
      </c>
      <c r="M120" s="109">
        <f t="shared" si="98"/>
        <v>198.019802</v>
      </c>
      <c r="N120" s="109">
        <f t="shared" si="98"/>
        <v>396.039604</v>
      </c>
      <c r="O120" s="109">
        <f t="shared" si="98"/>
        <v>594.0594059</v>
      </c>
      <c r="P120" s="109">
        <f t="shared" si="98"/>
        <v>990.0990099</v>
      </c>
      <c r="Q120" s="109">
        <f t="shared" si="98"/>
        <v>1386.138614</v>
      </c>
      <c r="R120" s="109">
        <f t="shared" si="98"/>
        <v>1584.158416</v>
      </c>
      <c r="S120" s="109">
        <f t="shared" si="98"/>
        <v>1980.19802</v>
      </c>
      <c r="T120" s="109">
        <f t="shared" si="98"/>
        <v>2376.237624</v>
      </c>
      <c r="U120" s="109">
        <f t="shared" si="98"/>
        <v>2772.277228</v>
      </c>
      <c r="V120" s="109">
        <f t="shared" si="98"/>
        <v>3564.356436</v>
      </c>
      <c r="W120" s="109">
        <f t="shared" si="98"/>
        <v>3960.39604</v>
      </c>
      <c r="X120" s="172">
        <f t="shared" ref="X120:X121" si="101">SUM(L120:W120)</f>
        <v>19801.9802</v>
      </c>
      <c r="Y120" s="405">
        <v>1039.6039603960396</v>
      </c>
      <c r="Z120" s="491">
        <f t="shared" si="99"/>
        <v>18.04761905</v>
      </c>
      <c r="AA120" s="3"/>
      <c r="AB120" s="3"/>
      <c r="AC120" s="3"/>
      <c r="AD120" s="3"/>
      <c r="AE120" s="3"/>
    </row>
    <row r="121" ht="15.75" customHeight="1">
      <c r="A121" s="1"/>
      <c r="B121" s="142"/>
      <c r="C121" s="143"/>
      <c r="D121" s="144"/>
      <c r="E121" s="192"/>
      <c r="F121" s="146"/>
      <c r="G121" s="463"/>
      <c r="H121" s="148"/>
      <c r="I121" s="149"/>
      <c r="J121" s="124" t="s">
        <v>69</v>
      </c>
      <c r="K121" s="413">
        <v>0.045</v>
      </c>
      <c r="L121" s="127">
        <f t="shared" ref="L121:W121" si="100">IF(L120=0, 0,
  MIN(L120, 10000) * 4 +
  MAX(0, MIN(L120, 20000) - 10000) * 3 +
  MAX(0, MIN(L120, 40000) - 20000) * 2 +
  MAX(0, MIN(L120, 80000) - 40000) * 1 +
  MAX(0, MIN(L120, 100000) - 80000) * 0.5 +
  MAX(0, L120 - 100000) * 0.25
)</f>
        <v>0</v>
      </c>
      <c r="M121" s="127">
        <f t="shared" si="100"/>
        <v>792.0792079</v>
      </c>
      <c r="N121" s="127">
        <f t="shared" si="100"/>
        <v>1584.158416</v>
      </c>
      <c r="O121" s="127">
        <f t="shared" si="100"/>
        <v>2376.237624</v>
      </c>
      <c r="P121" s="127">
        <f t="shared" si="100"/>
        <v>3960.39604</v>
      </c>
      <c r="Q121" s="127">
        <f t="shared" si="100"/>
        <v>5544.554455</v>
      </c>
      <c r="R121" s="127">
        <f t="shared" si="100"/>
        <v>6336.633663</v>
      </c>
      <c r="S121" s="127">
        <f t="shared" si="100"/>
        <v>7920.792079</v>
      </c>
      <c r="T121" s="127">
        <f t="shared" si="100"/>
        <v>9504.950495</v>
      </c>
      <c r="U121" s="127">
        <f t="shared" si="100"/>
        <v>11089.10891</v>
      </c>
      <c r="V121" s="127">
        <f t="shared" si="100"/>
        <v>14257.42574</v>
      </c>
      <c r="W121" s="127">
        <f t="shared" si="100"/>
        <v>15841.58416</v>
      </c>
      <c r="X121" s="181">
        <f t="shared" si="101"/>
        <v>79207.92079</v>
      </c>
      <c r="Y121" s="407">
        <v>4158.415841584158</v>
      </c>
      <c r="Z121" s="489">
        <f t="shared" si="99"/>
        <v>18.04761905</v>
      </c>
      <c r="AA121" s="3"/>
      <c r="AB121" s="3"/>
      <c r="AC121" s="3"/>
      <c r="AD121" s="3"/>
      <c r="AE121" s="3"/>
    </row>
    <row r="122" ht="15.75" customHeight="1">
      <c r="G122" s="478"/>
      <c r="J122" s="479"/>
      <c r="K122" s="238"/>
      <c r="L122" s="15"/>
      <c r="M122" s="15"/>
      <c r="N122" s="15"/>
      <c r="O122" s="15"/>
      <c r="P122" s="15"/>
      <c r="Q122" s="214"/>
      <c r="R122" s="15"/>
      <c r="S122" s="15"/>
      <c r="T122" s="15"/>
      <c r="U122" s="15"/>
      <c r="V122" s="15"/>
      <c r="W122" s="15"/>
      <c r="X122" s="14"/>
      <c r="Y122" s="14"/>
      <c r="Z122" s="494"/>
      <c r="AA122" s="3"/>
      <c r="AB122" s="3"/>
      <c r="AC122" s="3"/>
      <c r="AD122" s="3"/>
      <c r="AE122" s="3"/>
    </row>
    <row r="123" ht="15.75" customHeight="1">
      <c r="A123" s="1"/>
      <c r="B123" s="476">
        <v>21.0</v>
      </c>
      <c r="C123" s="143" t="str">
        <f>J123</f>
        <v>BOA PRAÇA</v>
      </c>
      <c r="D123" s="144"/>
      <c r="E123" s="192"/>
      <c r="F123" s="146"/>
      <c r="G123" s="477"/>
      <c r="H123" s="245"/>
      <c r="I123" s="246"/>
      <c r="J123" s="459" t="s">
        <v>142</v>
      </c>
      <c r="K123" s="395"/>
      <c r="L123" s="397" t="s">
        <v>10</v>
      </c>
      <c r="M123" s="398" t="s">
        <v>14</v>
      </c>
      <c r="N123" s="397" t="s">
        <v>18</v>
      </c>
      <c r="O123" s="398" t="s">
        <v>22</v>
      </c>
      <c r="P123" s="397" t="s">
        <v>26</v>
      </c>
      <c r="Q123" s="398" t="s">
        <v>30</v>
      </c>
      <c r="R123" s="397" t="s">
        <v>34</v>
      </c>
      <c r="S123" s="398" t="s">
        <v>38</v>
      </c>
      <c r="T123" s="397" t="s">
        <v>42</v>
      </c>
      <c r="U123" s="398" t="s">
        <v>46</v>
      </c>
      <c r="V123" s="397" t="s">
        <v>50</v>
      </c>
      <c r="W123" s="398" t="s">
        <v>54</v>
      </c>
      <c r="X123" s="364">
        <v>2028.0</v>
      </c>
      <c r="Y123" s="399">
        <v>2027.0</v>
      </c>
      <c r="Z123" s="491"/>
      <c r="AA123" s="3"/>
      <c r="AB123" s="3"/>
      <c r="AC123" s="3"/>
      <c r="AD123" s="3"/>
      <c r="AE123" s="3"/>
    </row>
    <row r="124" ht="15.75" customHeight="1">
      <c r="A124" s="1"/>
      <c r="B124" s="142"/>
      <c r="C124" s="143"/>
      <c r="D124" s="144"/>
      <c r="E124" s="192"/>
      <c r="F124" s="146"/>
      <c r="G124" s="463"/>
      <c r="H124" s="148"/>
      <c r="I124" s="149"/>
      <c r="J124" s="72" t="s">
        <v>64</v>
      </c>
      <c r="K124" s="400"/>
      <c r="L124" s="401"/>
      <c r="M124" s="401"/>
      <c r="N124" s="401"/>
      <c r="O124" s="401">
        <v>0.01</v>
      </c>
      <c r="P124" s="401">
        <v>0.02</v>
      </c>
      <c r="Q124" s="401">
        <v>0.04</v>
      </c>
      <c r="R124" s="401">
        <v>0.07</v>
      </c>
      <c r="S124" s="401">
        <v>0.1</v>
      </c>
      <c r="T124" s="401">
        <v>0.16</v>
      </c>
      <c r="U124" s="401">
        <v>0.19</v>
      </c>
      <c r="V124" s="401">
        <v>0.21</v>
      </c>
      <c r="W124" s="401">
        <v>0.2</v>
      </c>
      <c r="X124" s="166">
        <f>SUM(L124:W124)</f>
        <v>1</v>
      </c>
      <c r="Y124" s="460">
        <v>1.0</v>
      </c>
      <c r="Z124" s="491"/>
      <c r="AA124" s="3"/>
      <c r="AB124" s="3"/>
      <c r="AC124" s="3"/>
      <c r="AD124" s="3"/>
      <c r="AE124" s="3"/>
    </row>
    <row r="125" ht="15.75" customHeight="1">
      <c r="A125" s="1"/>
      <c r="B125" s="142"/>
      <c r="C125" s="143"/>
      <c r="D125" s="144"/>
      <c r="E125" s="192"/>
      <c r="F125" s="146"/>
      <c r="G125" s="463"/>
      <c r="H125" s="148"/>
      <c r="I125" s="149"/>
      <c r="J125" s="72" t="s">
        <v>66</v>
      </c>
      <c r="K125" s="400"/>
      <c r="L125" s="91">
        <f t="shared" ref="L125:W125" si="102">$X$125*L124</f>
        <v>0</v>
      </c>
      <c r="M125" s="91">
        <f t="shared" si="102"/>
        <v>0</v>
      </c>
      <c r="N125" s="91">
        <f t="shared" si="102"/>
        <v>0</v>
      </c>
      <c r="O125" s="91">
        <f t="shared" si="102"/>
        <v>10000</v>
      </c>
      <c r="P125" s="91">
        <f t="shared" si="102"/>
        <v>20000</v>
      </c>
      <c r="Q125" s="91">
        <f t="shared" si="102"/>
        <v>40000</v>
      </c>
      <c r="R125" s="91">
        <f t="shared" si="102"/>
        <v>70000</v>
      </c>
      <c r="S125" s="91">
        <f t="shared" si="102"/>
        <v>100000</v>
      </c>
      <c r="T125" s="91">
        <f t="shared" si="102"/>
        <v>160000</v>
      </c>
      <c r="U125" s="91">
        <f t="shared" si="102"/>
        <v>190000</v>
      </c>
      <c r="V125" s="91">
        <f t="shared" si="102"/>
        <v>210000</v>
      </c>
      <c r="W125" s="91">
        <f t="shared" si="102"/>
        <v>200000</v>
      </c>
      <c r="X125" s="168">
        <v>1000000.0</v>
      </c>
      <c r="Y125" s="403">
        <v>100000.0</v>
      </c>
      <c r="Z125" s="491">
        <f t="shared" ref="Z125:Z127" si="104">X125/Y125-1</f>
        <v>9</v>
      </c>
      <c r="AA125" s="3"/>
      <c r="AB125" s="3"/>
      <c r="AC125" s="3"/>
      <c r="AD125" s="3"/>
      <c r="AE125" s="3"/>
    </row>
    <row r="126" ht="15.75" customHeight="1">
      <c r="A126" s="1"/>
      <c r="B126" s="142"/>
      <c r="C126" s="143"/>
      <c r="D126" s="144"/>
      <c r="E126" s="192"/>
      <c r="F126" s="146"/>
      <c r="G126" s="463"/>
      <c r="H126" s="148"/>
      <c r="I126" s="149"/>
      <c r="J126" s="72" t="s">
        <v>67</v>
      </c>
      <c r="K126" s="404">
        <v>70.0</v>
      </c>
      <c r="L126" s="109">
        <f t="shared" ref="L126:W126" si="103">L125/$K$102</f>
        <v>0</v>
      </c>
      <c r="M126" s="109">
        <f t="shared" si="103"/>
        <v>0</v>
      </c>
      <c r="N126" s="109">
        <f t="shared" si="103"/>
        <v>0</v>
      </c>
      <c r="O126" s="109">
        <f t="shared" si="103"/>
        <v>99.00990099</v>
      </c>
      <c r="P126" s="109">
        <f t="shared" si="103"/>
        <v>198.019802</v>
      </c>
      <c r="Q126" s="109">
        <f t="shared" si="103"/>
        <v>396.039604</v>
      </c>
      <c r="R126" s="109">
        <f t="shared" si="103"/>
        <v>693.0693069</v>
      </c>
      <c r="S126" s="109">
        <f t="shared" si="103"/>
        <v>990.0990099</v>
      </c>
      <c r="T126" s="109">
        <f t="shared" si="103"/>
        <v>1584.158416</v>
      </c>
      <c r="U126" s="109">
        <f t="shared" si="103"/>
        <v>1881.188119</v>
      </c>
      <c r="V126" s="109">
        <f t="shared" si="103"/>
        <v>2079.207921</v>
      </c>
      <c r="W126" s="109">
        <f t="shared" si="103"/>
        <v>1980.19802</v>
      </c>
      <c r="X126" s="172">
        <f t="shared" ref="X126:X127" si="106">SUM(L126:W126)</f>
        <v>9900.990099</v>
      </c>
      <c r="Y126" s="405">
        <v>990.0990099009902</v>
      </c>
      <c r="Z126" s="491">
        <f t="shared" si="104"/>
        <v>9</v>
      </c>
      <c r="AA126" s="3"/>
      <c r="AB126" s="3"/>
      <c r="AC126" s="3"/>
      <c r="AD126" s="3"/>
      <c r="AE126" s="3"/>
    </row>
    <row r="127" ht="15.75" customHeight="1">
      <c r="A127" s="1"/>
      <c r="B127" s="142"/>
      <c r="C127" s="143"/>
      <c r="D127" s="144"/>
      <c r="E127" s="192"/>
      <c r="F127" s="146"/>
      <c r="G127" s="463"/>
      <c r="H127" s="148"/>
      <c r="I127" s="149"/>
      <c r="J127" s="124" t="s">
        <v>69</v>
      </c>
      <c r="K127" s="413">
        <v>0.045</v>
      </c>
      <c r="L127" s="127">
        <f t="shared" ref="L127:W127" si="105">IF(L126=0, 0,
  MIN(L126, 10000) * 4 +
  MAX(0, MIN(L126, 20000) - 10000) * 3 +
  MAX(0, MIN(L126, 40000) - 20000) * 2 +
  MAX(0, MIN(L126, 80000) - 40000) * 1 +
  MAX(0, MIN(L126, 100000) - 80000) * 0.5 +
  MAX(0, L126 - 100000) * 0.25
)</f>
        <v>0</v>
      </c>
      <c r="M127" s="127">
        <f t="shared" si="105"/>
        <v>0</v>
      </c>
      <c r="N127" s="127">
        <f t="shared" si="105"/>
        <v>0</v>
      </c>
      <c r="O127" s="127">
        <f t="shared" si="105"/>
        <v>396.039604</v>
      </c>
      <c r="P127" s="127">
        <f t="shared" si="105"/>
        <v>792.0792079</v>
      </c>
      <c r="Q127" s="127">
        <f t="shared" si="105"/>
        <v>1584.158416</v>
      </c>
      <c r="R127" s="127">
        <f t="shared" si="105"/>
        <v>2772.277228</v>
      </c>
      <c r="S127" s="127">
        <f t="shared" si="105"/>
        <v>3960.39604</v>
      </c>
      <c r="T127" s="127">
        <f t="shared" si="105"/>
        <v>6336.633663</v>
      </c>
      <c r="U127" s="127">
        <f t="shared" si="105"/>
        <v>7524.752475</v>
      </c>
      <c r="V127" s="127">
        <f t="shared" si="105"/>
        <v>8316.831683</v>
      </c>
      <c r="W127" s="127">
        <f t="shared" si="105"/>
        <v>7920.792079</v>
      </c>
      <c r="X127" s="181">
        <f t="shared" si="106"/>
        <v>39603.9604</v>
      </c>
      <c r="Y127" s="407">
        <v>3960.3960396039606</v>
      </c>
      <c r="Z127" s="489">
        <f t="shared" si="104"/>
        <v>9</v>
      </c>
      <c r="AA127" s="3"/>
      <c r="AB127" s="3"/>
      <c r="AC127" s="3"/>
      <c r="AD127" s="3"/>
      <c r="AE127" s="3"/>
    </row>
    <row r="128" ht="15.75" customHeight="1">
      <c r="G128" s="478"/>
      <c r="J128" s="479"/>
      <c r="K128" s="238"/>
      <c r="L128" s="15"/>
      <c r="M128" s="15"/>
      <c r="N128" s="15"/>
      <c r="O128" s="15"/>
      <c r="P128" s="15"/>
      <c r="Q128" s="214"/>
      <c r="R128" s="15"/>
      <c r="S128" s="15"/>
      <c r="T128" s="15"/>
      <c r="U128" s="15"/>
      <c r="V128" s="15"/>
      <c r="W128" s="15"/>
      <c r="X128" s="14"/>
      <c r="Y128" s="14"/>
      <c r="Z128" s="494"/>
      <c r="AA128" s="3"/>
      <c r="AB128" s="3"/>
      <c r="AC128" s="3"/>
      <c r="AD128" s="3"/>
      <c r="AE128" s="3"/>
    </row>
    <row r="129" ht="15.75" customHeight="1">
      <c r="A129" s="1"/>
      <c r="B129" s="476">
        <v>22.0</v>
      </c>
      <c r="C129" s="143" t="str">
        <f>J129</f>
        <v>RAINHA</v>
      </c>
      <c r="D129" s="144"/>
      <c r="E129" s="192"/>
      <c r="F129" s="146"/>
      <c r="G129" s="477"/>
      <c r="H129" s="245"/>
      <c r="I129" s="246"/>
      <c r="J129" s="459" t="s">
        <v>143</v>
      </c>
      <c r="K129" s="395"/>
      <c r="L129" s="397" t="s">
        <v>10</v>
      </c>
      <c r="M129" s="398" t="s">
        <v>14</v>
      </c>
      <c r="N129" s="397" t="s">
        <v>18</v>
      </c>
      <c r="O129" s="398" t="s">
        <v>22</v>
      </c>
      <c r="P129" s="397" t="s">
        <v>26</v>
      </c>
      <c r="Q129" s="398" t="s">
        <v>30</v>
      </c>
      <c r="R129" s="397" t="s">
        <v>34</v>
      </c>
      <c r="S129" s="398" t="s">
        <v>38</v>
      </c>
      <c r="T129" s="397" t="s">
        <v>42</v>
      </c>
      <c r="U129" s="398" t="s">
        <v>46</v>
      </c>
      <c r="V129" s="397" t="s">
        <v>50</v>
      </c>
      <c r="W129" s="398" t="s">
        <v>54</v>
      </c>
      <c r="X129" s="364">
        <v>2028.0</v>
      </c>
      <c r="Y129" s="399">
        <v>2027.0</v>
      </c>
      <c r="Z129" s="491"/>
      <c r="AA129" s="3"/>
      <c r="AB129" s="3"/>
      <c r="AC129" s="3"/>
      <c r="AD129" s="3"/>
      <c r="AE129" s="3"/>
    </row>
    <row r="130" ht="15.75" customHeight="1">
      <c r="A130" s="1"/>
      <c r="B130" s="142"/>
      <c r="C130" s="143"/>
      <c r="D130" s="144"/>
      <c r="E130" s="192"/>
      <c r="F130" s="146"/>
      <c r="G130" s="463"/>
      <c r="H130" s="148"/>
      <c r="I130" s="149"/>
      <c r="J130" s="72" t="s">
        <v>64</v>
      </c>
      <c r="K130" s="400"/>
      <c r="L130" s="401"/>
      <c r="M130" s="401"/>
      <c r="N130" s="401"/>
      <c r="O130" s="401">
        <v>0.01</v>
      </c>
      <c r="P130" s="401">
        <v>0.02</v>
      </c>
      <c r="Q130" s="401">
        <v>0.04</v>
      </c>
      <c r="R130" s="401">
        <v>0.07</v>
      </c>
      <c r="S130" s="401">
        <v>0.1</v>
      </c>
      <c r="T130" s="401">
        <v>0.16</v>
      </c>
      <c r="U130" s="401">
        <v>0.19</v>
      </c>
      <c r="V130" s="401">
        <v>0.21</v>
      </c>
      <c r="W130" s="401">
        <v>0.2</v>
      </c>
      <c r="X130" s="166">
        <f>SUM(L130:W130)</f>
        <v>1</v>
      </c>
      <c r="Y130" s="460">
        <v>1.0</v>
      </c>
      <c r="Z130" s="491"/>
      <c r="AA130" s="3"/>
      <c r="AB130" s="3"/>
      <c r="AC130" s="3"/>
      <c r="AD130" s="3"/>
      <c r="AE130" s="3"/>
    </row>
    <row r="131" ht="15.75" customHeight="1">
      <c r="A131" s="1"/>
      <c r="B131" s="142"/>
      <c r="C131" s="143"/>
      <c r="D131" s="144"/>
      <c r="E131" s="192"/>
      <c r="F131" s="146"/>
      <c r="G131" s="463"/>
      <c r="H131" s="148"/>
      <c r="I131" s="149"/>
      <c r="J131" s="72" t="s">
        <v>66</v>
      </c>
      <c r="K131" s="400"/>
      <c r="L131" s="91">
        <f t="shared" ref="L131:W131" si="107">L130*$X$131</f>
        <v>0</v>
      </c>
      <c r="M131" s="91">
        <f t="shared" si="107"/>
        <v>0</v>
      </c>
      <c r="N131" s="91">
        <f t="shared" si="107"/>
        <v>0</v>
      </c>
      <c r="O131" s="91">
        <f t="shared" si="107"/>
        <v>10000</v>
      </c>
      <c r="P131" s="91">
        <f t="shared" si="107"/>
        <v>20000</v>
      </c>
      <c r="Q131" s="91">
        <f t="shared" si="107"/>
        <v>40000</v>
      </c>
      <c r="R131" s="91">
        <f t="shared" si="107"/>
        <v>70000</v>
      </c>
      <c r="S131" s="91">
        <f t="shared" si="107"/>
        <v>100000</v>
      </c>
      <c r="T131" s="91">
        <f t="shared" si="107"/>
        <v>160000</v>
      </c>
      <c r="U131" s="91">
        <f t="shared" si="107"/>
        <v>190000</v>
      </c>
      <c r="V131" s="91">
        <f t="shared" si="107"/>
        <v>210000</v>
      </c>
      <c r="W131" s="91">
        <f t="shared" si="107"/>
        <v>200000</v>
      </c>
      <c r="X131" s="168">
        <v>1000000.0</v>
      </c>
      <c r="Y131" s="403">
        <v>300000.0</v>
      </c>
      <c r="Z131" s="491">
        <f t="shared" ref="Z131:Z133" si="109">X131/Y131-1</f>
        <v>2.333333333</v>
      </c>
      <c r="AA131" s="3"/>
      <c r="AB131" s="3"/>
      <c r="AC131" s="3"/>
      <c r="AD131" s="3"/>
      <c r="AE131" s="3"/>
    </row>
    <row r="132" ht="15.75" customHeight="1">
      <c r="A132" s="1"/>
      <c r="B132" s="142"/>
      <c r="C132" s="143"/>
      <c r="D132" s="144"/>
      <c r="E132" s="192"/>
      <c r="F132" s="146"/>
      <c r="G132" s="463"/>
      <c r="H132" s="148"/>
      <c r="I132" s="149"/>
      <c r="J132" s="72" t="s">
        <v>67</v>
      </c>
      <c r="K132" s="404">
        <v>140.0</v>
      </c>
      <c r="L132" s="109">
        <f t="shared" ref="L132:W132" si="108">L131/$K$102</f>
        <v>0</v>
      </c>
      <c r="M132" s="109">
        <f t="shared" si="108"/>
        <v>0</v>
      </c>
      <c r="N132" s="109">
        <f t="shared" si="108"/>
        <v>0</v>
      </c>
      <c r="O132" s="109">
        <f t="shared" si="108"/>
        <v>99.00990099</v>
      </c>
      <c r="P132" s="109">
        <f t="shared" si="108"/>
        <v>198.019802</v>
      </c>
      <c r="Q132" s="109">
        <f t="shared" si="108"/>
        <v>396.039604</v>
      </c>
      <c r="R132" s="109">
        <f t="shared" si="108"/>
        <v>693.0693069</v>
      </c>
      <c r="S132" s="109">
        <f t="shared" si="108"/>
        <v>990.0990099</v>
      </c>
      <c r="T132" s="109">
        <f t="shared" si="108"/>
        <v>1584.158416</v>
      </c>
      <c r="U132" s="109">
        <f t="shared" si="108"/>
        <v>1881.188119</v>
      </c>
      <c r="V132" s="109">
        <f t="shared" si="108"/>
        <v>2079.207921</v>
      </c>
      <c r="W132" s="109">
        <f t="shared" si="108"/>
        <v>1980.19802</v>
      </c>
      <c r="X132" s="172">
        <f t="shared" ref="X132:X133" si="111">SUM(L132:W132)</f>
        <v>9900.990099</v>
      </c>
      <c r="Y132" s="405">
        <v>2970.2970297029706</v>
      </c>
      <c r="Z132" s="491">
        <f t="shared" si="109"/>
        <v>2.333333333</v>
      </c>
      <c r="AA132" s="3"/>
      <c r="AB132" s="3"/>
      <c r="AC132" s="3"/>
      <c r="AD132" s="3"/>
      <c r="AE132" s="3"/>
    </row>
    <row r="133" ht="15.75" customHeight="1">
      <c r="A133" s="1"/>
      <c r="B133" s="142"/>
      <c r="C133" s="143"/>
      <c r="D133" s="144"/>
      <c r="E133" s="192"/>
      <c r="F133" s="146"/>
      <c r="G133" s="463"/>
      <c r="H133" s="148"/>
      <c r="I133" s="149"/>
      <c r="J133" s="124" t="s">
        <v>69</v>
      </c>
      <c r="K133" s="413">
        <v>0.045</v>
      </c>
      <c r="L133" s="127">
        <f t="shared" ref="L133:W133" si="110">IF(L132=0, 0,
  MIN(L132, 10000) * 4 +
  MAX(0, MIN(L132, 20000) - 10000) * 3 +
  MAX(0, MIN(L132, 40000) - 20000) * 2 +
  MAX(0, MIN(L132, 80000) - 40000) * 1 +
  MAX(0, MIN(L132, 100000) - 80000) * 0.5 +
  MAX(0, L132 - 100000) * 0.25
)</f>
        <v>0</v>
      </c>
      <c r="M133" s="127">
        <f t="shared" si="110"/>
        <v>0</v>
      </c>
      <c r="N133" s="127">
        <f t="shared" si="110"/>
        <v>0</v>
      </c>
      <c r="O133" s="127">
        <f t="shared" si="110"/>
        <v>396.039604</v>
      </c>
      <c r="P133" s="127">
        <f t="shared" si="110"/>
        <v>792.0792079</v>
      </c>
      <c r="Q133" s="127">
        <f t="shared" si="110"/>
        <v>1584.158416</v>
      </c>
      <c r="R133" s="127">
        <f t="shared" si="110"/>
        <v>2772.277228</v>
      </c>
      <c r="S133" s="127">
        <f t="shared" si="110"/>
        <v>3960.39604</v>
      </c>
      <c r="T133" s="127">
        <f t="shared" si="110"/>
        <v>6336.633663</v>
      </c>
      <c r="U133" s="127">
        <f t="shared" si="110"/>
        <v>7524.752475</v>
      </c>
      <c r="V133" s="127">
        <f t="shared" si="110"/>
        <v>8316.831683</v>
      </c>
      <c r="W133" s="127">
        <f t="shared" si="110"/>
        <v>7920.792079</v>
      </c>
      <c r="X133" s="181">
        <f t="shared" si="111"/>
        <v>39603.9604</v>
      </c>
      <c r="Y133" s="407">
        <v>11881.188118811882</v>
      </c>
      <c r="Z133" s="489">
        <f t="shared" si="109"/>
        <v>2.333333333</v>
      </c>
      <c r="AA133" s="3"/>
      <c r="AB133" s="3"/>
      <c r="AC133" s="3"/>
      <c r="AD133" s="3"/>
      <c r="AE133" s="3"/>
    </row>
    <row r="134" ht="15.75" customHeight="1">
      <c r="G134" s="478"/>
      <c r="J134" s="479"/>
      <c r="K134" s="238"/>
      <c r="L134" s="15"/>
      <c r="M134" s="15"/>
      <c r="N134" s="15"/>
      <c r="O134" s="15"/>
      <c r="P134" s="15"/>
      <c r="Q134" s="214"/>
      <c r="R134" s="15"/>
      <c r="S134" s="15"/>
      <c r="T134" s="15"/>
      <c r="U134" s="15"/>
      <c r="V134" s="15"/>
      <c r="W134" s="15"/>
      <c r="X134" s="14"/>
      <c r="Y134" s="14"/>
      <c r="Z134" s="494"/>
      <c r="AA134" s="3"/>
      <c r="AB134" s="3"/>
      <c r="AC134" s="3"/>
      <c r="AD134" s="3"/>
      <c r="AE134" s="3"/>
    </row>
    <row r="135" ht="15.75" customHeight="1">
      <c r="A135" s="1"/>
      <c r="B135" s="476">
        <v>23.0</v>
      </c>
      <c r="C135" s="143" t="str">
        <f>J135</f>
        <v>01 DEAL WISH LIST</v>
      </c>
      <c r="D135" s="144"/>
      <c r="E135" s="192"/>
      <c r="F135" s="146"/>
      <c r="G135" s="477"/>
      <c r="H135" s="245"/>
      <c r="I135" s="246"/>
      <c r="J135" s="459" t="s">
        <v>148</v>
      </c>
      <c r="K135" s="395"/>
      <c r="L135" s="397" t="s">
        <v>10</v>
      </c>
      <c r="M135" s="398" t="s">
        <v>14</v>
      </c>
      <c r="N135" s="397" t="s">
        <v>18</v>
      </c>
      <c r="O135" s="398" t="s">
        <v>22</v>
      </c>
      <c r="P135" s="397" t="s">
        <v>26</v>
      </c>
      <c r="Q135" s="398" t="s">
        <v>30</v>
      </c>
      <c r="R135" s="397" t="s">
        <v>34</v>
      </c>
      <c r="S135" s="398" t="s">
        <v>38</v>
      </c>
      <c r="T135" s="397" t="s">
        <v>42</v>
      </c>
      <c r="U135" s="398" t="s">
        <v>46</v>
      </c>
      <c r="V135" s="397" t="s">
        <v>50</v>
      </c>
      <c r="W135" s="398" t="s">
        <v>54</v>
      </c>
      <c r="X135" s="364">
        <v>2028.0</v>
      </c>
      <c r="Y135" s="399">
        <v>2027.0</v>
      </c>
      <c r="Z135" s="491"/>
      <c r="AA135" s="3"/>
      <c r="AB135" s="3"/>
      <c r="AC135" s="3"/>
      <c r="AD135" s="3"/>
      <c r="AE135" s="3"/>
    </row>
    <row r="136" ht="15.75" customHeight="1">
      <c r="A136" s="1"/>
      <c r="B136" s="142"/>
      <c r="C136" s="143"/>
      <c r="D136" s="144"/>
      <c r="E136" s="192"/>
      <c r="F136" s="146"/>
      <c r="G136" s="463"/>
      <c r="H136" s="148"/>
      <c r="I136" s="149"/>
      <c r="J136" s="72" t="s">
        <v>64</v>
      </c>
      <c r="K136" s="400"/>
      <c r="L136" s="401">
        <v>0.01</v>
      </c>
      <c r="M136" s="401">
        <v>0.01</v>
      </c>
      <c r="N136" s="401">
        <v>0.02</v>
      </c>
      <c r="O136" s="401">
        <v>0.06</v>
      </c>
      <c r="P136" s="401">
        <v>0.06</v>
      </c>
      <c r="Q136" s="401">
        <v>0.08</v>
      </c>
      <c r="R136" s="401">
        <v>0.08</v>
      </c>
      <c r="S136" s="401">
        <v>0.08</v>
      </c>
      <c r="T136" s="401">
        <v>0.1</v>
      </c>
      <c r="U136" s="401">
        <v>0.14</v>
      </c>
      <c r="V136" s="401">
        <v>0.16</v>
      </c>
      <c r="W136" s="401">
        <v>0.2</v>
      </c>
      <c r="X136" s="166">
        <f>SUM(L136:W136)</f>
        <v>1</v>
      </c>
      <c r="Y136" s="460">
        <v>1.0</v>
      </c>
      <c r="Z136" s="491"/>
      <c r="AA136" s="3"/>
      <c r="AB136" s="3"/>
      <c r="AC136" s="3"/>
      <c r="AD136" s="3"/>
      <c r="AE136" s="3"/>
    </row>
    <row r="137" ht="15.75" customHeight="1">
      <c r="A137" s="1"/>
      <c r="B137" s="142"/>
      <c r="C137" s="143"/>
      <c r="D137" s="144"/>
      <c r="E137" s="192"/>
      <c r="F137" s="146"/>
      <c r="G137" s="463"/>
      <c r="H137" s="148"/>
      <c r="I137" s="149"/>
      <c r="J137" s="72" t="s">
        <v>66</v>
      </c>
      <c r="K137" s="400"/>
      <c r="L137" s="91">
        <f t="shared" ref="L137:W137" si="112">$X$137*L136</f>
        <v>30000</v>
      </c>
      <c r="M137" s="91">
        <f t="shared" si="112"/>
        <v>30000</v>
      </c>
      <c r="N137" s="91">
        <f t="shared" si="112"/>
        <v>60000</v>
      </c>
      <c r="O137" s="91">
        <f t="shared" si="112"/>
        <v>180000</v>
      </c>
      <c r="P137" s="91">
        <f t="shared" si="112"/>
        <v>180000</v>
      </c>
      <c r="Q137" s="91">
        <f t="shared" si="112"/>
        <v>240000</v>
      </c>
      <c r="R137" s="91">
        <f t="shared" si="112"/>
        <v>240000</v>
      </c>
      <c r="S137" s="91">
        <f t="shared" si="112"/>
        <v>240000</v>
      </c>
      <c r="T137" s="91">
        <f t="shared" si="112"/>
        <v>300000</v>
      </c>
      <c r="U137" s="91">
        <f t="shared" si="112"/>
        <v>420000</v>
      </c>
      <c r="V137" s="91">
        <f t="shared" si="112"/>
        <v>480000</v>
      </c>
      <c r="W137" s="91">
        <f t="shared" si="112"/>
        <v>600000</v>
      </c>
      <c r="X137" s="168">
        <v>3000000.0</v>
      </c>
      <c r="Y137" s="403">
        <v>2000000.0</v>
      </c>
      <c r="Z137" s="491">
        <f t="shared" ref="Z137:Z139" si="114">X137/Y137-1</f>
        <v>0.5</v>
      </c>
      <c r="AA137" s="3"/>
      <c r="AB137" s="3"/>
      <c r="AC137" s="3"/>
      <c r="AD137" s="3"/>
      <c r="AE137" s="3"/>
    </row>
    <row r="138" ht="15.75" customHeight="1">
      <c r="A138" s="1"/>
      <c r="B138" s="142"/>
      <c r="C138" s="143"/>
      <c r="D138" s="144"/>
      <c r="E138" s="192"/>
      <c r="F138" s="146"/>
      <c r="G138" s="463"/>
      <c r="H138" s="148"/>
      <c r="I138" s="149"/>
      <c r="J138" s="72" t="s">
        <v>67</v>
      </c>
      <c r="K138" s="404">
        <v>70.0</v>
      </c>
      <c r="L138" s="109">
        <f t="shared" ref="L138:W138" si="113">L137/$K$102</f>
        <v>297.029703</v>
      </c>
      <c r="M138" s="109">
        <f t="shared" si="113"/>
        <v>297.029703</v>
      </c>
      <c r="N138" s="109">
        <f t="shared" si="113"/>
        <v>594.0594059</v>
      </c>
      <c r="O138" s="109">
        <f t="shared" si="113"/>
        <v>1782.178218</v>
      </c>
      <c r="P138" s="109">
        <f t="shared" si="113"/>
        <v>1782.178218</v>
      </c>
      <c r="Q138" s="109">
        <f t="shared" si="113"/>
        <v>2376.237624</v>
      </c>
      <c r="R138" s="109">
        <f t="shared" si="113"/>
        <v>2376.237624</v>
      </c>
      <c r="S138" s="109">
        <f t="shared" si="113"/>
        <v>2376.237624</v>
      </c>
      <c r="T138" s="109">
        <f t="shared" si="113"/>
        <v>2970.29703</v>
      </c>
      <c r="U138" s="109">
        <f t="shared" si="113"/>
        <v>4158.415842</v>
      </c>
      <c r="V138" s="109">
        <f t="shared" si="113"/>
        <v>4752.475248</v>
      </c>
      <c r="W138" s="109">
        <f t="shared" si="113"/>
        <v>5940.594059</v>
      </c>
      <c r="X138" s="172">
        <f t="shared" ref="X138:X139" si="116">SUM(L138:W138)</f>
        <v>29702.9703</v>
      </c>
      <c r="Y138" s="405">
        <v>19801.980198019803</v>
      </c>
      <c r="Z138" s="491">
        <f t="shared" si="114"/>
        <v>0.5</v>
      </c>
      <c r="AA138" s="3"/>
      <c r="AB138" s="3"/>
      <c r="AC138" s="3"/>
      <c r="AD138" s="3"/>
      <c r="AE138" s="3"/>
    </row>
    <row r="139" ht="15.75" customHeight="1">
      <c r="A139" s="1"/>
      <c r="B139" s="142"/>
      <c r="C139" s="143"/>
      <c r="D139" s="144"/>
      <c r="E139" s="192"/>
      <c r="F139" s="146"/>
      <c r="G139" s="463"/>
      <c r="H139" s="148"/>
      <c r="I139" s="149"/>
      <c r="J139" s="124" t="s">
        <v>69</v>
      </c>
      <c r="K139" s="413">
        <v>0.045</v>
      </c>
      <c r="L139" s="127">
        <f t="shared" ref="L139:W139" si="115">IF(L138=0, 0,
  MIN(L138, 10000) * 4 +
  MAX(0, MIN(L138, 20000) - 10000) * 3 +
  MAX(0, MIN(L138, 40000) - 20000) * 2 +
  MAX(0, MIN(L138, 80000) - 40000) * 1 +
  MAX(0, MIN(L138, 100000) - 80000) * 0.5 +
  MAX(0, L138 - 100000) * 0.25
)</f>
        <v>1188.118812</v>
      </c>
      <c r="M139" s="127">
        <f t="shared" si="115"/>
        <v>1188.118812</v>
      </c>
      <c r="N139" s="127">
        <f t="shared" si="115"/>
        <v>2376.237624</v>
      </c>
      <c r="O139" s="127">
        <f t="shared" si="115"/>
        <v>7128.712871</v>
      </c>
      <c r="P139" s="127">
        <f t="shared" si="115"/>
        <v>7128.712871</v>
      </c>
      <c r="Q139" s="127">
        <f t="shared" si="115"/>
        <v>9504.950495</v>
      </c>
      <c r="R139" s="127">
        <f t="shared" si="115"/>
        <v>9504.950495</v>
      </c>
      <c r="S139" s="127">
        <f t="shared" si="115"/>
        <v>9504.950495</v>
      </c>
      <c r="T139" s="127">
        <f t="shared" si="115"/>
        <v>11881.18812</v>
      </c>
      <c r="U139" s="127">
        <f t="shared" si="115"/>
        <v>16633.66337</v>
      </c>
      <c r="V139" s="127">
        <f t="shared" si="115"/>
        <v>19009.90099</v>
      </c>
      <c r="W139" s="127">
        <f t="shared" si="115"/>
        <v>23762.37624</v>
      </c>
      <c r="X139" s="181">
        <f t="shared" si="116"/>
        <v>118811.8812</v>
      </c>
      <c r="Y139" s="407">
        <v>79207.92079207921</v>
      </c>
      <c r="Z139" s="489">
        <f t="shared" si="114"/>
        <v>0.5</v>
      </c>
      <c r="AA139" s="3"/>
      <c r="AB139" s="3"/>
      <c r="AC139" s="3"/>
      <c r="AD139" s="3"/>
      <c r="AE139" s="3"/>
    </row>
    <row r="140" ht="15.75" customHeight="1">
      <c r="G140" s="478"/>
      <c r="J140" s="479"/>
      <c r="K140" s="238"/>
      <c r="L140" s="15"/>
      <c r="M140" s="15"/>
      <c r="N140" s="15"/>
      <c r="O140" s="15"/>
      <c r="P140" s="15"/>
      <c r="Q140" s="214"/>
      <c r="R140" s="15"/>
      <c r="S140" s="15"/>
      <c r="T140" s="15"/>
      <c r="U140" s="15"/>
      <c r="V140" s="15"/>
      <c r="W140" s="15"/>
      <c r="X140" s="14"/>
      <c r="Y140" s="14"/>
      <c r="Z140" s="494"/>
      <c r="AA140" s="3"/>
      <c r="AB140" s="3"/>
      <c r="AC140" s="3"/>
      <c r="AD140" s="3"/>
      <c r="AE140" s="3"/>
    </row>
    <row r="141" ht="15.75" customHeight="1">
      <c r="A141" s="1"/>
      <c r="B141" s="476">
        <v>24.0</v>
      </c>
      <c r="C141" s="143" t="str">
        <f>J141</f>
        <v>02 DEAL WISH LIST</v>
      </c>
      <c r="D141" s="144"/>
      <c r="E141" s="192"/>
      <c r="F141" s="146"/>
      <c r="G141" s="477"/>
      <c r="H141" s="245"/>
      <c r="I141" s="246"/>
      <c r="J141" s="459" t="s">
        <v>149</v>
      </c>
      <c r="K141" s="395"/>
      <c r="L141" s="397" t="s">
        <v>10</v>
      </c>
      <c r="M141" s="398" t="s">
        <v>14</v>
      </c>
      <c r="N141" s="397" t="s">
        <v>18</v>
      </c>
      <c r="O141" s="398" t="s">
        <v>22</v>
      </c>
      <c r="P141" s="397" t="s">
        <v>26</v>
      </c>
      <c r="Q141" s="398" t="s">
        <v>30</v>
      </c>
      <c r="R141" s="397" t="s">
        <v>34</v>
      </c>
      <c r="S141" s="398" t="s">
        <v>38</v>
      </c>
      <c r="T141" s="397" t="s">
        <v>42</v>
      </c>
      <c r="U141" s="398" t="s">
        <v>46</v>
      </c>
      <c r="V141" s="397" t="s">
        <v>50</v>
      </c>
      <c r="W141" s="398" t="s">
        <v>54</v>
      </c>
      <c r="X141" s="364">
        <v>2028.0</v>
      </c>
      <c r="Y141" s="399">
        <v>2027.0</v>
      </c>
      <c r="Z141" s="491"/>
      <c r="AA141" s="3"/>
      <c r="AB141" s="3"/>
      <c r="AC141" s="3"/>
      <c r="AD141" s="3"/>
      <c r="AE141" s="3"/>
    </row>
    <row r="142" ht="15.75" customHeight="1">
      <c r="A142" s="1"/>
      <c r="B142" s="142"/>
      <c r="C142" s="143"/>
      <c r="D142" s="144"/>
      <c r="E142" s="192"/>
      <c r="F142" s="146"/>
      <c r="G142" s="463"/>
      <c r="H142" s="148"/>
      <c r="I142" s="149"/>
      <c r="J142" s="72" t="s">
        <v>64</v>
      </c>
      <c r="K142" s="400"/>
      <c r="L142" s="401">
        <v>0.01</v>
      </c>
      <c r="M142" s="401">
        <v>0.01</v>
      </c>
      <c r="N142" s="401">
        <v>0.02</v>
      </c>
      <c r="O142" s="401">
        <v>0.06</v>
      </c>
      <c r="P142" s="401">
        <v>0.06</v>
      </c>
      <c r="Q142" s="401">
        <v>0.08</v>
      </c>
      <c r="R142" s="401">
        <v>0.08</v>
      </c>
      <c r="S142" s="401">
        <v>0.08</v>
      </c>
      <c r="T142" s="401">
        <v>0.1</v>
      </c>
      <c r="U142" s="401">
        <v>0.14</v>
      </c>
      <c r="V142" s="401">
        <v>0.16</v>
      </c>
      <c r="W142" s="401">
        <v>0.2</v>
      </c>
      <c r="X142" s="166">
        <f>SUM(L142:W142)</f>
        <v>1</v>
      </c>
      <c r="Y142" s="460">
        <v>1.0</v>
      </c>
      <c r="Z142" s="491"/>
      <c r="AA142" s="3"/>
      <c r="AB142" s="3"/>
      <c r="AC142" s="3"/>
      <c r="AD142" s="3"/>
      <c r="AE142" s="3"/>
    </row>
    <row r="143" ht="15.75" customHeight="1">
      <c r="A143" s="1"/>
      <c r="B143" s="142"/>
      <c r="C143" s="143"/>
      <c r="D143" s="144"/>
      <c r="E143" s="192"/>
      <c r="F143" s="146"/>
      <c r="G143" s="463"/>
      <c r="H143" s="148"/>
      <c r="I143" s="149"/>
      <c r="J143" s="72" t="s">
        <v>66</v>
      </c>
      <c r="K143" s="400"/>
      <c r="L143" s="91">
        <f t="shared" ref="L143:W143" si="117">$X$143*L142</f>
        <v>20000</v>
      </c>
      <c r="M143" s="91">
        <f t="shared" si="117"/>
        <v>20000</v>
      </c>
      <c r="N143" s="91">
        <f t="shared" si="117"/>
        <v>40000</v>
      </c>
      <c r="O143" s="91">
        <f t="shared" si="117"/>
        <v>120000</v>
      </c>
      <c r="P143" s="91">
        <f t="shared" si="117"/>
        <v>120000</v>
      </c>
      <c r="Q143" s="91">
        <f t="shared" si="117"/>
        <v>160000</v>
      </c>
      <c r="R143" s="91">
        <f t="shared" si="117"/>
        <v>160000</v>
      </c>
      <c r="S143" s="91">
        <f t="shared" si="117"/>
        <v>160000</v>
      </c>
      <c r="T143" s="91">
        <f t="shared" si="117"/>
        <v>200000</v>
      </c>
      <c r="U143" s="91">
        <f t="shared" si="117"/>
        <v>280000</v>
      </c>
      <c r="V143" s="91">
        <f t="shared" si="117"/>
        <v>320000</v>
      </c>
      <c r="W143" s="91">
        <f t="shared" si="117"/>
        <v>400000</v>
      </c>
      <c r="X143" s="168">
        <v>2000000.0</v>
      </c>
      <c r="Y143" s="403">
        <v>1000000.0</v>
      </c>
      <c r="Z143" s="491">
        <f t="shared" ref="Z143:Z145" si="119">X143/Y143-1</f>
        <v>1</v>
      </c>
      <c r="AA143" s="3"/>
      <c r="AB143" s="3"/>
      <c r="AC143" s="3"/>
      <c r="AD143" s="3"/>
      <c r="AE143" s="3"/>
    </row>
    <row r="144" ht="15.75" customHeight="1">
      <c r="A144" s="1"/>
      <c r="B144" s="142"/>
      <c r="C144" s="143"/>
      <c r="D144" s="144"/>
      <c r="E144" s="192"/>
      <c r="F144" s="146"/>
      <c r="G144" s="463"/>
      <c r="H144" s="148"/>
      <c r="I144" s="149"/>
      <c r="J144" s="72" t="s">
        <v>67</v>
      </c>
      <c r="K144" s="404">
        <v>80.0</v>
      </c>
      <c r="L144" s="109">
        <f t="shared" ref="L144:W144" si="118">L143/$K$102</f>
        <v>198.019802</v>
      </c>
      <c r="M144" s="109">
        <f t="shared" si="118"/>
        <v>198.019802</v>
      </c>
      <c r="N144" s="109">
        <f t="shared" si="118"/>
        <v>396.039604</v>
      </c>
      <c r="O144" s="109">
        <f t="shared" si="118"/>
        <v>1188.118812</v>
      </c>
      <c r="P144" s="109">
        <f t="shared" si="118"/>
        <v>1188.118812</v>
      </c>
      <c r="Q144" s="109">
        <f t="shared" si="118"/>
        <v>1584.158416</v>
      </c>
      <c r="R144" s="109">
        <f t="shared" si="118"/>
        <v>1584.158416</v>
      </c>
      <c r="S144" s="109">
        <f t="shared" si="118"/>
        <v>1584.158416</v>
      </c>
      <c r="T144" s="109">
        <f t="shared" si="118"/>
        <v>1980.19802</v>
      </c>
      <c r="U144" s="109">
        <f t="shared" si="118"/>
        <v>2772.277228</v>
      </c>
      <c r="V144" s="109">
        <f t="shared" si="118"/>
        <v>3168.316832</v>
      </c>
      <c r="W144" s="109">
        <f t="shared" si="118"/>
        <v>3960.39604</v>
      </c>
      <c r="X144" s="172">
        <f t="shared" ref="X144:X145" si="121">SUM(L144:W144)</f>
        <v>19801.9802</v>
      </c>
      <c r="Y144" s="405">
        <v>9900.990099009901</v>
      </c>
      <c r="Z144" s="491">
        <f t="shared" si="119"/>
        <v>1</v>
      </c>
      <c r="AA144" s="3"/>
      <c r="AB144" s="3"/>
      <c r="AC144" s="3"/>
      <c r="AD144" s="3"/>
      <c r="AE144" s="3"/>
    </row>
    <row r="145" ht="15.75" customHeight="1">
      <c r="A145" s="1"/>
      <c r="B145" s="142"/>
      <c r="C145" s="143"/>
      <c r="D145" s="144"/>
      <c r="E145" s="192"/>
      <c r="F145" s="146"/>
      <c r="G145" s="463"/>
      <c r="H145" s="148"/>
      <c r="I145" s="149"/>
      <c r="J145" s="124" t="s">
        <v>69</v>
      </c>
      <c r="K145" s="413">
        <v>0.045</v>
      </c>
      <c r="L145" s="127">
        <f t="shared" ref="L145:W145" si="120">IF(L144=0, 0,
  MIN(L144, 10000) * 4 +
  MAX(0, MIN(L144, 20000) - 10000) * 3 +
  MAX(0, MIN(L144, 40000) - 20000) * 2 +
  MAX(0, MIN(L144, 80000) - 40000) * 1 +
  MAX(0, MIN(L144, 100000) - 80000) * 0.5 +
  MAX(0, L144 - 100000) * 0.25
)</f>
        <v>792.0792079</v>
      </c>
      <c r="M145" s="127">
        <f t="shared" si="120"/>
        <v>792.0792079</v>
      </c>
      <c r="N145" s="127">
        <f t="shared" si="120"/>
        <v>1584.158416</v>
      </c>
      <c r="O145" s="127">
        <f t="shared" si="120"/>
        <v>4752.475248</v>
      </c>
      <c r="P145" s="127">
        <f t="shared" si="120"/>
        <v>4752.475248</v>
      </c>
      <c r="Q145" s="127">
        <f t="shared" si="120"/>
        <v>6336.633663</v>
      </c>
      <c r="R145" s="127">
        <f t="shared" si="120"/>
        <v>6336.633663</v>
      </c>
      <c r="S145" s="127">
        <f t="shared" si="120"/>
        <v>6336.633663</v>
      </c>
      <c r="T145" s="127">
        <f t="shared" si="120"/>
        <v>7920.792079</v>
      </c>
      <c r="U145" s="127">
        <f t="shared" si="120"/>
        <v>11089.10891</v>
      </c>
      <c r="V145" s="127">
        <f t="shared" si="120"/>
        <v>12673.26733</v>
      </c>
      <c r="W145" s="127">
        <f t="shared" si="120"/>
        <v>15841.58416</v>
      </c>
      <c r="X145" s="181">
        <f t="shared" si="121"/>
        <v>79207.92079</v>
      </c>
      <c r="Y145" s="407">
        <v>39603.960396039605</v>
      </c>
      <c r="Z145" s="489">
        <f t="shared" si="119"/>
        <v>1</v>
      </c>
      <c r="AA145" s="3"/>
      <c r="AB145" s="3"/>
      <c r="AC145" s="3"/>
      <c r="AD145" s="3"/>
      <c r="AE145" s="3"/>
    </row>
    <row r="146" ht="15.75" customHeight="1">
      <c r="A146" s="3"/>
      <c r="B146" s="3"/>
      <c r="C146" s="3"/>
      <c r="D146" s="3"/>
      <c r="E146" s="3"/>
      <c r="F146" s="3"/>
      <c r="G146" s="481"/>
      <c r="H146" s="3"/>
      <c r="I146" s="3"/>
      <c r="J146" s="474"/>
      <c r="K146" s="3"/>
      <c r="L146" s="3"/>
      <c r="M146" s="3"/>
      <c r="N146" s="3"/>
      <c r="O146" s="3"/>
      <c r="P146" s="3"/>
      <c r="Q146" s="3"/>
      <c r="R146" s="3"/>
      <c r="S146" s="3"/>
      <c r="T146" s="3"/>
      <c r="U146" s="3"/>
      <c r="V146" s="3"/>
      <c r="W146" s="3"/>
      <c r="X146" s="3"/>
      <c r="Y146" s="3"/>
      <c r="Z146" s="493"/>
      <c r="AA146" s="3"/>
      <c r="AB146" s="3"/>
      <c r="AC146" s="3"/>
      <c r="AD146" s="3"/>
      <c r="AE146" s="3"/>
    </row>
    <row r="147">
      <c r="A147" s="3"/>
      <c r="B147" s="3"/>
      <c r="C147" s="3"/>
      <c r="D147" s="3"/>
      <c r="E147" s="3"/>
      <c r="F147" s="3"/>
      <c r="G147" s="481"/>
      <c r="H147" s="3"/>
      <c r="I147" s="3"/>
      <c r="J147" s="482" t="s">
        <v>145</v>
      </c>
      <c r="K147" s="3"/>
      <c r="L147" s="3"/>
      <c r="M147" s="3"/>
      <c r="N147" s="3"/>
      <c r="O147" s="3"/>
      <c r="P147" s="3"/>
      <c r="Q147" s="3"/>
      <c r="R147" s="3"/>
      <c r="S147" s="3"/>
      <c r="T147" s="3"/>
      <c r="U147" s="3"/>
      <c r="V147" s="3"/>
      <c r="W147" s="3"/>
      <c r="X147" s="3"/>
      <c r="Y147" s="3"/>
      <c r="Z147" s="491"/>
      <c r="AA147" s="3"/>
      <c r="AB147" s="3"/>
      <c r="AC147" s="3"/>
      <c r="AD147" s="3"/>
      <c r="AE147" s="3"/>
    </row>
    <row r="148" ht="15.75" customHeight="1">
      <c r="G148" s="478"/>
      <c r="J148" s="479"/>
      <c r="K148" s="238"/>
      <c r="L148" s="151"/>
      <c r="M148" s="15"/>
      <c r="N148" s="15"/>
      <c r="O148" s="15"/>
      <c r="P148" s="15"/>
      <c r="Q148" s="15"/>
      <c r="R148" s="15"/>
      <c r="S148" s="15"/>
      <c r="T148" s="15"/>
      <c r="U148" s="15"/>
      <c r="V148" s="15"/>
      <c r="W148" s="310" t="s">
        <v>107</v>
      </c>
      <c r="X148" s="483">
        <v>2028.0</v>
      </c>
      <c r="Y148" s="483">
        <v>2027.0</v>
      </c>
      <c r="Z148" s="483" t="s">
        <v>146</v>
      </c>
      <c r="AA148" s="3"/>
      <c r="AB148" s="3"/>
      <c r="AC148" s="3"/>
      <c r="AD148" s="3"/>
      <c r="AE148" s="3"/>
    </row>
    <row r="149" ht="15.75" customHeight="1">
      <c r="G149" s="478"/>
      <c r="J149" s="479"/>
      <c r="K149" s="238"/>
      <c r="L149" s="15"/>
      <c r="M149" s="15"/>
      <c r="N149" s="15"/>
      <c r="O149" s="15"/>
      <c r="P149" s="486"/>
      <c r="V149" s="15"/>
      <c r="W149" s="487" t="s">
        <v>66</v>
      </c>
      <c r="X149" s="449">
        <f>SUMIF(J5:J146, "gmv", X5:X146)</f>
        <v>430289636.2</v>
      </c>
      <c r="Y149" s="449">
        <f>SUMIF(J5:J146, "gmv", Y5:Y146)</f>
        <v>231876000</v>
      </c>
      <c r="Z149" s="495">
        <f t="shared" ref="Z149:Z151" si="122">X149/Y149-1</f>
        <v>0.8556885414</v>
      </c>
      <c r="AA149" s="3"/>
      <c r="AB149" s="3"/>
      <c r="AC149" s="3"/>
      <c r="AD149" s="3"/>
      <c r="AE149" s="3"/>
    </row>
    <row r="150" ht="15.75" customHeight="1">
      <c r="G150" s="478"/>
      <c r="J150" s="479"/>
      <c r="K150" s="238"/>
      <c r="L150" s="15"/>
      <c r="M150" s="15"/>
      <c r="N150" s="15"/>
      <c r="O150" s="15"/>
      <c r="V150" s="15"/>
      <c r="W150" s="487" t="s">
        <v>67</v>
      </c>
      <c r="X150" s="451">
        <f>SUMIF(J6:J146, "Pedidos", X6:X146)</f>
        <v>5999251.704</v>
      </c>
      <c r="Y150" s="451">
        <v>3060851.435726195</v>
      </c>
      <c r="Z150" s="495">
        <f t="shared" si="122"/>
        <v>0.9599944102</v>
      </c>
      <c r="AA150" s="3"/>
      <c r="AB150" s="3"/>
      <c r="AC150" s="3"/>
      <c r="AD150" s="3"/>
      <c r="AE150" s="3"/>
    </row>
    <row r="151" ht="15.75" customHeight="1">
      <c r="G151" s="478"/>
      <c r="J151" s="479"/>
      <c r="K151" s="238"/>
      <c r="L151" s="15"/>
      <c r="M151" s="15"/>
      <c r="N151" s="15"/>
      <c r="O151" s="15"/>
      <c r="V151" s="15"/>
      <c r="W151" s="487" t="s">
        <v>69</v>
      </c>
      <c r="X151" s="449">
        <f>SUMIF(J5:J146, "Receita Hanzo", X5:X146)</f>
        <v>14409081.78</v>
      </c>
      <c r="Y151" s="449">
        <v>9063969.02310231</v>
      </c>
      <c r="Z151" s="495">
        <f t="shared" si="122"/>
        <v>0.5897099539</v>
      </c>
      <c r="AA151" s="3"/>
      <c r="AB151" s="3"/>
      <c r="AC151" s="3"/>
      <c r="AD151" s="3"/>
      <c r="AE151" s="3"/>
    </row>
    <row r="152" ht="15.75" customHeight="1">
      <c r="G152" s="478"/>
      <c r="J152" s="479"/>
      <c r="K152" s="238"/>
      <c r="L152" s="15"/>
      <c r="M152" s="15"/>
      <c r="N152" s="15"/>
      <c r="O152" s="15"/>
      <c r="V152" s="15"/>
      <c r="W152" s="15"/>
      <c r="X152" s="14"/>
      <c r="Y152" s="14"/>
      <c r="Z152" s="489"/>
      <c r="AA152" s="3"/>
      <c r="AB152" s="3"/>
      <c r="AC152" s="3"/>
      <c r="AD152" s="3"/>
      <c r="AE152" s="3"/>
    </row>
    <row r="153" ht="15.75" customHeight="1">
      <c r="G153" s="478"/>
      <c r="J153" s="479"/>
      <c r="K153" s="238"/>
      <c r="L153" s="15"/>
      <c r="M153" s="15"/>
      <c r="N153" s="15"/>
      <c r="O153" s="15"/>
      <c r="V153" s="15"/>
      <c r="W153" s="15"/>
      <c r="X153" s="25"/>
      <c r="Y153" s="14"/>
      <c r="Z153" s="489"/>
      <c r="AA153" s="3"/>
      <c r="AB153" s="3"/>
      <c r="AC153" s="3"/>
      <c r="AD153" s="3"/>
      <c r="AE153" s="3"/>
    </row>
    <row r="154" ht="15.75" customHeight="1">
      <c r="G154" s="478"/>
      <c r="J154" s="479"/>
      <c r="K154" s="238"/>
      <c r="L154" s="15"/>
      <c r="M154" s="15"/>
      <c r="N154" s="15"/>
      <c r="O154" s="15"/>
      <c r="V154" s="15"/>
      <c r="W154" s="15"/>
      <c r="X154" s="14"/>
      <c r="Y154" s="14"/>
      <c r="Z154" s="489"/>
      <c r="AA154" s="3"/>
      <c r="AB154" s="3"/>
      <c r="AC154" s="3"/>
      <c r="AD154" s="3"/>
      <c r="AE154" s="3"/>
    </row>
    <row r="155" ht="15.75" customHeight="1">
      <c r="G155" s="478"/>
      <c r="J155" s="479"/>
      <c r="K155" s="238"/>
      <c r="L155" s="15"/>
      <c r="M155" s="15"/>
      <c r="N155" s="15"/>
      <c r="O155" s="15"/>
      <c r="V155" s="15"/>
      <c r="W155" s="15"/>
      <c r="X155" s="14"/>
      <c r="Y155" s="14"/>
      <c r="Z155" s="489"/>
      <c r="AA155" s="3"/>
      <c r="AB155" s="3"/>
      <c r="AC155" s="3"/>
      <c r="AD155" s="3"/>
      <c r="AE155" s="3"/>
    </row>
    <row r="156" ht="15.75" customHeight="1">
      <c r="G156" s="478"/>
      <c r="J156" s="479"/>
      <c r="K156" s="238"/>
      <c r="L156" s="15"/>
      <c r="M156" s="15"/>
      <c r="N156" s="15"/>
      <c r="O156" s="15"/>
      <c r="V156" s="15"/>
      <c r="W156" s="15"/>
      <c r="X156" s="14"/>
      <c r="Y156" s="14"/>
      <c r="Z156" s="489"/>
      <c r="AA156" s="3"/>
      <c r="AB156" s="3"/>
      <c r="AC156" s="3"/>
      <c r="AD156" s="3"/>
      <c r="AE156" s="3"/>
    </row>
    <row r="157" ht="15.75" customHeight="1">
      <c r="G157" s="478"/>
      <c r="J157" s="479"/>
      <c r="K157" s="238"/>
      <c r="L157" s="15"/>
      <c r="M157" s="15"/>
      <c r="N157" s="15"/>
      <c r="O157" s="15"/>
      <c r="V157" s="15"/>
      <c r="W157" s="15"/>
      <c r="X157" s="14"/>
      <c r="Y157" s="14"/>
      <c r="Z157" s="489"/>
      <c r="AA157" s="3"/>
      <c r="AB157" s="3"/>
      <c r="AC157" s="3"/>
      <c r="AD157" s="3"/>
      <c r="AE157" s="3"/>
    </row>
    <row r="158" ht="15.75" customHeight="1">
      <c r="G158" s="478"/>
      <c r="J158" s="479"/>
      <c r="K158" s="238"/>
      <c r="L158" s="15"/>
      <c r="M158" s="15"/>
      <c r="N158" s="15"/>
      <c r="O158" s="15"/>
      <c r="V158" s="15"/>
      <c r="W158" s="15"/>
      <c r="X158" s="14"/>
      <c r="Y158" s="14"/>
      <c r="Z158" s="489"/>
      <c r="AA158" s="3"/>
      <c r="AB158" s="3"/>
      <c r="AC158" s="3"/>
      <c r="AD158" s="3"/>
      <c r="AE158" s="3"/>
    </row>
    <row r="159" ht="15.75" customHeight="1">
      <c r="G159" s="478"/>
      <c r="J159" s="479"/>
      <c r="K159" s="238"/>
      <c r="L159" s="15"/>
      <c r="M159" s="15"/>
      <c r="N159" s="15"/>
      <c r="O159" s="15"/>
      <c r="P159" s="15"/>
      <c r="Q159" s="15"/>
      <c r="R159" s="15"/>
      <c r="S159" s="15"/>
      <c r="T159" s="15"/>
      <c r="U159" s="15"/>
      <c r="V159" s="15"/>
      <c r="W159" s="15"/>
      <c r="X159" s="14"/>
      <c r="Y159" s="14"/>
      <c r="Z159" s="489"/>
      <c r="AA159" s="3"/>
      <c r="AB159" s="3"/>
      <c r="AC159" s="3"/>
      <c r="AD159" s="3"/>
      <c r="AE159" s="3"/>
    </row>
    <row r="160" ht="15.75" customHeight="1">
      <c r="G160" s="478"/>
      <c r="J160" s="479"/>
      <c r="K160" s="238"/>
      <c r="L160" s="15"/>
      <c r="M160" s="15"/>
      <c r="N160" s="15"/>
      <c r="O160" s="15"/>
      <c r="P160" s="15"/>
      <c r="Q160" s="15"/>
      <c r="R160" s="15"/>
      <c r="S160" s="15"/>
      <c r="T160" s="15"/>
      <c r="U160" s="15"/>
      <c r="V160" s="15"/>
      <c r="W160" s="15"/>
      <c r="X160" s="14"/>
      <c r="Y160" s="14"/>
      <c r="Z160" s="489"/>
      <c r="AA160" s="3"/>
      <c r="AB160" s="3"/>
      <c r="AC160" s="3"/>
      <c r="AD160" s="3"/>
      <c r="AE160" s="3"/>
    </row>
    <row r="161" ht="15.75" customHeight="1">
      <c r="G161" s="478"/>
      <c r="J161" s="479"/>
      <c r="K161" s="238"/>
      <c r="L161" s="15"/>
      <c r="M161" s="15"/>
      <c r="N161" s="15"/>
      <c r="O161" s="15"/>
      <c r="P161" s="15"/>
      <c r="Q161" s="15"/>
      <c r="R161" s="15"/>
      <c r="S161" s="15"/>
      <c r="T161" s="15"/>
      <c r="U161" s="15"/>
      <c r="V161" s="15"/>
      <c r="W161" s="15"/>
      <c r="X161" s="14"/>
      <c r="Y161" s="14"/>
      <c r="Z161" s="489"/>
      <c r="AA161" s="3"/>
      <c r="AB161" s="3"/>
      <c r="AC161" s="3"/>
      <c r="AD161" s="3"/>
      <c r="AE161" s="3"/>
    </row>
    <row r="162" ht="15.75" customHeight="1">
      <c r="G162" s="478"/>
      <c r="J162" s="479"/>
      <c r="K162" s="238"/>
      <c r="L162" s="15"/>
      <c r="M162" s="15"/>
      <c r="N162" s="15"/>
      <c r="O162" s="15"/>
      <c r="P162" s="15"/>
      <c r="Q162" s="15"/>
      <c r="R162" s="15"/>
      <c r="S162" s="15"/>
      <c r="T162" s="15"/>
      <c r="U162" s="15"/>
      <c r="V162" s="15"/>
      <c r="W162" s="15"/>
      <c r="X162" s="14"/>
      <c r="Y162" s="14"/>
      <c r="Z162" s="489"/>
      <c r="AA162" s="3"/>
      <c r="AB162" s="3"/>
      <c r="AC162" s="3"/>
      <c r="AD162" s="3"/>
      <c r="AE162" s="3"/>
    </row>
    <row r="163" ht="15.75" customHeight="1">
      <c r="G163" s="478"/>
      <c r="J163" s="479"/>
      <c r="K163" s="238"/>
      <c r="L163" s="15"/>
      <c r="M163" s="15"/>
      <c r="N163" s="15"/>
      <c r="O163" s="15"/>
      <c r="P163" s="15"/>
      <c r="Q163" s="15"/>
      <c r="R163" s="15"/>
      <c r="S163" s="15"/>
      <c r="T163" s="15"/>
      <c r="U163" s="15"/>
      <c r="V163" s="15"/>
      <c r="W163" s="15"/>
      <c r="X163" s="14"/>
      <c r="Y163" s="14"/>
      <c r="Z163" s="489"/>
      <c r="AA163" s="3"/>
      <c r="AB163" s="3"/>
      <c r="AC163" s="3"/>
      <c r="AD163" s="3"/>
      <c r="AE163" s="3"/>
    </row>
    <row r="164" ht="15.75" customHeight="1">
      <c r="G164" s="478"/>
      <c r="J164" s="479"/>
      <c r="K164" s="238"/>
      <c r="L164" s="15"/>
      <c r="M164" s="15"/>
      <c r="N164" s="15"/>
      <c r="O164" s="15"/>
      <c r="P164" s="15"/>
      <c r="Q164" s="15"/>
      <c r="R164" s="15"/>
      <c r="S164" s="15"/>
      <c r="T164" s="15"/>
      <c r="U164" s="15"/>
      <c r="V164" s="15"/>
      <c r="W164" s="15"/>
      <c r="X164" s="14"/>
      <c r="Y164" s="14"/>
      <c r="Z164" s="489"/>
      <c r="AA164" s="3"/>
      <c r="AB164" s="3"/>
      <c r="AC164" s="3"/>
      <c r="AD164" s="3"/>
      <c r="AE164" s="3"/>
    </row>
    <row r="165" ht="15.75" customHeight="1">
      <c r="G165" s="478"/>
      <c r="J165" s="479"/>
      <c r="K165" s="238"/>
      <c r="L165" s="15"/>
      <c r="M165" s="15"/>
      <c r="N165" s="15"/>
      <c r="O165" s="15"/>
      <c r="P165" s="15"/>
      <c r="Q165" s="15"/>
      <c r="R165" s="15"/>
      <c r="S165" s="15"/>
      <c r="T165" s="15"/>
      <c r="U165" s="15"/>
      <c r="V165" s="15"/>
      <c r="W165" s="15"/>
      <c r="X165" s="14"/>
      <c r="Y165" s="14"/>
      <c r="Z165" s="489"/>
      <c r="AA165" s="3"/>
      <c r="AB165" s="3"/>
      <c r="AC165" s="3"/>
      <c r="AD165" s="3"/>
      <c r="AE165" s="3"/>
    </row>
    <row r="166" ht="15.75" customHeight="1">
      <c r="G166" s="478"/>
      <c r="J166" s="479"/>
      <c r="K166" s="238"/>
      <c r="L166" s="15"/>
      <c r="M166" s="15"/>
      <c r="N166" s="15"/>
      <c r="O166" s="15"/>
      <c r="P166" s="15"/>
      <c r="Q166" s="15"/>
      <c r="R166" s="15"/>
      <c r="S166" s="15"/>
      <c r="T166" s="15"/>
      <c r="U166" s="15"/>
      <c r="V166" s="15"/>
      <c r="W166" s="15"/>
      <c r="X166" s="14"/>
      <c r="Y166" s="14"/>
      <c r="Z166" s="489"/>
      <c r="AA166" s="3"/>
      <c r="AB166" s="3"/>
      <c r="AC166" s="3"/>
      <c r="AD166" s="3"/>
      <c r="AE166" s="3"/>
    </row>
    <row r="167" ht="15.75" customHeight="1">
      <c r="G167" s="478"/>
      <c r="J167" s="479"/>
      <c r="K167" s="238"/>
      <c r="L167" s="15"/>
      <c r="M167" s="15"/>
      <c r="N167" s="15"/>
      <c r="O167" s="15"/>
      <c r="P167" s="15"/>
      <c r="Q167" s="15"/>
      <c r="R167" s="15"/>
      <c r="S167" s="15"/>
      <c r="T167" s="15"/>
      <c r="U167" s="15"/>
      <c r="V167" s="15"/>
      <c r="W167" s="15"/>
      <c r="X167" s="14"/>
      <c r="Y167" s="14"/>
      <c r="Z167" s="489"/>
      <c r="AA167" s="3"/>
      <c r="AB167" s="3"/>
      <c r="AC167" s="3"/>
      <c r="AD167" s="3"/>
      <c r="AE167" s="3"/>
    </row>
    <row r="168" ht="15.75" customHeight="1">
      <c r="G168" s="478"/>
      <c r="J168" s="479"/>
      <c r="K168" s="238"/>
      <c r="L168" s="15"/>
      <c r="M168" s="15"/>
      <c r="N168" s="15"/>
      <c r="O168" s="15"/>
      <c r="P168" s="15"/>
      <c r="Q168" s="15"/>
      <c r="R168" s="15"/>
      <c r="S168" s="15"/>
      <c r="T168" s="15"/>
      <c r="U168" s="15"/>
      <c r="V168" s="15"/>
      <c r="W168" s="15"/>
      <c r="X168" s="14"/>
      <c r="Y168" s="14"/>
      <c r="Z168" s="489"/>
      <c r="AA168" s="3"/>
      <c r="AB168" s="3"/>
      <c r="AC168" s="3"/>
      <c r="AD168" s="3"/>
      <c r="AE168" s="3"/>
    </row>
    <row r="169" ht="15.75" customHeight="1">
      <c r="G169" s="478"/>
      <c r="J169" s="479"/>
      <c r="K169" s="238"/>
      <c r="L169" s="15"/>
      <c r="M169" s="15"/>
      <c r="N169" s="15"/>
      <c r="O169" s="15"/>
      <c r="P169" s="15"/>
      <c r="Q169" s="15"/>
      <c r="R169" s="15"/>
      <c r="S169" s="15"/>
      <c r="T169" s="15"/>
      <c r="U169" s="15"/>
      <c r="V169" s="15"/>
      <c r="W169" s="15"/>
      <c r="X169" s="14"/>
      <c r="Y169" s="14"/>
      <c r="Z169" s="489"/>
      <c r="AA169" s="3"/>
      <c r="AB169" s="3"/>
      <c r="AC169" s="3"/>
      <c r="AD169" s="3"/>
      <c r="AE169" s="3"/>
    </row>
    <row r="170" ht="15.75" customHeight="1">
      <c r="G170" s="478"/>
      <c r="J170" s="479"/>
      <c r="K170" s="238"/>
      <c r="L170" s="15"/>
      <c r="M170" s="15"/>
      <c r="N170" s="15"/>
      <c r="O170" s="15"/>
      <c r="P170" s="15"/>
      <c r="Q170" s="15"/>
      <c r="R170" s="15"/>
      <c r="S170" s="15"/>
      <c r="T170" s="15"/>
      <c r="U170" s="15"/>
      <c r="V170" s="15"/>
      <c r="W170" s="15"/>
      <c r="X170" s="14"/>
      <c r="Y170" s="14"/>
      <c r="Z170" s="489"/>
      <c r="AA170" s="3"/>
      <c r="AB170" s="3"/>
      <c r="AC170" s="3"/>
      <c r="AD170" s="3"/>
      <c r="AE170" s="3"/>
    </row>
    <row r="171" ht="15.75" customHeight="1">
      <c r="G171" s="478"/>
      <c r="J171" s="479"/>
      <c r="K171" s="238"/>
      <c r="L171" s="15"/>
      <c r="M171" s="15"/>
      <c r="N171" s="15"/>
      <c r="O171" s="15"/>
      <c r="P171" s="15"/>
      <c r="Q171" s="15"/>
      <c r="R171" s="15"/>
      <c r="S171" s="15"/>
      <c r="T171" s="15"/>
      <c r="U171" s="15"/>
      <c r="V171" s="15"/>
      <c r="W171" s="15"/>
      <c r="X171" s="14"/>
      <c r="Y171" s="14"/>
      <c r="Z171" s="489"/>
      <c r="AA171" s="3"/>
      <c r="AB171" s="3"/>
      <c r="AC171" s="3"/>
      <c r="AD171" s="3"/>
      <c r="AE171" s="3"/>
    </row>
    <row r="172" ht="15.75" customHeight="1">
      <c r="G172" s="478"/>
      <c r="J172" s="479"/>
      <c r="K172" s="238"/>
      <c r="L172" s="15"/>
      <c r="M172" s="15"/>
      <c r="N172" s="15"/>
      <c r="O172" s="15"/>
      <c r="P172" s="15"/>
      <c r="Q172" s="15"/>
      <c r="R172" s="15"/>
      <c r="S172" s="15"/>
      <c r="T172" s="15"/>
      <c r="U172" s="15"/>
      <c r="V172" s="15"/>
      <c r="W172" s="15"/>
      <c r="X172" s="14"/>
      <c r="Y172" s="14"/>
      <c r="Z172" s="489"/>
      <c r="AA172" s="3"/>
      <c r="AB172" s="3"/>
      <c r="AC172" s="3"/>
      <c r="AD172" s="3"/>
      <c r="AE172" s="3"/>
    </row>
    <row r="173" ht="15.75" customHeight="1">
      <c r="G173" s="478"/>
      <c r="J173" s="479"/>
      <c r="K173" s="238"/>
      <c r="L173" s="15"/>
      <c r="M173" s="15"/>
      <c r="N173" s="15"/>
      <c r="O173" s="15"/>
      <c r="P173" s="15"/>
      <c r="Q173" s="15"/>
      <c r="R173" s="15"/>
      <c r="S173" s="15"/>
      <c r="T173" s="15"/>
      <c r="U173" s="15"/>
      <c r="V173" s="15"/>
      <c r="W173" s="15"/>
      <c r="X173" s="14"/>
      <c r="Y173" s="14"/>
      <c r="Z173" s="489"/>
      <c r="AA173" s="3"/>
      <c r="AB173" s="3"/>
      <c r="AC173" s="3"/>
      <c r="AD173" s="3"/>
      <c r="AE173" s="3"/>
    </row>
    <row r="174" ht="15.75" customHeight="1">
      <c r="G174" s="478"/>
      <c r="J174" s="479"/>
      <c r="K174" s="238"/>
      <c r="L174" s="15"/>
      <c r="M174" s="15"/>
      <c r="N174" s="15"/>
      <c r="O174" s="15"/>
      <c r="P174" s="15"/>
      <c r="Q174" s="15"/>
      <c r="R174" s="15"/>
      <c r="S174" s="15"/>
      <c r="T174" s="15"/>
      <c r="U174" s="15"/>
      <c r="V174" s="15"/>
      <c r="W174" s="15"/>
      <c r="X174" s="14"/>
      <c r="Y174" s="14"/>
      <c r="Z174" s="489"/>
      <c r="AA174" s="3"/>
      <c r="AB174" s="3"/>
      <c r="AC174" s="3"/>
      <c r="AD174" s="3"/>
      <c r="AE174" s="3"/>
    </row>
    <row r="175" ht="15.75" customHeight="1">
      <c r="G175" s="478"/>
      <c r="J175" s="479"/>
      <c r="K175" s="238"/>
      <c r="L175" s="15"/>
      <c r="M175" s="15"/>
      <c r="N175" s="15"/>
      <c r="O175" s="15"/>
      <c r="P175" s="15"/>
      <c r="Q175" s="15"/>
      <c r="R175" s="15"/>
      <c r="S175" s="15"/>
      <c r="T175" s="15"/>
      <c r="U175" s="15"/>
      <c r="V175" s="15"/>
      <c r="W175" s="15"/>
      <c r="X175" s="14"/>
      <c r="Y175" s="14"/>
      <c r="Z175" s="489"/>
      <c r="AA175" s="3"/>
      <c r="AB175" s="3"/>
      <c r="AC175" s="3"/>
      <c r="AD175" s="3"/>
      <c r="AE175" s="3"/>
    </row>
    <row r="176" ht="15.75" customHeight="1">
      <c r="G176" s="478"/>
      <c r="J176" s="479"/>
      <c r="K176" s="238"/>
      <c r="L176" s="15"/>
      <c r="M176" s="15"/>
      <c r="N176" s="15"/>
      <c r="O176" s="15"/>
      <c r="P176" s="15"/>
      <c r="Q176" s="15"/>
      <c r="R176" s="15"/>
      <c r="S176" s="15"/>
      <c r="T176" s="15"/>
      <c r="U176" s="15"/>
      <c r="V176" s="15"/>
      <c r="W176" s="15"/>
      <c r="X176" s="14"/>
      <c r="Y176" s="14"/>
      <c r="Z176" s="489"/>
      <c r="AA176" s="3"/>
      <c r="AB176" s="3"/>
      <c r="AC176" s="3"/>
      <c r="AD176" s="3"/>
      <c r="AE176" s="3"/>
    </row>
    <row r="177" ht="15.75" customHeight="1">
      <c r="G177" s="478"/>
      <c r="J177" s="479"/>
      <c r="K177" s="238"/>
      <c r="L177" s="15"/>
      <c r="M177" s="15"/>
      <c r="N177" s="15"/>
      <c r="O177" s="15"/>
      <c r="P177" s="15"/>
      <c r="Q177" s="15"/>
      <c r="R177" s="15"/>
      <c r="S177" s="15"/>
      <c r="T177" s="15"/>
      <c r="U177" s="15"/>
      <c r="V177" s="15"/>
      <c r="W177" s="15"/>
      <c r="X177" s="14"/>
      <c r="Y177" s="14"/>
      <c r="Z177" s="489"/>
      <c r="AA177" s="3"/>
      <c r="AB177" s="3"/>
      <c r="AC177" s="3"/>
      <c r="AD177" s="3"/>
      <c r="AE177" s="3"/>
    </row>
    <row r="178" ht="15.75" customHeight="1">
      <c r="G178" s="478"/>
      <c r="J178" s="479"/>
      <c r="K178" s="238"/>
      <c r="L178" s="15"/>
      <c r="M178" s="15"/>
      <c r="N178" s="15"/>
      <c r="O178" s="15"/>
      <c r="P178" s="15"/>
      <c r="Q178" s="15"/>
      <c r="R178" s="15"/>
      <c r="S178" s="15"/>
      <c r="T178" s="15"/>
      <c r="U178" s="15"/>
      <c r="V178" s="15"/>
      <c r="W178" s="15"/>
      <c r="X178" s="14"/>
      <c r="Y178" s="14"/>
      <c r="Z178" s="489"/>
      <c r="AA178" s="3"/>
      <c r="AB178" s="3"/>
      <c r="AC178" s="3"/>
      <c r="AD178" s="3"/>
      <c r="AE178" s="3"/>
    </row>
    <row r="179" ht="15.75" customHeight="1">
      <c r="G179" s="478"/>
      <c r="J179" s="479"/>
      <c r="K179" s="238"/>
      <c r="L179" s="15"/>
      <c r="M179" s="15"/>
      <c r="N179" s="15"/>
      <c r="O179" s="15"/>
      <c r="P179" s="15"/>
      <c r="Q179" s="15"/>
      <c r="R179" s="15"/>
      <c r="S179" s="15"/>
      <c r="T179" s="15"/>
      <c r="U179" s="15"/>
      <c r="V179" s="15"/>
      <c r="W179" s="15"/>
      <c r="X179" s="14"/>
      <c r="Y179" s="14"/>
      <c r="Z179" s="489"/>
      <c r="AA179" s="3"/>
      <c r="AB179" s="3"/>
      <c r="AC179" s="3"/>
      <c r="AD179" s="3"/>
      <c r="AE179" s="3"/>
    </row>
    <row r="180" ht="15.75" customHeight="1">
      <c r="G180" s="478"/>
      <c r="J180" s="479"/>
      <c r="K180" s="238"/>
      <c r="L180" s="15"/>
      <c r="M180" s="15"/>
      <c r="N180" s="15"/>
      <c r="O180" s="15"/>
      <c r="P180" s="15"/>
      <c r="Q180" s="15"/>
      <c r="R180" s="15"/>
      <c r="S180" s="15"/>
      <c r="T180" s="15"/>
      <c r="U180" s="15"/>
      <c r="V180" s="15"/>
      <c r="W180" s="15"/>
      <c r="X180" s="14"/>
      <c r="Y180" s="14"/>
      <c r="Z180" s="489"/>
      <c r="AA180" s="3"/>
      <c r="AB180" s="3"/>
      <c r="AC180" s="3"/>
      <c r="AD180" s="3"/>
      <c r="AE180" s="3"/>
    </row>
    <row r="181" ht="15.75" customHeight="1">
      <c r="G181" s="478"/>
      <c r="J181" s="479"/>
      <c r="K181" s="238"/>
      <c r="L181" s="15"/>
      <c r="M181" s="15"/>
      <c r="N181" s="15"/>
      <c r="O181" s="15"/>
      <c r="P181" s="15"/>
      <c r="Q181" s="15"/>
      <c r="R181" s="15"/>
      <c r="S181" s="15"/>
      <c r="T181" s="15"/>
      <c r="U181" s="15"/>
      <c r="V181" s="15"/>
      <c r="W181" s="15"/>
      <c r="X181" s="14"/>
      <c r="Y181" s="14"/>
      <c r="Z181" s="489"/>
      <c r="AA181" s="3"/>
      <c r="AB181" s="3"/>
      <c r="AC181" s="3"/>
      <c r="AD181" s="3"/>
      <c r="AE181" s="3"/>
    </row>
    <row r="182" ht="15.75" customHeight="1">
      <c r="G182" s="478"/>
      <c r="J182" s="479"/>
      <c r="K182" s="238"/>
      <c r="L182" s="15"/>
      <c r="M182" s="15"/>
      <c r="N182" s="15"/>
      <c r="O182" s="15"/>
      <c r="P182" s="15"/>
      <c r="Q182" s="15"/>
      <c r="R182" s="15"/>
      <c r="S182" s="15"/>
      <c r="T182" s="15"/>
      <c r="U182" s="15"/>
      <c r="V182" s="15"/>
      <c r="W182" s="15"/>
      <c r="X182" s="14"/>
      <c r="Y182" s="14"/>
      <c r="Z182" s="489"/>
      <c r="AA182" s="3"/>
      <c r="AB182" s="3"/>
      <c r="AC182" s="3"/>
      <c r="AD182" s="3"/>
      <c r="AE182" s="3"/>
    </row>
    <row r="183" ht="15.75" customHeight="1">
      <c r="G183" s="478"/>
      <c r="J183" s="479"/>
      <c r="K183" s="238"/>
      <c r="L183" s="15"/>
      <c r="M183" s="15"/>
      <c r="N183" s="15"/>
      <c r="O183" s="15"/>
      <c r="P183" s="15"/>
      <c r="Q183" s="15"/>
      <c r="R183" s="15"/>
      <c r="S183" s="15"/>
      <c r="T183" s="15"/>
      <c r="U183" s="15"/>
      <c r="V183" s="15"/>
      <c r="W183" s="15"/>
      <c r="X183" s="14"/>
      <c r="Y183" s="14"/>
      <c r="Z183" s="489"/>
      <c r="AA183" s="3"/>
      <c r="AB183" s="3"/>
      <c r="AC183" s="3"/>
      <c r="AD183" s="3"/>
      <c r="AE183" s="3"/>
    </row>
    <row r="184" ht="15.75" customHeight="1">
      <c r="G184" s="478"/>
      <c r="J184" s="479"/>
      <c r="K184" s="238"/>
      <c r="L184" s="15"/>
      <c r="M184" s="15"/>
      <c r="N184" s="15"/>
      <c r="O184" s="15"/>
      <c r="P184" s="15"/>
      <c r="Q184" s="15"/>
      <c r="R184" s="15"/>
      <c r="S184" s="15"/>
      <c r="T184" s="15"/>
      <c r="U184" s="15"/>
      <c r="V184" s="15"/>
      <c r="W184" s="15"/>
      <c r="X184" s="14"/>
      <c r="Y184" s="14"/>
      <c r="Z184" s="489"/>
      <c r="AA184" s="3"/>
      <c r="AB184" s="3"/>
      <c r="AC184" s="3"/>
      <c r="AD184" s="3"/>
      <c r="AE184" s="3"/>
    </row>
    <row r="185" ht="15.75" customHeight="1">
      <c r="G185" s="478"/>
      <c r="J185" s="479"/>
      <c r="K185" s="238"/>
      <c r="L185" s="15"/>
      <c r="M185" s="15"/>
      <c r="N185" s="15"/>
      <c r="O185" s="15"/>
      <c r="P185" s="15"/>
      <c r="Q185" s="15"/>
      <c r="R185" s="15"/>
      <c r="S185" s="15"/>
      <c r="T185" s="15"/>
      <c r="U185" s="15"/>
      <c r="V185" s="15"/>
      <c r="W185" s="15"/>
      <c r="X185" s="14"/>
      <c r="Y185" s="14"/>
      <c r="Z185" s="489"/>
      <c r="AA185" s="3"/>
      <c r="AB185" s="3"/>
      <c r="AC185" s="3"/>
      <c r="AD185" s="3"/>
      <c r="AE185" s="3"/>
    </row>
    <row r="186" ht="15.75" customHeight="1">
      <c r="G186" s="478"/>
      <c r="J186" s="479"/>
      <c r="K186" s="238"/>
      <c r="L186" s="15"/>
      <c r="M186" s="15"/>
      <c r="N186" s="15"/>
      <c r="O186" s="15"/>
      <c r="P186" s="15"/>
      <c r="Q186" s="15"/>
      <c r="R186" s="15"/>
      <c r="S186" s="15"/>
      <c r="T186" s="15"/>
      <c r="U186" s="15"/>
      <c r="V186" s="15"/>
      <c r="W186" s="15"/>
      <c r="X186" s="14"/>
      <c r="Y186" s="14"/>
      <c r="Z186" s="489"/>
      <c r="AA186" s="3"/>
      <c r="AB186" s="3"/>
      <c r="AC186" s="3"/>
      <c r="AD186" s="3"/>
      <c r="AE186" s="3"/>
    </row>
    <row r="187" ht="15.75" customHeight="1">
      <c r="G187" s="478"/>
      <c r="J187" s="479"/>
      <c r="K187" s="238"/>
      <c r="L187" s="15"/>
      <c r="M187" s="15"/>
      <c r="N187" s="15"/>
      <c r="O187" s="15"/>
      <c r="P187" s="15"/>
      <c r="Q187" s="15"/>
      <c r="R187" s="15"/>
      <c r="S187" s="15"/>
      <c r="T187" s="15"/>
      <c r="U187" s="15"/>
      <c r="V187" s="15"/>
      <c r="W187" s="15"/>
      <c r="X187" s="14"/>
      <c r="Y187" s="14"/>
      <c r="Z187" s="489"/>
      <c r="AA187" s="3"/>
      <c r="AB187" s="3"/>
      <c r="AC187" s="3"/>
      <c r="AD187" s="3"/>
      <c r="AE187" s="3"/>
    </row>
    <row r="188" ht="15.75" customHeight="1">
      <c r="G188" s="478"/>
      <c r="J188" s="479"/>
      <c r="K188" s="238"/>
      <c r="L188" s="15"/>
      <c r="M188" s="15"/>
      <c r="N188" s="15"/>
      <c r="O188" s="15"/>
      <c r="P188" s="15"/>
      <c r="Q188" s="15"/>
      <c r="R188" s="15"/>
      <c r="S188" s="15"/>
      <c r="T188" s="15"/>
      <c r="U188" s="15"/>
      <c r="V188" s="15"/>
      <c r="W188" s="15"/>
      <c r="X188" s="14"/>
      <c r="Y188" s="14"/>
      <c r="Z188" s="489"/>
      <c r="AA188" s="3"/>
      <c r="AB188" s="3"/>
      <c r="AC188" s="3"/>
      <c r="AD188" s="3"/>
      <c r="AE188" s="3"/>
    </row>
    <row r="189" ht="15.75" customHeight="1">
      <c r="G189" s="478"/>
      <c r="J189" s="479"/>
      <c r="K189" s="238"/>
      <c r="L189" s="15"/>
      <c r="M189" s="15"/>
      <c r="N189" s="15"/>
      <c r="O189" s="15"/>
      <c r="P189" s="15"/>
      <c r="Q189" s="15"/>
      <c r="R189" s="15"/>
      <c r="S189" s="15"/>
      <c r="T189" s="15"/>
      <c r="U189" s="15"/>
      <c r="V189" s="15"/>
      <c r="W189" s="15"/>
      <c r="X189" s="14"/>
      <c r="Y189" s="14"/>
      <c r="Z189" s="489"/>
      <c r="AA189" s="3"/>
      <c r="AB189" s="3"/>
      <c r="AC189" s="3"/>
      <c r="AD189" s="3"/>
      <c r="AE189" s="3"/>
    </row>
    <row r="190" ht="15.75" customHeight="1">
      <c r="G190" s="478"/>
      <c r="J190" s="479"/>
      <c r="K190" s="238"/>
      <c r="L190" s="15"/>
      <c r="M190" s="15"/>
      <c r="N190" s="15"/>
      <c r="O190" s="15"/>
      <c r="P190" s="15"/>
      <c r="Q190" s="15"/>
      <c r="R190" s="15"/>
      <c r="S190" s="15"/>
      <c r="T190" s="15"/>
      <c r="U190" s="15"/>
      <c r="V190" s="15"/>
      <c r="W190" s="15"/>
      <c r="X190" s="14"/>
      <c r="Y190" s="14"/>
      <c r="Z190" s="489"/>
      <c r="AA190" s="3"/>
      <c r="AB190" s="3"/>
      <c r="AC190" s="3"/>
      <c r="AD190" s="3"/>
      <c r="AE190" s="3"/>
    </row>
    <row r="191" ht="15.75" customHeight="1">
      <c r="G191" s="478"/>
      <c r="J191" s="479"/>
      <c r="K191" s="238"/>
      <c r="L191" s="15"/>
      <c r="M191" s="15"/>
      <c r="N191" s="15"/>
      <c r="O191" s="15"/>
      <c r="P191" s="15"/>
      <c r="Q191" s="15"/>
      <c r="R191" s="15"/>
      <c r="S191" s="15"/>
      <c r="T191" s="15"/>
      <c r="U191" s="15"/>
      <c r="V191" s="15"/>
      <c r="W191" s="15"/>
      <c r="X191" s="14"/>
      <c r="Y191" s="14"/>
      <c r="Z191" s="489"/>
      <c r="AA191" s="3"/>
      <c r="AB191" s="3"/>
      <c r="AC191" s="3"/>
      <c r="AD191" s="3"/>
      <c r="AE191" s="3"/>
    </row>
    <row r="192" ht="15.75" customHeight="1">
      <c r="G192" s="478"/>
      <c r="J192" s="479"/>
      <c r="K192" s="238"/>
      <c r="L192" s="15"/>
      <c r="M192" s="15"/>
      <c r="N192" s="15"/>
      <c r="O192" s="15"/>
      <c r="P192" s="15"/>
      <c r="Q192" s="15"/>
      <c r="R192" s="15"/>
      <c r="S192" s="15"/>
      <c r="T192" s="15"/>
      <c r="U192" s="15"/>
      <c r="V192" s="15"/>
      <c r="W192" s="15"/>
      <c r="X192" s="14"/>
      <c r="Y192" s="14"/>
      <c r="Z192" s="489"/>
      <c r="AA192" s="3"/>
      <c r="AB192" s="3"/>
      <c r="AC192" s="3"/>
      <c r="AD192" s="3"/>
      <c r="AE192" s="3"/>
    </row>
    <row r="193" ht="15.75" customHeight="1">
      <c r="G193" s="478"/>
      <c r="J193" s="479"/>
      <c r="K193" s="238"/>
      <c r="L193" s="15"/>
      <c r="M193" s="15"/>
      <c r="N193" s="15"/>
      <c r="O193" s="15"/>
      <c r="P193" s="15"/>
      <c r="Q193" s="15"/>
      <c r="R193" s="15"/>
      <c r="S193" s="15"/>
      <c r="T193" s="15"/>
      <c r="U193" s="15"/>
      <c r="V193" s="15"/>
      <c r="W193" s="15"/>
      <c r="X193" s="14"/>
      <c r="Y193" s="14"/>
      <c r="Z193" s="489"/>
      <c r="AA193" s="3"/>
      <c r="AB193" s="3"/>
      <c r="AC193" s="3"/>
      <c r="AD193" s="3"/>
      <c r="AE193" s="3"/>
    </row>
    <row r="194" ht="15.75" customHeight="1">
      <c r="G194" s="478"/>
      <c r="J194" s="479"/>
      <c r="K194" s="238"/>
      <c r="L194" s="15"/>
      <c r="M194" s="15"/>
      <c r="N194" s="15"/>
      <c r="O194" s="15"/>
      <c r="P194" s="15"/>
      <c r="Q194" s="15"/>
      <c r="R194" s="15"/>
      <c r="S194" s="15"/>
      <c r="T194" s="15"/>
      <c r="U194" s="15"/>
      <c r="V194" s="15"/>
      <c r="W194" s="15"/>
      <c r="X194" s="14"/>
      <c r="Y194" s="14"/>
      <c r="Z194" s="489"/>
      <c r="AA194" s="3"/>
      <c r="AB194" s="3"/>
      <c r="AC194" s="3"/>
      <c r="AD194" s="3"/>
      <c r="AE194" s="3"/>
    </row>
    <row r="195" ht="15.75" customHeight="1">
      <c r="G195" s="478"/>
      <c r="J195" s="479"/>
      <c r="K195" s="238"/>
      <c r="L195" s="15"/>
      <c r="M195" s="15"/>
      <c r="N195" s="15"/>
      <c r="O195" s="15"/>
      <c r="P195" s="15"/>
      <c r="Q195" s="15"/>
      <c r="R195" s="15"/>
      <c r="S195" s="15"/>
      <c r="T195" s="15"/>
      <c r="U195" s="15"/>
      <c r="V195" s="15"/>
      <c r="W195" s="15"/>
      <c r="X195" s="14"/>
      <c r="Y195" s="14"/>
      <c r="Z195" s="489"/>
      <c r="AA195" s="3"/>
      <c r="AB195" s="3"/>
      <c r="AC195" s="3"/>
      <c r="AD195" s="3"/>
      <c r="AE195" s="3"/>
    </row>
    <row r="196" ht="15.75" customHeight="1">
      <c r="G196" s="478"/>
      <c r="J196" s="479"/>
      <c r="K196" s="238"/>
      <c r="L196" s="15"/>
      <c r="M196" s="15"/>
      <c r="N196" s="15"/>
      <c r="O196" s="15"/>
      <c r="P196" s="15"/>
      <c r="Q196" s="15"/>
      <c r="R196" s="15"/>
      <c r="S196" s="15"/>
      <c r="T196" s="15"/>
      <c r="U196" s="15"/>
      <c r="V196" s="15"/>
      <c r="W196" s="15"/>
      <c r="X196" s="14"/>
      <c r="Y196" s="14"/>
      <c r="Z196" s="489"/>
      <c r="AA196" s="3"/>
      <c r="AB196" s="3"/>
      <c r="AC196" s="3"/>
      <c r="AD196" s="3"/>
      <c r="AE196" s="3"/>
    </row>
    <row r="197" ht="15.75" customHeight="1">
      <c r="G197" s="478"/>
      <c r="J197" s="479"/>
      <c r="K197" s="238"/>
      <c r="L197" s="15"/>
      <c r="M197" s="15"/>
      <c r="N197" s="15"/>
      <c r="O197" s="15"/>
      <c r="P197" s="15"/>
      <c r="Q197" s="15"/>
      <c r="R197" s="15"/>
      <c r="S197" s="15"/>
      <c r="T197" s="15"/>
      <c r="U197" s="15"/>
      <c r="V197" s="15"/>
      <c r="W197" s="15"/>
      <c r="X197" s="14"/>
      <c r="Y197" s="14"/>
      <c r="Z197" s="489"/>
      <c r="AA197" s="3"/>
      <c r="AB197" s="3"/>
      <c r="AC197" s="3"/>
      <c r="AD197" s="3"/>
      <c r="AE197" s="3"/>
    </row>
    <row r="198" ht="15.75" customHeight="1">
      <c r="G198" s="478"/>
      <c r="J198" s="479"/>
      <c r="K198" s="238"/>
      <c r="L198" s="15"/>
      <c r="M198" s="15"/>
      <c r="N198" s="15"/>
      <c r="O198" s="15"/>
      <c r="P198" s="15"/>
      <c r="Q198" s="15"/>
      <c r="R198" s="15"/>
      <c r="S198" s="15"/>
      <c r="T198" s="15"/>
      <c r="U198" s="15"/>
      <c r="V198" s="15"/>
      <c r="W198" s="15"/>
      <c r="X198" s="14"/>
      <c r="Y198" s="14"/>
      <c r="Z198" s="489"/>
      <c r="AA198" s="3"/>
      <c r="AB198" s="3"/>
      <c r="AC198" s="3"/>
      <c r="AD198" s="3"/>
      <c r="AE198" s="3"/>
    </row>
    <row r="199" ht="15.75" customHeight="1">
      <c r="G199" s="478"/>
      <c r="J199" s="479"/>
      <c r="K199" s="238"/>
      <c r="L199" s="15"/>
      <c r="M199" s="15"/>
      <c r="N199" s="15"/>
      <c r="O199" s="15"/>
      <c r="P199" s="15"/>
      <c r="Q199" s="15"/>
      <c r="R199" s="15"/>
      <c r="S199" s="15"/>
      <c r="T199" s="15"/>
      <c r="U199" s="15"/>
      <c r="V199" s="15"/>
      <c r="W199" s="15"/>
      <c r="X199" s="14"/>
      <c r="Y199" s="14"/>
      <c r="Z199" s="489"/>
      <c r="AA199" s="3"/>
      <c r="AB199" s="3"/>
      <c r="AC199" s="3"/>
      <c r="AD199" s="3"/>
      <c r="AE199" s="3"/>
    </row>
    <row r="200" ht="15.75" customHeight="1">
      <c r="G200" s="478"/>
      <c r="J200" s="479"/>
      <c r="K200" s="238"/>
      <c r="L200" s="15"/>
      <c r="M200" s="15"/>
      <c r="N200" s="15"/>
      <c r="O200" s="15"/>
      <c r="P200" s="15"/>
      <c r="Q200" s="15"/>
      <c r="R200" s="15"/>
      <c r="S200" s="15"/>
      <c r="T200" s="15"/>
      <c r="U200" s="15"/>
      <c r="V200" s="15"/>
      <c r="W200" s="15"/>
      <c r="X200" s="14"/>
      <c r="Y200" s="14"/>
      <c r="Z200" s="489"/>
      <c r="AA200" s="3"/>
      <c r="AB200" s="3"/>
      <c r="AC200" s="3"/>
      <c r="AD200" s="3"/>
      <c r="AE200" s="3"/>
    </row>
    <row r="201" ht="15.75" customHeight="1">
      <c r="G201" s="478"/>
      <c r="J201" s="479"/>
      <c r="K201" s="238"/>
      <c r="L201" s="15"/>
      <c r="M201" s="15"/>
      <c r="N201" s="15"/>
      <c r="O201" s="15"/>
      <c r="P201" s="15"/>
      <c r="Q201" s="15"/>
      <c r="R201" s="15"/>
      <c r="S201" s="15"/>
      <c r="T201" s="15"/>
      <c r="U201" s="15"/>
      <c r="V201" s="15"/>
      <c r="W201" s="15"/>
      <c r="X201" s="14"/>
      <c r="Y201" s="14"/>
      <c r="Z201" s="489"/>
      <c r="AA201" s="3"/>
      <c r="AB201" s="3"/>
      <c r="AC201" s="3"/>
      <c r="AD201" s="3"/>
      <c r="AE201" s="3"/>
    </row>
    <row r="202" ht="15.75" customHeight="1">
      <c r="G202" s="478"/>
      <c r="J202" s="479"/>
      <c r="K202" s="238"/>
      <c r="L202" s="15"/>
      <c r="M202" s="15"/>
      <c r="N202" s="15"/>
      <c r="O202" s="15"/>
      <c r="P202" s="15"/>
      <c r="Q202" s="15"/>
      <c r="R202" s="15"/>
      <c r="S202" s="15"/>
      <c r="T202" s="15"/>
      <c r="U202" s="15"/>
      <c r="V202" s="15"/>
      <c r="W202" s="15"/>
      <c r="X202" s="14"/>
      <c r="Y202" s="14"/>
      <c r="Z202" s="489"/>
      <c r="AA202" s="3"/>
      <c r="AB202" s="3"/>
      <c r="AC202" s="3"/>
      <c r="AD202" s="3"/>
      <c r="AE202" s="3"/>
    </row>
    <row r="203" ht="15.75" customHeight="1">
      <c r="G203" s="478"/>
      <c r="J203" s="479"/>
      <c r="K203" s="238"/>
      <c r="L203" s="15"/>
      <c r="M203" s="15"/>
      <c r="N203" s="15"/>
      <c r="O203" s="15"/>
      <c r="P203" s="15"/>
      <c r="Q203" s="15"/>
      <c r="R203" s="15"/>
      <c r="S203" s="15"/>
      <c r="T203" s="15"/>
      <c r="U203" s="15"/>
      <c r="V203" s="15"/>
      <c r="W203" s="15"/>
      <c r="X203" s="14"/>
      <c r="Y203" s="14"/>
      <c r="Z203" s="489"/>
      <c r="AA203" s="3"/>
      <c r="AB203" s="3"/>
      <c r="AC203" s="3"/>
      <c r="AD203" s="3"/>
      <c r="AE203" s="3"/>
    </row>
    <row r="204" ht="15.75" customHeight="1">
      <c r="G204" s="478"/>
      <c r="J204" s="479"/>
      <c r="K204" s="238"/>
      <c r="L204" s="15"/>
      <c r="M204" s="15"/>
      <c r="N204" s="15"/>
      <c r="O204" s="15"/>
      <c r="P204" s="15"/>
      <c r="Q204" s="15"/>
      <c r="R204" s="15"/>
      <c r="S204" s="15"/>
      <c r="T204" s="15"/>
      <c r="U204" s="15"/>
      <c r="V204" s="15"/>
      <c r="W204" s="15"/>
      <c r="X204" s="14"/>
      <c r="Y204" s="14"/>
      <c r="Z204" s="489"/>
      <c r="AA204" s="3"/>
      <c r="AB204" s="3"/>
      <c r="AC204" s="3"/>
      <c r="AD204" s="3"/>
      <c r="AE204" s="3"/>
    </row>
    <row r="205" ht="15.75" customHeight="1">
      <c r="G205" s="478"/>
      <c r="J205" s="479"/>
      <c r="K205" s="238"/>
      <c r="L205" s="15"/>
      <c r="M205" s="15"/>
      <c r="N205" s="15"/>
      <c r="O205" s="15"/>
      <c r="P205" s="15"/>
      <c r="Q205" s="15"/>
      <c r="R205" s="15"/>
      <c r="S205" s="15"/>
      <c r="T205" s="15"/>
      <c r="U205" s="15"/>
      <c r="V205" s="15"/>
      <c r="W205" s="15"/>
      <c r="X205" s="14"/>
      <c r="Y205" s="14"/>
      <c r="Z205" s="489"/>
      <c r="AA205" s="3"/>
      <c r="AB205" s="3"/>
      <c r="AC205" s="3"/>
      <c r="AD205" s="3"/>
      <c r="AE205" s="3"/>
    </row>
    <row r="206" ht="15.75" customHeight="1">
      <c r="G206" s="478"/>
      <c r="J206" s="479"/>
      <c r="K206" s="238"/>
      <c r="L206" s="15"/>
      <c r="M206" s="15"/>
      <c r="N206" s="15"/>
      <c r="O206" s="15"/>
      <c r="P206" s="15"/>
      <c r="Q206" s="15"/>
      <c r="R206" s="15"/>
      <c r="S206" s="15"/>
      <c r="T206" s="15"/>
      <c r="U206" s="15"/>
      <c r="V206" s="15"/>
      <c r="W206" s="15"/>
      <c r="X206" s="14"/>
      <c r="Y206" s="14"/>
      <c r="Z206" s="489"/>
      <c r="AA206" s="3"/>
      <c r="AB206" s="3"/>
      <c r="AC206" s="3"/>
      <c r="AD206" s="3"/>
      <c r="AE206" s="3"/>
    </row>
    <row r="207" ht="15.75" customHeight="1">
      <c r="G207" s="478"/>
      <c r="J207" s="479"/>
      <c r="K207" s="238"/>
      <c r="L207" s="15"/>
      <c r="M207" s="15"/>
      <c r="N207" s="15"/>
      <c r="O207" s="15"/>
      <c r="P207" s="15"/>
      <c r="Q207" s="15"/>
      <c r="R207" s="15"/>
      <c r="S207" s="15"/>
      <c r="T207" s="15"/>
      <c r="U207" s="15"/>
      <c r="V207" s="15"/>
      <c r="W207" s="15"/>
      <c r="X207" s="14"/>
      <c r="Y207" s="14"/>
      <c r="Z207" s="489"/>
      <c r="AA207" s="3"/>
      <c r="AB207" s="3"/>
      <c r="AC207" s="3"/>
      <c r="AD207" s="3"/>
      <c r="AE207" s="3"/>
    </row>
    <row r="208" ht="15.75" customHeight="1">
      <c r="G208" s="478"/>
      <c r="J208" s="479"/>
      <c r="K208" s="238"/>
      <c r="L208" s="15"/>
      <c r="M208" s="15"/>
      <c r="N208" s="15"/>
      <c r="O208" s="15"/>
      <c r="P208" s="15"/>
      <c r="Q208" s="15"/>
      <c r="R208" s="15"/>
      <c r="S208" s="15"/>
      <c r="T208" s="15"/>
      <c r="U208" s="15"/>
      <c r="V208" s="15"/>
      <c r="W208" s="15"/>
      <c r="X208" s="14"/>
      <c r="Y208" s="14"/>
      <c r="Z208" s="489"/>
      <c r="AA208" s="3"/>
      <c r="AB208" s="3"/>
      <c r="AC208" s="3"/>
      <c r="AD208" s="3"/>
      <c r="AE208" s="3"/>
    </row>
    <row r="209" ht="15.75" customHeight="1">
      <c r="G209" s="478"/>
      <c r="J209" s="479"/>
      <c r="K209" s="238"/>
      <c r="L209" s="15"/>
      <c r="M209" s="15"/>
      <c r="N209" s="15"/>
      <c r="O209" s="15"/>
      <c r="P209" s="15"/>
      <c r="Q209" s="15"/>
      <c r="R209" s="15"/>
      <c r="S209" s="15"/>
      <c r="T209" s="15"/>
      <c r="U209" s="15"/>
      <c r="V209" s="15"/>
      <c r="W209" s="15"/>
      <c r="X209" s="14"/>
      <c r="Y209" s="14"/>
      <c r="Z209" s="489"/>
      <c r="AA209" s="3"/>
      <c r="AB209" s="3"/>
      <c r="AC209" s="3"/>
      <c r="AD209" s="3"/>
      <c r="AE209" s="3"/>
    </row>
    <row r="210" ht="15.75" customHeight="1">
      <c r="G210" s="478"/>
      <c r="J210" s="479"/>
      <c r="K210" s="238"/>
      <c r="L210" s="15"/>
      <c r="M210" s="15"/>
      <c r="N210" s="15"/>
      <c r="O210" s="15"/>
      <c r="P210" s="15"/>
      <c r="Q210" s="15"/>
      <c r="R210" s="15"/>
      <c r="S210" s="15"/>
      <c r="T210" s="15"/>
      <c r="U210" s="15"/>
      <c r="V210" s="15"/>
      <c r="W210" s="15"/>
      <c r="X210" s="14"/>
      <c r="Y210" s="14"/>
      <c r="Z210" s="489"/>
      <c r="AA210" s="3"/>
      <c r="AB210" s="3"/>
      <c r="AC210" s="3"/>
      <c r="AD210" s="3"/>
      <c r="AE210" s="3"/>
    </row>
    <row r="211" ht="15.75" customHeight="1">
      <c r="G211" s="478"/>
      <c r="J211" s="479"/>
      <c r="K211" s="238"/>
      <c r="L211" s="15"/>
      <c r="M211" s="15"/>
      <c r="N211" s="15"/>
      <c r="O211" s="15"/>
      <c r="P211" s="15"/>
      <c r="Q211" s="15"/>
      <c r="R211" s="15"/>
      <c r="S211" s="15"/>
      <c r="T211" s="15"/>
      <c r="U211" s="15"/>
      <c r="V211" s="15"/>
      <c r="W211" s="15"/>
      <c r="X211" s="14"/>
      <c r="Y211" s="14"/>
      <c r="Z211" s="489"/>
      <c r="AA211" s="3"/>
      <c r="AB211" s="3"/>
      <c r="AC211" s="3"/>
      <c r="AD211" s="3"/>
      <c r="AE211" s="3"/>
    </row>
    <row r="212" ht="15.75" customHeight="1">
      <c r="G212" s="478"/>
      <c r="J212" s="479"/>
      <c r="K212" s="238"/>
      <c r="L212" s="15"/>
      <c r="M212" s="15"/>
      <c r="N212" s="15"/>
      <c r="O212" s="15"/>
      <c r="P212" s="15"/>
      <c r="Q212" s="15"/>
      <c r="R212" s="15"/>
      <c r="S212" s="15"/>
      <c r="T212" s="15"/>
      <c r="U212" s="15"/>
      <c r="V212" s="15"/>
      <c r="W212" s="15"/>
      <c r="X212" s="14"/>
      <c r="Y212" s="14"/>
      <c r="Z212" s="489"/>
      <c r="AA212" s="3"/>
      <c r="AB212" s="3"/>
      <c r="AC212" s="3"/>
      <c r="AD212" s="3"/>
      <c r="AE212" s="3"/>
    </row>
    <row r="213" ht="15.75" customHeight="1">
      <c r="G213" s="478"/>
      <c r="J213" s="479"/>
      <c r="K213" s="238"/>
      <c r="L213" s="15"/>
      <c r="M213" s="15"/>
      <c r="N213" s="15"/>
      <c r="O213" s="15"/>
      <c r="P213" s="15"/>
      <c r="Q213" s="15"/>
      <c r="R213" s="15"/>
      <c r="S213" s="15"/>
      <c r="T213" s="15"/>
      <c r="U213" s="15"/>
      <c r="V213" s="15"/>
      <c r="W213" s="15"/>
      <c r="X213" s="14"/>
      <c r="Y213" s="14"/>
      <c r="Z213" s="489"/>
      <c r="AA213" s="3"/>
      <c r="AB213" s="3"/>
      <c r="AC213" s="3"/>
      <c r="AD213" s="3"/>
      <c r="AE213" s="3"/>
    </row>
    <row r="214" ht="15.75" customHeight="1">
      <c r="G214" s="478"/>
      <c r="J214" s="479"/>
      <c r="K214" s="238"/>
      <c r="L214" s="15"/>
      <c r="M214" s="15"/>
      <c r="N214" s="15"/>
      <c r="O214" s="15"/>
      <c r="P214" s="15"/>
      <c r="Q214" s="15"/>
      <c r="R214" s="15"/>
      <c r="S214" s="15"/>
      <c r="T214" s="15"/>
      <c r="U214" s="15"/>
      <c r="V214" s="15"/>
      <c r="W214" s="15"/>
      <c r="X214" s="14"/>
      <c r="Y214" s="14"/>
      <c r="Z214" s="489"/>
      <c r="AA214" s="3"/>
      <c r="AB214" s="3"/>
      <c r="AC214" s="3"/>
      <c r="AD214" s="3"/>
      <c r="AE214" s="3"/>
    </row>
    <row r="215" ht="15.75" customHeight="1">
      <c r="G215" s="478"/>
      <c r="J215" s="479"/>
      <c r="K215" s="238"/>
      <c r="L215" s="15"/>
      <c r="M215" s="15"/>
      <c r="N215" s="15"/>
      <c r="O215" s="15"/>
      <c r="P215" s="15"/>
      <c r="Q215" s="15"/>
      <c r="R215" s="15"/>
      <c r="S215" s="15"/>
      <c r="T215" s="15"/>
      <c r="U215" s="15"/>
      <c r="V215" s="15"/>
      <c r="W215" s="15"/>
      <c r="X215" s="14"/>
      <c r="Y215" s="14"/>
      <c r="Z215" s="489"/>
      <c r="AA215" s="3"/>
      <c r="AB215" s="3"/>
      <c r="AC215" s="3"/>
      <c r="AD215" s="3"/>
      <c r="AE215" s="3"/>
    </row>
    <row r="216" ht="15.75" customHeight="1">
      <c r="G216" s="478"/>
      <c r="J216" s="479"/>
      <c r="K216" s="238"/>
      <c r="L216" s="15"/>
      <c r="M216" s="15"/>
      <c r="N216" s="15"/>
      <c r="O216" s="15"/>
      <c r="P216" s="15"/>
      <c r="Q216" s="15"/>
      <c r="R216" s="15"/>
      <c r="S216" s="15"/>
      <c r="T216" s="15"/>
      <c r="U216" s="15"/>
      <c r="V216" s="15"/>
      <c r="W216" s="15"/>
      <c r="X216" s="14"/>
      <c r="Y216" s="14"/>
      <c r="Z216" s="489"/>
      <c r="AA216" s="3"/>
      <c r="AB216" s="3"/>
      <c r="AC216" s="3"/>
      <c r="AD216" s="3"/>
      <c r="AE216" s="3"/>
    </row>
    <row r="217" ht="15.75" customHeight="1">
      <c r="G217" s="478"/>
      <c r="J217" s="479"/>
      <c r="K217" s="238"/>
      <c r="L217" s="15"/>
      <c r="M217" s="15"/>
      <c r="N217" s="15"/>
      <c r="O217" s="15"/>
      <c r="P217" s="15"/>
      <c r="Q217" s="15"/>
      <c r="R217" s="15"/>
      <c r="S217" s="15"/>
      <c r="T217" s="15"/>
      <c r="U217" s="15"/>
      <c r="V217" s="15"/>
      <c r="W217" s="15"/>
      <c r="X217" s="14"/>
      <c r="Y217" s="14"/>
      <c r="Z217" s="489"/>
      <c r="AA217" s="3"/>
      <c r="AB217" s="3"/>
      <c r="AC217" s="3"/>
      <c r="AD217" s="3"/>
      <c r="AE217" s="3"/>
    </row>
    <row r="218" ht="15.75" customHeight="1">
      <c r="G218" s="478"/>
      <c r="J218" s="479"/>
      <c r="K218" s="238"/>
      <c r="L218" s="15"/>
      <c r="M218" s="15"/>
      <c r="N218" s="15"/>
      <c r="O218" s="15"/>
      <c r="P218" s="15"/>
      <c r="Q218" s="15"/>
      <c r="R218" s="15"/>
      <c r="S218" s="15"/>
      <c r="T218" s="15"/>
      <c r="U218" s="15"/>
      <c r="V218" s="15"/>
      <c r="W218" s="15"/>
      <c r="X218" s="14"/>
      <c r="Y218" s="14"/>
      <c r="Z218" s="489"/>
      <c r="AA218" s="3"/>
      <c r="AB218" s="3"/>
      <c r="AC218" s="3"/>
      <c r="AD218" s="3"/>
      <c r="AE218" s="3"/>
    </row>
    <row r="219" ht="15.75" customHeight="1">
      <c r="G219" s="478"/>
      <c r="J219" s="479"/>
      <c r="K219" s="238"/>
      <c r="L219" s="15"/>
      <c r="M219" s="15"/>
      <c r="N219" s="15"/>
      <c r="O219" s="15"/>
      <c r="P219" s="15"/>
      <c r="Q219" s="15"/>
      <c r="R219" s="15"/>
      <c r="S219" s="15"/>
      <c r="T219" s="15"/>
      <c r="U219" s="15"/>
      <c r="V219" s="15"/>
      <c r="W219" s="15"/>
      <c r="X219" s="14"/>
      <c r="Y219" s="14"/>
      <c r="Z219" s="489"/>
      <c r="AA219" s="3"/>
      <c r="AB219" s="3"/>
      <c r="AC219" s="3"/>
      <c r="AD219" s="3"/>
      <c r="AE219" s="3"/>
    </row>
    <row r="220" ht="15.75" customHeight="1">
      <c r="G220" s="478"/>
      <c r="J220" s="479"/>
      <c r="K220" s="238"/>
      <c r="L220" s="15"/>
      <c r="M220" s="15"/>
      <c r="N220" s="15"/>
      <c r="O220" s="15"/>
      <c r="P220" s="15"/>
      <c r="Q220" s="15"/>
      <c r="R220" s="15"/>
      <c r="S220" s="15"/>
      <c r="T220" s="15"/>
      <c r="U220" s="15"/>
      <c r="V220" s="15"/>
      <c r="W220" s="15"/>
      <c r="X220" s="14"/>
      <c r="Y220" s="14"/>
      <c r="Z220" s="489"/>
      <c r="AA220" s="3"/>
      <c r="AB220" s="3"/>
      <c r="AC220" s="3"/>
      <c r="AD220" s="3"/>
      <c r="AE220" s="3"/>
    </row>
    <row r="221" ht="15.75" customHeight="1">
      <c r="G221" s="478"/>
      <c r="J221" s="479"/>
      <c r="K221" s="238"/>
      <c r="L221" s="15"/>
      <c r="M221" s="15"/>
      <c r="N221" s="15"/>
      <c r="O221" s="15"/>
      <c r="P221" s="15"/>
      <c r="Q221" s="15"/>
      <c r="R221" s="15"/>
      <c r="S221" s="15"/>
      <c r="T221" s="15"/>
      <c r="U221" s="15"/>
      <c r="V221" s="15"/>
      <c r="W221" s="15"/>
      <c r="X221" s="14"/>
      <c r="Y221" s="14"/>
      <c r="Z221" s="489"/>
      <c r="AA221" s="3"/>
      <c r="AB221" s="3"/>
      <c r="AC221" s="3"/>
      <c r="AD221" s="3"/>
      <c r="AE221" s="3"/>
    </row>
    <row r="222" ht="15.75" customHeight="1">
      <c r="G222" s="478"/>
      <c r="J222" s="479"/>
      <c r="K222" s="238"/>
      <c r="L222" s="15"/>
      <c r="M222" s="15"/>
      <c r="N222" s="15"/>
      <c r="O222" s="15"/>
      <c r="P222" s="15"/>
      <c r="Q222" s="15"/>
      <c r="R222" s="15"/>
      <c r="S222" s="15"/>
      <c r="T222" s="15"/>
      <c r="U222" s="15"/>
      <c r="V222" s="15"/>
      <c r="W222" s="15"/>
      <c r="X222" s="14"/>
      <c r="Y222" s="14"/>
      <c r="Z222" s="489"/>
      <c r="AA222" s="3"/>
      <c r="AB222" s="3"/>
      <c r="AC222" s="3"/>
      <c r="AD222" s="3"/>
      <c r="AE222" s="3"/>
    </row>
    <row r="223" ht="15.75" customHeight="1">
      <c r="G223" s="478"/>
      <c r="J223" s="479"/>
      <c r="K223" s="238"/>
      <c r="L223" s="15"/>
      <c r="M223" s="15"/>
      <c r="N223" s="15"/>
      <c r="O223" s="15"/>
      <c r="P223" s="15"/>
      <c r="Q223" s="15"/>
      <c r="R223" s="15"/>
      <c r="S223" s="15"/>
      <c r="T223" s="15"/>
      <c r="U223" s="15"/>
      <c r="V223" s="15"/>
      <c r="W223" s="15"/>
      <c r="X223" s="14"/>
      <c r="Y223" s="14"/>
      <c r="Z223" s="489"/>
      <c r="AA223" s="3"/>
      <c r="AB223" s="3"/>
      <c r="AC223" s="3"/>
      <c r="AD223" s="3"/>
      <c r="AE223" s="3"/>
    </row>
    <row r="224" ht="15.75" customHeight="1">
      <c r="G224" s="478"/>
      <c r="J224" s="479"/>
      <c r="K224" s="238"/>
      <c r="L224" s="15"/>
      <c r="M224" s="15"/>
      <c r="N224" s="15"/>
      <c r="O224" s="15"/>
      <c r="P224" s="15"/>
      <c r="Q224" s="15"/>
      <c r="R224" s="15"/>
      <c r="S224" s="15"/>
      <c r="T224" s="15"/>
      <c r="U224" s="15"/>
      <c r="V224" s="15"/>
      <c r="W224" s="15"/>
      <c r="X224" s="14"/>
      <c r="Y224" s="14"/>
      <c r="Z224" s="489"/>
      <c r="AA224" s="3"/>
      <c r="AB224" s="3"/>
      <c r="AC224" s="3"/>
      <c r="AD224" s="3"/>
      <c r="AE224" s="3"/>
    </row>
    <row r="225" ht="15.75" customHeight="1">
      <c r="G225" s="478"/>
      <c r="J225" s="479"/>
      <c r="K225" s="238"/>
      <c r="L225" s="15"/>
      <c r="M225" s="15"/>
      <c r="N225" s="15"/>
      <c r="O225" s="15"/>
      <c r="P225" s="15"/>
      <c r="Q225" s="15"/>
      <c r="R225" s="15"/>
      <c r="S225" s="15"/>
      <c r="T225" s="15"/>
      <c r="U225" s="15"/>
      <c r="V225" s="15"/>
      <c r="W225" s="15"/>
      <c r="X225" s="14"/>
      <c r="Y225" s="14"/>
      <c r="Z225" s="489"/>
      <c r="AA225" s="3"/>
      <c r="AB225" s="3"/>
      <c r="AC225" s="3"/>
      <c r="AD225" s="3"/>
      <c r="AE225" s="3"/>
    </row>
    <row r="226" ht="15.75" customHeight="1">
      <c r="G226" s="478"/>
      <c r="J226" s="479"/>
      <c r="K226" s="238"/>
      <c r="L226" s="15"/>
      <c r="M226" s="15"/>
      <c r="N226" s="15"/>
      <c r="O226" s="15"/>
      <c r="P226" s="15"/>
      <c r="Q226" s="15"/>
      <c r="R226" s="15"/>
      <c r="S226" s="15"/>
      <c r="T226" s="15"/>
      <c r="U226" s="15"/>
      <c r="V226" s="15"/>
      <c r="W226" s="15"/>
      <c r="X226" s="14"/>
      <c r="Y226" s="14"/>
      <c r="Z226" s="489"/>
      <c r="AA226" s="3"/>
      <c r="AB226" s="3"/>
      <c r="AC226" s="3"/>
      <c r="AD226" s="3"/>
      <c r="AE226" s="3"/>
    </row>
    <row r="227" ht="15.75" customHeight="1">
      <c r="G227" s="478"/>
      <c r="J227" s="479"/>
      <c r="K227" s="238"/>
      <c r="L227" s="15"/>
      <c r="M227" s="15"/>
      <c r="N227" s="15"/>
      <c r="O227" s="15"/>
      <c r="P227" s="15"/>
      <c r="Q227" s="15"/>
      <c r="R227" s="15"/>
      <c r="S227" s="15"/>
      <c r="T227" s="15"/>
      <c r="U227" s="15"/>
      <c r="V227" s="15"/>
      <c r="W227" s="15"/>
      <c r="X227" s="14"/>
      <c r="Y227" s="14"/>
      <c r="Z227" s="489"/>
      <c r="AA227" s="3"/>
      <c r="AB227" s="3"/>
      <c r="AC227" s="3"/>
      <c r="AD227" s="3"/>
      <c r="AE227" s="3"/>
    </row>
    <row r="228" ht="15.75" customHeight="1">
      <c r="G228" s="478"/>
      <c r="J228" s="479"/>
      <c r="K228" s="238"/>
      <c r="L228" s="15"/>
      <c r="M228" s="15"/>
      <c r="N228" s="15"/>
      <c r="O228" s="15"/>
      <c r="P228" s="15"/>
      <c r="Q228" s="15"/>
      <c r="R228" s="15"/>
      <c r="S228" s="15"/>
      <c r="T228" s="15"/>
      <c r="U228" s="15"/>
      <c r="V228" s="15"/>
      <c r="W228" s="15"/>
      <c r="X228" s="14"/>
      <c r="Y228" s="14"/>
      <c r="Z228" s="489"/>
      <c r="AA228" s="3"/>
      <c r="AB228" s="3"/>
      <c r="AC228" s="3"/>
      <c r="AD228" s="3"/>
      <c r="AE228" s="3"/>
    </row>
    <row r="229" ht="15.75" customHeight="1">
      <c r="G229" s="478"/>
      <c r="J229" s="479"/>
      <c r="K229" s="238"/>
      <c r="L229" s="15"/>
      <c r="M229" s="15"/>
      <c r="N229" s="15"/>
      <c r="O229" s="15"/>
      <c r="P229" s="15"/>
      <c r="Q229" s="15"/>
      <c r="R229" s="15"/>
      <c r="S229" s="15"/>
      <c r="T229" s="15"/>
      <c r="U229" s="15"/>
      <c r="V229" s="15"/>
      <c r="W229" s="15"/>
      <c r="X229" s="14"/>
      <c r="Y229" s="14"/>
      <c r="Z229" s="489"/>
      <c r="AA229" s="3"/>
      <c r="AB229" s="3"/>
      <c r="AC229" s="3"/>
      <c r="AD229" s="3"/>
      <c r="AE229" s="3"/>
    </row>
    <row r="230" ht="15.75" customHeight="1">
      <c r="G230" s="478"/>
      <c r="J230" s="479"/>
      <c r="K230" s="238"/>
      <c r="L230" s="15"/>
      <c r="M230" s="15"/>
      <c r="N230" s="15"/>
      <c r="O230" s="15"/>
      <c r="P230" s="15"/>
      <c r="Q230" s="15"/>
      <c r="R230" s="15"/>
      <c r="S230" s="15"/>
      <c r="T230" s="15"/>
      <c r="U230" s="15"/>
      <c r="V230" s="15"/>
      <c r="W230" s="15"/>
      <c r="X230" s="14"/>
      <c r="Y230" s="14"/>
      <c r="Z230" s="489"/>
      <c r="AA230" s="3"/>
      <c r="AB230" s="3"/>
      <c r="AC230" s="3"/>
      <c r="AD230" s="3"/>
      <c r="AE230" s="3"/>
    </row>
    <row r="231" ht="15.75" customHeight="1">
      <c r="G231" s="478"/>
      <c r="J231" s="479"/>
      <c r="K231" s="238"/>
      <c r="L231" s="15"/>
      <c r="M231" s="15"/>
      <c r="N231" s="15"/>
      <c r="O231" s="15"/>
      <c r="P231" s="15"/>
      <c r="Q231" s="15"/>
      <c r="R231" s="15"/>
      <c r="S231" s="15"/>
      <c r="T231" s="15"/>
      <c r="U231" s="15"/>
      <c r="V231" s="15"/>
      <c r="W231" s="15"/>
      <c r="X231" s="14"/>
      <c r="Y231" s="14"/>
      <c r="Z231" s="489"/>
      <c r="AA231" s="3"/>
      <c r="AB231" s="3"/>
      <c r="AC231" s="3"/>
      <c r="AD231" s="3"/>
      <c r="AE231" s="3"/>
    </row>
    <row r="232" ht="15.75" customHeight="1">
      <c r="G232" s="478"/>
      <c r="J232" s="479"/>
      <c r="K232" s="238"/>
      <c r="L232" s="15"/>
      <c r="M232" s="15"/>
      <c r="N232" s="15"/>
      <c r="O232" s="15"/>
      <c r="P232" s="15"/>
      <c r="Q232" s="15"/>
      <c r="R232" s="15"/>
      <c r="S232" s="15"/>
      <c r="T232" s="15"/>
      <c r="U232" s="15"/>
      <c r="V232" s="15"/>
      <c r="W232" s="15"/>
      <c r="X232" s="14"/>
      <c r="Y232" s="14"/>
      <c r="Z232" s="489"/>
      <c r="AA232" s="3"/>
      <c r="AB232" s="3"/>
      <c r="AC232" s="3"/>
      <c r="AD232" s="3"/>
      <c r="AE232" s="3"/>
    </row>
    <row r="233" ht="15.75" customHeight="1">
      <c r="G233" s="478"/>
      <c r="J233" s="479"/>
      <c r="K233" s="238"/>
      <c r="L233" s="15"/>
      <c r="M233" s="15"/>
      <c r="N233" s="15"/>
      <c r="O233" s="15"/>
      <c r="P233" s="15"/>
      <c r="Q233" s="15"/>
      <c r="R233" s="15"/>
      <c r="S233" s="15"/>
      <c r="T233" s="15"/>
      <c r="U233" s="15"/>
      <c r="V233" s="15"/>
      <c r="W233" s="15"/>
      <c r="X233" s="14"/>
      <c r="Y233" s="14"/>
      <c r="Z233" s="489"/>
      <c r="AA233" s="3"/>
      <c r="AB233" s="3"/>
      <c r="AC233" s="3"/>
      <c r="AD233" s="3"/>
      <c r="AE233" s="3"/>
    </row>
    <row r="234" ht="15.75" customHeight="1">
      <c r="G234" s="478"/>
      <c r="J234" s="479"/>
      <c r="K234" s="238"/>
      <c r="L234" s="15"/>
      <c r="M234" s="15"/>
      <c r="N234" s="15"/>
      <c r="O234" s="15"/>
      <c r="P234" s="15"/>
      <c r="Q234" s="15"/>
      <c r="R234" s="15"/>
      <c r="S234" s="15"/>
      <c r="T234" s="15"/>
      <c r="U234" s="15"/>
      <c r="V234" s="15"/>
      <c r="W234" s="15"/>
      <c r="X234" s="14"/>
      <c r="Y234" s="14"/>
      <c r="Z234" s="489"/>
      <c r="AA234" s="3"/>
      <c r="AB234" s="3"/>
      <c r="AC234" s="3"/>
      <c r="AD234" s="3"/>
      <c r="AE234" s="3"/>
    </row>
    <row r="235" ht="15.75" customHeight="1">
      <c r="G235" s="478"/>
      <c r="J235" s="479"/>
      <c r="K235" s="238"/>
      <c r="L235" s="15"/>
      <c r="M235" s="15"/>
      <c r="N235" s="15"/>
      <c r="O235" s="15"/>
      <c r="P235" s="15"/>
      <c r="Q235" s="15"/>
      <c r="R235" s="15"/>
      <c r="S235" s="15"/>
      <c r="T235" s="15"/>
      <c r="U235" s="15"/>
      <c r="V235" s="15"/>
      <c r="W235" s="15"/>
      <c r="X235" s="14"/>
      <c r="Y235" s="14"/>
      <c r="Z235" s="489"/>
      <c r="AA235" s="3"/>
      <c r="AB235" s="3"/>
      <c r="AC235" s="3"/>
      <c r="AD235" s="3"/>
      <c r="AE235" s="3"/>
    </row>
    <row r="236" ht="15.75" customHeight="1">
      <c r="G236" s="478"/>
      <c r="J236" s="479"/>
      <c r="K236" s="238"/>
      <c r="L236" s="15"/>
      <c r="M236" s="15"/>
      <c r="N236" s="15"/>
      <c r="O236" s="15"/>
      <c r="P236" s="15"/>
      <c r="Q236" s="15"/>
      <c r="R236" s="15"/>
      <c r="S236" s="15"/>
      <c r="T236" s="15"/>
      <c r="U236" s="15"/>
      <c r="V236" s="15"/>
      <c r="W236" s="15"/>
      <c r="X236" s="14"/>
      <c r="Y236" s="14"/>
      <c r="Z236" s="489"/>
      <c r="AA236" s="3"/>
      <c r="AB236" s="3"/>
      <c r="AC236" s="3"/>
      <c r="AD236" s="3"/>
      <c r="AE236" s="3"/>
    </row>
    <row r="237" ht="15.75" customHeight="1">
      <c r="G237" s="478"/>
      <c r="J237" s="479"/>
      <c r="K237" s="238"/>
      <c r="L237" s="15"/>
      <c r="M237" s="15"/>
      <c r="N237" s="15"/>
      <c r="O237" s="15"/>
      <c r="P237" s="15"/>
      <c r="Q237" s="15"/>
      <c r="R237" s="15"/>
      <c r="S237" s="15"/>
      <c r="T237" s="15"/>
      <c r="U237" s="15"/>
      <c r="V237" s="15"/>
      <c r="W237" s="15"/>
      <c r="X237" s="14"/>
      <c r="Y237" s="14"/>
      <c r="Z237" s="489"/>
      <c r="AA237" s="3"/>
      <c r="AB237" s="3"/>
      <c r="AC237" s="3"/>
      <c r="AD237" s="3"/>
      <c r="AE237" s="3"/>
    </row>
    <row r="238" ht="15.75" customHeight="1">
      <c r="G238" s="478"/>
      <c r="J238" s="479"/>
      <c r="K238" s="238"/>
      <c r="L238" s="15"/>
      <c r="M238" s="15"/>
      <c r="N238" s="15"/>
      <c r="O238" s="15"/>
      <c r="P238" s="15"/>
      <c r="Q238" s="15"/>
      <c r="R238" s="15"/>
      <c r="S238" s="15"/>
      <c r="T238" s="15"/>
      <c r="U238" s="15"/>
      <c r="V238" s="15"/>
      <c r="W238" s="15"/>
      <c r="X238" s="14"/>
      <c r="Y238" s="14"/>
      <c r="Z238" s="489"/>
      <c r="AA238" s="3"/>
      <c r="AB238" s="3"/>
      <c r="AC238" s="3"/>
      <c r="AD238" s="3"/>
      <c r="AE238" s="3"/>
    </row>
    <row r="239" ht="15.75" customHeight="1">
      <c r="G239" s="478"/>
      <c r="J239" s="479"/>
      <c r="K239" s="238"/>
      <c r="L239" s="15"/>
      <c r="M239" s="15"/>
      <c r="N239" s="15"/>
      <c r="O239" s="15"/>
      <c r="P239" s="15"/>
      <c r="Q239" s="15"/>
      <c r="R239" s="15"/>
      <c r="S239" s="15"/>
      <c r="T239" s="15"/>
      <c r="U239" s="15"/>
      <c r="V239" s="15"/>
      <c r="W239" s="15"/>
      <c r="X239" s="14"/>
      <c r="Y239" s="14"/>
      <c r="Z239" s="489"/>
      <c r="AA239" s="3"/>
      <c r="AB239" s="3"/>
      <c r="AC239" s="3"/>
      <c r="AD239" s="3"/>
      <c r="AE239" s="3"/>
    </row>
    <row r="240" ht="15.75" customHeight="1">
      <c r="G240" s="478"/>
      <c r="J240" s="479"/>
      <c r="K240" s="238"/>
      <c r="L240" s="15"/>
      <c r="M240" s="15"/>
      <c r="N240" s="15"/>
      <c r="O240" s="15"/>
      <c r="P240" s="15"/>
      <c r="Q240" s="15"/>
      <c r="R240" s="15"/>
      <c r="S240" s="15"/>
      <c r="T240" s="15"/>
      <c r="U240" s="15"/>
      <c r="V240" s="15"/>
      <c r="W240" s="15"/>
      <c r="X240" s="14"/>
      <c r="Y240" s="14"/>
      <c r="Z240" s="489"/>
      <c r="AA240" s="3"/>
      <c r="AB240" s="3"/>
      <c r="AC240" s="3"/>
      <c r="AD240" s="3"/>
      <c r="AE240" s="3"/>
    </row>
    <row r="241" ht="15.75" customHeight="1">
      <c r="G241" s="478"/>
      <c r="J241" s="479"/>
      <c r="K241" s="238"/>
      <c r="L241" s="15"/>
      <c r="M241" s="15"/>
      <c r="N241" s="15"/>
      <c r="O241" s="15"/>
      <c r="P241" s="15"/>
      <c r="Q241" s="15"/>
      <c r="R241" s="15"/>
      <c r="S241" s="15"/>
      <c r="T241" s="15"/>
      <c r="U241" s="15"/>
      <c r="V241" s="15"/>
      <c r="W241" s="15"/>
      <c r="X241" s="14"/>
      <c r="Y241" s="14"/>
      <c r="Z241" s="489"/>
      <c r="AA241" s="3"/>
      <c r="AB241" s="3"/>
      <c r="AC241" s="3"/>
      <c r="AD241" s="3"/>
      <c r="AE241" s="3"/>
    </row>
    <row r="242" ht="15.75" customHeight="1">
      <c r="G242" s="478"/>
      <c r="J242" s="479"/>
      <c r="K242" s="238"/>
      <c r="L242" s="15"/>
      <c r="M242" s="15"/>
      <c r="N242" s="15"/>
      <c r="O242" s="15"/>
      <c r="P242" s="15"/>
      <c r="Q242" s="15"/>
      <c r="R242" s="15"/>
      <c r="S242" s="15"/>
      <c r="T242" s="15"/>
      <c r="U242" s="15"/>
      <c r="V242" s="15"/>
      <c r="W242" s="15"/>
      <c r="X242" s="14"/>
      <c r="Y242" s="14"/>
      <c r="Z242" s="489"/>
      <c r="AA242" s="3"/>
      <c r="AB242" s="3"/>
      <c r="AC242" s="3"/>
      <c r="AD242" s="3"/>
      <c r="AE242" s="3"/>
    </row>
    <row r="243" ht="15.75" customHeight="1">
      <c r="G243" s="478"/>
      <c r="J243" s="479"/>
      <c r="K243" s="238"/>
      <c r="L243" s="15"/>
      <c r="M243" s="15"/>
      <c r="N243" s="15"/>
      <c r="O243" s="15"/>
      <c r="P243" s="15"/>
      <c r="Q243" s="15"/>
      <c r="R243" s="15"/>
      <c r="S243" s="15"/>
      <c r="T243" s="15"/>
      <c r="U243" s="15"/>
      <c r="V243" s="15"/>
      <c r="W243" s="15"/>
      <c r="X243" s="14"/>
      <c r="Y243" s="14"/>
      <c r="Z243" s="489"/>
      <c r="AA243" s="3"/>
      <c r="AB243" s="3"/>
      <c r="AC243" s="3"/>
      <c r="AD243" s="3"/>
      <c r="AE243" s="3"/>
    </row>
    <row r="244" ht="15.75" customHeight="1">
      <c r="G244" s="478"/>
      <c r="J244" s="479"/>
      <c r="K244" s="238"/>
      <c r="L244" s="15"/>
      <c r="M244" s="15"/>
      <c r="N244" s="15"/>
      <c r="O244" s="15"/>
      <c r="P244" s="15"/>
      <c r="Q244" s="15"/>
      <c r="R244" s="15"/>
      <c r="S244" s="15"/>
      <c r="T244" s="15"/>
      <c r="U244" s="15"/>
      <c r="V244" s="15"/>
      <c r="W244" s="15"/>
      <c r="X244" s="14"/>
      <c r="Y244" s="14"/>
      <c r="Z244" s="489"/>
      <c r="AA244" s="3"/>
      <c r="AB244" s="3"/>
      <c r="AC244" s="3"/>
      <c r="AD244" s="3"/>
      <c r="AE244" s="3"/>
    </row>
    <row r="245" ht="15.75" customHeight="1">
      <c r="G245" s="478"/>
      <c r="J245" s="479"/>
      <c r="K245" s="238"/>
      <c r="L245" s="15"/>
      <c r="M245" s="15"/>
      <c r="N245" s="15"/>
      <c r="O245" s="15"/>
      <c r="P245" s="15"/>
      <c r="Q245" s="15"/>
      <c r="R245" s="15"/>
      <c r="S245" s="15"/>
      <c r="T245" s="15"/>
      <c r="U245" s="15"/>
      <c r="V245" s="15"/>
      <c r="W245" s="15"/>
      <c r="X245" s="14"/>
      <c r="Y245" s="14"/>
      <c r="Z245" s="489"/>
      <c r="AA245" s="3"/>
      <c r="AB245" s="3"/>
      <c r="AC245" s="3"/>
      <c r="AD245" s="3"/>
      <c r="AE245" s="3"/>
    </row>
    <row r="246" ht="15.75" customHeight="1">
      <c r="G246" s="478"/>
      <c r="J246" s="479"/>
      <c r="K246" s="238"/>
      <c r="L246" s="15"/>
      <c r="M246" s="15"/>
      <c r="N246" s="15"/>
      <c r="O246" s="15"/>
      <c r="P246" s="15"/>
      <c r="Q246" s="15"/>
      <c r="R246" s="15"/>
      <c r="S246" s="15"/>
      <c r="T246" s="15"/>
      <c r="U246" s="15"/>
      <c r="V246" s="15"/>
      <c r="W246" s="15"/>
      <c r="X246" s="14"/>
      <c r="Y246" s="14"/>
      <c r="Z246" s="489"/>
      <c r="AA246" s="3"/>
      <c r="AB246" s="3"/>
      <c r="AC246" s="3"/>
      <c r="AD246" s="3"/>
      <c r="AE246" s="3"/>
    </row>
    <row r="247" ht="15.75" customHeight="1">
      <c r="G247" s="478"/>
      <c r="J247" s="479"/>
      <c r="K247" s="238"/>
      <c r="L247" s="15"/>
      <c r="M247" s="15"/>
      <c r="N247" s="15"/>
      <c r="O247" s="15"/>
      <c r="P247" s="15"/>
      <c r="Q247" s="15"/>
      <c r="R247" s="15"/>
      <c r="S247" s="15"/>
      <c r="T247" s="15"/>
      <c r="U247" s="15"/>
      <c r="V247" s="15"/>
      <c r="W247" s="15"/>
      <c r="X247" s="14"/>
      <c r="Y247" s="14"/>
      <c r="Z247" s="489"/>
      <c r="AA247" s="3"/>
      <c r="AB247" s="3"/>
      <c r="AC247" s="3"/>
      <c r="AD247" s="3"/>
      <c r="AE247" s="3"/>
    </row>
    <row r="248" ht="15.75" customHeight="1">
      <c r="G248" s="478"/>
      <c r="J248" s="479"/>
      <c r="K248" s="238"/>
      <c r="L248" s="15"/>
      <c r="M248" s="15"/>
      <c r="N248" s="15"/>
      <c r="O248" s="15"/>
      <c r="P248" s="15"/>
      <c r="Q248" s="15"/>
      <c r="R248" s="15"/>
      <c r="S248" s="15"/>
      <c r="T248" s="15"/>
      <c r="U248" s="15"/>
      <c r="V248" s="15"/>
      <c r="W248" s="15"/>
      <c r="X248" s="14"/>
      <c r="Y248" s="14"/>
      <c r="Z248" s="489"/>
      <c r="AA248" s="3"/>
      <c r="AB248" s="3"/>
      <c r="AC248" s="3"/>
      <c r="AD248" s="3"/>
      <c r="AE248" s="3"/>
    </row>
    <row r="249" ht="15.75" customHeight="1">
      <c r="G249" s="478"/>
      <c r="J249" s="479"/>
      <c r="K249" s="238"/>
      <c r="L249" s="15"/>
      <c r="M249" s="15"/>
      <c r="N249" s="15"/>
      <c r="O249" s="15"/>
      <c r="P249" s="15"/>
      <c r="Q249" s="15"/>
      <c r="R249" s="15"/>
      <c r="S249" s="15"/>
      <c r="T249" s="15"/>
      <c r="U249" s="15"/>
      <c r="V249" s="15"/>
      <c r="W249" s="15"/>
      <c r="X249" s="14"/>
      <c r="Y249" s="14"/>
      <c r="Z249" s="489"/>
      <c r="AA249" s="3"/>
      <c r="AB249" s="3"/>
      <c r="AC249" s="3"/>
      <c r="AD249" s="3"/>
      <c r="AE249" s="3"/>
    </row>
    <row r="250" ht="15.75" customHeight="1">
      <c r="G250" s="478"/>
      <c r="J250" s="479"/>
      <c r="K250" s="238"/>
      <c r="L250" s="15"/>
      <c r="M250" s="15"/>
      <c r="N250" s="15"/>
      <c r="O250" s="15"/>
      <c r="P250" s="15"/>
      <c r="Q250" s="15"/>
      <c r="R250" s="15"/>
      <c r="S250" s="15"/>
      <c r="T250" s="15"/>
      <c r="U250" s="15"/>
      <c r="V250" s="15"/>
      <c r="W250" s="15"/>
      <c r="X250" s="14"/>
      <c r="Y250" s="14"/>
      <c r="Z250" s="489"/>
      <c r="AA250" s="3"/>
      <c r="AB250" s="3"/>
      <c r="AC250" s="3"/>
      <c r="AD250" s="3"/>
      <c r="AE250" s="3"/>
    </row>
    <row r="251" ht="15.75" customHeight="1">
      <c r="G251" s="478"/>
      <c r="J251" s="479"/>
      <c r="K251" s="238"/>
      <c r="L251" s="15"/>
      <c r="M251" s="15"/>
      <c r="N251" s="15"/>
      <c r="O251" s="15"/>
      <c r="P251" s="15"/>
      <c r="Q251" s="15"/>
      <c r="R251" s="15"/>
      <c r="S251" s="15"/>
      <c r="T251" s="15"/>
      <c r="U251" s="15"/>
      <c r="V251" s="15"/>
      <c r="W251" s="15"/>
      <c r="X251" s="14"/>
      <c r="Y251" s="14"/>
      <c r="Z251" s="489"/>
      <c r="AA251" s="3"/>
      <c r="AB251" s="3"/>
      <c r="AC251" s="3"/>
      <c r="AD251" s="3"/>
      <c r="AE251" s="3"/>
    </row>
    <row r="252" ht="15.75" customHeight="1">
      <c r="G252" s="478"/>
      <c r="J252" s="479"/>
      <c r="K252" s="238"/>
      <c r="L252" s="15"/>
      <c r="M252" s="15"/>
      <c r="N252" s="15"/>
      <c r="O252" s="15"/>
      <c r="P252" s="15"/>
      <c r="Q252" s="15"/>
      <c r="R252" s="15"/>
      <c r="S252" s="15"/>
      <c r="T252" s="15"/>
      <c r="U252" s="15"/>
      <c r="V252" s="15"/>
      <c r="W252" s="15"/>
      <c r="X252" s="14"/>
      <c r="Y252" s="14"/>
      <c r="Z252" s="489"/>
      <c r="AA252" s="3"/>
      <c r="AB252" s="3"/>
      <c r="AC252" s="3"/>
      <c r="AD252" s="3"/>
      <c r="AE252" s="3"/>
    </row>
    <row r="253" ht="15.75" customHeight="1">
      <c r="G253" s="478"/>
      <c r="J253" s="479"/>
      <c r="K253" s="238"/>
      <c r="L253" s="15"/>
      <c r="M253" s="15"/>
      <c r="N253" s="15"/>
      <c r="O253" s="15"/>
      <c r="P253" s="15"/>
      <c r="Q253" s="15"/>
      <c r="R253" s="15"/>
      <c r="S253" s="15"/>
      <c r="T253" s="15"/>
      <c r="U253" s="15"/>
      <c r="V253" s="15"/>
      <c r="W253" s="15"/>
      <c r="X253" s="14"/>
      <c r="Y253" s="14"/>
      <c r="Z253" s="489"/>
      <c r="AA253" s="3"/>
      <c r="AB253" s="3"/>
      <c r="AC253" s="3"/>
      <c r="AD253" s="3"/>
      <c r="AE253" s="3"/>
    </row>
    <row r="254" ht="15.75" customHeight="1">
      <c r="G254" s="478"/>
      <c r="J254" s="479"/>
      <c r="K254" s="238"/>
      <c r="L254" s="15"/>
      <c r="M254" s="15"/>
      <c r="N254" s="15"/>
      <c r="O254" s="15"/>
      <c r="P254" s="15"/>
      <c r="Q254" s="15"/>
      <c r="R254" s="15"/>
      <c r="S254" s="15"/>
      <c r="T254" s="15"/>
      <c r="U254" s="15"/>
      <c r="V254" s="15"/>
      <c r="W254" s="15"/>
      <c r="X254" s="14"/>
      <c r="Y254" s="14"/>
      <c r="Z254" s="489"/>
      <c r="AA254" s="3"/>
      <c r="AB254" s="3"/>
      <c r="AC254" s="3"/>
      <c r="AD254" s="3"/>
      <c r="AE254" s="3"/>
    </row>
    <row r="255" ht="15.75" customHeight="1">
      <c r="G255" s="478"/>
      <c r="J255" s="479"/>
      <c r="K255" s="238"/>
      <c r="L255" s="15"/>
      <c r="M255" s="15"/>
      <c r="N255" s="15"/>
      <c r="O255" s="15"/>
      <c r="P255" s="15"/>
      <c r="Q255" s="15"/>
      <c r="R255" s="15"/>
      <c r="S255" s="15"/>
      <c r="T255" s="15"/>
      <c r="U255" s="15"/>
      <c r="V255" s="15"/>
      <c r="W255" s="15"/>
      <c r="X255" s="14"/>
      <c r="Y255" s="14"/>
      <c r="Z255" s="489"/>
      <c r="AA255" s="3"/>
      <c r="AB255" s="3"/>
      <c r="AC255" s="3"/>
      <c r="AD255" s="3"/>
      <c r="AE255" s="3"/>
    </row>
    <row r="256" ht="15.75" customHeight="1">
      <c r="G256" s="478"/>
      <c r="J256" s="479"/>
      <c r="K256" s="238"/>
      <c r="L256" s="15"/>
      <c r="M256" s="15"/>
      <c r="N256" s="15"/>
      <c r="O256" s="15"/>
      <c r="P256" s="15"/>
      <c r="Q256" s="15"/>
      <c r="R256" s="15"/>
      <c r="S256" s="15"/>
      <c r="T256" s="15"/>
      <c r="U256" s="15"/>
      <c r="V256" s="15"/>
      <c r="W256" s="15"/>
      <c r="X256" s="14"/>
      <c r="Y256" s="14"/>
      <c r="Z256" s="489"/>
      <c r="AA256" s="3"/>
      <c r="AB256" s="3"/>
      <c r="AC256" s="3"/>
      <c r="AD256" s="3"/>
      <c r="AE256" s="3"/>
    </row>
    <row r="257" ht="15.75" customHeight="1">
      <c r="G257" s="478"/>
      <c r="J257" s="479"/>
      <c r="K257" s="238"/>
      <c r="L257" s="15"/>
      <c r="M257" s="15"/>
      <c r="N257" s="15"/>
      <c r="O257" s="15"/>
      <c r="P257" s="15"/>
      <c r="Q257" s="15"/>
      <c r="R257" s="15"/>
      <c r="S257" s="15"/>
      <c r="T257" s="15"/>
      <c r="U257" s="15"/>
      <c r="V257" s="15"/>
      <c r="W257" s="15"/>
      <c r="X257" s="14"/>
      <c r="Y257" s="14"/>
      <c r="Z257" s="489"/>
      <c r="AA257" s="3"/>
      <c r="AB257" s="3"/>
      <c r="AC257" s="3"/>
      <c r="AD257" s="3"/>
      <c r="AE257" s="3"/>
    </row>
    <row r="258" ht="15.75" customHeight="1">
      <c r="G258" s="478"/>
      <c r="J258" s="479"/>
      <c r="K258" s="238"/>
      <c r="L258" s="15"/>
      <c r="M258" s="15"/>
      <c r="N258" s="15"/>
      <c r="O258" s="15"/>
      <c r="P258" s="15"/>
      <c r="Q258" s="15"/>
      <c r="R258" s="15"/>
      <c r="S258" s="15"/>
      <c r="T258" s="15"/>
      <c r="U258" s="15"/>
      <c r="V258" s="15"/>
      <c r="W258" s="15"/>
      <c r="X258" s="14"/>
      <c r="Y258" s="14"/>
      <c r="Z258" s="489"/>
      <c r="AA258" s="3"/>
      <c r="AB258" s="3"/>
      <c r="AC258" s="3"/>
      <c r="AD258" s="3"/>
      <c r="AE258" s="3"/>
    </row>
    <row r="259" ht="15.75" customHeight="1">
      <c r="G259" s="478"/>
      <c r="J259" s="479"/>
      <c r="K259" s="238"/>
      <c r="L259" s="15"/>
      <c r="M259" s="15"/>
      <c r="N259" s="15"/>
      <c r="O259" s="15"/>
      <c r="P259" s="15"/>
      <c r="Q259" s="15"/>
      <c r="R259" s="15"/>
      <c r="S259" s="15"/>
      <c r="T259" s="15"/>
      <c r="U259" s="15"/>
      <c r="V259" s="15"/>
      <c r="W259" s="15"/>
      <c r="X259" s="14"/>
      <c r="Y259" s="14"/>
      <c r="Z259" s="489"/>
      <c r="AA259" s="3"/>
      <c r="AB259" s="3"/>
      <c r="AC259" s="3"/>
      <c r="AD259" s="3"/>
      <c r="AE259" s="3"/>
    </row>
    <row r="260" ht="15.75" customHeight="1">
      <c r="G260" s="478"/>
      <c r="J260" s="479"/>
      <c r="K260" s="238"/>
      <c r="L260" s="15"/>
      <c r="M260" s="15"/>
      <c r="N260" s="15"/>
      <c r="O260" s="15"/>
      <c r="P260" s="15"/>
      <c r="Q260" s="15"/>
      <c r="R260" s="15"/>
      <c r="S260" s="15"/>
      <c r="T260" s="15"/>
      <c r="U260" s="15"/>
      <c r="V260" s="15"/>
      <c r="W260" s="15"/>
      <c r="X260" s="14"/>
      <c r="Y260" s="14"/>
      <c r="Z260" s="489"/>
      <c r="AA260" s="3"/>
      <c r="AB260" s="3"/>
      <c r="AC260" s="3"/>
      <c r="AD260" s="3"/>
      <c r="AE260" s="3"/>
    </row>
    <row r="261" ht="15.75" customHeight="1">
      <c r="G261" s="478"/>
      <c r="J261" s="479"/>
      <c r="K261" s="238"/>
      <c r="L261" s="15"/>
      <c r="M261" s="15"/>
      <c r="N261" s="15"/>
      <c r="O261" s="15"/>
      <c r="P261" s="15"/>
      <c r="Q261" s="15"/>
      <c r="R261" s="15"/>
      <c r="S261" s="15"/>
      <c r="T261" s="15"/>
      <c r="U261" s="15"/>
      <c r="V261" s="15"/>
      <c r="W261" s="15"/>
      <c r="X261" s="14"/>
      <c r="Y261" s="14"/>
      <c r="Z261" s="489"/>
      <c r="AA261" s="3"/>
      <c r="AB261" s="3"/>
      <c r="AC261" s="3"/>
      <c r="AD261" s="3"/>
      <c r="AE261" s="3"/>
    </row>
    <row r="262" ht="15.75" customHeight="1">
      <c r="G262" s="478"/>
      <c r="J262" s="479"/>
      <c r="K262" s="238"/>
      <c r="L262" s="15"/>
      <c r="M262" s="15"/>
      <c r="N262" s="15"/>
      <c r="O262" s="15"/>
      <c r="P262" s="15"/>
      <c r="Q262" s="15"/>
      <c r="R262" s="15"/>
      <c r="S262" s="15"/>
      <c r="T262" s="15"/>
      <c r="U262" s="15"/>
      <c r="V262" s="15"/>
      <c r="W262" s="15"/>
      <c r="X262" s="14"/>
      <c r="Y262" s="14"/>
      <c r="Z262" s="489"/>
      <c r="AA262" s="3"/>
      <c r="AB262" s="3"/>
      <c r="AC262" s="3"/>
      <c r="AD262" s="3"/>
      <c r="AE262" s="3"/>
    </row>
    <row r="263" ht="15.75" customHeight="1">
      <c r="G263" s="478"/>
      <c r="J263" s="479"/>
      <c r="K263" s="238"/>
      <c r="L263" s="15"/>
      <c r="M263" s="15"/>
      <c r="N263" s="15"/>
      <c r="O263" s="15"/>
      <c r="P263" s="15"/>
      <c r="Q263" s="15"/>
      <c r="R263" s="15"/>
      <c r="S263" s="15"/>
      <c r="T263" s="15"/>
      <c r="U263" s="15"/>
      <c r="V263" s="15"/>
      <c r="W263" s="15"/>
      <c r="X263" s="14"/>
      <c r="Y263" s="14"/>
      <c r="Z263" s="489"/>
      <c r="AA263" s="3"/>
      <c r="AB263" s="3"/>
      <c r="AC263" s="3"/>
      <c r="AD263" s="3"/>
      <c r="AE263" s="3"/>
    </row>
    <row r="264" ht="15.75" customHeight="1">
      <c r="G264" s="478"/>
      <c r="J264" s="479"/>
      <c r="K264" s="238"/>
      <c r="L264" s="15"/>
      <c r="M264" s="15"/>
      <c r="N264" s="15"/>
      <c r="O264" s="15"/>
      <c r="P264" s="15"/>
      <c r="Q264" s="15"/>
      <c r="R264" s="15"/>
      <c r="S264" s="15"/>
      <c r="T264" s="15"/>
      <c r="U264" s="15"/>
      <c r="V264" s="15"/>
      <c r="W264" s="15"/>
      <c r="X264" s="14"/>
      <c r="Y264" s="14"/>
      <c r="Z264" s="489"/>
      <c r="AA264" s="3"/>
      <c r="AB264" s="3"/>
      <c r="AC264" s="3"/>
      <c r="AD264" s="3"/>
      <c r="AE264" s="3"/>
    </row>
    <row r="265" ht="15.75" customHeight="1">
      <c r="G265" s="478"/>
      <c r="J265" s="479"/>
      <c r="K265" s="238"/>
      <c r="L265" s="15"/>
      <c r="M265" s="15"/>
      <c r="N265" s="15"/>
      <c r="O265" s="15"/>
      <c r="P265" s="15"/>
      <c r="Q265" s="15"/>
      <c r="R265" s="15"/>
      <c r="S265" s="15"/>
      <c r="T265" s="15"/>
      <c r="U265" s="15"/>
      <c r="V265" s="15"/>
      <c r="W265" s="15"/>
      <c r="X265" s="14"/>
      <c r="Y265" s="14"/>
      <c r="Z265" s="489"/>
      <c r="AA265" s="3"/>
      <c r="AB265" s="3"/>
      <c r="AC265" s="3"/>
      <c r="AD265" s="3"/>
      <c r="AE265" s="3"/>
    </row>
    <row r="266" ht="15.75" customHeight="1">
      <c r="G266" s="478"/>
      <c r="J266" s="479"/>
      <c r="K266" s="238"/>
      <c r="L266" s="15"/>
      <c r="M266" s="15"/>
      <c r="N266" s="15"/>
      <c r="O266" s="15"/>
      <c r="P266" s="15"/>
      <c r="Q266" s="15"/>
      <c r="R266" s="15"/>
      <c r="S266" s="15"/>
      <c r="T266" s="15"/>
      <c r="U266" s="15"/>
      <c r="V266" s="15"/>
      <c r="W266" s="15"/>
      <c r="X266" s="14"/>
      <c r="Y266" s="14"/>
      <c r="Z266" s="489"/>
      <c r="AA266" s="3"/>
      <c r="AB266" s="3"/>
      <c r="AC266" s="3"/>
      <c r="AD266" s="3"/>
      <c r="AE266" s="3"/>
    </row>
    <row r="267" ht="15.75" customHeight="1">
      <c r="G267" s="478"/>
      <c r="J267" s="479"/>
      <c r="K267" s="238"/>
      <c r="L267" s="15"/>
      <c r="M267" s="15"/>
      <c r="N267" s="15"/>
      <c r="O267" s="15"/>
      <c r="P267" s="15"/>
      <c r="Q267" s="15"/>
      <c r="R267" s="15"/>
      <c r="S267" s="15"/>
      <c r="T267" s="15"/>
      <c r="U267" s="15"/>
      <c r="V267" s="15"/>
      <c r="W267" s="15"/>
      <c r="X267" s="14"/>
      <c r="Y267" s="14"/>
      <c r="Z267" s="489"/>
      <c r="AA267" s="3"/>
      <c r="AB267" s="3"/>
      <c r="AC267" s="3"/>
      <c r="AD267" s="3"/>
      <c r="AE267" s="3"/>
    </row>
    <row r="268" ht="15.75" customHeight="1">
      <c r="G268" s="478"/>
      <c r="J268" s="479"/>
      <c r="K268" s="238"/>
      <c r="L268" s="15"/>
      <c r="M268" s="15"/>
      <c r="N268" s="15"/>
      <c r="O268" s="15"/>
      <c r="P268" s="15"/>
      <c r="Q268" s="15"/>
      <c r="R268" s="15"/>
      <c r="S268" s="15"/>
      <c r="T268" s="15"/>
      <c r="U268" s="15"/>
      <c r="V268" s="15"/>
      <c r="W268" s="15"/>
      <c r="X268" s="14"/>
      <c r="Y268" s="14"/>
      <c r="Z268" s="489"/>
      <c r="AA268" s="3"/>
      <c r="AB268" s="3"/>
      <c r="AC268" s="3"/>
      <c r="AD268" s="3"/>
      <c r="AE268" s="3"/>
    </row>
    <row r="269" ht="15.75" customHeight="1">
      <c r="G269" s="478"/>
      <c r="J269" s="479"/>
      <c r="K269" s="238"/>
      <c r="L269" s="15"/>
      <c r="M269" s="15"/>
      <c r="N269" s="15"/>
      <c r="O269" s="15"/>
      <c r="P269" s="15"/>
      <c r="Q269" s="15"/>
      <c r="R269" s="15"/>
      <c r="S269" s="15"/>
      <c r="T269" s="15"/>
      <c r="U269" s="15"/>
      <c r="V269" s="15"/>
      <c r="W269" s="15"/>
      <c r="X269" s="14"/>
      <c r="Y269" s="14"/>
      <c r="Z269" s="489"/>
      <c r="AA269" s="3"/>
      <c r="AB269" s="3"/>
      <c r="AC269" s="3"/>
      <c r="AD269" s="3"/>
      <c r="AE269" s="3"/>
    </row>
    <row r="270" ht="15.75" customHeight="1">
      <c r="G270" s="478"/>
      <c r="J270" s="479"/>
      <c r="K270" s="238"/>
      <c r="L270" s="15"/>
      <c r="M270" s="15"/>
      <c r="N270" s="15"/>
      <c r="O270" s="15"/>
      <c r="P270" s="15"/>
      <c r="Q270" s="15"/>
      <c r="R270" s="15"/>
      <c r="S270" s="15"/>
      <c r="T270" s="15"/>
      <c r="U270" s="15"/>
      <c r="V270" s="15"/>
      <c r="W270" s="15"/>
      <c r="X270" s="14"/>
      <c r="Y270" s="14"/>
      <c r="Z270" s="489"/>
      <c r="AA270" s="3"/>
      <c r="AB270" s="3"/>
      <c r="AC270" s="3"/>
      <c r="AD270" s="3"/>
      <c r="AE270" s="3"/>
    </row>
    <row r="271" ht="15.75" customHeight="1">
      <c r="G271" s="478"/>
      <c r="J271" s="479"/>
      <c r="K271" s="238"/>
      <c r="L271" s="15"/>
      <c r="M271" s="15"/>
      <c r="N271" s="15"/>
      <c r="O271" s="15"/>
      <c r="P271" s="15"/>
      <c r="Q271" s="15"/>
      <c r="R271" s="15"/>
      <c r="S271" s="15"/>
      <c r="T271" s="15"/>
      <c r="U271" s="15"/>
      <c r="V271" s="15"/>
      <c r="W271" s="15"/>
      <c r="X271" s="14"/>
      <c r="Y271" s="14"/>
      <c r="Z271" s="489"/>
      <c r="AA271" s="3"/>
      <c r="AB271" s="3"/>
      <c r="AC271" s="3"/>
      <c r="AD271" s="3"/>
      <c r="AE271" s="3"/>
    </row>
    <row r="272" ht="15.75" customHeight="1">
      <c r="G272" s="478"/>
      <c r="J272" s="479"/>
      <c r="K272" s="238"/>
      <c r="L272" s="15"/>
      <c r="M272" s="15"/>
      <c r="N272" s="15"/>
      <c r="O272" s="15"/>
      <c r="P272" s="15"/>
      <c r="Q272" s="15"/>
      <c r="R272" s="15"/>
      <c r="S272" s="15"/>
      <c r="T272" s="15"/>
      <c r="U272" s="15"/>
      <c r="V272" s="15"/>
      <c r="W272" s="15"/>
      <c r="X272" s="14"/>
      <c r="Y272" s="14"/>
      <c r="Z272" s="489"/>
      <c r="AA272" s="3"/>
      <c r="AB272" s="3"/>
      <c r="AC272" s="3"/>
      <c r="AD272" s="3"/>
      <c r="AE272" s="3"/>
    </row>
    <row r="273" ht="15.75" customHeight="1">
      <c r="G273" s="478"/>
      <c r="J273" s="479"/>
      <c r="K273" s="238"/>
      <c r="L273" s="15"/>
      <c r="M273" s="15"/>
      <c r="N273" s="15"/>
      <c r="O273" s="15"/>
      <c r="P273" s="15"/>
      <c r="Q273" s="15"/>
      <c r="R273" s="15"/>
      <c r="S273" s="15"/>
      <c r="T273" s="15"/>
      <c r="U273" s="15"/>
      <c r="V273" s="15"/>
      <c r="W273" s="15"/>
      <c r="X273" s="14"/>
      <c r="Y273" s="14"/>
      <c r="Z273" s="489"/>
      <c r="AA273" s="3"/>
      <c r="AB273" s="3"/>
      <c r="AC273" s="3"/>
      <c r="AD273" s="3"/>
      <c r="AE273" s="3"/>
    </row>
    <row r="274" ht="15.75" customHeight="1">
      <c r="G274" s="478"/>
      <c r="J274" s="479"/>
      <c r="K274" s="238"/>
      <c r="L274" s="15"/>
      <c r="M274" s="15"/>
      <c r="N274" s="15"/>
      <c r="O274" s="15"/>
      <c r="P274" s="15"/>
      <c r="Q274" s="15"/>
      <c r="R274" s="15"/>
      <c r="S274" s="15"/>
      <c r="T274" s="15"/>
      <c r="U274" s="15"/>
      <c r="V274" s="15"/>
      <c r="W274" s="15"/>
      <c r="X274" s="14"/>
      <c r="Y274" s="14"/>
      <c r="Z274" s="489"/>
      <c r="AA274" s="3"/>
      <c r="AB274" s="3"/>
      <c r="AC274" s="3"/>
      <c r="AD274" s="3"/>
      <c r="AE274" s="3"/>
    </row>
    <row r="275" ht="15.75" customHeight="1">
      <c r="G275" s="478"/>
      <c r="J275" s="479"/>
      <c r="K275" s="238"/>
      <c r="L275" s="15"/>
      <c r="M275" s="15"/>
      <c r="N275" s="15"/>
      <c r="O275" s="15"/>
      <c r="P275" s="15"/>
      <c r="Q275" s="15"/>
      <c r="R275" s="15"/>
      <c r="S275" s="15"/>
      <c r="T275" s="15"/>
      <c r="U275" s="15"/>
      <c r="V275" s="15"/>
      <c r="W275" s="15"/>
      <c r="X275" s="14"/>
      <c r="Y275" s="14"/>
      <c r="Z275" s="489"/>
      <c r="AA275" s="3"/>
      <c r="AB275" s="3"/>
      <c r="AC275" s="3"/>
      <c r="AD275" s="3"/>
      <c r="AE275" s="3"/>
    </row>
    <row r="276" ht="15.75" customHeight="1">
      <c r="G276" s="478"/>
      <c r="J276" s="479"/>
      <c r="K276" s="238"/>
      <c r="L276" s="15"/>
      <c r="M276" s="15"/>
      <c r="N276" s="15"/>
      <c r="O276" s="15"/>
      <c r="P276" s="15"/>
      <c r="Q276" s="15"/>
      <c r="R276" s="15"/>
      <c r="S276" s="15"/>
      <c r="T276" s="15"/>
      <c r="U276" s="15"/>
      <c r="V276" s="15"/>
      <c r="W276" s="15"/>
      <c r="X276" s="14"/>
      <c r="Y276" s="14"/>
      <c r="Z276" s="489"/>
      <c r="AA276" s="3"/>
      <c r="AB276" s="3"/>
      <c r="AC276" s="3"/>
      <c r="AD276" s="3"/>
      <c r="AE276" s="3"/>
    </row>
    <row r="277" ht="15.75" customHeight="1">
      <c r="G277" s="478"/>
      <c r="J277" s="479"/>
      <c r="K277" s="238"/>
      <c r="L277" s="15"/>
      <c r="M277" s="15"/>
      <c r="N277" s="15"/>
      <c r="O277" s="15"/>
      <c r="P277" s="15"/>
      <c r="Q277" s="15"/>
      <c r="R277" s="15"/>
      <c r="S277" s="15"/>
      <c r="T277" s="15"/>
      <c r="U277" s="15"/>
      <c r="V277" s="15"/>
      <c r="W277" s="15"/>
      <c r="X277" s="14"/>
      <c r="Y277" s="14"/>
      <c r="Z277" s="489"/>
      <c r="AA277" s="3"/>
      <c r="AB277" s="3"/>
      <c r="AC277" s="3"/>
      <c r="AD277" s="3"/>
      <c r="AE277" s="3"/>
    </row>
    <row r="278" ht="15.75" customHeight="1">
      <c r="G278" s="478"/>
      <c r="J278" s="479"/>
      <c r="K278" s="238"/>
      <c r="L278" s="15"/>
      <c r="M278" s="15"/>
      <c r="N278" s="15"/>
      <c r="O278" s="15"/>
      <c r="P278" s="15"/>
      <c r="Q278" s="15"/>
      <c r="R278" s="15"/>
      <c r="S278" s="15"/>
      <c r="T278" s="15"/>
      <c r="U278" s="15"/>
      <c r="V278" s="15"/>
      <c r="W278" s="15"/>
      <c r="X278" s="14"/>
      <c r="Y278" s="14"/>
      <c r="Z278" s="489"/>
      <c r="AA278" s="3"/>
      <c r="AB278" s="3"/>
      <c r="AC278" s="3"/>
      <c r="AD278" s="3"/>
      <c r="AE278" s="3"/>
    </row>
    <row r="279" ht="15.75" customHeight="1">
      <c r="G279" s="478"/>
      <c r="J279" s="479"/>
      <c r="K279" s="238"/>
      <c r="L279" s="15"/>
      <c r="M279" s="15"/>
      <c r="N279" s="15"/>
      <c r="O279" s="15"/>
      <c r="P279" s="15"/>
      <c r="Q279" s="15"/>
      <c r="R279" s="15"/>
      <c r="S279" s="15"/>
      <c r="T279" s="15"/>
      <c r="U279" s="15"/>
      <c r="V279" s="15"/>
      <c r="W279" s="15"/>
      <c r="X279" s="14"/>
      <c r="Y279" s="14"/>
      <c r="Z279" s="489"/>
      <c r="AA279" s="3"/>
      <c r="AB279" s="3"/>
      <c r="AC279" s="3"/>
      <c r="AD279" s="3"/>
      <c r="AE279" s="3"/>
    </row>
    <row r="280" ht="15.75" customHeight="1">
      <c r="G280" s="478"/>
      <c r="J280" s="479"/>
      <c r="K280" s="238"/>
      <c r="L280" s="15"/>
      <c r="M280" s="15"/>
      <c r="N280" s="15"/>
      <c r="O280" s="15"/>
      <c r="P280" s="15"/>
      <c r="Q280" s="15"/>
      <c r="R280" s="15"/>
      <c r="S280" s="15"/>
      <c r="T280" s="15"/>
      <c r="U280" s="15"/>
      <c r="V280" s="15"/>
      <c r="W280" s="15"/>
      <c r="X280" s="14"/>
      <c r="Y280" s="14"/>
      <c r="Z280" s="489"/>
      <c r="AA280" s="3"/>
      <c r="AB280" s="3"/>
      <c r="AC280" s="3"/>
      <c r="AD280" s="3"/>
      <c r="AE280" s="3"/>
    </row>
    <row r="281" ht="15.75" customHeight="1">
      <c r="G281" s="478"/>
      <c r="J281" s="479"/>
      <c r="K281" s="238"/>
      <c r="L281" s="15"/>
      <c r="M281" s="15"/>
      <c r="N281" s="15"/>
      <c r="O281" s="15"/>
      <c r="P281" s="15"/>
      <c r="Q281" s="15"/>
      <c r="R281" s="15"/>
      <c r="S281" s="15"/>
      <c r="T281" s="15"/>
      <c r="U281" s="15"/>
      <c r="V281" s="15"/>
      <c r="W281" s="15"/>
      <c r="X281" s="14"/>
      <c r="Y281" s="14"/>
      <c r="Z281" s="489"/>
      <c r="AA281" s="3"/>
      <c r="AB281" s="3"/>
      <c r="AC281" s="3"/>
      <c r="AD281" s="3"/>
      <c r="AE281" s="3"/>
    </row>
    <row r="282" ht="15.75" customHeight="1">
      <c r="G282" s="478"/>
      <c r="J282" s="479"/>
      <c r="K282" s="238"/>
      <c r="L282" s="15"/>
      <c r="M282" s="15"/>
      <c r="N282" s="15"/>
      <c r="O282" s="15"/>
      <c r="P282" s="15"/>
      <c r="Q282" s="15"/>
      <c r="R282" s="15"/>
      <c r="S282" s="15"/>
      <c r="T282" s="15"/>
      <c r="U282" s="15"/>
      <c r="V282" s="15"/>
      <c r="W282" s="15"/>
      <c r="X282" s="14"/>
      <c r="Y282" s="14"/>
      <c r="Z282" s="489"/>
      <c r="AA282" s="3"/>
      <c r="AB282" s="3"/>
      <c r="AC282" s="3"/>
      <c r="AD282" s="3"/>
      <c r="AE282" s="3"/>
    </row>
    <row r="283" ht="15.75" customHeight="1">
      <c r="G283" s="478"/>
      <c r="J283" s="479"/>
      <c r="K283" s="238"/>
      <c r="L283" s="15"/>
      <c r="M283" s="15"/>
      <c r="N283" s="15"/>
      <c r="O283" s="15"/>
      <c r="P283" s="15"/>
      <c r="Q283" s="15"/>
      <c r="R283" s="15"/>
      <c r="S283" s="15"/>
      <c r="T283" s="15"/>
      <c r="U283" s="15"/>
      <c r="V283" s="15"/>
      <c r="W283" s="15"/>
      <c r="X283" s="14"/>
      <c r="Y283" s="14"/>
      <c r="Z283" s="489"/>
      <c r="AA283" s="3"/>
      <c r="AB283" s="3"/>
      <c r="AC283" s="3"/>
      <c r="AD283" s="3"/>
      <c r="AE283" s="3"/>
    </row>
    <row r="284" ht="15.75" customHeight="1">
      <c r="G284" s="478"/>
      <c r="J284" s="479"/>
      <c r="K284" s="238"/>
      <c r="L284" s="15"/>
      <c r="M284" s="15"/>
      <c r="N284" s="15"/>
      <c r="O284" s="15"/>
      <c r="P284" s="15"/>
      <c r="Q284" s="15"/>
      <c r="R284" s="15"/>
      <c r="S284" s="15"/>
      <c r="T284" s="15"/>
      <c r="U284" s="15"/>
      <c r="V284" s="15"/>
      <c r="W284" s="15"/>
      <c r="X284" s="14"/>
      <c r="Y284" s="14"/>
      <c r="Z284" s="489"/>
      <c r="AA284" s="3"/>
      <c r="AB284" s="3"/>
      <c r="AC284" s="3"/>
      <c r="AD284" s="3"/>
      <c r="AE284" s="3"/>
    </row>
    <row r="285" ht="15.75" customHeight="1">
      <c r="G285" s="478"/>
      <c r="J285" s="479"/>
      <c r="K285" s="238"/>
      <c r="L285" s="15"/>
      <c r="M285" s="15"/>
      <c r="N285" s="15"/>
      <c r="O285" s="15"/>
      <c r="P285" s="15"/>
      <c r="Q285" s="15"/>
      <c r="R285" s="15"/>
      <c r="S285" s="15"/>
      <c r="T285" s="15"/>
      <c r="U285" s="15"/>
      <c r="V285" s="15"/>
      <c r="W285" s="15"/>
      <c r="X285" s="14"/>
      <c r="Y285" s="14"/>
      <c r="Z285" s="489"/>
      <c r="AA285" s="3"/>
      <c r="AB285" s="3"/>
      <c r="AC285" s="3"/>
      <c r="AD285" s="3"/>
      <c r="AE285" s="3"/>
    </row>
    <row r="286" ht="15.75" customHeight="1">
      <c r="G286" s="478"/>
      <c r="J286" s="479"/>
      <c r="K286" s="238"/>
      <c r="L286" s="15"/>
      <c r="M286" s="15"/>
      <c r="N286" s="15"/>
      <c r="O286" s="15"/>
      <c r="P286" s="15"/>
      <c r="Q286" s="15"/>
      <c r="R286" s="15"/>
      <c r="S286" s="15"/>
      <c r="T286" s="15"/>
      <c r="U286" s="15"/>
      <c r="V286" s="15"/>
      <c r="W286" s="15"/>
      <c r="X286" s="14"/>
      <c r="Y286" s="14"/>
      <c r="Z286" s="489"/>
      <c r="AA286" s="3"/>
      <c r="AB286" s="3"/>
      <c r="AC286" s="3"/>
      <c r="AD286" s="3"/>
      <c r="AE286" s="3"/>
    </row>
    <row r="287" ht="15.75" customHeight="1">
      <c r="G287" s="478"/>
      <c r="J287" s="479"/>
      <c r="K287" s="238"/>
      <c r="L287" s="15"/>
      <c r="M287" s="15"/>
      <c r="N287" s="15"/>
      <c r="O287" s="15"/>
      <c r="P287" s="15"/>
      <c r="Q287" s="15"/>
      <c r="R287" s="15"/>
      <c r="S287" s="15"/>
      <c r="T287" s="15"/>
      <c r="U287" s="15"/>
      <c r="V287" s="15"/>
      <c r="W287" s="15"/>
      <c r="X287" s="14"/>
      <c r="Y287" s="14"/>
      <c r="Z287" s="489"/>
      <c r="AA287" s="3"/>
      <c r="AB287" s="3"/>
      <c r="AC287" s="3"/>
      <c r="AD287" s="3"/>
      <c r="AE287" s="3"/>
    </row>
    <row r="288" ht="15.75" customHeight="1">
      <c r="G288" s="478"/>
      <c r="J288" s="479"/>
      <c r="K288" s="238"/>
      <c r="L288" s="15"/>
      <c r="M288" s="15"/>
      <c r="N288" s="15"/>
      <c r="O288" s="15"/>
      <c r="P288" s="15"/>
      <c r="Q288" s="15"/>
      <c r="R288" s="15"/>
      <c r="S288" s="15"/>
      <c r="T288" s="15"/>
      <c r="U288" s="15"/>
      <c r="V288" s="15"/>
      <c r="W288" s="15"/>
      <c r="X288" s="14"/>
      <c r="Y288" s="14"/>
      <c r="Z288" s="489"/>
      <c r="AA288" s="3"/>
      <c r="AB288" s="3"/>
      <c r="AC288" s="3"/>
      <c r="AD288" s="3"/>
      <c r="AE288" s="3"/>
    </row>
    <row r="289" ht="15.75" customHeight="1">
      <c r="G289" s="478"/>
      <c r="J289" s="479"/>
      <c r="K289" s="238"/>
      <c r="L289" s="15"/>
      <c r="M289" s="15"/>
      <c r="N289" s="15"/>
      <c r="O289" s="15"/>
      <c r="P289" s="15"/>
      <c r="Q289" s="15"/>
      <c r="R289" s="15"/>
      <c r="S289" s="15"/>
      <c r="T289" s="15"/>
      <c r="U289" s="15"/>
      <c r="V289" s="15"/>
      <c r="W289" s="15"/>
      <c r="X289" s="14"/>
      <c r="Y289" s="14"/>
      <c r="Z289" s="489"/>
      <c r="AA289" s="3"/>
      <c r="AB289" s="3"/>
      <c r="AC289" s="3"/>
      <c r="AD289" s="3"/>
      <c r="AE289" s="3"/>
    </row>
    <row r="290" ht="15.75" customHeight="1">
      <c r="G290" s="478"/>
      <c r="J290" s="479"/>
      <c r="K290" s="238"/>
      <c r="L290" s="15"/>
      <c r="M290" s="15"/>
      <c r="N290" s="15"/>
      <c r="O290" s="15"/>
      <c r="P290" s="15"/>
      <c r="Q290" s="15"/>
      <c r="R290" s="15"/>
      <c r="S290" s="15"/>
      <c r="T290" s="15"/>
      <c r="U290" s="15"/>
      <c r="V290" s="15"/>
      <c r="W290" s="15"/>
      <c r="X290" s="14"/>
      <c r="Y290" s="14"/>
      <c r="Z290" s="489"/>
      <c r="AA290" s="3"/>
      <c r="AB290" s="3"/>
      <c r="AC290" s="3"/>
      <c r="AD290" s="3"/>
      <c r="AE290" s="3"/>
    </row>
    <row r="291" ht="15.75" customHeight="1">
      <c r="G291" s="478"/>
      <c r="J291" s="479"/>
      <c r="K291" s="238"/>
      <c r="L291" s="15"/>
      <c r="M291" s="15"/>
      <c r="N291" s="15"/>
      <c r="O291" s="15"/>
      <c r="P291" s="15"/>
      <c r="Q291" s="15"/>
      <c r="R291" s="15"/>
      <c r="S291" s="15"/>
      <c r="T291" s="15"/>
      <c r="U291" s="15"/>
      <c r="V291" s="15"/>
      <c r="W291" s="15"/>
      <c r="X291" s="14"/>
      <c r="Y291" s="14"/>
      <c r="Z291" s="489"/>
      <c r="AA291" s="3"/>
      <c r="AB291" s="3"/>
      <c r="AC291" s="3"/>
      <c r="AD291" s="3"/>
      <c r="AE291" s="3"/>
    </row>
    <row r="292" ht="15.75" customHeight="1">
      <c r="G292" s="478"/>
      <c r="J292" s="479"/>
      <c r="K292" s="238"/>
      <c r="L292" s="15"/>
      <c r="M292" s="15"/>
      <c r="N292" s="15"/>
      <c r="O292" s="15"/>
      <c r="P292" s="15"/>
      <c r="Q292" s="15"/>
      <c r="R292" s="15"/>
      <c r="S292" s="15"/>
      <c r="T292" s="15"/>
      <c r="U292" s="15"/>
      <c r="V292" s="15"/>
      <c r="W292" s="15"/>
      <c r="X292" s="14"/>
      <c r="Y292" s="14"/>
      <c r="Z292" s="489"/>
      <c r="AA292" s="3"/>
      <c r="AB292" s="3"/>
      <c r="AC292" s="3"/>
      <c r="AD292" s="3"/>
      <c r="AE292" s="3"/>
    </row>
    <row r="293" ht="15.75" customHeight="1">
      <c r="G293" s="478"/>
      <c r="J293" s="479"/>
      <c r="K293" s="238"/>
      <c r="L293" s="15"/>
      <c r="M293" s="15"/>
      <c r="N293" s="15"/>
      <c r="O293" s="15"/>
      <c r="P293" s="15"/>
      <c r="Q293" s="15"/>
      <c r="R293" s="15"/>
      <c r="S293" s="15"/>
      <c r="T293" s="15"/>
      <c r="U293" s="15"/>
      <c r="V293" s="15"/>
      <c r="W293" s="15"/>
      <c r="X293" s="14"/>
      <c r="Y293" s="14"/>
      <c r="Z293" s="489"/>
      <c r="AA293" s="3"/>
      <c r="AB293" s="3"/>
      <c r="AC293" s="3"/>
      <c r="AD293" s="3"/>
      <c r="AE293" s="3"/>
    </row>
    <row r="294" ht="15.75" customHeight="1">
      <c r="G294" s="478"/>
      <c r="J294" s="479"/>
      <c r="K294" s="238"/>
      <c r="L294" s="15"/>
      <c r="M294" s="15"/>
      <c r="N294" s="15"/>
      <c r="O294" s="15"/>
      <c r="P294" s="15"/>
      <c r="Q294" s="15"/>
      <c r="R294" s="15"/>
      <c r="S294" s="15"/>
      <c r="T294" s="15"/>
      <c r="U294" s="15"/>
      <c r="V294" s="15"/>
      <c r="W294" s="15"/>
      <c r="X294" s="14"/>
      <c r="Y294" s="14"/>
      <c r="Z294" s="489"/>
      <c r="AA294" s="3"/>
      <c r="AB294" s="3"/>
      <c r="AC294" s="3"/>
      <c r="AD294" s="3"/>
      <c r="AE294" s="3"/>
    </row>
    <row r="295" ht="15.75" customHeight="1">
      <c r="G295" s="478"/>
      <c r="J295" s="479"/>
      <c r="K295" s="238"/>
      <c r="L295" s="15"/>
      <c r="M295" s="15"/>
      <c r="N295" s="15"/>
      <c r="O295" s="15"/>
      <c r="P295" s="15"/>
      <c r="Q295" s="15"/>
      <c r="R295" s="15"/>
      <c r="S295" s="15"/>
      <c r="T295" s="15"/>
      <c r="U295" s="15"/>
      <c r="V295" s="15"/>
      <c r="W295" s="15"/>
      <c r="X295" s="14"/>
      <c r="Y295" s="14"/>
      <c r="Z295" s="489"/>
      <c r="AA295" s="3"/>
      <c r="AB295" s="3"/>
      <c r="AC295" s="3"/>
      <c r="AD295" s="3"/>
      <c r="AE295" s="3"/>
    </row>
    <row r="296" ht="15.75" customHeight="1">
      <c r="G296" s="478"/>
      <c r="J296" s="479"/>
      <c r="K296" s="238"/>
      <c r="L296" s="15"/>
      <c r="M296" s="15"/>
      <c r="N296" s="15"/>
      <c r="O296" s="15"/>
      <c r="P296" s="15"/>
      <c r="Q296" s="15"/>
      <c r="R296" s="15"/>
      <c r="S296" s="15"/>
      <c r="T296" s="15"/>
      <c r="U296" s="15"/>
      <c r="V296" s="15"/>
      <c r="W296" s="15"/>
      <c r="X296" s="14"/>
      <c r="Y296" s="14"/>
      <c r="Z296" s="489"/>
      <c r="AA296" s="3"/>
      <c r="AB296" s="3"/>
      <c r="AC296" s="3"/>
      <c r="AD296" s="3"/>
      <c r="AE296" s="3"/>
    </row>
    <row r="297" ht="15.75" customHeight="1">
      <c r="G297" s="478"/>
      <c r="J297" s="479"/>
      <c r="K297" s="238"/>
      <c r="L297" s="15"/>
      <c r="M297" s="15"/>
      <c r="N297" s="15"/>
      <c r="O297" s="15"/>
      <c r="P297" s="15"/>
      <c r="Q297" s="15"/>
      <c r="R297" s="15"/>
      <c r="S297" s="15"/>
      <c r="T297" s="15"/>
      <c r="U297" s="15"/>
      <c r="V297" s="15"/>
      <c r="W297" s="15"/>
      <c r="X297" s="14"/>
      <c r="Y297" s="14"/>
      <c r="Z297" s="489"/>
      <c r="AA297" s="3"/>
      <c r="AB297" s="3"/>
      <c r="AC297" s="3"/>
      <c r="AD297" s="3"/>
      <c r="AE297" s="3"/>
    </row>
    <row r="298" ht="15.75" customHeight="1">
      <c r="G298" s="478"/>
      <c r="J298" s="479"/>
      <c r="K298" s="238"/>
      <c r="L298" s="15"/>
      <c r="M298" s="15"/>
      <c r="N298" s="15"/>
      <c r="O298" s="15"/>
      <c r="P298" s="15"/>
      <c r="Q298" s="15"/>
      <c r="R298" s="15"/>
      <c r="S298" s="15"/>
      <c r="T298" s="15"/>
      <c r="U298" s="15"/>
      <c r="V298" s="15"/>
      <c r="W298" s="15"/>
      <c r="X298" s="14"/>
      <c r="Y298" s="14"/>
      <c r="Z298" s="489"/>
      <c r="AA298" s="3"/>
      <c r="AB298" s="3"/>
      <c r="AC298" s="3"/>
      <c r="AD298" s="3"/>
      <c r="AE298" s="3"/>
    </row>
    <row r="299" ht="15.75" customHeight="1">
      <c r="G299" s="478"/>
      <c r="J299" s="479"/>
      <c r="K299" s="238"/>
      <c r="L299" s="15"/>
      <c r="M299" s="15"/>
      <c r="N299" s="15"/>
      <c r="O299" s="15"/>
      <c r="P299" s="15"/>
      <c r="Q299" s="15"/>
      <c r="R299" s="15"/>
      <c r="S299" s="15"/>
      <c r="T299" s="15"/>
      <c r="U299" s="15"/>
      <c r="V299" s="15"/>
      <c r="W299" s="15"/>
      <c r="X299" s="14"/>
      <c r="Y299" s="14"/>
      <c r="Z299" s="489"/>
      <c r="AA299" s="3"/>
      <c r="AB299" s="3"/>
      <c r="AC299" s="3"/>
      <c r="AD299" s="3"/>
      <c r="AE299" s="3"/>
    </row>
    <row r="300" ht="15.75" customHeight="1">
      <c r="G300" s="478"/>
      <c r="J300" s="479"/>
      <c r="K300" s="238"/>
      <c r="L300" s="15"/>
      <c r="M300" s="15"/>
      <c r="N300" s="15"/>
      <c r="O300" s="15"/>
      <c r="P300" s="15"/>
      <c r="Q300" s="15"/>
      <c r="R300" s="15"/>
      <c r="S300" s="15"/>
      <c r="T300" s="15"/>
      <c r="U300" s="15"/>
      <c r="V300" s="15"/>
      <c r="W300" s="15"/>
      <c r="X300" s="14"/>
      <c r="Y300" s="14"/>
      <c r="Z300" s="489"/>
      <c r="AA300" s="3"/>
      <c r="AB300" s="3"/>
      <c r="AC300" s="3"/>
      <c r="AD300" s="3"/>
      <c r="AE300" s="3"/>
    </row>
    <row r="301" ht="15.75" customHeight="1">
      <c r="G301" s="478"/>
      <c r="J301" s="479"/>
      <c r="K301" s="238"/>
      <c r="L301" s="15"/>
      <c r="M301" s="15"/>
      <c r="N301" s="15"/>
      <c r="O301" s="15"/>
      <c r="P301" s="15"/>
      <c r="Q301" s="15"/>
      <c r="R301" s="15"/>
      <c r="S301" s="15"/>
      <c r="T301" s="15"/>
      <c r="U301" s="15"/>
      <c r="V301" s="15"/>
      <c r="W301" s="15"/>
      <c r="X301" s="14"/>
      <c r="Y301" s="14"/>
      <c r="Z301" s="489"/>
      <c r="AA301" s="3"/>
      <c r="AB301" s="3"/>
      <c r="AC301" s="3"/>
      <c r="AD301" s="3"/>
      <c r="AE301" s="3"/>
    </row>
    <row r="302" ht="15.75" customHeight="1">
      <c r="G302" s="478"/>
      <c r="J302" s="479"/>
      <c r="K302" s="238"/>
      <c r="L302" s="15"/>
      <c r="M302" s="15"/>
      <c r="N302" s="15"/>
      <c r="O302" s="15"/>
      <c r="P302" s="15"/>
      <c r="Q302" s="15"/>
      <c r="R302" s="15"/>
      <c r="S302" s="15"/>
      <c r="T302" s="15"/>
      <c r="U302" s="15"/>
      <c r="V302" s="15"/>
      <c r="W302" s="15"/>
      <c r="X302" s="14"/>
      <c r="Y302" s="14"/>
      <c r="Z302" s="489"/>
      <c r="AA302" s="3"/>
      <c r="AB302" s="3"/>
      <c r="AC302" s="3"/>
      <c r="AD302" s="3"/>
      <c r="AE302" s="3"/>
    </row>
    <row r="303" ht="15.75" customHeight="1">
      <c r="G303" s="478"/>
      <c r="J303" s="479"/>
      <c r="K303" s="238"/>
      <c r="L303" s="15"/>
      <c r="M303" s="15"/>
      <c r="N303" s="15"/>
      <c r="O303" s="15"/>
      <c r="P303" s="15"/>
      <c r="Q303" s="15"/>
      <c r="R303" s="15"/>
      <c r="S303" s="15"/>
      <c r="T303" s="15"/>
      <c r="U303" s="15"/>
      <c r="V303" s="15"/>
      <c r="W303" s="15"/>
      <c r="X303" s="14"/>
      <c r="Y303" s="14"/>
      <c r="Z303" s="489"/>
      <c r="AA303" s="3"/>
      <c r="AB303" s="3"/>
      <c r="AC303" s="3"/>
      <c r="AD303" s="3"/>
      <c r="AE303" s="3"/>
    </row>
    <row r="304" ht="15.75" customHeight="1">
      <c r="G304" s="478"/>
      <c r="J304" s="479"/>
      <c r="K304" s="238"/>
      <c r="L304" s="15"/>
      <c r="M304" s="15"/>
      <c r="N304" s="15"/>
      <c r="O304" s="15"/>
      <c r="P304" s="15"/>
      <c r="Q304" s="15"/>
      <c r="R304" s="15"/>
      <c r="S304" s="15"/>
      <c r="T304" s="15"/>
      <c r="U304" s="15"/>
      <c r="V304" s="15"/>
      <c r="W304" s="15"/>
      <c r="X304" s="14"/>
      <c r="Y304" s="14"/>
      <c r="Z304" s="489"/>
      <c r="AA304" s="3"/>
      <c r="AB304" s="3"/>
      <c r="AC304" s="3"/>
      <c r="AD304" s="3"/>
      <c r="AE304" s="3"/>
    </row>
    <row r="305" ht="15.75" customHeight="1">
      <c r="G305" s="478"/>
      <c r="J305" s="479"/>
      <c r="K305" s="238"/>
      <c r="L305" s="15"/>
      <c r="M305" s="15"/>
      <c r="N305" s="15"/>
      <c r="O305" s="15"/>
      <c r="P305" s="15"/>
      <c r="Q305" s="15"/>
      <c r="R305" s="15"/>
      <c r="S305" s="15"/>
      <c r="T305" s="15"/>
      <c r="U305" s="15"/>
      <c r="V305" s="15"/>
      <c r="W305" s="15"/>
      <c r="X305" s="14"/>
      <c r="Y305" s="14"/>
      <c r="Z305" s="489"/>
      <c r="AA305" s="3"/>
      <c r="AB305" s="3"/>
      <c r="AC305" s="3"/>
      <c r="AD305" s="3"/>
      <c r="AE305" s="3"/>
    </row>
    <row r="306" ht="15.75" customHeight="1">
      <c r="G306" s="478"/>
      <c r="J306" s="479"/>
      <c r="K306" s="238"/>
      <c r="L306" s="15"/>
      <c r="M306" s="15"/>
      <c r="N306" s="15"/>
      <c r="O306" s="15"/>
      <c r="P306" s="15"/>
      <c r="Q306" s="15"/>
      <c r="R306" s="15"/>
      <c r="S306" s="15"/>
      <c r="T306" s="15"/>
      <c r="U306" s="15"/>
      <c r="V306" s="15"/>
      <c r="W306" s="15"/>
      <c r="X306" s="14"/>
      <c r="Y306" s="14"/>
      <c r="Z306" s="489"/>
      <c r="AA306" s="3"/>
      <c r="AB306" s="3"/>
      <c r="AC306" s="3"/>
      <c r="AD306" s="3"/>
      <c r="AE306" s="3"/>
    </row>
    <row r="307" ht="15.75" customHeight="1">
      <c r="G307" s="478"/>
      <c r="J307" s="479"/>
      <c r="K307" s="238"/>
      <c r="L307" s="15"/>
      <c r="M307" s="15"/>
      <c r="N307" s="15"/>
      <c r="O307" s="15"/>
      <c r="P307" s="15"/>
      <c r="Q307" s="15"/>
      <c r="R307" s="15"/>
      <c r="S307" s="15"/>
      <c r="T307" s="15"/>
      <c r="U307" s="15"/>
      <c r="V307" s="15"/>
      <c r="W307" s="15"/>
      <c r="X307" s="14"/>
      <c r="Y307" s="14"/>
      <c r="Z307" s="489"/>
      <c r="AA307" s="3"/>
      <c r="AB307" s="3"/>
      <c r="AC307" s="3"/>
      <c r="AD307" s="3"/>
      <c r="AE307" s="3"/>
    </row>
    <row r="308" ht="15.75" customHeight="1">
      <c r="G308" s="478"/>
      <c r="J308" s="479"/>
      <c r="K308" s="238"/>
      <c r="L308" s="15"/>
      <c r="M308" s="15"/>
      <c r="N308" s="15"/>
      <c r="O308" s="15"/>
      <c r="P308" s="15"/>
      <c r="Q308" s="15"/>
      <c r="R308" s="15"/>
      <c r="S308" s="15"/>
      <c r="T308" s="15"/>
      <c r="U308" s="15"/>
      <c r="V308" s="15"/>
      <c r="W308" s="15"/>
      <c r="X308" s="14"/>
      <c r="Y308" s="14"/>
      <c r="Z308" s="489"/>
      <c r="AA308" s="3"/>
      <c r="AB308" s="3"/>
      <c r="AC308" s="3"/>
      <c r="AD308" s="3"/>
      <c r="AE308" s="3"/>
    </row>
    <row r="309" ht="15.75" customHeight="1">
      <c r="G309" s="478"/>
      <c r="J309" s="479"/>
      <c r="K309" s="238"/>
      <c r="L309" s="15"/>
      <c r="M309" s="15"/>
      <c r="N309" s="15"/>
      <c r="O309" s="15"/>
      <c r="P309" s="15"/>
      <c r="Q309" s="15"/>
      <c r="R309" s="15"/>
      <c r="S309" s="15"/>
      <c r="T309" s="15"/>
      <c r="U309" s="15"/>
      <c r="V309" s="15"/>
      <c r="W309" s="15"/>
      <c r="X309" s="14"/>
      <c r="Y309" s="14"/>
      <c r="Z309" s="489"/>
      <c r="AA309" s="3"/>
      <c r="AB309" s="3"/>
      <c r="AC309" s="3"/>
      <c r="AD309" s="3"/>
      <c r="AE309" s="3"/>
    </row>
    <row r="310" ht="15.75" customHeight="1">
      <c r="G310" s="478"/>
      <c r="J310" s="479"/>
      <c r="K310" s="238"/>
      <c r="L310" s="15"/>
      <c r="M310" s="15"/>
      <c r="N310" s="15"/>
      <c r="O310" s="15"/>
      <c r="P310" s="15"/>
      <c r="Q310" s="15"/>
      <c r="R310" s="15"/>
      <c r="S310" s="15"/>
      <c r="T310" s="15"/>
      <c r="U310" s="15"/>
      <c r="V310" s="15"/>
      <c r="W310" s="15"/>
      <c r="X310" s="14"/>
      <c r="Y310" s="14"/>
      <c r="Z310" s="489"/>
      <c r="AA310" s="3"/>
      <c r="AB310" s="3"/>
      <c r="AC310" s="3"/>
      <c r="AD310" s="3"/>
      <c r="AE310" s="3"/>
    </row>
    <row r="311" ht="15.75" customHeight="1">
      <c r="G311" s="478"/>
      <c r="J311" s="479"/>
      <c r="K311" s="238"/>
      <c r="L311" s="15"/>
      <c r="M311" s="15"/>
      <c r="N311" s="15"/>
      <c r="O311" s="15"/>
      <c r="P311" s="15"/>
      <c r="Q311" s="15"/>
      <c r="R311" s="15"/>
      <c r="S311" s="15"/>
      <c r="T311" s="15"/>
      <c r="U311" s="15"/>
      <c r="V311" s="15"/>
      <c r="W311" s="15"/>
      <c r="X311" s="14"/>
      <c r="Y311" s="14"/>
      <c r="Z311" s="489"/>
      <c r="AA311" s="3"/>
      <c r="AB311" s="3"/>
      <c r="AC311" s="3"/>
      <c r="AD311" s="3"/>
      <c r="AE311" s="3"/>
    </row>
    <row r="312" ht="15.75" customHeight="1">
      <c r="G312" s="478"/>
      <c r="J312" s="479"/>
      <c r="K312" s="238"/>
      <c r="L312" s="15"/>
      <c r="M312" s="15"/>
      <c r="N312" s="15"/>
      <c r="O312" s="15"/>
      <c r="P312" s="15"/>
      <c r="Q312" s="15"/>
      <c r="R312" s="15"/>
      <c r="S312" s="15"/>
      <c r="T312" s="15"/>
      <c r="U312" s="15"/>
      <c r="V312" s="15"/>
      <c r="W312" s="15"/>
      <c r="X312" s="14"/>
      <c r="Y312" s="14"/>
      <c r="Z312" s="489"/>
      <c r="AA312" s="3"/>
      <c r="AB312" s="3"/>
      <c r="AC312" s="3"/>
      <c r="AD312" s="3"/>
      <c r="AE312" s="3"/>
    </row>
    <row r="313" ht="15.75" customHeight="1">
      <c r="G313" s="478"/>
      <c r="J313" s="479"/>
      <c r="K313" s="238"/>
      <c r="L313" s="15"/>
      <c r="M313" s="15"/>
      <c r="N313" s="15"/>
      <c r="O313" s="15"/>
      <c r="P313" s="15"/>
      <c r="Q313" s="15"/>
      <c r="R313" s="15"/>
      <c r="S313" s="15"/>
      <c r="T313" s="15"/>
      <c r="U313" s="15"/>
      <c r="V313" s="15"/>
      <c r="W313" s="15"/>
      <c r="X313" s="14"/>
      <c r="Y313" s="14"/>
      <c r="Z313" s="489"/>
      <c r="AA313" s="3"/>
      <c r="AB313" s="3"/>
      <c r="AC313" s="3"/>
      <c r="AD313" s="3"/>
      <c r="AE313" s="3"/>
    </row>
    <row r="314" ht="15.75" customHeight="1">
      <c r="G314" s="478"/>
      <c r="J314" s="479"/>
      <c r="K314" s="238"/>
      <c r="L314" s="15"/>
      <c r="M314" s="15"/>
      <c r="N314" s="15"/>
      <c r="O314" s="15"/>
      <c r="P314" s="15"/>
      <c r="Q314" s="15"/>
      <c r="R314" s="15"/>
      <c r="S314" s="15"/>
      <c r="T314" s="15"/>
      <c r="U314" s="15"/>
      <c r="V314" s="15"/>
      <c r="W314" s="15"/>
      <c r="X314" s="14"/>
      <c r="Y314" s="14"/>
      <c r="Z314" s="489"/>
      <c r="AA314" s="3"/>
      <c r="AB314" s="3"/>
      <c r="AC314" s="3"/>
      <c r="AD314" s="3"/>
      <c r="AE314" s="3"/>
    </row>
    <row r="315" ht="15.75" customHeight="1">
      <c r="G315" s="478"/>
      <c r="J315" s="479"/>
      <c r="K315" s="238"/>
      <c r="L315" s="15"/>
      <c r="M315" s="15"/>
      <c r="N315" s="15"/>
      <c r="O315" s="15"/>
      <c r="P315" s="15"/>
      <c r="Q315" s="15"/>
      <c r="R315" s="15"/>
      <c r="S315" s="15"/>
      <c r="T315" s="15"/>
      <c r="U315" s="15"/>
      <c r="V315" s="15"/>
      <c r="W315" s="15"/>
      <c r="X315" s="14"/>
      <c r="Y315" s="14"/>
      <c r="Z315" s="489"/>
      <c r="AA315" s="3"/>
      <c r="AB315" s="3"/>
      <c r="AC315" s="3"/>
      <c r="AD315" s="3"/>
      <c r="AE315" s="3"/>
    </row>
    <row r="316" ht="15.75" customHeight="1">
      <c r="G316" s="478"/>
      <c r="J316" s="479"/>
      <c r="K316" s="238"/>
      <c r="L316" s="15"/>
      <c r="M316" s="15"/>
      <c r="N316" s="15"/>
      <c r="O316" s="15"/>
      <c r="P316" s="15"/>
      <c r="Q316" s="15"/>
      <c r="R316" s="15"/>
      <c r="S316" s="15"/>
      <c r="T316" s="15"/>
      <c r="U316" s="15"/>
      <c r="V316" s="15"/>
      <c r="W316" s="15"/>
      <c r="X316" s="14"/>
      <c r="Y316" s="14"/>
      <c r="Z316" s="489"/>
      <c r="AA316" s="3"/>
      <c r="AB316" s="3"/>
      <c r="AC316" s="3"/>
      <c r="AD316" s="3"/>
      <c r="AE316" s="3"/>
    </row>
    <row r="317" ht="15.75" customHeight="1">
      <c r="G317" s="478"/>
      <c r="J317" s="479"/>
      <c r="K317" s="238"/>
      <c r="L317" s="15"/>
      <c r="M317" s="15"/>
      <c r="N317" s="15"/>
      <c r="O317" s="15"/>
      <c r="P317" s="15"/>
      <c r="Q317" s="15"/>
      <c r="R317" s="15"/>
      <c r="S317" s="15"/>
      <c r="T317" s="15"/>
      <c r="U317" s="15"/>
      <c r="V317" s="15"/>
      <c r="W317" s="15"/>
      <c r="X317" s="14"/>
      <c r="Y317" s="14"/>
      <c r="Z317" s="489"/>
      <c r="AA317" s="3"/>
      <c r="AB317" s="3"/>
      <c r="AC317" s="3"/>
      <c r="AD317" s="3"/>
      <c r="AE317" s="3"/>
    </row>
    <row r="318" ht="15.75" customHeight="1">
      <c r="G318" s="478"/>
      <c r="J318" s="479"/>
      <c r="K318" s="238"/>
      <c r="L318" s="15"/>
      <c r="M318" s="15"/>
      <c r="N318" s="15"/>
      <c r="O318" s="15"/>
      <c r="P318" s="15"/>
      <c r="Q318" s="15"/>
      <c r="R318" s="15"/>
      <c r="S318" s="15"/>
      <c r="T318" s="15"/>
      <c r="U318" s="15"/>
      <c r="V318" s="15"/>
      <c r="W318" s="15"/>
      <c r="X318" s="14"/>
      <c r="Y318" s="14"/>
      <c r="Z318" s="489"/>
      <c r="AA318" s="3"/>
      <c r="AB318" s="3"/>
      <c r="AC318" s="3"/>
      <c r="AD318" s="3"/>
      <c r="AE318" s="3"/>
    </row>
    <row r="319" ht="15.75" customHeight="1">
      <c r="G319" s="478"/>
      <c r="J319" s="479"/>
      <c r="K319" s="238"/>
      <c r="L319" s="15"/>
      <c r="M319" s="15"/>
      <c r="N319" s="15"/>
      <c r="O319" s="15"/>
      <c r="P319" s="15"/>
      <c r="Q319" s="15"/>
      <c r="R319" s="15"/>
      <c r="S319" s="15"/>
      <c r="T319" s="15"/>
      <c r="U319" s="15"/>
      <c r="V319" s="15"/>
      <c r="W319" s="15"/>
      <c r="X319" s="14"/>
      <c r="Y319" s="14"/>
      <c r="Z319" s="489"/>
      <c r="AA319" s="3"/>
      <c r="AB319" s="3"/>
      <c r="AC319" s="3"/>
      <c r="AD319" s="3"/>
      <c r="AE319" s="3"/>
    </row>
    <row r="320" ht="15.75" customHeight="1">
      <c r="G320" s="478"/>
      <c r="J320" s="479"/>
      <c r="K320" s="238"/>
      <c r="L320" s="15"/>
      <c r="M320" s="15"/>
      <c r="N320" s="15"/>
      <c r="O320" s="15"/>
      <c r="P320" s="15"/>
      <c r="Q320" s="15"/>
      <c r="R320" s="15"/>
      <c r="S320" s="15"/>
      <c r="T320" s="15"/>
      <c r="U320" s="15"/>
      <c r="V320" s="15"/>
      <c r="W320" s="15"/>
      <c r="X320" s="14"/>
      <c r="Y320" s="14"/>
      <c r="Z320" s="489"/>
      <c r="AA320" s="3"/>
      <c r="AB320" s="3"/>
      <c r="AC320" s="3"/>
      <c r="AD320" s="3"/>
      <c r="AE320" s="3"/>
    </row>
    <row r="321" ht="15.75" customHeight="1">
      <c r="G321" s="478"/>
      <c r="J321" s="479"/>
      <c r="K321" s="238"/>
      <c r="L321" s="15"/>
      <c r="M321" s="15"/>
      <c r="N321" s="15"/>
      <c r="O321" s="15"/>
      <c r="P321" s="15"/>
      <c r="Q321" s="15"/>
      <c r="R321" s="15"/>
      <c r="S321" s="15"/>
      <c r="T321" s="15"/>
      <c r="U321" s="15"/>
      <c r="V321" s="15"/>
      <c r="W321" s="15"/>
      <c r="X321" s="14"/>
      <c r="Y321" s="14"/>
      <c r="Z321" s="489"/>
      <c r="AA321" s="3"/>
      <c r="AB321" s="3"/>
      <c r="AC321" s="3"/>
      <c r="AD321" s="3"/>
      <c r="AE321" s="3"/>
    </row>
    <row r="322" ht="15.75" customHeight="1">
      <c r="G322" s="478"/>
      <c r="J322" s="479"/>
      <c r="K322" s="238"/>
      <c r="L322" s="15"/>
      <c r="M322" s="15"/>
      <c r="N322" s="15"/>
      <c r="O322" s="15"/>
      <c r="P322" s="15"/>
      <c r="Q322" s="15"/>
      <c r="R322" s="15"/>
      <c r="S322" s="15"/>
      <c r="T322" s="15"/>
      <c r="U322" s="15"/>
      <c r="V322" s="15"/>
      <c r="W322" s="15"/>
      <c r="X322" s="14"/>
      <c r="Y322" s="14"/>
      <c r="Z322" s="489"/>
      <c r="AA322" s="3"/>
      <c r="AB322" s="3"/>
      <c r="AC322" s="3"/>
      <c r="AD322" s="3"/>
      <c r="AE322" s="3"/>
    </row>
    <row r="323" ht="15.75" customHeight="1">
      <c r="G323" s="478"/>
      <c r="J323" s="479"/>
      <c r="K323" s="238"/>
      <c r="L323" s="15"/>
      <c r="M323" s="15"/>
      <c r="N323" s="15"/>
      <c r="O323" s="15"/>
      <c r="P323" s="15"/>
      <c r="Q323" s="15"/>
      <c r="R323" s="15"/>
      <c r="S323" s="15"/>
      <c r="T323" s="15"/>
      <c r="U323" s="15"/>
      <c r="V323" s="15"/>
      <c r="W323" s="15"/>
      <c r="X323" s="14"/>
      <c r="Y323" s="14"/>
      <c r="Z323" s="489"/>
      <c r="AA323" s="3"/>
      <c r="AB323" s="3"/>
      <c r="AC323" s="3"/>
      <c r="AD323" s="3"/>
      <c r="AE323" s="3"/>
    </row>
    <row r="324" ht="15.75" customHeight="1">
      <c r="G324" s="478"/>
      <c r="J324" s="479"/>
      <c r="K324" s="238"/>
      <c r="L324" s="15"/>
      <c r="M324" s="15"/>
      <c r="N324" s="15"/>
      <c r="O324" s="15"/>
      <c r="P324" s="15"/>
      <c r="Q324" s="15"/>
      <c r="R324" s="15"/>
      <c r="S324" s="15"/>
      <c r="T324" s="15"/>
      <c r="U324" s="15"/>
      <c r="V324" s="15"/>
      <c r="W324" s="15"/>
      <c r="X324" s="14"/>
      <c r="Y324" s="14"/>
      <c r="Z324" s="489"/>
      <c r="AA324" s="3"/>
      <c r="AB324" s="3"/>
      <c r="AC324" s="3"/>
      <c r="AD324" s="3"/>
      <c r="AE324" s="3"/>
    </row>
    <row r="325" ht="15.75" customHeight="1">
      <c r="G325" s="478"/>
      <c r="J325" s="479"/>
      <c r="K325" s="238"/>
      <c r="L325" s="15"/>
      <c r="M325" s="15"/>
      <c r="N325" s="15"/>
      <c r="O325" s="15"/>
      <c r="P325" s="15"/>
      <c r="Q325" s="15"/>
      <c r="R325" s="15"/>
      <c r="S325" s="15"/>
      <c r="T325" s="15"/>
      <c r="U325" s="15"/>
      <c r="V325" s="15"/>
      <c r="W325" s="15"/>
      <c r="X325" s="14"/>
      <c r="Y325" s="14"/>
      <c r="Z325" s="489"/>
      <c r="AA325" s="3"/>
      <c r="AB325" s="3"/>
      <c r="AC325" s="3"/>
      <c r="AD325" s="3"/>
      <c r="AE325" s="3"/>
    </row>
    <row r="326" ht="15.75" customHeight="1">
      <c r="G326" s="478"/>
      <c r="J326" s="479"/>
      <c r="K326" s="238"/>
      <c r="L326" s="15"/>
      <c r="M326" s="15"/>
      <c r="N326" s="15"/>
      <c r="O326" s="15"/>
      <c r="P326" s="15"/>
      <c r="Q326" s="15"/>
      <c r="R326" s="15"/>
      <c r="S326" s="15"/>
      <c r="T326" s="15"/>
      <c r="U326" s="15"/>
      <c r="V326" s="15"/>
      <c r="W326" s="15"/>
      <c r="X326" s="14"/>
      <c r="Y326" s="14"/>
      <c r="Z326" s="489"/>
      <c r="AA326" s="3"/>
      <c r="AB326" s="3"/>
      <c r="AC326" s="3"/>
      <c r="AD326" s="3"/>
      <c r="AE326" s="3"/>
    </row>
    <row r="327" ht="15.75" customHeight="1">
      <c r="G327" s="478"/>
      <c r="J327" s="479"/>
      <c r="K327" s="238"/>
      <c r="L327" s="15"/>
      <c r="M327" s="15"/>
      <c r="N327" s="15"/>
      <c r="O327" s="15"/>
      <c r="P327" s="15"/>
      <c r="Q327" s="15"/>
      <c r="R327" s="15"/>
      <c r="S327" s="15"/>
      <c r="T327" s="15"/>
      <c r="U327" s="15"/>
      <c r="V327" s="15"/>
      <c r="W327" s="15"/>
      <c r="X327" s="14"/>
      <c r="Y327" s="14"/>
      <c r="Z327" s="489"/>
      <c r="AA327" s="3"/>
      <c r="AB327" s="3"/>
      <c r="AC327" s="3"/>
      <c r="AD327" s="3"/>
      <c r="AE327" s="3"/>
    </row>
    <row r="328" ht="15.75" customHeight="1">
      <c r="G328" s="478"/>
      <c r="J328" s="479"/>
      <c r="K328" s="238"/>
      <c r="L328" s="15"/>
      <c r="M328" s="15"/>
      <c r="N328" s="15"/>
      <c r="O328" s="15"/>
      <c r="P328" s="15"/>
      <c r="Q328" s="15"/>
      <c r="R328" s="15"/>
      <c r="S328" s="15"/>
      <c r="T328" s="15"/>
      <c r="U328" s="15"/>
      <c r="V328" s="15"/>
      <c r="W328" s="15"/>
      <c r="X328" s="14"/>
      <c r="Y328" s="14"/>
      <c r="Z328" s="489"/>
      <c r="AA328" s="3"/>
      <c r="AB328" s="3"/>
      <c r="AC328" s="3"/>
      <c r="AD328" s="3"/>
      <c r="AE328" s="3"/>
    </row>
    <row r="329" ht="15.75" customHeight="1">
      <c r="G329" s="478"/>
      <c r="J329" s="479"/>
      <c r="K329" s="238"/>
      <c r="L329" s="15"/>
      <c r="M329" s="15"/>
      <c r="N329" s="15"/>
      <c r="O329" s="15"/>
      <c r="P329" s="15"/>
      <c r="Q329" s="15"/>
      <c r="R329" s="15"/>
      <c r="S329" s="15"/>
      <c r="T329" s="15"/>
      <c r="U329" s="15"/>
      <c r="V329" s="15"/>
      <c r="W329" s="15"/>
      <c r="X329" s="14"/>
      <c r="Y329" s="14"/>
      <c r="Z329" s="489"/>
      <c r="AA329" s="3"/>
      <c r="AB329" s="3"/>
      <c r="AC329" s="3"/>
      <c r="AD329" s="3"/>
      <c r="AE329" s="3"/>
    </row>
    <row r="330" ht="15.75" customHeight="1">
      <c r="G330" s="478"/>
      <c r="J330" s="479"/>
      <c r="K330" s="238"/>
      <c r="L330" s="15"/>
      <c r="M330" s="15"/>
      <c r="N330" s="15"/>
      <c r="O330" s="15"/>
      <c r="P330" s="15"/>
      <c r="Q330" s="15"/>
      <c r="R330" s="15"/>
      <c r="S330" s="15"/>
      <c r="T330" s="15"/>
      <c r="U330" s="15"/>
      <c r="V330" s="15"/>
      <c r="W330" s="15"/>
      <c r="X330" s="14"/>
      <c r="Y330" s="14"/>
      <c r="Z330" s="489"/>
      <c r="AA330" s="3"/>
      <c r="AB330" s="3"/>
      <c r="AC330" s="3"/>
      <c r="AD330" s="3"/>
      <c r="AE330" s="3"/>
    </row>
    <row r="331" ht="15.75" customHeight="1">
      <c r="G331" s="478"/>
      <c r="J331" s="479"/>
      <c r="K331" s="238"/>
      <c r="L331" s="15"/>
      <c r="M331" s="15"/>
      <c r="N331" s="15"/>
      <c r="O331" s="15"/>
      <c r="P331" s="15"/>
      <c r="Q331" s="15"/>
      <c r="R331" s="15"/>
      <c r="S331" s="15"/>
      <c r="T331" s="15"/>
      <c r="U331" s="15"/>
      <c r="V331" s="15"/>
      <c r="W331" s="15"/>
      <c r="X331" s="14"/>
      <c r="Y331" s="14"/>
      <c r="Z331" s="489"/>
      <c r="AA331" s="3"/>
      <c r="AB331" s="3"/>
      <c r="AC331" s="3"/>
      <c r="AD331" s="3"/>
      <c r="AE331" s="3"/>
    </row>
    <row r="332" ht="15.75" customHeight="1">
      <c r="G332" s="478"/>
      <c r="J332" s="479"/>
      <c r="K332" s="238"/>
      <c r="L332" s="15"/>
      <c r="M332" s="15"/>
      <c r="N332" s="15"/>
      <c r="O332" s="15"/>
      <c r="P332" s="15"/>
      <c r="Q332" s="15"/>
      <c r="R332" s="15"/>
      <c r="S332" s="15"/>
      <c r="T332" s="15"/>
      <c r="U332" s="15"/>
      <c r="V332" s="15"/>
      <c r="W332" s="15"/>
      <c r="X332" s="14"/>
      <c r="Y332" s="14"/>
      <c r="Z332" s="489"/>
      <c r="AA332" s="3"/>
      <c r="AB332" s="3"/>
      <c r="AC332" s="3"/>
      <c r="AD332" s="3"/>
      <c r="AE332" s="3"/>
    </row>
    <row r="333" ht="15.75" customHeight="1">
      <c r="G333" s="478"/>
      <c r="J333" s="479"/>
      <c r="K333" s="238"/>
      <c r="L333" s="15"/>
      <c r="M333" s="15"/>
      <c r="N333" s="15"/>
      <c r="O333" s="15"/>
      <c r="P333" s="15"/>
      <c r="Q333" s="15"/>
      <c r="R333" s="15"/>
      <c r="S333" s="15"/>
      <c r="T333" s="15"/>
      <c r="U333" s="15"/>
      <c r="V333" s="15"/>
      <c r="W333" s="15"/>
      <c r="X333" s="14"/>
      <c r="Y333" s="14"/>
      <c r="Z333" s="489"/>
      <c r="AA333" s="3"/>
      <c r="AB333" s="3"/>
      <c r="AC333" s="3"/>
      <c r="AD333" s="3"/>
      <c r="AE333" s="3"/>
    </row>
    <row r="334" ht="15.75" customHeight="1">
      <c r="G334" s="478"/>
      <c r="J334" s="479"/>
      <c r="K334" s="238"/>
      <c r="L334" s="15"/>
      <c r="M334" s="15"/>
      <c r="N334" s="15"/>
      <c r="O334" s="15"/>
      <c r="P334" s="15"/>
      <c r="Q334" s="15"/>
      <c r="R334" s="15"/>
      <c r="S334" s="15"/>
      <c r="T334" s="15"/>
      <c r="U334" s="15"/>
      <c r="V334" s="15"/>
      <c r="W334" s="15"/>
      <c r="X334" s="14"/>
      <c r="Y334" s="14"/>
      <c r="Z334" s="489"/>
      <c r="AA334" s="3"/>
      <c r="AB334" s="3"/>
      <c r="AC334" s="3"/>
      <c r="AD334" s="3"/>
      <c r="AE334" s="3"/>
    </row>
    <row r="335" ht="15.75" customHeight="1">
      <c r="G335" s="478"/>
      <c r="J335" s="479"/>
      <c r="K335" s="238"/>
      <c r="L335" s="15"/>
      <c r="M335" s="15"/>
      <c r="N335" s="15"/>
      <c r="O335" s="15"/>
      <c r="P335" s="15"/>
      <c r="Q335" s="15"/>
      <c r="R335" s="15"/>
      <c r="S335" s="15"/>
      <c r="T335" s="15"/>
      <c r="U335" s="15"/>
      <c r="V335" s="15"/>
      <c r="W335" s="15"/>
      <c r="X335" s="14"/>
      <c r="Y335" s="14"/>
      <c r="Z335" s="489"/>
      <c r="AA335" s="3"/>
      <c r="AB335" s="3"/>
      <c r="AC335" s="3"/>
      <c r="AD335" s="3"/>
      <c r="AE335" s="3"/>
    </row>
    <row r="336" ht="15.75" customHeight="1">
      <c r="G336" s="478"/>
      <c r="J336" s="479"/>
      <c r="K336" s="238"/>
      <c r="L336" s="15"/>
      <c r="M336" s="15"/>
      <c r="N336" s="15"/>
      <c r="O336" s="15"/>
      <c r="P336" s="15"/>
      <c r="Q336" s="15"/>
      <c r="R336" s="15"/>
      <c r="S336" s="15"/>
      <c r="T336" s="15"/>
      <c r="U336" s="15"/>
      <c r="V336" s="15"/>
      <c r="W336" s="15"/>
      <c r="X336" s="14"/>
      <c r="Y336" s="14"/>
      <c r="Z336" s="489"/>
      <c r="AA336" s="3"/>
      <c r="AB336" s="3"/>
      <c r="AC336" s="3"/>
      <c r="AD336" s="3"/>
      <c r="AE336" s="3"/>
    </row>
    <row r="337" ht="15.75" customHeight="1">
      <c r="G337" s="478"/>
      <c r="J337" s="479"/>
      <c r="K337" s="238"/>
      <c r="L337" s="15"/>
      <c r="M337" s="15"/>
      <c r="N337" s="15"/>
      <c r="O337" s="15"/>
      <c r="P337" s="15"/>
      <c r="Q337" s="15"/>
      <c r="R337" s="15"/>
      <c r="S337" s="15"/>
      <c r="T337" s="15"/>
      <c r="U337" s="15"/>
      <c r="V337" s="15"/>
      <c r="W337" s="15"/>
      <c r="X337" s="14"/>
      <c r="Y337" s="14"/>
      <c r="Z337" s="489"/>
      <c r="AA337" s="3"/>
      <c r="AB337" s="3"/>
      <c r="AC337" s="3"/>
      <c r="AD337" s="3"/>
      <c r="AE337" s="3"/>
    </row>
    <row r="338" ht="15.75" customHeight="1">
      <c r="G338" s="478"/>
      <c r="J338" s="479"/>
      <c r="K338" s="238"/>
      <c r="L338" s="15"/>
      <c r="M338" s="15"/>
      <c r="N338" s="15"/>
      <c r="O338" s="15"/>
      <c r="P338" s="15"/>
      <c r="Q338" s="15"/>
      <c r="R338" s="15"/>
      <c r="S338" s="15"/>
      <c r="T338" s="15"/>
      <c r="U338" s="15"/>
      <c r="V338" s="15"/>
      <c r="W338" s="15"/>
      <c r="X338" s="14"/>
      <c r="Y338" s="14"/>
      <c r="Z338" s="489"/>
      <c r="AA338" s="3"/>
      <c r="AB338" s="3"/>
      <c r="AC338" s="3"/>
      <c r="AD338" s="3"/>
      <c r="AE338" s="3"/>
    </row>
    <row r="339" ht="15.75" customHeight="1">
      <c r="G339" s="478"/>
      <c r="J339" s="479"/>
      <c r="K339" s="238"/>
      <c r="L339" s="15"/>
      <c r="M339" s="15"/>
      <c r="N339" s="15"/>
      <c r="O339" s="15"/>
      <c r="P339" s="15"/>
      <c r="Q339" s="15"/>
      <c r="R339" s="15"/>
      <c r="S339" s="15"/>
      <c r="T339" s="15"/>
      <c r="U339" s="15"/>
      <c r="V339" s="15"/>
      <c r="W339" s="15"/>
      <c r="X339" s="14"/>
      <c r="Y339" s="14"/>
      <c r="Z339" s="489"/>
      <c r="AA339" s="3"/>
      <c r="AB339" s="3"/>
      <c r="AC339" s="3"/>
      <c r="AD339" s="3"/>
      <c r="AE339" s="3"/>
    </row>
    <row r="340" ht="15.75" customHeight="1">
      <c r="G340" s="478"/>
      <c r="J340" s="479"/>
      <c r="K340" s="238"/>
      <c r="L340" s="15"/>
      <c r="M340" s="15"/>
      <c r="N340" s="15"/>
      <c r="O340" s="15"/>
      <c r="P340" s="15"/>
      <c r="Q340" s="15"/>
      <c r="R340" s="15"/>
      <c r="S340" s="15"/>
      <c r="T340" s="15"/>
      <c r="U340" s="15"/>
      <c r="V340" s="15"/>
      <c r="W340" s="15"/>
      <c r="X340" s="14"/>
      <c r="Y340" s="14"/>
      <c r="Z340" s="489"/>
      <c r="AA340" s="3"/>
      <c r="AB340" s="3"/>
      <c r="AC340" s="3"/>
      <c r="AD340" s="3"/>
      <c r="AE340" s="3"/>
    </row>
    <row r="341" ht="15.75" customHeight="1">
      <c r="G341" s="478"/>
      <c r="J341" s="479"/>
      <c r="K341" s="238"/>
      <c r="L341" s="15"/>
      <c r="M341" s="15"/>
      <c r="N341" s="15"/>
      <c r="O341" s="15"/>
      <c r="P341" s="15"/>
      <c r="Q341" s="15"/>
      <c r="R341" s="15"/>
      <c r="S341" s="15"/>
      <c r="T341" s="15"/>
      <c r="U341" s="15"/>
      <c r="V341" s="15"/>
      <c r="W341" s="15"/>
      <c r="X341" s="14"/>
      <c r="Y341" s="14"/>
      <c r="Z341" s="489"/>
      <c r="AA341" s="3"/>
      <c r="AB341" s="3"/>
      <c r="AC341" s="3"/>
      <c r="AD341" s="3"/>
      <c r="AE341" s="3"/>
    </row>
    <row r="342" ht="15.75" customHeight="1">
      <c r="G342" s="478"/>
      <c r="J342" s="479"/>
      <c r="K342" s="238"/>
      <c r="L342" s="15"/>
      <c r="M342" s="15"/>
      <c r="N342" s="15"/>
      <c r="O342" s="15"/>
      <c r="P342" s="15"/>
      <c r="Q342" s="15"/>
      <c r="R342" s="15"/>
      <c r="S342" s="15"/>
      <c r="T342" s="15"/>
      <c r="U342" s="15"/>
      <c r="V342" s="15"/>
      <c r="W342" s="15"/>
      <c r="X342" s="14"/>
      <c r="Y342" s="14"/>
      <c r="Z342" s="489"/>
      <c r="AA342" s="3"/>
      <c r="AB342" s="3"/>
      <c r="AC342" s="3"/>
      <c r="AD342" s="3"/>
      <c r="AE342" s="3"/>
    </row>
    <row r="343" ht="15.75" customHeight="1">
      <c r="G343" s="478"/>
      <c r="J343" s="479"/>
      <c r="K343" s="238"/>
      <c r="L343" s="15"/>
      <c r="M343" s="15"/>
      <c r="N343" s="15"/>
      <c r="O343" s="15"/>
      <c r="P343" s="15"/>
      <c r="Q343" s="15"/>
      <c r="R343" s="15"/>
      <c r="S343" s="15"/>
      <c r="T343" s="15"/>
      <c r="U343" s="15"/>
      <c r="V343" s="15"/>
      <c r="W343" s="15"/>
      <c r="X343" s="14"/>
      <c r="Y343" s="14"/>
      <c r="Z343" s="489"/>
      <c r="AA343" s="3"/>
      <c r="AB343" s="3"/>
      <c r="AC343" s="3"/>
      <c r="AD343" s="3"/>
      <c r="AE343" s="3"/>
    </row>
    <row r="344" ht="15.75" customHeight="1">
      <c r="G344" s="478"/>
      <c r="J344" s="479"/>
      <c r="K344" s="238"/>
      <c r="L344" s="15"/>
      <c r="M344" s="15"/>
      <c r="N344" s="15"/>
      <c r="O344" s="15"/>
      <c r="P344" s="15"/>
      <c r="Q344" s="15"/>
      <c r="R344" s="15"/>
      <c r="S344" s="15"/>
      <c r="T344" s="15"/>
      <c r="U344" s="15"/>
      <c r="V344" s="15"/>
      <c r="W344" s="15"/>
      <c r="X344" s="14"/>
      <c r="Y344" s="14"/>
      <c r="Z344" s="489"/>
      <c r="AA344" s="3"/>
      <c r="AB344" s="3"/>
      <c r="AC344" s="3"/>
      <c r="AD344" s="3"/>
      <c r="AE344" s="3"/>
    </row>
    <row r="345" ht="15.75" customHeight="1">
      <c r="G345" s="478"/>
      <c r="J345" s="479"/>
      <c r="K345" s="238"/>
      <c r="L345" s="15"/>
      <c r="M345" s="15"/>
      <c r="N345" s="15"/>
      <c r="O345" s="15"/>
      <c r="P345" s="15"/>
      <c r="Q345" s="15"/>
      <c r="R345" s="15"/>
      <c r="S345" s="15"/>
      <c r="T345" s="15"/>
      <c r="U345" s="15"/>
      <c r="V345" s="15"/>
      <c r="W345" s="15"/>
      <c r="X345" s="14"/>
      <c r="Y345" s="14"/>
      <c r="Z345" s="489"/>
      <c r="AA345" s="3"/>
      <c r="AB345" s="3"/>
      <c r="AC345" s="3"/>
      <c r="AD345" s="3"/>
      <c r="AE345" s="3"/>
    </row>
    <row r="346" ht="15.75" customHeight="1">
      <c r="G346" s="478"/>
      <c r="J346" s="479"/>
      <c r="K346" s="238"/>
      <c r="L346" s="15"/>
      <c r="M346" s="15"/>
      <c r="N346" s="15"/>
      <c r="O346" s="15"/>
      <c r="P346" s="15"/>
      <c r="Q346" s="15"/>
      <c r="R346" s="15"/>
      <c r="S346" s="15"/>
      <c r="T346" s="15"/>
      <c r="U346" s="15"/>
      <c r="V346" s="15"/>
      <c r="W346" s="15"/>
      <c r="X346" s="14"/>
      <c r="Y346" s="14"/>
      <c r="Z346" s="489"/>
      <c r="AA346" s="3"/>
      <c r="AB346" s="3"/>
      <c r="AC346" s="3"/>
      <c r="AD346" s="3"/>
      <c r="AE346" s="3"/>
    </row>
    <row r="347" ht="15.75" customHeight="1">
      <c r="G347" s="478"/>
      <c r="J347" s="479"/>
      <c r="K347" s="238"/>
      <c r="L347" s="15"/>
      <c r="M347" s="15"/>
      <c r="N347" s="15"/>
      <c r="O347" s="15"/>
      <c r="P347" s="15"/>
      <c r="Q347" s="15"/>
      <c r="R347" s="15"/>
      <c r="S347" s="15"/>
      <c r="T347" s="15"/>
      <c r="U347" s="15"/>
      <c r="V347" s="15"/>
      <c r="W347" s="15"/>
      <c r="X347" s="14"/>
      <c r="Y347" s="14"/>
      <c r="Z347" s="489"/>
      <c r="AA347" s="3"/>
      <c r="AB347" s="3"/>
      <c r="AC347" s="3"/>
      <c r="AD347" s="3"/>
      <c r="AE347" s="3"/>
    </row>
    <row r="348" ht="15.75" customHeight="1">
      <c r="G348" s="478"/>
      <c r="J348" s="479"/>
      <c r="K348" s="238"/>
      <c r="L348" s="15"/>
      <c r="M348" s="15"/>
      <c r="N348" s="15"/>
      <c r="O348" s="15"/>
      <c r="P348" s="15"/>
      <c r="Q348" s="15"/>
      <c r="R348" s="15"/>
      <c r="S348" s="15"/>
      <c r="T348" s="15"/>
      <c r="U348" s="15"/>
      <c r="V348" s="15"/>
      <c r="W348" s="15"/>
      <c r="X348" s="14"/>
      <c r="Y348" s="14"/>
      <c r="Z348" s="489"/>
      <c r="AA348" s="3"/>
      <c r="AB348" s="3"/>
      <c r="AC348" s="3"/>
      <c r="AD348" s="3"/>
      <c r="AE348" s="3"/>
    </row>
    <row r="349" ht="15.75" customHeight="1">
      <c r="G349" s="478"/>
      <c r="J349" s="479"/>
      <c r="K349" s="238"/>
      <c r="L349" s="15"/>
      <c r="M349" s="15"/>
      <c r="N349" s="15"/>
      <c r="O349" s="15"/>
      <c r="P349" s="15"/>
      <c r="Q349" s="15"/>
      <c r="R349" s="15"/>
      <c r="S349" s="15"/>
      <c r="T349" s="15"/>
      <c r="U349" s="15"/>
      <c r="V349" s="15"/>
      <c r="W349" s="15"/>
      <c r="X349" s="14"/>
      <c r="Y349" s="14"/>
      <c r="Z349" s="489"/>
      <c r="AA349" s="3"/>
      <c r="AB349" s="3"/>
      <c r="AC349" s="3"/>
      <c r="AD349" s="3"/>
      <c r="AE349" s="3"/>
    </row>
    <row r="350" ht="15.75" customHeight="1">
      <c r="G350" s="478"/>
      <c r="J350" s="479"/>
      <c r="K350" s="238"/>
      <c r="L350" s="15"/>
      <c r="M350" s="15"/>
      <c r="N350" s="15"/>
      <c r="O350" s="15"/>
      <c r="P350" s="15"/>
      <c r="Q350" s="15"/>
      <c r="R350" s="15"/>
      <c r="S350" s="15"/>
      <c r="T350" s="15"/>
      <c r="U350" s="15"/>
      <c r="V350" s="15"/>
      <c r="W350" s="15"/>
      <c r="X350" s="14"/>
      <c r="Y350" s="14"/>
      <c r="Z350" s="489"/>
      <c r="AA350" s="3"/>
      <c r="AB350" s="3"/>
      <c r="AC350" s="3"/>
      <c r="AD350" s="3"/>
      <c r="AE350" s="3"/>
    </row>
    <row r="351" ht="15.75" customHeight="1">
      <c r="G351" s="478"/>
      <c r="J351" s="479"/>
      <c r="K351" s="238"/>
      <c r="L351" s="15"/>
      <c r="M351" s="15"/>
      <c r="N351" s="15"/>
      <c r="O351" s="15"/>
      <c r="P351" s="15"/>
      <c r="Q351" s="15"/>
      <c r="R351" s="15"/>
      <c r="S351" s="15"/>
      <c r="T351" s="15"/>
      <c r="U351" s="15"/>
      <c r="V351" s="15"/>
      <c r="W351" s="15"/>
      <c r="X351" s="14"/>
      <c r="Y351" s="14"/>
      <c r="Z351" s="489"/>
      <c r="AA351" s="3"/>
      <c r="AB351" s="3"/>
      <c r="AC351" s="3"/>
      <c r="AD351" s="3"/>
      <c r="AE351" s="3"/>
    </row>
    <row r="352" ht="15.75" customHeight="1">
      <c r="G352" s="478"/>
      <c r="J352" s="479"/>
      <c r="K352" s="238"/>
      <c r="L352" s="15"/>
      <c r="M352" s="15"/>
      <c r="N352" s="15"/>
      <c r="O352" s="15"/>
      <c r="P352" s="15"/>
      <c r="Q352" s="15"/>
      <c r="R352" s="15"/>
      <c r="S352" s="15"/>
      <c r="T352" s="15"/>
      <c r="U352" s="15"/>
      <c r="V352" s="15"/>
      <c r="Z352" s="489"/>
      <c r="AA352" s="3"/>
      <c r="AB352" s="3"/>
      <c r="AC352" s="3"/>
      <c r="AD352" s="3"/>
      <c r="AE352" s="3"/>
    </row>
    <row r="353" ht="15.75" customHeight="1">
      <c r="G353" s="478"/>
      <c r="J353" s="488"/>
      <c r="Z353" s="489"/>
    </row>
    <row r="354" ht="15.75" customHeight="1">
      <c r="G354" s="478"/>
      <c r="J354" s="488"/>
      <c r="Z354" s="489"/>
    </row>
    <row r="355" ht="15.75" customHeight="1">
      <c r="G355" s="478"/>
      <c r="J355" s="488"/>
      <c r="Z355" s="489"/>
    </row>
    <row r="356" ht="15.75" customHeight="1">
      <c r="G356" s="478"/>
      <c r="J356" s="488"/>
      <c r="Z356" s="489"/>
    </row>
    <row r="357" ht="15.75" customHeight="1">
      <c r="G357" s="478"/>
      <c r="J357" s="488"/>
      <c r="Z357" s="489"/>
    </row>
    <row r="358" ht="15.75" customHeight="1">
      <c r="G358" s="478"/>
      <c r="J358" s="488"/>
      <c r="Z358" s="489"/>
    </row>
    <row r="359" ht="15.75" customHeight="1">
      <c r="G359" s="478"/>
      <c r="J359" s="488"/>
      <c r="Z359" s="489"/>
    </row>
    <row r="360" ht="15.75" customHeight="1">
      <c r="G360" s="478"/>
      <c r="J360" s="488"/>
      <c r="Z360" s="489"/>
    </row>
    <row r="361" ht="15.75" customHeight="1">
      <c r="G361" s="478"/>
      <c r="J361" s="488"/>
      <c r="Z361" s="489"/>
    </row>
    <row r="362" ht="15.75" customHeight="1">
      <c r="G362" s="478"/>
      <c r="J362" s="488"/>
      <c r="Z362" s="489"/>
    </row>
    <row r="363" ht="15.75" customHeight="1">
      <c r="G363" s="478"/>
      <c r="J363" s="488"/>
      <c r="Z363" s="489"/>
    </row>
    <row r="364" ht="15.75" customHeight="1">
      <c r="G364" s="478"/>
      <c r="J364" s="488"/>
      <c r="Z364" s="489"/>
    </row>
    <row r="365" ht="15.75" customHeight="1">
      <c r="G365" s="478"/>
      <c r="J365" s="488"/>
      <c r="Z365" s="489"/>
    </row>
    <row r="366" ht="15.75" customHeight="1">
      <c r="G366" s="478"/>
      <c r="J366" s="488"/>
      <c r="Z366" s="489"/>
    </row>
    <row r="367" ht="15.75" customHeight="1">
      <c r="G367" s="478"/>
      <c r="J367" s="488"/>
      <c r="Z367" s="489"/>
    </row>
    <row r="368" ht="15.75" customHeight="1">
      <c r="G368" s="478"/>
      <c r="J368" s="488"/>
      <c r="Z368" s="489"/>
    </row>
    <row r="369" ht="15.75" customHeight="1">
      <c r="G369" s="478"/>
      <c r="J369" s="488"/>
      <c r="Z369" s="489"/>
    </row>
    <row r="370" ht="15.75" customHeight="1">
      <c r="G370" s="478"/>
      <c r="J370" s="488"/>
      <c r="Z370" s="489"/>
    </row>
    <row r="371" ht="15.75" customHeight="1">
      <c r="G371" s="478"/>
      <c r="J371" s="488"/>
      <c r="Z371" s="489"/>
    </row>
    <row r="372" ht="15.75" customHeight="1">
      <c r="G372" s="478"/>
      <c r="J372" s="488"/>
      <c r="Z372" s="489"/>
    </row>
    <row r="373" ht="15.75" customHeight="1">
      <c r="G373" s="478"/>
      <c r="J373" s="488"/>
      <c r="Z373" s="489"/>
    </row>
    <row r="374" ht="15.75" customHeight="1">
      <c r="G374" s="478"/>
      <c r="J374" s="488"/>
      <c r="Z374" s="489"/>
    </row>
    <row r="375" ht="15.75" customHeight="1">
      <c r="G375" s="478"/>
      <c r="J375" s="488"/>
      <c r="Z375" s="489"/>
    </row>
    <row r="376" ht="15.75" customHeight="1">
      <c r="G376" s="478"/>
      <c r="J376" s="488"/>
      <c r="Z376" s="489"/>
    </row>
    <row r="377" ht="15.75" customHeight="1">
      <c r="G377" s="478"/>
      <c r="J377" s="488"/>
      <c r="Z377" s="489"/>
    </row>
    <row r="378" ht="15.75" customHeight="1">
      <c r="G378" s="478"/>
      <c r="J378" s="488"/>
      <c r="Z378" s="489"/>
    </row>
    <row r="379" ht="15.75" customHeight="1">
      <c r="G379" s="478"/>
      <c r="J379" s="488"/>
      <c r="Z379" s="489"/>
    </row>
    <row r="380" ht="15.75" customHeight="1">
      <c r="G380" s="478"/>
      <c r="J380" s="488"/>
      <c r="Z380" s="489"/>
    </row>
    <row r="381" ht="15.75" customHeight="1">
      <c r="G381" s="478"/>
      <c r="J381" s="488"/>
      <c r="Z381" s="489"/>
    </row>
    <row r="382" ht="15.75" customHeight="1">
      <c r="G382" s="478"/>
      <c r="J382" s="488"/>
      <c r="Z382" s="489"/>
    </row>
    <row r="383" ht="15.75" customHeight="1">
      <c r="G383" s="478"/>
      <c r="J383" s="488"/>
      <c r="Z383" s="489"/>
    </row>
    <row r="384" ht="15.75" customHeight="1">
      <c r="G384" s="478"/>
      <c r="J384" s="488"/>
      <c r="Z384" s="489"/>
    </row>
    <row r="385" ht="15.75" customHeight="1">
      <c r="G385" s="478"/>
      <c r="J385" s="488"/>
      <c r="Z385" s="489"/>
    </row>
    <row r="386" ht="15.75" customHeight="1">
      <c r="G386" s="478"/>
      <c r="J386" s="488"/>
      <c r="Z386" s="489"/>
    </row>
    <row r="387" ht="15.75" customHeight="1">
      <c r="G387" s="478"/>
      <c r="J387" s="488"/>
      <c r="Z387" s="489"/>
    </row>
    <row r="388" ht="15.75" customHeight="1">
      <c r="G388" s="478"/>
      <c r="J388" s="488"/>
      <c r="Z388" s="489"/>
    </row>
    <row r="389" ht="15.75" customHeight="1">
      <c r="G389" s="478"/>
      <c r="J389" s="488"/>
      <c r="Z389" s="489"/>
    </row>
    <row r="390" ht="15.75" customHeight="1">
      <c r="G390" s="478"/>
      <c r="J390" s="488"/>
      <c r="Z390" s="489"/>
    </row>
    <row r="391" ht="15.75" customHeight="1">
      <c r="G391" s="478"/>
      <c r="J391" s="488"/>
      <c r="Z391" s="489"/>
    </row>
    <row r="392" ht="15.75" customHeight="1">
      <c r="G392" s="478"/>
      <c r="J392" s="488"/>
      <c r="Z392" s="489"/>
    </row>
    <row r="393" ht="15.75" customHeight="1">
      <c r="G393" s="478"/>
      <c r="J393" s="488"/>
      <c r="Z393" s="489"/>
    </row>
    <row r="394" ht="15.75" customHeight="1">
      <c r="G394" s="478"/>
      <c r="J394" s="488"/>
      <c r="Z394" s="489"/>
    </row>
    <row r="395" ht="15.75" customHeight="1">
      <c r="G395" s="478"/>
      <c r="J395" s="488"/>
      <c r="Z395" s="489"/>
    </row>
    <row r="396" ht="15.75" customHeight="1">
      <c r="G396" s="478"/>
      <c r="J396" s="488"/>
      <c r="Z396" s="489"/>
    </row>
    <row r="397" ht="15.75" customHeight="1">
      <c r="G397" s="478"/>
      <c r="J397" s="488"/>
      <c r="Z397" s="489"/>
    </row>
    <row r="398" ht="15.75" customHeight="1">
      <c r="G398" s="478"/>
      <c r="J398" s="488"/>
      <c r="Z398" s="489"/>
    </row>
    <row r="399" ht="15.75" customHeight="1">
      <c r="G399" s="478"/>
      <c r="J399" s="488"/>
      <c r="Z399" s="489"/>
    </row>
    <row r="400" ht="15.75" customHeight="1">
      <c r="G400" s="478"/>
      <c r="J400" s="488"/>
      <c r="Z400" s="489"/>
    </row>
    <row r="401" ht="15.75" customHeight="1">
      <c r="G401" s="478"/>
      <c r="J401" s="488"/>
      <c r="Z401" s="489"/>
    </row>
    <row r="402" ht="15.75" customHeight="1">
      <c r="G402" s="478"/>
      <c r="J402" s="488"/>
      <c r="Z402" s="489"/>
    </row>
    <row r="403" ht="15.75" customHeight="1">
      <c r="G403" s="478"/>
      <c r="J403" s="488"/>
      <c r="Z403" s="489"/>
    </row>
    <row r="404" ht="15.75" customHeight="1">
      <c r="G404" s="478"/>
      <c r="J404" s="488"/>
      <c r="Z404" s="489"/>
    </row>
    <row r="405" ht="15.75" customHeight="1">
      <c r="G405" s="478"/>
      <c r="J405" s="488"/>
      <c r="Z405" s="489"/>
    </row>
    <row r="406" ht="15.75" customHeight="1">
      <c r="G406" s="478"/>
      <c r="J406" s="488"/>
      <c r="Z406" s="489"/>
    </row>
    <row r="407" ht="15.75" customHeight="1">
      <c r="G407" s="478"/>
      <c r="J407" s="488"/>
      <c r="Z407" s="489"/>
    </row>
    <row r="408" ht="15.75" customHeight="1">
      <c r="G408" s="478"/>
      <c r="J408" s="488"/>
      <c r="Z408" s="489"/>
    </row>
    <row r="409" ht="15.75" customHeight="1">
      <c r="G409" s="478"/>
      <c r="J409" s="488"/>
      <c r="Z409" s="489"/>
    </row>
    <row r="410" ht="15.75" customHeight="1">
      <c r="G410" s="478"/>
      <c r="J410" s="488"/>
      <c r="Z410" s="489"/>
    </row>
    <row r="411" ht="15.75" customHeight="1">
      <c r="G411" s="478"/>
      <c r="J411" s="488"/>
      <c r="Z411" s="489"/>
    </row>
    <row r="412" ht="15.75" customHeight="1">
      <c r="G412" s="478"/>
      <c r="J412" s="488"/>
      <c r="Z412" s="489"/>
    </row>
    <row r="413" ht="15.75" customHeight="1">
      <c r="G413" s="478"/>
      <c r="J413" s="488"/>
      <c r="Z413" s="489"/>
    </row>
    <row r="414" ht="15.75" customHeight="1">
      <c r="G414" s="478"/>
      <c r="J414" s="488"/>
      <c r="Z414" s="489"/>
    </row>
    <row r="415" ht="15.75" customHeight="1">
      <c r="G415" s="478"/>
      <c r="J415" s="488"/>
      <c r="Z415" s="489"/>
    </row>
    <row r="416" ht="15.75" customHeight="1">
      <c r="G416" s="478"/>
      <c r="J416" s="488"/>
      <c r="Z416" s="489"/>
    </row>
    <row r="417" ht="15.75" customHeight="1">
      <c r="G417" s="478"/>
      <c r="J417" s="488"/>
      <c r="Z417" s="489"/>
    </row>
    <row r="418" ht="15.75" customHeight="1">
      <c r="G418" s="478"/>
      <c r="J418" s="488"/>
      <c r="Z418" s="489"/>
    </row>
    <row r="419" ht="15.75" customHeight="1">
      <c r="G419" s="478"/>
      <c r="J419" s="488"/>
      <c r="Z419" s="489"/>
    </row>
    <row r="420" ht="15.75" customHeight="1">
      <c r="G420" s="478"/>
      <c r="J420" s="488"/>
      <c r="Z420" s="489"/>
    </row>
    <row r="421" ht="15.75" customHeight="1">
      <c r="G421" s="478"/>
      <c r="J421" s="488"/>
      <c r="Z421" s="489"/>
    </row>
    <row r="422" ht="15.75" customHeight="1">
      <c r="G422" s="478"/>
      <c r="J422" s="488"/>
      <c r="Z422" s="489"/>
    </row>
    <row r="423" ht="15.75" customHeight="1">
      <c r="G423" s="478"/>
      <c r="J423" s="488"/>
      <c r="Z423" s="489"/>
    </row>
    <row r="424" ht="15.75" customHeight="1">
      <c r="G424" s="478"/>
      <c r="J424" s="488"/>
      <c r="Z424" s="489"/>
    </row>
    <row r="425" ht="15.75" customHeight="1">
      <c r="G425" s="478"/>
      <c r="J425" s="488"/>
      <c r="Z425" s="489"/>
    </row>
    <row r="426" ht="15.75" customHeight="1">
      <c r="G426" s="478"/>
      <c r="J426" s="488"/>
      <c r="Z426" s="489"/>
    </row>
    <row r="427" ht="15.75" customHeight="1">
      <c r="G427" s="478"/>
      <c r="J427" s="488"/>
      <c r="Z427" s="489"/>
    </row>
    <row r="428" ht="15.75" customHeight="1">
      <c r="G428" s="478"/>
      <c r="J428" s="488"/>
      <c r="Z428" s="489"/>
    </row>
    <row r="429" ht="15.75" customHeight="1">
      <c r="G429" s="478"/>
      <c r="J429" s="488"/>
      <c r="Z429" s="489"/>
    </row>
    <row r="430" ht="15.75" customHeight="1">
      <c r="G430" s="478"/>
      <c r="J430" s="488"/>
      <c r="Z430" s="489"/>
    </row>
    <row r="431" ht="15.75" customHeight="1">
      <c r="G431" s="478"/>
      <c r="J431" s="488"/>
      <c r="Z431" s="489"/>
    </row>
    <row r="432" ht="15.75" customHeight="1">
      <c r="G432" s="478"/>
      <c r="J432" s="488"/>
      <c r="Z432" s="489"/>
    </row>
    <row r="433" ht="15.75" customHeight="1">
      <c r="G433" s="478"/>
      <c r="J433" s="488"/>
      <c r="Z433" s="489"/>
    </row>
    <row r="434" ht="15.75" customHeight="1">
      <c r="G434" s="478"/>
      <c r="J434" s="488"/>
      <c r="Z434" s="489"/>
    </row>
    <row r="435" ht="15.75" customHeight="1">
      <c r="G435" s="478"/>
      <c r="J435" s="488"/>
      <c r="Z435" s="489"/>
    </row>
    <row r="436" ht="15.75" customHeight="1">
      <c r="G436" s="478"/>
      <c r="J436" s="488"/>
      <c r="Z436" s="489"/>
    </row>
    <row r="437" ht="15.75" customHeight="1">
      <c r="G437" s="478"/>
      <c r="J437" s="488"/>
      <c r="Z437" s="489"/>
    </row>
    <row r="438" ht="15.75" customHeight="1">
      <c r="G438" s="478"/>
      <c r="J438" s="488"/>
      <c r="Z438" s="489"/>
    </row>
    <row r="439" ht="15.75" customHeight="1">
      <c r="G439" s="478"/>
      <c r="J439" s="488"/>
      <c r="Z439" s="489"/>
    </row>
    <row r="440" ht="15.75" customHeight="1">
      <c r="G440" s="478"/>
      <c r="J440" s="488"/>
      <c r="Z440" s="489"/>
    </row>
    <row r="441" ht="15.75" customHeight="1">
      <c r="G441" s="478"/>
      <c r="J441" s="488"/>
      <c r="Z441" s="489"/>
    </row>
    <row r="442" ht="15.75" customHeight="1">
      <c r="G442" s="478"/>
      <c r="J442" s="488"/>
      <c r="Z442" s="489"/>
    </row>
    <row r="443" ht="15.75" customHeight="1">
      <c r="G443" s="478"/>
      <c r="J443" s="488"/>
      <c r="Z443" s="489"/>
    </row>
    <row r="444" ht="15.75" customHeight="1">
      <c r="G444" s="478"/>
      <c r="J444" s="488"/>
      <c r="Z444" s="489"/>
    </row>
    <row r="445" ht="15.75" customHeight="1">
      <c r="G445" s="478"/>
      <c r="J445" s="488"/>
      <c r="Z445" s="489"/>
    </row>
    <row r="446" ht="15.75" customHeight="1">
      <c r="G446" s="478"/>
      <c r="J446" s="488"/>
      <c r="Z446" s="489"/>
    </row>
    <row r="447" ht="15.75" customHeight="1">
      <c r="G447" s="478"/>
      <c r="J447" s="488"/>
      <c r="Z447" s="489"/>
    </row>
    <row r="448" ht="15.75" customHeight="1">
      <c r="G448" s="478"/>
      <c r="J448" s="488"/>
      <c r="Z448" s="489"/>
    </row>
    <row r="449" ht="15.75" customHeight="1">
      <c r="G449" s="478"/>
      <c r="J449" s="488"/>
      <c r="Z449" s="489"/>
    </row>
    <row r="450" ht="15.75" customHeight="1">
      <c r="G450" s="478"/>
      <c r="J450" s="488"/>
      <c r="Z450" s="489"/>
    </row>
    <row r="451" ht="15.75" customHeight="1">
      <c r="G451" s="478"/>
      <c r="J451" s="488"/>
      <c r="Z451" s="489"/>
    </row>
    <row r="452" ht="15.75" customHeight="1">
      <c r="G452" s="478"/>
      <c r="J452" s="488"/>
      <c r="Z452" s="489"/>
    </row>
    <row r="453" ht="15.75" customHeight="1">
      <c r="G453" s="478"/>
      <c r="J453" s="488"/>
      <c r="Z453" s="489"/>
    </row>
    <row r="454" ht="15.75" customHeight="1">
      <c r="G454" s="478"/>
      <c r="J454" s="488"/>
      <c r="Z454" s="489"/>
    </row>
    <row r="455" ht="15.75" customHeight="1">
      <c r="G455" s="478"/>
      <c r="J455" s="488"/>
      <c r="Z455" s="489"/>
    </row>
    <row r="456" ht="15.75" customHeight="1">
      <c r="G456" s="478"/>
      <c r="J456" s="488"/>
      <c r="Z456" s="489"/>
    </row>
    <row r="457" ht="15.75" customHeight="1">
      <c r="G457" s="478"/>
      <c r="J457" s="488"/>
      <c r="Z457" s="489"/>
    </row>
    <row r="458" ht="15.75" customHeight="1">
      <c r="G458" s="478"/>
      <c r="J458" s="488"/>
      <c r="Z458" s="489"/>
    </row>
    <row r="459" ht="15.75" customHeight="1">
      <c r="G459" s="478"/>
      <c r="J459" s="488"/>
      <c r="Z459" s="489"/>
    </row>
    <row r="460" ht="15.75" customHeight="1">
      <c r="G460" s="478"/>
      <c r="J460" s="488"/>
      <c r="Z460" s="489"/>
    </row>
    <row r="461" ht="15.75" customHeight="1">
      <c r="G461" s="478"/>
      <c r="J461" s="488"/>
      <c r="Z461" s="489"/>
    </row>
    <row r="462" ht="15.75" customHeight="1">
      <c r="G462" s="478"/>
      <c r="J462" s="488"/>
      <c r="Z462" s="489"/>
    </row>
    <row r="463" ht="15.75" customHeight="1">
      <c r="G463" s="478"/>
      <c r="J463" s="488"/>
      <c r="Z463" s="489"/>
    </row>
    <row r="464" ht="15.75" customHeight="1">
      <c r="G464" s="478"/>
      <c r="J464" s="488"/>
      <c r="Z464" s="489"/>
    </row>
    <row r="465" ht="15.75" customHeight="1">
      <c r="G465" s="478"/>
      <c r="J465" s="488"/>
      <c r="Z465" s="489"/>
    </row>
    <row r="466" ht="15.75" customHeight="1">
      <c r="G466" s="478"/>
      <c r="J466" s="488"/>
      <c r="Z466" s="489"/>
    </row>
    <row r="467" ht="15.75" customHeight="1">
      <c r="G467" s="478"/>
      <c r="J467" s="488"/>
      <c r="Z467" s="489"/>
    </row>
    <row r="468" ht="15.75" customHeight="1">
      <c r="G468" s="478"/>
      <c r="J468" s="488"/>
      <c r="Z468" s="489"/>
    </row>
    <row r="469" ht="15.75" customHeight="1">
      <c r="G469" s="478"/>
      <c r="J469" s="488"/>
      <c r="Z469" s="489"/>
    </row>
    <row r="470" ht="15.75" customHeight="1">
      <c r="G470" s="478"/>
      <c r="J470" s="488"/>
      <c r="Z470" s="489"/>
    </row>
    <row r="471" ht="15.75" customHeight="1">
      <c r="G471" s="478"/>
      <c r="J471" s="488"/>
      <c r="Z471" s="489"/>
    </row>
    <row r="472" ht="15.75" customHeight="1">
      <c r="G472" s="478"/>
      <c r="J472" s="488"/>
      <c r="Z472" s="489"/>
    </row>
    <row r="473" ht="15.75" customHeight="1">
      <c r="G473" s="478"/>
      <c r="J473" s="488"/>
      <c r="Z473" s="489"/>
    </row>
    <row r="474" ht="15.75" customHeight="1">
      <c r="G474" s="478"/>
      <c r="J474" s="488"/>
      <c r="Z474" s="489"/>
    </row>
    <row r="475" ht="15.75" customHeight="1">
      <c r="G475" s="478"/>
      <c r="J475" s="488"/>
      <c r="Z475" s="489"/>
    </row>
    <row r="476" ht="15.75" customHeight="1">
      <c r="G476" s="478"/>
      <c r="J476" s="488"/>
      <c r="Z476" s="489"/>
    </row>
    <row r="477" ht="15.75" customHeight="1">
      <c r="G477" s="478"/>
      <c r="J477" s="488"/>
      <c r="Z477" s="489"/>
    </row>
    <row r="478" ht="15.75" customHeight="1">
      <c r="G478" s="478"/>
      <c r="J478" s="488"/>
      <c r="Z478" s="489"/>
    </row>
    <row r="479" ht="15.75" customHeight="1">
      <c r="G479" s="478"/>
      <c r="J479" s="488"/>
      <c r="Z479" s="489"/>
    </row>
    <row r="480" ht="15.75" customHeight="1">
      <c r="G480" s="478"/>
      <c r="J480" s="488"/>
      <c r="Z480" s="489"/>
    </row>
    <row r="481" ht="15.75" customHeight="1">
      <c r="G481" s="478"/>
      <c r="J481" s="488"/>
      <c r="Z481" s="489"/>
    </row>
    <row r="482" ht="15.75" customHeight="1">
      <c r="G482" s="478"/>
      <c r="J482" s="488"/>
      <c r="Z482" s="489"/>
    </row>
    <row r="483" ht="15.75" customHeight="1">
      <c r="G483" s="478"/>
      <c r="J483" s="488"/>
      <c r="Z483" s="489"/>
    </row>
    <row r="484" ht="15.75" customHeight="1">
      <c r="G484" s="478"/>
      <c r="J484" s="488"/>
      <c r="Z484" s="489"/>
    </row>
    <row r="485" ht="15.75" customHeight="1">
      <c r="G485" s="478"/>
      <c r="J485" s="488"/>
      <c r="Z485" s="489"/>
    </row>
    <row r="486" ht="15.75" customHeight="1">
      <c r="G486" s="478"/>
      <c r="J486" s="488"/>
      <c r="Z486" s="489"/>
    </row>
    <row r="487" ht="15.75" customHeight="1">
      <c r="G487" s="478"/>
      <c r="J487" s="488"/>
      <c r="Z487" s="489"/>
    </row>
    <row r="488" ht="15.75" customHeight="1">
      <c r="G488" s="478"/>
      <c r="J488" s="488"/>
      <c r="Z488" s="489"/>
    </row>
    <row r="489" ht="15.75" customHeight="1">
      <c r="G489" s="478"/>
      <c r="J489" s="488"/>
      <c r="Z489" s="489"/>
    </row>
    <row r="490" ht="15.75" customHeight="1">
      <c r="G490" s="478"/>
      <c r="J490" s="488"/>
      <c r="Z490" s="489"/>
    </row>
    <row r="491" ht="15.75" customHeight="1">
      <c r="G491" s="478"/>
      <c r="J491" s="488"/>
      <c r="Z491" s="489"/>
    </row>
    <row r="492" ht="15.75" customHeight="1">
      <c r="G492" s="478"/>
      <c r="J492" s="488"/>
      <c r="Z492" s="489"/>
    </row>
    <row r="493" ht="15.75" customHeight="1">
      <c r="G493" s="478"/>
      <c r="J493" s="488"/>
      <c r="Z493" s="489"/>
    </row>
    <row r="494" ht="15.75" customHeight="1">
      <c r="G494" s="478"/>
      <c r="J494" s="488"/>
      <c r="Z494" s="489"/>
    </row>
    <row r="495" ht="15.75" customHeight="1">
      <c r="G495" s="478"/>
      <c r="J495" s="488"/>
      <c r="Z495" s="489"/>
    </row>
    <row r="496" ht="15.75" customHeight="1">
      <c r="G496" s="478"/>
      <c r="J496" s="488"/>
      <c r="Z496" s="489"/>
    </row>
    <row r="497" ht="15.75" customHeight="1">
      <c r="G497" s="478"/>
      <c r="J497" s="488"/>
      <c r="Z497" s="489"/>
    </row>
    <row r="498" ht="15.75" customHeight="1">
      <c r="G498" s="478"/>
      <c r="J498" s="488"/>
      <c r="Z498" s="489"/>
    </row>
    <row r="499" ht="15.75" customHeight="1">
      <c r="G499" s="478"/>
      <c r="J499" s="488"/>
      <c r="Z499" s="489"/>
    </row>
    <row r="500" ht="15.75" customHeight="1">
      <c r="G500" s="478"/>
      <c r="J500" s="488"/>
      <c r="Z500" s="489"/>
    </row>
    <row r="501" ht="15.75" customHeight="1">
      <c r="G501" s="478"/>
      <c r="J501" s="488"/>
      <c r="Z501" s="489"/>
    </row>
    <row r="502" ht="15.75" customHeight="1">
      <c r="G502" s="478"/>
      <c r="J502" s="488"/>
      <c r="Z502" s="489"/>
    </row>
    <row r="503" ht="15.75" customHeight="1">
      <c r="G503" s="478"/>
      <c r="J503" s="488"/>
      <c r="Z503" s="489"/>
    </row>
    <row r="504" ht="15.75" customHeight="1">
      <c r="G504" s="478"/>
      <c r="J504" s="488"/>
      <c r="Z504" s="489"/>
    </row>
    <row r="505" ht="15.75" customHeight="1">
      <c r="G505" s="478"/>
      <c r="J505" s="488"/>
      <c r="Z505" s="489"/>
    </row>
    <row r="506" ht="15.75" customHeight="1">
      <c r="G506" s="478"/>
      <c r="J506" s="488"/>
      <c r="Z506" s="489"/>
    </row>
    <row r="507" ht="15.75" customHeight="1">
      <c r="G507" s="478"/>
      <c r="J507" s="488"/>
      <c r="Z507" s="489"/>
    </row>
    <row r="508" ht="15.75" customHeight="1">
      <c r="G508" s="478"/>
      <c r="J508" s="488"/>
      <c r="Z508" s="489"/>
    </row>
    <row r="509" ht="15.75" customHeight="1">
      <c r="G509" s="478"/>
      <c r="J509" s="488"/>
      <c r="Z509" s="489"/>
    </row>
    <row r="510" ht="15.75" customHeight="1">
      <c r="G510" s="478"/>
      <c r="J510" s="488"/>
      <c r="Z510" s="489"/>
    </row>
    <row r="511" ht="15.75" customHeight="1">
      <c r="G511" s="478"/>
      <c r="J511" s="488"/>
      <c r="Z511" s="489"/>
    </row>
    <row r="512" ht="15.75" customHeight="1">
      <c r="G512" s="478"/>
      <c r="J512" s="488"/>
      <c r="Z512" s="489"/>
    </row>
    <row r="513" ht="15.75" customHeight="1">
      <c r="G513" s="478"/>
      <c r="J513" s="488"/>
      <c r="Z513" s="489"/>
    </row>
    <row r="514" ht="15.75" customHeight="1">
      <c r="G514" s="478"/>
      <c r="J514" s="488"/>
      <c r="Z514" s="489"/>
    </row>
    <row r="515" ht="15.75" customHeight="1">
      <c r="G515" s="478"/>
      <c r="J515" s="488"/>
      <c r="Z515" s="489"/>
    </row>
    <row r="516" ht="15.75" customHeight="1">
      <c r="G516" s="478"/>
      <c r="J516" s="488"/>
      <c r="Z516" s="489"/>
    </row>
    <row r="517" ht="15.75" customHeight="1">
      <c r="G517" s="478"/>
      <c r="J517" s="488"/>
      <c r="Z517" s="489"/>
    </row>
    <row r="518" ht="15.75" customHeight="1">
      <c r="G518" s="478"/>
      <c r="J518" s="488"/>
      <c r="Z518" s="489"/>
    </row>
    <row r="519" ht="15.75" customHeight="1">
      <c r="G519" s="478"/>
      <c r="J519" s="488"/>
      <c r="Z519" s="489"/>
    </row>
    <row r="520" ht="15.75" customHeight="1">
      <c r="G520" s="478"/>
      <c r="J520" s="488"/>
      <c r="Z520" s="489"/>
    </row>
    <row r="521" ht="15.75" customHeight="1">
      <c r="G521" s="478"/>
      <c r="J521" s="488"/>
      <c r="Z521" s="489"/>
    </row>
    <row r="522" ht="15.75" customHeight="1">
      <c r="G522" s="478"/>
      <c r="J522" s="488"/>
      <c r="Z522" s="489"/>
    </row>
    <row r="523" ht="15.75" customHeight="1">
      <c r="G523" s="478"/>
      <c r="J523" s="488"/>
      <c r="Z523" s="489"/>
    </row>
    <row r="524" ht="15.75" customHeight="1">
      <c r="G524" s="478"/>
      <c r="J524" s="488"/>
      <c r="Z524" s="489"/>
    </row>
    <row r="525" ht="15.75" customHeight="1">
      <c r="G525" s="478"/>
      <c r="J525" s="488"/>
      <c r="Z525" s="489"/>
    </row>
    <row r="526" ht="15.75" customHeight="1">
      <c r="G526" s="478"/>
      <c r="J526" s="488"/>
      <c r="Z526" s="489"/>
    </row>
    <row r="527" ht="15.75" customHeight="1">
      <c r="G527" s="478"/>
      <c r="J527" s="488"/>
      <c r="Z527" s="489"/>
    </row>
    <row r="528" ht="15.75" customHeight="1">
      <c r="G528" s="478"/>
      <c r="J528" s="488"/>
      <c r="Z528" s="489"/>
    </row>
    <row r="529" ht="15.75" customHeight="1">
      <c r="G529" s="478"/>
      <c r="J529" s="488"/>
      <c r="Z529" s="489"/>
    </row>
    <row r="530" ht="15.75" customHeight="1">
      <c r="G530" s="478"/>
      <c r="J530" s="488"/>
      <c r="Z530" s="489"/>
    </row>
    <row r="531" ht="15.75" customHeight="1">
      <c r="G531" s="478"/>
      <c r="J531" s="488"/>
      <c r="Z531" s="489"/>
    </row>
    <row r="532" ht="15.75" customHeight="1">
      <c r="G532" s="478"/>
      <c r="J532" s="488"/>
      <c r="Z532" s="489"/>
    </row>
    <row r="533" ht="15.75" customHeight="1">
      <c r="G533" s="478"/>
      <c r="J533" s="488"/>
      <c r="Z533" s="489"/>
    </row>
    <row r="534" ht="15.75" customHeight="1">
      <c r="G534" s="478"/>
      <c r="J534" s="488"/>
      <c r="Z534" s="489"/>
    </row>
    <row r="535" ht="15.75" customHeight="1">
      <c r="G535" s="478"/>
      <c r="J535" s="488"/>
      <c r="Z535" s="489"/>
    </row>
    <row r="536" ht="15.75" customHeight="1">
      <c r="G536" s="478"/>
      <c r="J536" s="488"/>
      <c r="Z536" s="489"/>
    </row>
    <row r="537" ht="15.75" customHeight="1">
      <c r="G537" s="478"/>
      <c r="J537" s="488"/>
      <c r="Z537" s="489"/>
    </row>
    <row r="538" ht="15.75" customHeight="1">
      <c r="G538" s="478"/>
      <c r="J538" s="488"/>
      <c r="Z538" s="489"/>
    </row>
    <row r="539" ht="15.75" customHeight="1">
      <c r="G539" s="478"/>
      <c r="J539" s="488"/>
      <c r="Z539" s="489"/>
    </row>
    <row r="540" ht="15.75" customHeight="1">
      <c r="G540" s="478"/>
      <c r="J540" s="488"/>
      <c r="Z540" s="489"/>
    </row>
    <row r="541" ht="15.75" customHeight="1">
      <c r="G541" s="478"/>
      <c r="J541" s="488"/>
      <c r="Z541" s="489"/>
    </row>
    <row r="542" ht="15.75" customHeight="1">
      <c r="G542" s="478"/>
      <c r="J542" s="488"/>
      <c r="Z542" s="489"/>
    </row>
    <row r="543" ht="15.75" customHeight="1">
      <c r="G543" s="478"/>
      <c r="J543" s="488"/>
      <c r="Z543" s="489"/>
    </row>
    <row r="544" ht="15.75" customHeight="1">
      <c r="G544" s="478"/>
      <c r="J544" s="488"/>
      <c r="Z544" s="489"/>
    </row>
    <row r="545" ht="15.75" customHeight="1">
      <c r="G545" s="478"/>
      <c r="J545" s="488"/>
      <c r="Z545" s="489"/>
    </row>
    <row r="546" ht="15.75" customHeight="1">
      <c r="G546" s="478"/>
      <c r="J546" s="488"/>
      <c r="Z546" s="489"/>
    </row>
    <row r="547" ht="15.75" customHeight="1">
      <c r="G547" s="478"/>
      <c r="J547" s="488"/>
      <c r="Z547" s="489"/>
    </row>
    <row r="548" ht="15.75" customHeight="1">
      <c r="G548" s="478"/>
      <c r="J548" s="488"/>
      <c r="Z548" s="489"/>
    </row>
    <row r="549" ht="15.75" customHeight="1">
      <c r="G549" s="478"/>
      <c r="J549" s="488"/>
      <c r="Z549" s="489"/>
    </row>
    <row r="550" ht="15.75" customHeight="1">
      <c r="G550" s="478"/>
      <c r="J550" s="488"/>
      <c r="Z550" s="489"/>
    </row>
    <row r="551" ht="15.75" customHeight="1">
      <c r="G551" s="478"/>
      <c r="J551" s="488"/>
      <c r="Z551" s="489"/>
    </row>
    <row r="552" ht="15.75" customHeight="1">
      <c r="G552" s="478"/>
      <c r="J552" s="488"/>
      <c r="Z552" s="489"/>
    </row>
    <row r="553" ht="15.75" customHeight="1">
      <c r="G553" s="478"/>
      <c r="J553" s="488"/>
      <c r="Z553" s="489"/>
    </row>
    <row r="554" ht="15.75" customHeight="1">
      <c r="G554" s="478"/>
      <c r="J554" s="488"/>
      <c r="Z554" s="489"/>
    </row>
    <row r="555" ht="15.75" customHeight="1">
      <c r="G555" s="478"/>
      <c r="J555" s="488"/>
      <c r="Z555" s="489"/>
    </row>
    <row r="556" ht="15.75" customHeight="1">
      <c r="G556" s="478"/>
      <c r="J556" s="488"/>
      <c r="Z556" s="489"/>
    </row>
    <row r="557" ht="15.75" customHeight="1">
      <c r="G557" s="478"/>
      <c r="J557" s="488"/>
      <c r="Z557" s="489"/>
    </row>
    <row r="558" ht="15.75" customHeight="1">
      <c r="G558" s="478"/>
      <c r="J558" s="488"/>
      <c r="Z558" s="489"/>
    </row>
    <row r="559" ht="15.75" customHeight="1">
      <c r="G559" s="478"/>
      <c r="J559" s="488"/>
      <c r="Z559" s="489"/>
    </row>
    <row r="560" ht="15.75" customHeight="1">
      <c r="G560" s="478"/>
      <c r="J560" s="488"/>
      <c r="Z560" s="489"/>
    </row>
    <row r="561" ht="15.75" customHeight="1">
      <c r="G561" s="478"/>
      <c r="J561" s="488"/>
      <c r="Z561" s="489"/>
    </row>
    <row r="562" ht="15.75" customHeight="1">
      <c r="G562" s="478"/>
      <c r="J562" s="488"/>
      <c r="Z562" s="489"/>
    </row>
    <row r="563" ht="15.75" customHeight="1">
      <c r="G563" s="478"/>
      <c r="J563" s="488"/>
      <c r="Z563" s="489"/>
    </row>
    <row r="564" ht="15.75" customHeight="1">
      <c r="G564" s="478"/>
      <c r="J564" s="488"/>
      <c r="Z564" s="489"/>
    </row>
    <row r="565" ht="15.75" customHeight="1">
      <c r="G565" s="478"/>
      <c r="J565" s="488"/>
      <c r="Z565" s="489"/>
    </row>
    <row r="566" ht="15.75" customHeight="1">
      <c r="G566" s="478"/>
      <c r="J566" s="488"/>
      <c r="Z566" s="489"/>
    </row>
    <row r="567" ht="15.75" customHeight="1">
      <c r="G567" s="478"/>
      <c r="J567" s="488"/>
      <c r="Z567" s="489"/>
    </row>
    <row r="568" ht="15.75" customHeight="1">
      <c r="G568" s="478"/>
      <c r="J568" s="488"/>
      <c r="Z568" s="489"/>
    </row>
    <row r="569" ht="15.75" customHeight="1">
      <c r="G569" s="478"/>
      <c r="J569" s="488"/>
      <c r="Z569" s="489"/>
    </row>
    <row r="570" ht="15.75" customHeight="1">
      <c r="G570" s="478"/>
      <c r="J570" s="488"/>
      <c r="Z570" s="489"/>
    </row>
    <row r="571" ht="15.75" customHeight="1">
      <c r="G571" s="478"/>
      <c r="J571" s="488"/>
      <c r="Z571" s="489"/>
    </row>
    <row r="572" ht="15.75" customHeight="1">
      <c r="G572" s="478"/>
      <c r="J572" s="488"/>
      <c r="Z572" s="489"/>
    </row>
    <row r="573" ht="15.75" customHeight="1">
      <c r="G573" s="478"/>
      <c r="J573" s="488"/>
      <c r="Z573" s="489"/>
    </row>
    <row r="574" ht="15.75" customHeight="1">
      <c r="G574" s="478"/>
      <c r="J574" s="488"/>
      <c r="Z574" s="489"/>
    </row>
    <row r="575" ht="15.75" customHeight="1">
      <c r="G575" s="478"/>
      <c r="J575" s="488"/>
      <c r="Z575" s="489"/>
    </row>
    <row r="576" ht="15.75" customHeight="1">
      <c r="G576" s="478"/>
      <c r="J576" s="488"/>
      <c r="Z576" s="489"/>
    </row>
    <row r="577" ht="15.75" customHeight="1">
      <c r="G577" s="478"/>
      <c r="J577" s="488"/>
      <c r="Z577" s="489"/>
    </row>
    <row r="578" ht="15.75" customHeight="1">
      <c r="G578" s="478"/>
      <c r="J578" s="488"/>
      <c r="Z578" s="489"/>
    </row>
    <row r="579" ht="15.75" customHeight="1">
      <c r="G579" s="478"/>
      <c r="J579" s="488"/>
      <c r="Z579" s="489"/>
    </row>
    <row r="580" ht="15.75" customHeight="1">
      <c r="G580" s="478"/>
      <c r="J580" s="488"/>
      <c r="Z580" s="489"/>
    </row>
    <row r="581" ht="15.75" customHeight="1">
      <c r="G581" s="478"/>
      <c r="J581" s="488"/>
      <c r="Z581" s="489"/>
    </row>
    <row r="582" ht="15.75" customHeight="1">
      <c r="G582" s="478"/>
      <c r="J582" s="488"/>
      <c r="Z582" s="489"/>
    </row>
    <row r="583" ht="15.75" customHeight="1">
      <c r="G583" s="478"/>
      <c r="J583" s="488"/>
      <c r="Z583" s="489"/>
    </row>
    <row r="584" ht="15.75" customHeight="1">
      <c r="G584" s="478"/>
      <c r="J584" s="488"/>
      <c r="Z584" s="489"/>
    </row>
    <row r="585" ht="15.75" customHeight="1">
      <c r="G585" s="478"/>
      <c r="J585" s="488"/>
      <c r="Z585" s="489"/>
    </row>
    <row r="586" ht="15.75" customHeight="1">
      <c r="G586" s="478"/>
      <c r="J586" s="488"/>
      <c r="Z586" s="489"/>
    </row>
    <row r="587" ht="15.75" customHeight="1">
      <c r="G587" s="478"/>
      <c r="J587" s="488"/>
      <c r="Z587" s="489"/>
    </row>
    <row r="588" ht="15.75" customHeight="1">
      <c r="G588" s="478"/>
      <c r="J588" s="488"/>
      <c r="Z588" s="489"/>
    </row>
    <row r="589" ht="15.75" customHeight="1">
      <c r="G589" s="478"/>
      <c r="J589" s="488"/>
      <c r="Z589" s="489"/>
    </row>
    <row r="590" ht="15.75" customHeight="1">
      <c r="G590" s="478"/>
      <c r="J590" s="488"/>
      <c r="Z590" s="489"/>
    </row>
    <row r="591" ht="15.75" customHeight="1">
      <c r="G591" s="478"/>
      <c r="J591" s="488"/>
      <c r="Z591" s="489"/>
    </row>
    <row r="592" ht="15.75" customHeight="1">
      <c r="G592" s="478"/>
      <c r="J592" s="488"/>
      <c r="Z592" s="489"/>
    </row>
    <row r="593" ht="15.75" customHeight="1">
      <c r="G593" s="478"/>
      <c r="J593" s="488"/>
      <c r="Z593" s="489"/>
    </row>
    <row r="594" ht="15.75" customHeight="1">
      <c r="G594" s="478"/>
      <c r="J594" s="488"/>
      <c r="Z594" s="489"/>
    </row>
    <row r="595" ht="15.75" customHeight="1">
      <c r="G595" s="478"/>
      <c r="J595" s="488"/>
      <c r="Z595" s="489"/>
    </row>
    <row r="596" ht="15.75" customHeight="1">
      <c r="G596" s="478"/>
      <c r="J596" s="488"/>
      <c r="Z596" s="489"/>
    </row>
    <row r="597" ht="15.75" customHeight="1">
      <c r="G597" s="478"/>
      <c r="J597" s="488"/>
      <c r="Z597" s="489"/>
    </row>
    <row r="598" ht="15.75" customHeight="1">
      <c r="G598" s="478"/>
      <c r="J598" s="488"/>
      <c r="Z598" s="489"/>
    </row>
    <row r="599" ht="15.75" customHeight="1">
      <c r="G599" s="478"/>
      <c r="J599" s="488"/>
      <c r="Z599" s="489"/>
    </row>
    <row r="600" ht="15.75" customHeight="1">
      <c r="G600" s="478"/>
      <c r="J600" s="488"/>
      <c r="Z600" s="489"/>
    </row>
    <row r="601" ht="15.75" customHeight="1">
      <c r="G601" s="478"/>
      <c r="J601" s="488"/>
      <c r="Z601" s="489"/>
    </row>
    <row r="602" ht="15.75" customHeight="1">
      <c r="G602" s="478"/>
      <c r="J602" s="488"/>
      <c r="Z602" s="489"/>
    </row>
    <row r="603" ht="15.75" customHeight="1">
      <c r="G603" s="478"/>
      <c r="J603" s="488"/>
      <c r="Z603" s="489"/>
    </row>
    <row r="604" ht="15.75" customHeight="1">
      <c r="G604" s="478"/>
      <c r="J604" s="488"/>
      <c r="Z604" s="489"/>
    </row>
    <row r="605" ht="15.75" customHeight="1">
      <c r="G605" s="478"/>
      <c r="J605" s="488"/>
      <c r="Z605" s="489"/>
    </row>
    <row r="606" ht="15.75" customHeight="1">
      <c r="G606" s="478"/>
      <c r="J606" s="488"/>
      <c r="Z606" s="489"/>
    </row>
    <row r="607" ht="15.75" customHeight="1">
      <c r="G607" s="478"/>
      <c r="J607" s="488"/>
      <c r="Z607" s="489"/>
    </row>
    <row r="608" ht="15.75" customHeight="1">
      <c r="G608" s="478"/>
      <c r="J608" s="488"/>
      <c r="Z608" s="489"/>
    </row>
    <row r="609" ht="15.75" customHeight="1">
      <c r="G609" s="478"/>
      <c r="J609" s="488"/>
      <c r="Z609" s="489"/>
    </row>
    <row r="610" ht="15.75" customHeight="1">
      <c r="G610" s="478"/>
      <c r="J610" s="488"/>
      <c r="Z610" s="489"/>
    </row>
    <row r="611" ht="15.75" customHeight="1">
      <c r="G611" s="478"/>
      <c r="J611" s="488"/>
      <c r="Z611" s="489"/>
    </row>
    <row r="612" ht="15.75" customHeight="1">
      <c r="G612" s="478"/>
      <c r="J612" s="488"/>
      <c r="Z612" s="489"/>
    </row>
    <row r="613" ht="15.75" customHeight="1">
      <c r="G613" s="478"/>
      <c r="J613" s="488"/>
      <c r="Z613" s="489"/>
    </row>
    <row r="614" ht="15.75" customHeight="1">
      <c r="G614" s="478"/>
      <c r="J614" s="488"/>
      <c r="Z614" s="489"/>
    </row>
    <row r="615" ht="15.75" customHeight="1">
      <c r="G615" s="478"/>
      <c r="J615" s="488"/>
      <c r="Z615" s="489"/>
    </row>
    <row r="616" ht="15.75" customHeight="1">
      <c r="G616" s="478"/>
      <c r="J616" s="488"/>
      <c r="Z616" s="489"/>
    </row>
    <row r="617" ht="15.75" customHeight="1">
      <c r="G617" s="478"/>
      <c r="J617" s="488"/>
      <c r="Z617" s="489"/>
    </row>
    <row r="618" ht="15.75" customHeight="1">
      <c r="G618" s="478"/>
      <c r="J618" s="488"/>
      <c r="Z618" s="489"/>
    </row>
    <row r="619" ht="15.75" customHeight="1">
      <c r="G619" s="478"/>
      <c r="J619" s="488"/>
      <c r="Z619" s="489"/>
    </row>
    <row r="620" ht="15.75" customHeight="1">
      <c r="G620" s="478"/>
      <c r="J620" s="488"/>
      <c r="Z620" s="489"/>
    </row>
    <row r="621" ht="15.75" customHeight="1">
      <c r="G621" s="478"/>
      <c r="J621" s="488"/>
      <c r="Z621" s="489"/>
    </row>
    <row r="622" ht="15.75" customHeight="1">
      <c r="G622" s="478"/>
      <c r="J622" s="488"/>
      <c r="Z622" s="489"/>
    </row>
    <row r="623" ht="15.75" customHeight="1">
      <c r="G623" s="478"/>
      <c r="J623" s="488"/>
      <c r="Z623" s="489"/>
    </row>
    <row r="624" ht="15.75" customHeight="1">
      <c r="G624" s="478"/>
      <c r="J624" s="488"/>
      <c r="Z624" s="489"/>
    </row>
    <row r="625" ht="15.75" customHeight="1">
      <c r="G625" s="478"/>
      <c r="J625" s="488"/>
      <c r="Z625" s="489"/>
    </row>
    <row r="626" ht="15.75" customHeight="1">
      <c r="G626" s="478"/>
      <c r="J626" s="488"/>
      <c r="Z626" s="489"/>
    </row>
    <row r="627" ht="15.75" customHeight="1">
      <c r="G627" s="478"/>
      <c r="J627" s="488"/>
      <c r="Z627" s="489"/>
    </row>
    <row r="628" ht="15.75" customHeight="1">
      <c r="G628" s="478"/>
      <c r="J628" s="488"/>
      <c r="Z628" s="489"/>
    </row>
    <row r="629" ht="15.75" customHeight="1">
      <c r="G629" s="478"/>
      <c r="J629" s="488"/>
      <c r="Z629" s="489"/>
    </row>
    <row r="630" ht="15.75" customHeight="1">
      <c r="G630" s="478"/>
      <c r="J630" s="488"/>
      <c r="Z630" s="489"/>
    </row>
    <row r="631" ht="15.75" customHeight="1">
      <c r="G631" s="478"/>
      <c r="J631" s="488"/>
      <c r="Z631" s="489"/>
    </row>
    <row r="632" ht="15.75" customHeight="1">
      <c r="G632" s="478"/>
      <c r="J632" s="488"/>
      <c r="Z632" s="489"/>
    </row>
    <row r="633" ht="15.75" customHeight="1">
      <c r="G633" s="478"/>
      <c r="J633" s="488"/>
      <c r="Z633" s="489"/>
    </row>
    <row r="634" ht="15.75" customHeight="1">
      <c r="G634" s="478"/>
      <c r="J634" s="488"/>
      <c r="Z634" s="489"/>
    </row>
    <row r="635" ht="15.75" customHeight="1">
      <c r="G635" s="478"/>
      <c r="J635" s="488"/>
      <c r="Z635" s="489"/>
    </row>
    <row r="636" ht="15.75" customHeight="1">
      <c r="G636" s="478"/>
      <c r="J636" s="488"/>
      <c r="Z636" s="489"/>
    </row>
    <row r="637" ht="15.75" customHeight="1">
      <c r="G637" s="478"/>
      <c r="J637" s="488"/>
      <c r="Z637" s="489"/>
    </row>
    <row r="638" ht="15.75" customHeight="1">
      <c r="G638" s="478"/>
      <c r="J638" s="488"/>
      <c r="Z638" s="489"/>
    </row>
    <row r="639" ht="15.75" customHeight="1">
      <c r="G639" s="478"/>
      <c r="J639" s="488"/>
      <c r="Z639" s="489"/>
    </row>
    <row r="640" ht="15.75" customHeight="1">
      <c r="G640" s="478"/>
      <c r="J640" s="488"/>
      <c r="Z640" s="489"/>
    </row>
    <row r="641" ht="15.75" customHeight="1">
      <c r="G641" s="478"/>
      <c r="J641" s="488"/>
      <c r="Z641" s="489"/>
    </row>
    <row r="642" ht="15.75" customHeight="1">
      <c r="G642" s="478"/>
      <c r="J642" s="488"/>
      <c r="Z642" s="489"/>
    </row>
    <row r="643" ht="15.75" customHeight="1">
      <c r="G643" s="478"/>
      <c r="J643" s="488"/>
      <c r="Z643" s="489"/>
    </row>
    <row r="644" ht="15.75" customHeight="1">
      <c r="G644" s="478"/>
      <c r="J644" s="488"/>
      <c r="Z644" s="489"/>
    </row>
    <row r="645" ht="15.75" customHeight="1">
      <c r="G645" s="478"/>
      <c r="J645" s="488"/>
      <c r="Z645" s="489"/>
    </row>
    <row r="646" ht="15.75" customHeight="1">
      <c r="G646" s="478"/>
      <c r="J646" s="488"/>
      <c r="Z646" s="489"/>
    </row>
    <row r="647" ht="15.75" customHeight="1">
      <c r="G647" s="478"/>
      <c r="J647" s="488"/>
      <c r="Z647" s="489"/>
    </row>
    <row r="648" ht="15.75" customHeight="1">
      <c r="G648" s="478"/>
      <c r="J648" s="488"/>
      <c r="Z648" s="489"/>
    </row>
    <row r="649" ht="15.75" customHeight="1">
      <c r="G649" s="478"/>
      <c r="J649" s="488"/>
      <c r="Z649" s="489"/>
    </row>
    <row r="650" ht="15.75" customHeight="1">
      <c r="G650" s="478"/>
      <c r="J650" s="488"/>
      <c r="Z650" s="489"/>
    </row>
    <row r="651" ht="15.75" customHeight="1">
      <c r="G651" s="478"/>
      <c r="J651" s="488"/>
      <c r="Z651" s="489"/>
    </row>
    <row r="652" ht="15.75" customHeight="1">
      <c r="G652" s="478"/>
      <c r="J652" s="488"/>
      <c r="Z652" s="489"/>
    </row>
    <row r="653" ht="15.75" customHeight="1">
      <c r="G653" s="478"/>
      <c r="J653" s="488"/>
      <c r="Z653" s="489"/>
    </row>
    <row r="654" ht="15.75" customHeight="1">
      <c r="G654" s="478"/>
      <c r="J654" s="488"/>
      <c r="Z654" s="489"/>
    </row>
    <row r="655" ht="15.75" customHeight="1">
      <c r="G655" s="478"/>
      <c r="J655" s="488"/>
      <c r="Z655" s="489"/>
    </row>
    <row r="656" ht="15.75" customHeight="1">
      <c r="G656" s="478"/>
      <c r="J656" s="488"/>
      <c r="Z656" s="489"/>
    </row>
    <row r="657" ht="15.75" customHeight="1">
      <c r="G657" s="478"/>
      <c r="J657" s="488"/>
      <c r="Z657" s="489"/>
    </row>
    <row r="658" ht="15.75" customHeight="1">
      <c r="G658" s="478"/>
      <c r="J658" s="488"/>
      <c r="Z658" s="489"/>
    </row>
    <row r="659" ht="15.75" customHeight="1">
      <c r="G659" s="478"/>
      <c r="J659" s="488"/>
      <c r="Z659" s="489"/>
    </row>
    <row r="660" ht="15.75" customHeight="1">
      <c r="G660" s="478"/>
      <c r="J660" s="488"/>
      <c r="Z660" s="489"/>
    </row>
    <row r="661" ht="15.75" customHeight="1">
      <c r="G661" s="478"/>
      <c r="J661" s="488"/>
      <c r="Z661" s="489"/>
    </row>
    <row r="662" ht="15.75" customHeight="1">
      <c r="G662" s="478"/>
      <c r="J662" s="488"/>
      <c r="Z662" s="489"/>
    </row>
    <row r="663" ht="15.75" customHeight="1">
      <c r="G663" s="478"/>
      <c r="J663" s="488"/>
      <c r="Z663" s="489"/>
    </row>
    <row r="664" ht="15.75" customHeight="1">
      <c r="G664" s="478"/>
      <c r="J664" s="488"/>
      <c r="Z664" s="489"/>
    </row>
    <row r="665" ht="15.75" customHeight="1">
      <c r="G665" s="478"/>
      <c r="J665" s="488"/>
      <c r="Z665" s="489"/>
    </row>
    <row r="666" ht="15.75" customHeight="1">
      <c r="G666" s="478"/>
      <c r="J666" s="488"/>
      <c r="Z666" s="489"/>
    </row>
    <row r="667" ht="15.75" customHeight="1">
      <c r="G667" s="478"/>
      <c r="J667" s="488"/>
      <c r="Z667" s="489"/>
    </row>
    <row r="668" ht="15.75" customHeight="1">
      <c r="G668" s="478"/>
      <c r="J668" s="488"/>
      <c r="Z668" s="489"/>
    </row>
    <row r="669" ht="15.75" customHeight="1">
      <c r="G669" s="478"/>
      <c r="J669" s="488"/>
      <c r="Z669" s="489"/>
    </row>
    <row r="670" ht="15.75" customHeight="1">
      <c r="G670" s="478"/>
      <c r="J670" s="488"/>
      <c r="Z670" s="489"/>
    </row>
    <row r="671" ht="15.75" customHeight="1">
      <c r="G671" s="478"/>
      <c r="J671" s="488"/>
      <c r="Z671" s="489"/>
    </row>
    <row r="672" ht="15.75" customHeight="1">
      <c r="G672" s="478"/>
      <c r="J672" s="488"/>
      <c r="Z672" s="489"/>
    </row>
    <row r="673" ht="15.75" customHeight="1">
      <c r="G673" s="478"/>
      <c r="J673" s="488"/>
      <c r="Z673" s="489"/>
    </row>
    <row r="674" ht="15.75" customHeight="1">
      <c r="G674" s="478"/>
      <c r="J674" s="488"/>
      <c r="Z674" s="489"/>
    </row>
    <row r="675" ht="15.75" customHeight="1">
      <c r="G675" s="478"/>
      <c r="J675" s="488"/>
      <c r="Z675" s="489"/>
    </row>
    <row r="676" ht="15.75" customHeight="1">
      <c r="G676" s="478"/>
      <c r="J676" s="488"/>
      <c r="Z676" s="489"/>
    </row>
    <row r="677" ht="15.75" customHeight="1">
      <c r="G677" s="478"/>
      <c r="J677" s="488"/>
      <c r="Z677" s="489"/>
    </row>
    <row r="678" ht="15.75" customHeight="1">
      <c r="G678" s="478"/>
      <c r="J678" s="488"/>
      <c r="Z678" s="489"/>
    </row>
    <row r="679" ht="15.75" customHeight="1">
      <c r="G679" s="478"/>
      <c r="J679" s="488"/>
      <c r="Z679" s="489"/>
    </row>
    <row r="680" ht="15.75" customHeight="1">
      <c r="G680" s="478"/>
      <c r="J680" s="488"/>
      <c r="Z680" s="489"/>
    </row>
    <row r="681" ht="15.75" customHeight="1">
      <c r="G681" s="478"/>
      <c r="J681" s="488"/>
      <c r="Z681" s="489"/>
    </row>
    <row r="682" ht="15.75" customHeight="1">
      <c r="G682" s="478"/>
      <c r="J682" s="488"/>
      <c r="Z682" s="489"/>
    </row>
    <row r="683" ht="15.75" customHeight="1">
      <c r="G683" s="478"/>
      <c r="J683" s="488"/>
      <c r="Z683" s="489"/>
    </row>
    <row r="684" ht="15.75" customHeight="1">
      <c r="G684" s="478"/>
      <c r="J684" s="488"/>
      <c r="Z684" s="489"/>
    </row>
    <row r="685" ht="15.75" customHeight="1">
      <c r="G685" s="478"/>
      <c r="J685" s="488"/>
      <c r="Z685" s="489"/>
    </row>
    <row r="686" ht="15.75" customHeight="1">
      <c r="G686" s="478"/>
      <c r="J686" s="488"/>
      <c r="Z686" s="489"/>
    </row>
    <row r="687" ht="15.75" customHeight="1">
      <c r="G687" s="478"/>
      <c r="J687" s="488"/>
      <c r="Z687" s="489"/>
    </row>
    <row r="688" ht="15.75" customHeight="1">
      <c r="G688" s="478"/>
      <c r="J688" s="488"/>
      <c r="Z688" s="489"/>
    </row>
    <row r="689" ht="15.75" customHeight="1">
      <c r="G689" s="478"/>
      <c r="J689" s="488"/>
      <c r="Z689" s="489"/>
    </row>
    <row r="690" ht="15.75" customHeight="1">
      <c r="G690" s="478"/>
      <c r="J690" s="488"/>
      <c r="Z690" s="489"/>
    </row>
    <row r="691" ht="15.75" customHeight="1">
      <c r="G691" s="478"/>
      <c r="J691" s="488"/>
      <c r="Z691" s="489"/>
    </row>
    <row r="692" ht="15.75" customHeight="1">
      <c r="G692" s="478"/>
      <c r="J692" s="488"/>
      <c r="Z692" s="489"/>
    </row>
    <row r="693" ht="15.75" customHeight="1">
      <c r="G693" s="478"/>
      <c r="J693" s="488"/>
      <c r="Z693" s="489"/>
    </row>
    <row r="694" ht="15.75" customHeight="1">
      <c r="G694" s="478"/>
      <c r="J694" s="488"/>
      <c r="Z694" s="489"/>
    </row>
    <row r="695" ht="15.75" customHeight="1">
      <c r="G695" s="478"/>
      <c r="J695" s="488"/>
      <c r="Z695" s="489"/>
    </row>
    <row r="696" ht="15.75" customHeight="1">
      <c r="G696" s="478"/>
      <c r="J696" s="488"/>
      <c r="Z696" s="489"/>
    </row>
    <row r="697" ht="15.75" customHeight="1">
      <c r="G697" s="478"/>
      <c r="J697" s="488"/>
      <c r="Z697" s="489"/>
    </row>
    <row r="698" ht="15.75" customHeight="1">
      <c r="G698" s="478"/>
      <c r="J698" s="488"/>
      <c r="Z698" s="489"/>
    </row>
    <row r="699" ht="15.75" customHeight="1">
      <c r="G699" s="478"/>
      <c r="J699" s="488"/>
      <c r="Z699" s="489"/>
    </row>
    <row r="700" ht="15.75" customHeight="1">
      <c r="G700" s="478"/>
      <c r="J700" s="488"/>
      <c r="Z700" s="489"/>
    </row>
    <row r="701" ht="15.75" customHeight="1">
      <c r="G701" s="478"/>
      <c r="J701" s="488"/>
      <c r="Z701" s="489"/>
    </row>
    <row r="702" ht="15.75" customHeight="1">
      <c r="G702" s="478"/>
      <c r="J702" s="488"/>
      <c r="Z702" s="489"/>
    </row>
    <row r="703" ht="15.75" customHeight="1">
      <c r="G703" s="478"/>
      <c r="J703" s="488"/>
      <c r="Z703" s="489"/>
    </row>
    <row r="704" ht="15.75" customHeight="1">
      <c r="G704" s="478"/>
      <c r="J704" s="488"/>
      <c r="Z704" s="489"/>
    </row>
    <row r="705" ht="15.75" customHeight="1">
      <c r="G705" s="478"/>
      <c r="J705" s="488"/>
      <c r="Z705" s="489"/>
    </row>
    <row r="706" ht="15.75" customHeight="1">
      <c r="G706" s="478"/>
      <c r="J706" s="488"/>
      <c r="Z706" s="489"/>
    </row>
    <row r="707" ht="15.75" customHeight="1">
      <c r="G707" s="478"/>
      <c r="J707" s="488"/>
      <c r="Z707" s="489"/>
    </row>
    <row r="708" ht="15.75" customHeight="1">
      <c r="G708" s="478"/>
      <c r="J708" s="488"/>
      <c r="Z708" s="489"/>
    </row>
    <row r="709" ht="15.75" customHeight="1">
      <c r="G709" s="478"/>
      <c r="J709" s="488"/>
      <c r="Z709" s="489"/>
    </row>
    <row r="710" ht="15.75" customHeight="1">
      <c r="G710" s="478"/>
      <c r="J710" s="488"/>
      <c r="Z710" s="489"/>
    </row>
    <row r="711" ht="15.75" customHeight="1">
      <c r="G711" s="478"/>
      <c r="J711" s="488"/>
      <c r="Z711" s="489"/>
    </row>
    <row r="712" ht="15.75" customHeight="1">
      <c r="G712" s="478"/>
      <c r="J712" s="488"/>
      <c r="Z712" s="489"/>
    </row>
    <row r="713" ht="15.75" customHeight="1">
      <c r="G713" s="478"/>
      <c r="J713" s="488"/>
      <c r="Z713" s="489"/>
    </row>
    <row r="714" ht="15.75" customHeight="1">
      <c r="G714" s="478"/>
      <c r="J714" s="488"/>
      <c r="Z714" s="489"/>
    </row>
    <row r="715" ht="15.75" customHeight="1">
      <c r="G715" s="478"/>
      <c r="J715" s="488"/>
      <c r="Z715" s="489"/>
    </row>
    <row r="716" ht="15.75" customHeight="1">
      <c r="G716" s="478"/>
      <c r="J716" s="488"/>
      <c r="Z716" s="489"/>
    </row>
    <row r="717" ht="15.75" customHeight="1">
      <c r="G717" s="478"/>
      <c r="J717" s="488"/>
      <c r="Z717" s="489"/>
    </row>
    <row r="718" ht="15.75" customHeight="1">
      <c r="G718" s="478"/>
      <c r="J718" s="488"/>
      <c r="Z718" s="489"/>
    </row>
    <row r="719" ht="15.75" customHeight="1">
      <c r="G719" s="478"/>
      <c r="J719" s="488"/>
      <c r="Z719" s="489"/>
    </row>
    <row r="720" ht="15.75" customHeight="1">
      <c r="G720" s="478"/>
      <c r="J720" s="488"/>
      <c r="Z720" s="489"/>
    </row>
    <row r="721" ht="15.75" customHeight="1">
      <c r="G721" s="478"/>
      <c r="J721" s="488"/>
      <c r="Z721" s="489"/>
    </row>
    <row r="722" ht="15.75" customHeight="1">
      <c r="G722" s="478"/>
      <c r="J722" s="488"/>
      <c r="Z722" s="489"/>
    </row>
    <row r="723" ht="15.75" customHeight="1">
      <c r="G723" s="478"/>
      <c r="J723" s="488"/>
      <c r="Z723" s="489"/>
    </row>
    <row r="724" ht="15.75" customHeight="1">
      <c r="G724" s="478"/>
      <c r="J724" s="488"/>
      <c r="Z724" s="489"/>
    </row>
    <row r="725" ht="15.75" customHeight="1">
      <c r="G725" s="478"/>
      <c r="J725" s="488"/>
      <c r="Z725" s="489"/>
    </row>
    <row r="726" ht="15.75" customHeight="1">
      <c r="G726" s="478"/>
      <c r="J726" s="488"/>
      <c r="Z726" s="489"/>
    </row>
    <row r="727" ht="15.75" customHeight="1">
      <c r="G727" s="478"/>
      <c r="J727" s="488"/>
      <c r="Z727" s="489"/>
    </row>
    <row r="728" ht="15.75" customHeight="1">
      <c r="G728" s="478"/>
      <c r="J728" s="488"/>
      <c r="Z728" s="489"/>
    </row>
    <row r="729" ht="15.75" customHeight="1">
      <c r="G729" s="478"/>
      <c r="J729" s="488"/>
      <c r="Z729" s="489"/>
    </row>
    <row r="730" ht="15.75" customHeight="1">
      <c r="G730" s="478"/>
      <c r="J730" s="488"/>
      <c r="Z730" s="489"/>
    </row>
    <row r="731" ht="15.75" customHeight="1">
      <c r="G731" s="478"/>
      <c r="J731" s="488"/>
      <c r="Z731" s="489"/>
    </row>
    <row r="732" ht="15.75" customHeight="1">
      <c r="G732" s="478"/>
      <c r="J732" s="488"/>
      <c r="Z732" s="489"/>
    </row>
    <row r="733" ht="15.75" customHeight="1">
      <c r="G733" s="478"/>
      <c r="J733" s="488"/>
      <c r="Z733" s="489"/>
    </row>
    <row r="734" ht="15.75" customHeight="1">
      <c r="G734" s="478"/>
      <c r="J734" s="488"/>
      <c r="Z734" s="489"/>
    </row>
    <row r="735" ht="15.75" customHeight="1">
      <c r="G735" s="478"/>
      <c r="J735" s="488"/>
      <c r="Z735" s="489"/>
    </row>
    <row r="736" ht="15.75" customHeight="1">
      <c r="G736" s="478"/>
      <c r="J736" s="488"/>
      <c r="Z736" s="489"/>
    </row>
    <row r="737" ht="15.75" customHeight="1">
      <c r="G737" s="478"/>
      <c r="J737" s="488"/>
      <c r="Z737" s="489"/>
    </row>
    <row r="738" ht="15.75" customHeight="1">
      <c r="G738" s="478"/>
      <c r="J738" s="488"/>
      <c r="Z738" s="489"/>
    </row>
    <row r="739" ht="15.75" customHeight="1">
      <c r="G739" s="478"/>
      <c r="J739" s="488"/>
      <c r="Z739" s="489"/>
    </row>
    <row r="740" ht="15.75" customHeight="1">
      <c r="G740" s="478"/>
      <c r="J740" s="488"/>
      <c r="Z740" s="489"/>
    </row>
    <row r="741" ht="15.75" customHeight="1">
      <c r="G741" s="478"/>
      <c r="J741" s="488"/>
      <c r="Z741" s="489"/>
    </row>
    <row r="742" ht="15.75" customHeight="1">
      <c r="G742" s="478"/>
      <c r="J742" s="488"/>
      <c r="Z742" s="489"/>
    </row>
    <row r="743" ht="15.75" customHeight="1">
      <c r="G743" s="478"/>
      <c r="J743" s="488"/>
      <c r="Z743" s="489"/>
    </row>
    <row r="744" ht="15.75" customHeight="1">
      <c r="G744" s="478"/>
      <c r="J744" s="488"/>
      <c r="Z744" s="489"/>
    </row>
    <row r="745" ht="15.75" customHeight="1">
      <c r="G745" s="478"/>
      <c r="J745" s="488"/>
      <c r="Z745" s="489"/>
    </row>
    <row r="746" ht="15.75" customHeight="1">
      <c r="G746" s="478"/>
      <c r="J746" s="488"/>
      <c r="Z746" s="489"/>
    </row>
    <row r="747" ht="15.75" customHeight="1">
      <c r="G747" s="478"/>
      <c r="J747" s="488"/>
      <c r="Z747" s="489"/>
    </row>
    <row r="748" ht="15.75" customHeight="1">
      <c r="G748" s="478"/>
      <c r="J748" s="488"/>
      <c r="Z748" s="489"/>
    </row>
    <row r="749" ht="15.75" customHeight="1">
      <c r="G749" s="478"/>
      <c r="J749" s="488"/>
      <c r="Z749" s="489"/>
    </row>
    <row r="750" ht="15.75" customHeight="1">
      <c r="G750" s="478"/>
      <c r="J750" s="488"/>
      <c r="Z750" s="489"/>
    </row>
    <row r="751" ht="15.75" customHeight="1">
      <c r="G751" s="478"/>
      <c r="J751" s="488"/>
      <c r="Z751" s="489"/>
    </row>
    <row r="752" ht="15.75" customHeight="1">
      <c r="G752" s="478"/>
      <c r="J752" s="488"/>
      <c r="Z752" s="489"/>
    </row>
    <row r="753" ht="15.75" customHeight="1">
      <c r="G753" s="478"/>
      <c r="J753" s="488"/>
      <c r="Z753" s="489"/>
    </row>
    <row r="754" ht="15.75" customHeight="1">
      <c r="G754" s="478"/>
      <c r="J754" s="488"/>
      <c r="Z754" s="489"/>
    </row>
    <row r="755" ht="15.75" customHeight="1">
      <c r="G755" s="478"/>
      <c r="J755" s="488"/>
      <c r="Z755" s="489"/>
    </row>
    <row r="756" ht="15.75" customHeight="1">
      <c r="G756" s="478"/>
      <c r="J756" s="488"/>
      <c r="Z756" s="489"/>
    </row>
    <row r="757" ht="15.75" customHeight="1">
      <c r="G757" s="478"/>
      <c r="J757" s="488"/>
      <c r="Z757" s="489"/>
    </row>
    <row r="758" ht="15.75" customHeight="1">
      <c r="G758" s="478"/>
      <c r="J758" s="488"/>
      <c r="Z758" s="489"/>
    </row>
    <row r="759" ht="15.75" customHeight="1">
      <c r="G759" s="478"/>
      <c r="J759" s="488"/>
      <c r="Z759" s="489"/>
    </row>
    <row r="760" ht="15.75" customHeight="1">
      <c r="G760" s="478"/>
      <c r="J760" s="488"/>
      <c r="Z760" s="489"/>
    </row>
    <row r="761" ht="15.75" customHeight="1">
      <c r="G761" s="478"/>
      <c r="J761" s="488"/>
      <c r="Z761" s="489"/>
    </row>
    <row r="762" ht="15.75" customHeight="1">
      <c r="G762" s="478"/>
      <c r="J762" s="488"/>
      <c r="Z762" s="489"/>
    </row>
    <row r="763" ht="15.75" customHeight="1">
      <c r="G763" s="478"/>
      <c r="J763" s="488"/>
      <c r="Z763" s="489"/>
    </row>
    <row r="764" ht="15.75" customHeight="1">
      <c r="G764" s="478"/>
      <c r="J764" s="488"/>
      <c r="Z764" s="489"/>
    </row>
    <row r="765" ht="15.75" customHeight="1">
      <c r="G765" s="478"/>
      <c r="J765" s="488"/>
      <c r="Z765" s="489"/>
    </row>
    <row r="766" ht="15.75" customHeight="1">
      <c r="G766" s="478"/>
      <c r="J766" s="488"/>
      <c r="Z766" s="489"/>
    </row>
    <row r="767" ht="15.75" customHeight="1">
      <c r="G767" s="478"/>
      <c r="J767" s="488"/>
      <c r="Z767" s="489"/>
    </row>
    <row r="768" ht="15.75" customHeight="1">
      <c r="G768" s="478"/>
      <c r="J768" s="488"/>
      <c r="Z768" s="489"/>
    </row>
    <row r="769" ht="15.75" customHeight="1">
      <c r="G769" s="478"/>
      <c r="J769" s="488"/>
      <c r="Z769" s="489"/>
    </row>
    <row r="770" ht="15.75" customHeight="1">
      <c r="G770" s="478"/>
      <c r="J770" s="488"/>
      <c r="Z770" s="489"/>
    </row>
    <row r="771" ht="15.75" customHeight="1">
      <c r="G771" s="478"/>
      <c r="J771" s="488"/>
      <c r="Z771" s="489"/>
    </row>
    <row r="772" ht="15.75" customHeight="1">
      <c r="G772" s="478"/>
      <c r="J772" s="488"/>
      <c r="Z772" s="489"/>
    </row>
    <row r="773" ht="15.75" customHeight="1">
      <c r="G773" s="478"/>
      <c r="J773" s="488"/>
      <c r="Z773" s="489"/>
    </row>
    <row r="774" ht="15.75" customHeight="1">
      <c r="G774" s="478"/>
      <c r="J774" s="488"/>
      <c r="Z774" s="489"/>
    </row>
    <row r="775" ht="15.75" customHeight="1">
      <c r="G775" s="478"/>
      <c r="J775" s="488"/>
      <c r="Z775" s="489"/>
    </row>
    <row r="776" ht="15.75" customHeight="1">
      <c r="G776" s="478"/>
      <c r="J776" s="488"/>
      <c r="Z776" s="489"/>
    </row>
    <row r="777" ht="15.75" customHeight="1">
      <c r="G777" s="478"/>
      <c r="J777" s="488"/>
      <c r="Z777" s="489"/>
    </row>
    <row r="778" ht="15.75" customHeight="1">
      <c r="G778" s="478"/>
      <c r="J778" s="488"/>
      <c r="Z778" s="489"/>
    </row>
    <row r="779" ht="15.75" customHeight="1">
      <c r="G779" s="478"/>
      <c r="J779" s="488"/>
      <c r="Z779" s="489"/>
    </row>
    <row r="780" ht="15.75" customHeight="1">
      <c r="G780" s="478"/>
      <c r="J780" s="488"/>
      <c r="Z780" s="489"/>
    </row>
    <row r="781" ht="15.75" customHeight="1">
      <c r="G781" s="478"/>
      <c r="J781" s="488"/>
      <c r="Z781" s="489"/>
    </row>
    <row r="782" ht="15.75" customHeight="1">
      <c r="G782" s="478"/>
      <c r="J782" s="488"/>
      <c r="Z782" s="489"/>
    </row>
    <row r="783" ht="15.75" customHeight="1">
      <c r="G783" s="478"/>
      <c r="J783" s="488"/>
      <c r="Z783" s="489"/>
    </row>
    <row r="784" ht="15.75" customHeight="1">
      <c r="G784" s="478"/>
      <c r="J784" s="488"/>
      <c r="Z784" s="489"/>
    </row>
    <row r="785" ht="15.75" customHeight="1">
      <c r="G785" s="478"/>
      <c r="J785" s="488"/>
      <c r="Z785" s="489"/>
    </row>
    <row r="786" ht="15.75" customHeight="1">
      <c r="G786" s="478"/>
      <c r="J786" s="488"/>
      <c r="Z786" s="489"/>
    </row>
    <row r="787" ht="15.75" customHeight="1">
      <c r="G787" s="478"/>
      <c r="J787" s="488"/>
      <c r="Z787" s="489"/>
    </row>
    <row r="788" ht="15.75" customHeight="1">
      <c r="G788" s="478"/>
      <c r="J788" s="488"/>
      <c r="Z788" s="489"/>
    </row>
    <row r="789" ht="15.75" customHeight="1">
      <c r="G789" s="478"/>
      <c r="J789" s="488"/>
      <c r="Z789" s="489"/>
    </row>
    <row r="790" ht="15.75" customHeight="1">
      <c r="G790" s="478"/>
      <c r="J790" s="488"/>
      <c r="Z790" s="489"/>
    </row>
    <row r="791" ht="15.75" customHeight="1">
      <c r="G791" s="478"/>
      <c r="J791" s="488"/>
      <c r="Z791" s="489"/>
    </row>
    <row r="792" ht="15.75" customHeight="1">
      <c r="G792" s="478"/>
      <c r="J792" s="488"/>
      <c r="Z792" s="489"/>
    </row>
    <row r="793" ht="15.75" customHeight="1">
      <c r="G793" s="478"/>
      <c r="J793" s="488"/>
      <c r="Z793" s="489"/>
    </row>
    <row r="794" ht="15.75" customHeight="1">
      <c r="G794" s="478"/>
      <c r="J794" s="488"/>
      <c r="Z794" s="489"/>
    </row>
    <row r="795" ht="15.75" customHeight="1">
      <c r="G795" s="478"/>
      <c r="J795" s="488"/>
      <c r="Z795" s="489"/>
    </row>
    <row r="796" ht="15.75" customHeight="1">
      <c r="G796" s="478"/>
      <c r="J796" s="488"/>
      <c r="Z796" s="489"/>
    </row>
    <row r="797" ht="15.75" customHeight="1">
      <c r="G797" s="478"/>
      <c r="J797" s="488"/>
      <c r="Z797" s="489"/>
    </row>
    <row r="798" ht="15.75" customHeight="1">
      <c r="G798" s="478"/>
      <c r="J798" s="488"/>
      <c r="Z798" s="489"/>
    </row>
    <row r="799" ht="15.75" customHeight="1">
      <c r="G799" s="478"/>
      <c r="J799" s="488"/>
      <c r="Z799" s="489"/>
    </row>
    <row r="800" ht="15.75" customHeight="1">
      <c r="G800" s="478"/>
      <c r="J800" s="488"/>
      <c r="Z800" s="489"/>
    </row>
    <row r="801" ht="15.75" customHeight="1">
      <c r="G801" s="478"/>
      <c r="J801" s="488"/>
      <c r="Z801" s="489"/>
    </row>
    <row r="802" ht="15.75" customHeight="1">
      <c r="G802" s="478"/>
      <c r="J802" s="488"/>
      <c r="Z802" s="489"/>
    </row>
    <row r="803" ht="15.75" customHeight="1">
      <c r="G803" s="478"/>
      <c r="J803" s="488"/>
      <c r="Z803" s="489"/>
    </row>
    <row r="804" ht="15.75" customHeight="1">
      <c r="G804" s="478"/>
      <c r="J804" s="488"/>
      <c r="Z804" s="489"/>
    </row>
    <row r="805" ht="15.75" customHeight="1">
      <c r="G805" s="478"/>
      <c r="J805" s="488"/>
      <c r="Z805" s="489"/>
    </row>
    <row r="806" ht="15.75" customHeight="1">
      <c r="G806" s="478"/>
      <c r="J806" s="488"/>
      <c r="Z806" s="489"/>
    </row>
    <row r="807" ht="15.75" customHeight="1">
      <c r="G807" s="478"/>
      <c r="J807" s="488"/>
      <c r="Z807" s="489"/>
    </row>
    <row r="808" ht="15.75" customHeight="1">
      <c r="G808" s="478"/>
      <c r="J808" s="488"/>
      <c r="Z808" s="489"/>
    </row>
    <row r="809" ht="15.75" customHeight="1">
      <c r="G809" s="478"/>
      <c r="J809" s="488"/>
      <c r="Z809" s="489"/>
    </row>
    <row r="810" ht="15.75" customHeight="1">
      <c r="G810" s="478"/>
      <c r="J810" s="488"/>
      <c r="Z810" s="489"/>
    </row>
    <row r="811" ht="15.75" customHeight="1">
      <c r="G811" s="478"/>
      <c r="J811" s="488"/>
      <c r="Z811" s="489"/>
    </row>
    <row r="812" ht="15.75" customHeight="1">
      <c r="G812" s="478"/>
      <c r="J812" s="488"/>
      <c r="Z812" s="489"/>
    </row>
    <row r="813" ht="15.75" customHeight="1">
      <c r="G813" s="478"/>
      <c r="J813" s="488"/>
      <c r="Z813" s="489"/>
    </row>
    <row r="814" ht="15.75" customHeight="1">
      <c r="G814" s="478"/>
      <c r="J814" s="488"/>
      <c r="Z814" s="489"/>
    </row>
    <row r="815" ht="15.75" customHeight="1">
      <c r="G815" s="478"/>
      <c r="J815" s="488"/>
      <c r="Z815" s="489"/>
    </row>
    <row r="816" ht="15.75" customHeight="1">
      <c r="G816" s="478"/>
      <c r="J816" s="488"/>
      <c r="Z816" s="489"/>
    </row>
    <row r="817" ht="15.75" customHeight="1">
      <c r="G817" s="478"/>
      <c r="J817" s="488"/>
      <c r="Z817" s="489"/>
    </row>
    <row r="818" ht="15.75" customHeight="1">
      <c r="G818" s="478"/>
      <c r="J818" s="488"/>
      <c r="Z818" s="489"/>
    </row>
    <row r="819" ht="15.75" customHeight="1">
      <c r="G819" s="478"/>
      <c r="J819" s="488"/>
      <c r="Z819" s="489"/>
    </row>
    <row r="820" ht="15.75" customHeight="1">
      <c r="G820" s="478"/>
      <c r="J820" s="488"/>
      <c r="Z820" s="489"/>
    </row>
    <row r="821" ht="15.75" customHeight="1">
      <c r="G821" s="478"/>
      <c r="J821" s="488"/>
      <c r="Z821" s="489"/>
    </row>
    <row r="822" ht="15.75" customHeight="1">
      <c r="G822" s="478"/>
      <c r="J822" s="488"/>
      <c r="Z822" s="489"/>
    </row>
    <row r="823" ht="15.75" customHeight="1">
      <c r="G823" s="478"/>
      <c r="J823" s="488"/>
      <c r="Z823" s="489"/>
    </row>
    <row r="824" ht="15.75" customHeight="1">
      <c r="G824" s="478"/>
      <c r="J824" s="488"/>
      <c r="Z824" s="489"/>
    </row>
    <row r="825" ht="15.75" customHeight="1">
      <c r="G825" s="478"/>
      <c r="J825" s="488"/>
      <c r="Z825" s="489"/>
    </row>
    <row r="826" ht="15.75" customHeight="1">
      <c r="G826" s="478"/>
      <c r="J826" s="488"/>
      <c r="Z826" s="489"/>
    </row>
    <row r="827" ht="15.75" customHeight="1">
      <c r="G827" s="478"/>
      <c r="J827" s="488"/>
      <c r="Z827" s="489"/>
    </row>
    <row r="828" ht="15.75" customHeight="1">
      <c r="G828" s="478"/>
      <c r="J828" s="488"/>
      <c r="Z828" s="489"/>
    </row>
    <row r="829" ht="15.75" customHeight="1">
      <c r="G829" s="478"/>
      <c r="J829" s="488"/>
      <c r="Z829" s="489"/>
    </row>
    <row r="830" ht="15.75" customHeight="1">
      <c r="G830" s="478"/>
      <c r="J830" s="488"/>
      <c r="Z830" s="489"/>
    </row>
    <row r="831" ht="15.75" customHeight="1">
      <c r="G831" s="478"/>
      <c r="J831" s="488"/>
      <c r="Z831" s="489"/>
    </row>
    <row r="832" ht="15.75" customHeight="1">
      <c r="G832" s="478"/>
      <c r="J832" s="488"/>
      <c r="Z832" s="489"/>
    </row>
    <row r="833" ht="15.75" customHeight="1">
      <c r="G833" s="478"/>
      <c r="J833" s="488"/>
      <c r="Z833" s="489"/>
    </row>
    <row r="834" ht="15.75" customHeight="1">
      <c r="G834" s="478"/>
      <c r="J834" s="488"/>
      <c r="Z834" s="489"/>
    </row>
    <row r="835" ht="15.75" customHeight="1">
      <c r="G835" s="478"/>
      <c r="J835" s="488"/>
      <c r="Z835" s="489"/>
    </row>
    <row r="836" ht="15.75" customHeight="1">
      <c r="G836" s="478"/>
      <c r="J836" s="488"/>
      <c r="Z836" s="489"/>
    </row>
    <row r="837" ht="15.75" customHeight="1">
      <c r="G837" s="478"/>
      <c r="J837" s="488"/>
      <c r="Z837" s="489"/>
    </row>
    <row r="838" ht="15.75" customHeight="1">
      <c r="G838" s="478"/>
      <c r="J838" s="488"/>
      <c r="Z838" s="489"/>
    </row>
    <row r="839" ht="15.75" customHeight="1">
      <c r="G839" s="478"/>
      <c r="J839" s="488"/>
      <c r="Z839" s="489"/>
    </row>
    <row r="840" ht="15.75" customHeight="1">
      <c r="G840" s="478"/>
      <c r="J840" s="488"/>
      <c r="Z840" s="489"/>
    </row>
    <row r="841" ht="15.75" customHeight="1">
      <c r="G841" s="478"/>
      <c r="J841" s="488"/>
      <c r="Z841" s="489"/>
    </row>
    <row r="842" ht="15.75" customHeight="1">
      <c r="G842" s="478"/>
      <c r="J842" s="488"/>
      <c r="Z842" s="489"/>
    </row>
    <row r="843" ht="15.75" customHeight="1">
      <c r="G843" s="478"/>
      <c r="J843" s="488"/>
      <c r="Z843" s="489"/>
    </row>
    <row r="844" ht="15.75" customHeight="1">
      <c r="G844" s="478"/>
      <c r="J844" s="488"/>
      <c r="Z844" s="489"/>
    </row>
    <row r="845" ht="15.75" customHeight="1">
      <c r="G845" s="478"/>
      <c r="J845" s="488"/>
      <c r="Z845" s="489"/>
    </row>
    <row r="846" ht="15.75" customHeight="1">
      <c r="G846" s="478"/>
      <c r="J846" s="488"/>
      <c r="Z846" s="489"/>
    </row>
    <row r="847" ht="15.75" customHeight="1">
      <c r="G847" s="478"/>
      <c r="J847" s="488"/>
      <c r="Z847" s="489"/>
    </row>
    <row r="848" ht="15.75" customHeight="1">
      <c r="G848" s="478"/>
      <c r="J848" s="488"/>
      <c r="Z848" s="489"/>
    </row>
    <row r="849" ht="15.75" customHeight="1">
      <c r="G849" s="478"/>
      <c r="J849" s="488"/>
      <c r="Z849" s="489"/>
    </row>
    <row r="850" ht="15.75" customHeight="1">
      <c r="G850" s="478"/>
      <c r="J850" s="488"/>
      <c r="Z850" s="489"/>
    </row>
    <row r="851" ht="15.75" customHeight="1">
      <c r="G851" s="478"/>
      <c r="J851" s="488"/>
      <c r="Z851" s="489"/>
    </row>
    <row r="852" ht="15.75" customHeight="1">
      <c r="G852" s="478"/>
      <c r="J852" s="488"/>
      <c r="Z852" s="489"/>
    </row>
    <row r="853" ht="15.75" customHeight="1">
      <c r="G853" s="478"/>
      <c r="J853" s="488"/>
      <c r="Z853" s="489"/>
    </row>
    <row r="854" ht="15.75" customHeight="1">
      <c r="G854" s="478"/>
      <c r="J854" s="488"/>
      <c r="Z854" s="489"/>
    </row>
    <row r="855" ht="15.75" customHeight="1">
      <c r="G855" s="478"/>
      <c r="J855" s="488"/>
      <c r="Z855" s="489"/>
    </row>
    <row r="856" ht="15.75" customHeight="1">
      <c r="G856" s="478"/>
      <c r="J856" s="488"/>
      <c r="Z856" s="489"/>
    </row>
    <row r="857" ht="15.75" customHeight="1">
      <c r="G857" s="478"/>
      <c r="J857" s="488"/>
      <c r="Z857" s="489"/>
    </row>
    <row r="858" ht="15.75" customHeight="1">
      <c r="G858" s="478"/>
      <c r="J858" s="488"/>
      <c r="Z858" s="489"/>
    </row>
    <row r="859" ht="15.75" customHeight="1">
      <c r="G859" s="478"/>
      <c r="J859" s="488"/>
      <c r="Z859" s="489"/>
    </row>
    <row r="860" ht="15.75" customHeight="1">
      <c r="G860" s="478"/>
      <c r="J860" s="488"/>
      <c r="Z860" s="489"/>
    </row>
    <row r="861" ht="15.75" customHeight="1">
      <c r="G861" s="478"/>
      <c r="J861" s="488"/>
      <c r="Z861" s="489"/>
    </row>
    <row r="862" ht="15.75" customHeight="1">
      <c r="G862" s="478"/>
      <c r="J862" s="488"/>
      <c r="Z862" s="489"/>
    </row>
    <row r="863" ht="15.75" customHeight="1">
      <c r="G863" s="478"/>
      <c r="J863" s="488"/>
      <c r="Z863" s="489"/>
    </row>
    <row r="864" ht="15.75" customHeight="1">
      <c r="G864" s="478"/>
      <c r="J864" s="488"/>
      <c r="Z864" s="489"/>
    </row>
    <row r="865" ht="15.75" customHeight="1">
      <c r="G865" s="478"/>
      <c r="J865" s="488"/>
      <c r="Z865" s="489"/>
    </row>
    <row r="866" ht="15.75" customHeight="1">
      <c r="G866" s="478"/>
      <c r="J866" s="488"/>
      <c r="Z866" s="489"/>
    </row>
    <row r="867" ht="15.75" customHeight="1">
      <c r="G867" s="478"/>
      <c r="J867" s="488"/>
      <c r="Z867" s="489"/>
    </row>
    <row r="868" ht="15.75" customHeight="1">
      <c r="G868" s="478"/>
      <c r="J868" s="488"/>
      <c r="Z868" s="489"/>
    </row>
    <row r="869" ht="15.75" customHeight="1">
      <c r="G869" s="478"/>
      <c r="J869" s="488"/>
      <c r="Z869" s="489"/>
    </row>
    <row r="870" ht="15.75" customHeight="1">
      <c r="G870" s="478"/>
      <c r="J870" s="488"/>
      <c r="Z870" s="489"/>
    </row>
    <row r="871" ht="15.75" customHeight="1">
      <c r="G871" s="478"/>
      <c r="J871" s="488"/>
      <c r="Z871" s="489"/>
    </row>
    <row r="872" ht="15.75" customHeight="1">
      <c r="G872" s="478"/>
      <c r="J872" s="488"/>
      <c r="Z872" s="489"/>
    </row>
    <row r="873" ht="15.75" customHeight="1">
      <c r="G873" s="478"/>
      <c r="J873" s="488"/>
      <c r="Z873" s="489"/>
    </row>
    <row r="874" ht="15.75" customHeight="1">
      <c r="G874" s="478"/>
      <c r="J874" s="488"/>
      <c r="Z874" s="489"/>
    </row>
    <row r="875" ht="15.75" customHeight="1">
      <c r="G875" s="478"/>
      <c r="J875" s="488"/>
      <c r="Z875" s="489"/>
    </row>
    <row r="876" ht="15.75" customHeight="1">
      <c r="G876" s="478"/>
      <c r="J876" s="488"/>
      <c r="Z876" s="489"/>
    </row>
    <row r="877" ht="15.75" customHeight="1">
      <c r="G877" s="478"/>
      <c r="J877" s="488"/>
      <c r="Z877" s="489"/>
    </row>
    <row r="878" ht="15.75" customHeight="1">
      <c r="G878" s="478"/>
      <c r="J878" s="488"/>
      <c r="Z878" s="489"/>
    </row>
    <row r="879" ht="15.75" customHeight="1">
      <c r="G879" s="478"/>
      <c r="J879" s="488"/>
      <c r="Z879" s="489"/>
    </row>
    <row r="880" ht="15.75" customHeight="1">
      <c r="G880" s="478"/>
      <c r="J880" s="488"/>
      <c r="Z880" s="489"/>
    </row>
    <row r="881" ht="15.75" customHeight="1">
      <c r="G881" s="478"/>
      <c r="J881" s="488"/>
      <c r="Z881" s="489"/>
    </row>
    <row r="882" ht="15.75" customHeight="1">
      <c r="G882" s="478"/>
      <c r="J882" s="488"/>
      <c r="Z882" s="489"/>
    </row>
    <row r="883" ht="15.75" customHeight="1">
      <c r="G883" s="478"/>
      <c r="J883" s="488"/>
      <c r="Z883" s="489"/>
    </row>
    <row r="884" ht="15.75" customHeight="1">
      <c r="G884" s="478"/>
      <c r="J884" s="488"/>
      <c r="Z884" s="489"/>
    </row>
    <row r="885" ht="15.75" customHeight="1">
      <c r="G885" s="478"/>
      <c r="J885" s="488"/>
      <c r="Z885" s="489"/>
    </row>
    <row r="886" ht="15.75" customHeight="1">
      <c r="G886" s="478"/>
      <c r="J886" s="488"/>
      <c r="Z886" s="489"/>
    </row>
    <row r="887" ht="15.75" customHeight="1">
      <c r="G887" s="478"/>
      <c r="J887" s="488"/>
      <c r="Z887" s="489"/>
    </row>
    <row r="888" ht="15.75" customHeight="1">
      <c r="G888" s="478"/>
      <c r="J888" s="488"/>
      <c r="Z888" s="489"/>
    </row>
    <row r="889" ht="15.75" customHeight="1">
      <c r="G889" s="478"/>
      <c r="J889" s="488"/>
      <c r="Z889" s="489"/>
    </row>
    <row r="890" ht="15.75" customHeight="1">
      <c r="G890" s="478"/>
      <c r="J890" s="488"/>
      <c r="Z890" s="489"/>
    </row>
    <row r="891" ht="15.75" customHeight="1">
      <c r="G891" s="478"/>
      <c r="J891" s="488"/>
      <c r="Z891" s="489"/>
    </row>
    <row r="892" ht="15.75" customHeight="1">
      <c r="G892" s="478"/>
      <c r="J892" s="488"/>
      <c r="Z892" s="489"/>
    </row>
    <row r="893" ht="15.75" customHeight="1">
      <c r="G893" s="478"/>
      <c r="J893" s="488"/>
      <c r="Z893" s="489"/>
    </row>
    <row r="894" ht="15.75" customHeight="1">
      <c r="G894" s="478"/>
      <c r="J894" s="488"/>
      <c r="Z894" s="489"/>
    </row>
    <row r="895" ht="15.75" customHeight="1">
      <c r="G895" s="478"/>
      <c r="J895" s="488"/>
      <c r="Z895" s="489"/>
    </row>
    <row r="896" ht="15.75" customHeight="1">
      <c r="G896" s="478"/>
      <c r="J896" s="488"/>
      <c r="Z896" s="489"/>
    </row>
    <row r="897" ht="15.75" customHeight="1">
      <c r="G897" s="478"/>
      <c r="J897" s="488"/>
      <c r="Z897" s="489"/>
    </row>
    <row r="898" ht="15.75" customHeight="1">
      <c r="G898" s="478"/>
      <c r="J898" s="488"/>
      <c r="Z898" s="489"/>
    </row>
    <row r="899" ht="15.75" customHeight="1">
      <c r="G899" s="478"/>
      <c r="J899" s="488"/>
      <c r="Z899" s="489"/>
    </row>
    <row r="900" ht="15.75" customHeight="1">
      <c r="G900" s="478"/>
      <c r="J900" s="488"/>
      <c r="Z900" s="489"/>
    </row>
    <row r="901" ht="15.75" customHeight="1">
      <c r="G901" s="478"/>
      <c r="J901" s="488"/>
      <c r="Z901" s="489"/>
    </row>
    <row r="902" ht="15.75" customHeight="1">
      <c r="G902" s="478"/>
      <c r="J902" s="488"/>
      <c r="Z902" s="489"/>
    </row>
    <row r="903" ht="15.75" customHeight="1">
      <c r="G903" s="478"/>
      <c r="J903" s="488"/>
      <c r="Z903" s="489"/>
    </row>
    <row r="904" ht="15.75" customHeight="1">
      <c r="G904" s="478"/>
      <c r="J904" s="488"/>
      <c r="Z904" s="489"/>
    </row>
    <row r="905" ht="15.75" customHeight="1">
      <c r="G905" s="478"/>
      <c r="J905" s="488"/>
      <c r="Z905" s="489"/>
    </row>
    <row r="906" ht="15.75" customHeight="1">
      <c r="G906" s="478"/>
      <c r="J906" s="488"/>
      <c r="Z906" s="489"/>
    </row>
    <row r="907" ht="15.75" customHeight="1">
      <c r="G907" s="478"/>
      <c r="J907" s="488"/>
      <c r="Z907" s="489"/>
    </row>
    <row r="908" ht="15.75" customHeight="1">
      <c r="G908" s="478"/>
      <c r="J908" s="488"/>
      <c r="Z908" s="489"/>
    </row>
    <row r="909" ht="15.75" customHeight="1">
      <c r="G909" s="478"/>
      <c r="J909" s="488"/>
      <c r="Z909" s="489"/>
    </row>
    <row r="910" ht="15.75" customHeight="1">
      <c r="G910" s="478"/>
      <c r="J910" s="488"/>
      <c r="Z910" s="489"/>
    </row>
    <row r="911" ht="15.75" customHeight="1">
      <c r="G911" s="478"/>
      <c r="J911" s="488"/>
      <c r="Z911" s="489"/>
    </row>
    <row r="912" ht="15.75" customHeight="1">
      <c r="G912" s="478"/>
      <c r="J912" s="488"/>
      <c r="Z912" s="489"/>
    </row>
    <row r="913" ht="15.75" customHeight="1">
      <c r="G913" s="478"/>
      <c r="J913" s="488"/>
      <c r="Z913" s="489"/>
    </row>
    <row r="914" ht="15.75" customHeight="1">
      <c r="G914" s="478"/>
      <c r="J914" s="488"/>
      <c r="Z914" s="489"/>
    </row>
    <row r="915" ht="15.75" customHeight="1">
      <c r="G915" s="478"/>
      <c r="J915" s="488"/>
      <c r="Z915" s="489"/>
    </row>
    <row r="916" ht="15.75" customHeight="1">
      <c r="G916" s="478"/>
      <c r="J916" s="488"/>
      <c r="Z916" s="489"/>
    </row>
    <row r="917" ht="15.75" customHeight="1">
      <c r="G917" s="478"/>
      <c r="J917" s="488"/>
      <c r="Z917" s="489"/>
    </row>
    <row r="918" ht="15.75" customHeight="1">
      <c r="G918" s="478"/>
      <c r="J918" s="488"/>
      <c r="Z918" s="489"/>
    </row>
    <row r="919" ht="15.75" customHeight="1">
      <c r="G919" s="478"/>
      <c r="J919" s="488"/>
      <c r="Z919" s="489"/>
    </row>
    <row r="920" ht="15.75" customHeight="1">
      <c r="G920" s="478"/>
      <c r="J920" s="488"/>
      <c r="Z920" s="489"/>
    </row>
    <row r="921" ht="15.75" customHeight="1">
      <c r="G921" s="478"/>
      <c r="J921" s="488"/>
      <c r="Z921" s="489"/>
    </row>
    <row r="922" ht="15.75" customHeight="1">
      <c r="G922" s="478"/>
      <c r="J922" s="488"/>
      <c r="Z922" s="489"/>
    </row>
    <row r="923" ht="15.75" customHeight="1">
      <c r="G923" s="478"/>
      <c r="J923" s="488"/>
      <c r="Z923" s="489"/>
    </row>
    <row r="924" ht="15.75" customHeight="1">
      <c r="G924" s="478"/>
      <c r="J924" s="488"/>
      <c r="Z924" s="489"/>
    </row>
    <row r="925" ht="15.75" customHeight="1">
      <c r="G925" s="478"/>
      <c r="J925" s="488"/>
      <c r="Z925" s="489"/>
    </row>
    <row r="926" ht="15.75" customHeight="1">
      <c r="G926" s="478"/>
      <c r="J926" s="488"/>
      <c r="Z926" s="489"/>
    </row>
    <row r="927" ht="15.75" customHeight="1">
      <c r="G927" s="478"/>
      <c r="J927" s="488"/>
      <c r="Z927" s="489"/>
    </row>
    <row r="928" ht="15.75" customHeight="1">
      <c r="G928" s="478"/>
      <c r="J928" s="488"/>
      <c r="Z928" s="489"/>
    </row>
    <row r="929" ht="15.75" customHeight="1">
      <c r="G929" s="478"/>
      <c r="J929" s="488"/>
      <c r="Z929" s="489"/>
    </row>
    <row r="930" ht="15.75" customHeight="1">
      <c r="G930" s="478"/>
      <c r="J930" s="488"/>
      <c r="Z930" s="489"/>
    </row>
    <row r="931" ht="15.75" customHeight="1">
      <c r="G931" s="478"/>
      <c r="J931" s="488"/>
      <c r="Z931" s="489"/>
    </row>
    <row r="932" ht="15.75" customHeight="1">
      <c r="G932" s="478"/>
      <c r="J932" s="488"/>
      <c r="Z932" s="489"/>
    </row>
    <row r="933" ht="15.75" customHeight="1">
      <c r="G933" s="478"/>
      <c r="J933" s="488"/>
      <c r="Z933" s="489"/>
    </row>
    <row r="934" ht="15.75" customHeight="1">
      <c r="G934" s="478"/>
      <c r="J934" s="488"/>
      <c r="Z934" s="489"/>
    </row>
    <row r="935" ht="15.75" customHeight="1">
      <c r="G935" s="478"/>
      <c r="J935" s="488"/>
      <c r="Z935" s="489"/>
    </row>
    <row r="936" ht="15.75" customHeight="1">
      <c r="G936" s="478"/>
      <c r="J936" s="488"/>
      <c r="Z936" s="489"/>
    </row>
    <row r="937" ht="15.75" customHeight="1">
      <c r="G937" s="478"/>
      <c r="J937" s="488"/>
      <c r="Z937" s="489"/>
    </row>
    <row r="938" ht="15.75" customHeight="1">
      <c r="G938" s="478"/>
      <c r="J938" s="488"/>
      <c r="Z938" s="489"/>
    </row>
    <row r="939" ht="15.75" customHeight="1">
      <c r="G939" s="478"/>
      <c r="J939" s="488"/>
      <c r="Z939" s="489"/>
    </row>
    <row r="940" ht="15.75" customHeight="1">
      <c r="G940" s="478"/>
      <c r="J940" s="488"/>
      <c r="Z940" s="489"/>
    </row>
    <row r="941" ht="15.75" customHeight="1">
      <c r="G941" s="478"/>
      <c r="J941" s="488"/>
      <c r="Z941" s="489"/>
    </row>
    <row r="942" ht="15.75" customHeight="1">
      <c r="G942" s="478"/>
      <c r="J942" s="488"/>
      <c r="Z942" s="489"/>
    </row>
    <row r="943" ht="15.75" customHeight="1">
      <c r="G943" s="478"/>
      <c r="J943" s="488"/>
      <c r="Z943" s="489"/>
    </row>
    <row r="944" ht="15.75" customHeight="1">
      <c r="G944" s="478"/>
      <c r="J944" s="488"/>
      <c r="Z944" s="489"/>
    </row>
    <row r="945" ht="15.75" customHeight="1">
      <c r="G945" s="478"/>
      <c r="J945" s="488"/>
      <c r="Z945" s="489"/>
    </row>
    <row r="946" ht="15.75" customHeight="1">
      <c r="G946" s="478"/>
      <c r="J946" s="488"/>
      <c r="Z946" s="489"/>
    </row>
    <row r="947" ht="15.75" customHeight="1">
      <c r="G947" s="478"/>
      <c r="J947" s="488"/>
      <c r="Z947" s="489"/>
    </row>
    <row r="948" ht="15.75" customHeight="1">
      <c r="G948" s="478"/>
      <c r="J948" s="488"/>
      <c r="Z948" s="489"/>
    </row>
    <row r="949" ht="15.75" customHeight="1">
      <c r="G949" s="478"/>
      <c r="J949" s="488"/>
      <c r="Z949" s="489"/>
    </row>
    <row r="950" ht="15.75" customHeight="1">
      <c r="G950" s="478"/>
      <c r="J950" s="488"/>
      <c r="Z950" s="489"/>
    </row>
    <row r="951" ht="15.75" customHeight="1">
      <c r="G951" s="478"/>
      <c r="J951" s="488"/>
      <c r="Z951" s="489"/>
    </row>
    <row r="952" ht="15.75" customHeight="1">
      <c r="G952" s="478"/>
      <c r="J952" s="488"/>
      <c r="Z952" s="489"/>
    </row>
    <row r="953" ht="15.75" customHeight="1">
      <c r="G953" s="478"/>
      <c r="J953" s="488"/>
      <c r="Z953" s="489"/>
    </row>
    <row r="954" ht="15.75" customHeight="1">
      <c r="G954" s="478"/>
      <c r="J954" s="488"/>
      <c r="Z954" s="489"/>
    </row>
    <row r="955" ht="15.75" customHeight="1">
      <c r="G955" s="478"/>
      <c r="J955" s="488"/>
      <c r="Z955" s="489"/>
    </row>
    <row r="956" ht="15.75" customHeight="1">
      <c r="G956" s="478"/>
      <c r="J956" s="488"/>
      <c r="Z956" s="489"/>
    </row>
    <row r="957" ht="15.75" customHeight="1">
      <c r="G957" s="478"/>
      <c r="J957" s="488"/>
      <c r="Z957" s="489"/>
    </row>
    <row r="958" ht="15.75" customHeight="1">
      <c r="G958" s="478"/>
      <c r="J958" s="488"/>
      <c r="Z958" s="489"/>
    </row>
    <row r="959" ht="15.75" customHeight="1">
      <c r="G959" s="478"/>
      <c r="J959" s="488"/>
      <c r="Z959" s="489"/>
    </row>
    <row r="960" ht="15.75" customHeight="1">
      <c r="G960" s="478"/>
      <c r="J960" s="488"/>
      <c r="Z960" s="489"/>
    </row>
    <row r="961" ht="15.75" customHeight="1">
      <c r="G961" s="478"/>
      <c r="J961" s="488"/>
      <c r="Z961" s="489"/>
    </row>
    <row r="962" ht="15.75" customHeight="1">
      <c r="G962" s="478"/>
      <c r="J962" s="488"/>
      <c r="Z962" s="489"/>
    </row>
    <row r="963" ht="15.75" customHeight="1">
      <c r="G963" s="478"/>
      <c r="J963" s="488"/>
      <c r="Z963" s="489"/>
    </row>
    <row r="964" ht="15.75" customHeight="1">
      <c r="G964" s="478"/>
      <c r="J964" s="488"/>
      <c r="Z964" s="489"/>
    </row>
    <row r="965" ht="15.75" customHeight="1">
      <c r="G965" s="478"/>
      <c r="J965" s="488"/>
      <c r="Z965" s="489"/>
    </row>
    <row r="966" ht="15.75" customHeight="1">
      <c r="G966" s="478"/>
      <c r="J966" s="488"/>
      <c r="Z966" s="489"/>
    </row>
    <row r="967" ht="15.75" customHeight="1">
      <c r="G967" s="478"/>
      <c r="J967" s="488"/>
      <c r="Z967" s="489"/>
    </row>
    <row r="968" ht="15.75" customHeight="1">
      <c r="G968" s="478"/>
      <c r="J968" s="488"/>
      <c r="Z968" s="489"/>
    </row>
    <row r="969" ht="15.75" customHeight="1">
      <c r="G969" s="478"/>
      <c r="J969" s="488"/>
      <c r="Z969" s="489"/>
    </row>
    <row r="970" ht="15.75" customHeight="1">
      <c r="G970" s="478"/>
      <c r="J970" s="488"/>
      <c r="Z970" s="489"/>
    </row>
    <row r="971" ht="15.75" customHeight="1">
      <c r="G971" s="478"/>
      <c r="J971" s="488"/>
      <c r="Z971" s="489"/>
    </row>
    <row r="972" ht="15.75" customHeight="1">
      <c r="G972" s="478"/>
      <c r="J972" s="488"/>
      <c r="Z972" s="489"/>
    </row>
    <row r="973" ht="15.75" customHeight="1">
      <c r="G973" s="478"/>
      <c r="J973" s="488"/>
      <c r="Z973" s="489"/>
    </row>
    <row r="974" ht="15.75" customHeight="1">
      <c r="G974" s="478"/>
      <c r="J974" s="488"/>
      <c r="Z974" s="489"/>
    </row>
    <row r="975" ht="15.75" customHeight="1">
      <c r="G975" s="478"/>
      <c r="J975" s="488"/>
      <c r="Z975" s="489"/>
    </row>
    <row r="976" ht="15.75" customHeight="1">
      <c r="G976" s="478"/>
      <c r="J976" s="488"/>
      <c r="Z976" s="489"/>
    </row>
    <row r="977" ht="15.75" customHeight="1">
      <c r="G977" s="478"/>
      <c r="J977" s="488"/>
      <c r="Z977" s="489"/>
    </row>
    <row r="978" ht="15.75" customHeight="1">
      <c r="G978" s="478"/>
      <c r="J978" s="488"/>
      <c r="Z978" s="489"/>
    </row>
    <row r="979" ht="15.75" customHeight="1">
      <c r="G979" s="478"/>
      <c r="J979" s="488"/>
      <c r="Z979" s="489"/>
    </row>
    <row r="980" ht="15.75" customHeight="1">
      <c r="G980" s="478"/>
      <c r="J980" s="488"/>
      <c r="Z980" s="489"/>
    </row>
    <row r="981" ht="15.75" customHeight="1">
      <c r="G981" s="478"/>
      <c r="J981" s="488"/>
      <c r="Z981" s="489"/>
    </row>
    <row r="982" ht="15.75" customHeight="1">
      <c r="G982" s="478"/>
      <c r="J982" s="488"/>
      <c r="Z982" s="489"/>
    </row>
    <row r="983" ht="15.75" customHeight="1">
      <c r="G983" s="478"/>
      <c r="J983" s="488"/>
      <c r="Z983" s="489"/>
    </row>
    <row r="984" ht="15.75" customHeight="1">
      <c r="G984" s="478"/>
      <c r="J984" s="488"/>
      <c r="Z984" s="489"/>
    </row>
    <row r="985" ht="15.75" customHeight="1">
      <c r="G985" s="478"/>
      <c r="J985" s="488"/>
      <c r="Z985" s="489"/>
    </row>
    <row r="986" ht="15.75" customHeight="1">
      <c r="G986" s="478"/>
      <c r="J986" s="488"/>
      <c r="Z986" s="489"/>
    </row>
    <row r="987" ht="15.75" customHeight="1">
      <c r="G987" s="478"/>
      <c r="J987" s="488"/>
      <c r="Z987" s="489"/>
    </row>
    <row r="988" ht="15.75" customHeight="1">
      <c r="G988" s="478"/>
      <c r="J988" s="488"/>
      <c r="Z988" s="489"/>
    </row>
    <row r="989" ht="15.75" customHeight="1">
      <c r="G989" s="478"/>
      <c r="J989" s="488"/>
      <c r="Z989" s="489"/>
    </row>
    <row r="990" ht="15.75" customHeight="1">
      <c r="G990" s="478"/>
      <c r="J990" s="488"/>
      <c r="Z990" s="489"/>
    </row>
    <row r="991" ht="15.75" customHeight="1">
      <c r="G991" s="478"/>
      <c r="J991" s="488"/>
      <c r="Z991" s="489"/>
    </row>
    <row r="992" ht="15.75" customHeight="1">
      <c r="G992" s="478"/>
      <c r="J992" s="488"/>
      <c r="Z992" s="489"/>
    </row>
    <row r="993" ht="15.75" customHeight="1">
      <c r="G993" s="478"/>
      <c r="J993" s="488"/>
      <c r="Z993" s="489"/>
    </row>
    <row r="994" ht="15.75" customHeight="1">
      <c r="G994" s="478"/>
      <c r="J994" s="488"/>
      <c r="Z994" s="489"/>
    </row>
    <row r="995" ht="15.75" customHeight="1">
      <c r="G995" s="478"/>
      <c r="J995" s="488"/>
      <c r="Z995" s="489"/>
    </row>
    <row r="996" ht="15.75" customHeight="1">
      <c r="G996" s="478"/>
      <c r="J996" s="488"/>
      <c r="Z996" s="489"/>
    </row>
    <row r="997" ht="15.75" customHeight="1">
      <c r="G997" s="478"/>
      <c r="J997" s="488"/>
      <c r="Z997" s="489"/>
    </row>
    <row r="998" ht="15.75" customHeight="1">
      <c r="G998" s="478"/>
      <c r="J998" s="488"/>
      <c r="Z998" s="489"/>
    </row>
    <row r="999" ht="15.75" customHeight="1">
      <c r="G999" s="478"/>
      <c r="J999" s="488"/>
      <c r="Z999" s="489"/>
    </row>
    <row r="1000" ht="15.75" customHeight="1">
      <c r="G1000" s="478"/>
      <c r="J1000" s="488"/>
      <c r="Z1000" s="489"/>
    </row>
    <row r="1001" ht="15.75" customHeight="1">
      <c r="G1001" s="478"/>
      <c r="J1001" s="488"/>
      <c r="Z1001" s="489"/>
    </row>
    <row r="1002" ht="15.75" customHeight="1">
      <c r="G1002" s="478"/>
      <c r="J1002" s="488"/>
      <c r="Z1002" s="489"/>
    </row>
    <row r="1003" ht="15.75" customHeight="1">
      <c r="G1003" s="478"/>
      <c r="J1003" s="488"/>
      <c r="Z1003" s="489"/>
    </row>
    <row r="1004" ht="15.75" customHeight="1">
      <c r="G1004" s="478"/>
      <c r="J1004" s="488"/>
      <c r="Z1004" s="489"/>
    </row>
    <row r="1005" ht="15.75" customHeight="1">
      <c r="G1005" s="478"/>
      <c r="J1005" s="488"/>
      <c r="Z1005" s="489"/>
    </row>
    <row r="1006" ht="15.75" customHeight="1">
      <c r="G1006" s="478"/>
      <c r="J1006" s="488"/>
      <c r="Z1006" s="489"/>
    </row>
    <row r="1007" ht="15.75" customHeight="1">
      <c r="G1007" s="478"/>
      <c r="J1007" s="488"/>
      <c r="Z1007" s="489"/>
    </row>
    <row r="1008" ht="15.75" customHeight="1">
      <c r="G1008" s="478"/>
      <c r="J1008" s="488"/>
      <c r="Z1008" s="489"/>
    </row>
    <row r="1009" ht="15.75" customHeight="1">
      <c r="G1009" s="478"/>
      <c r="J1009" s="488"/>
      <c r="Z1009" s="489"/>
    </row>
    <row r="1010" ht="15.75" customHeight="1">
      <c r="G1010" s="478"/>
      <c r="J1010" s="488"/>
      <c r="Z1010" s="489"/>
    </row>
    <row r="1011" ht="15.75" customHeight="1">
      <c r="G1011" s="478"/>
      <c r="J1011" s="488"/>
      <c r="Z1011" s="489"/>
    </row>
    <row r="1012" ht="15.75" customHeight="1">
      <c r="G1012" s="478"/>
      <c r="J1012" s="488"/>
      <c r="Z1012" s="489"/>
    </row>
    <row r="1013" ht="15.75" customHeight="1">
      <c r="G1013" s="478"/>
      <c r="J1013" s="488"/>
      <c r="Z1013" s="489"/>
    </row>
    <row r="1014" ht="15.75" customHeight="1">
      <c r="G1014" s="478"/>
      <c r="J1014" s="488"/>
      <c r="Z1014" s="489"/>
    </row>
    <row r="1015" ht="15.75" customHeight="1">
      <c r="G1015" s="478"/>
      <c r="J1015" s="488"/>
      <c r="Z1015" s="489"/>
    </row>
    <row r="1016" ht="15.75" customHeight="1">
      <c r="G1016" s="478"/>
      <c r="J1016" s="488"/>
      <c r="Z1016" s="489"/>
    </row>
    <row r="1017" ht="15.75" customHeight="1">
      <c r="G1017" s="478"/>
      <c r="J1017" s="488"/>
      <c r="Z1017" s="489"/>
    </row>
    <row r="1018" ht="15.75" customHeight="1">
      <c r="G1018" s="478"/>
      <c r="J1018" s="488"/>
      <c r="Z1018" s="489"/>
    </row>
    <row r="1019" ht="15.75" customHeight="1">
      <c r="G1019" s="478"/>
      <c r="J1019" s="488"/>
      <c r="Z1019" s="489"/>
    </row>
    <row r="1020" ht="15.75" customHeight="1">
      <c r="G1020" s="478"/>
      <c r="J1020" s="488"/>
      <c r="Z1020" s="489"/>
    </row>
    <row r="1021" ht="15.75" customHeight="1">
      <c r="G1021" s="478"/>
      <c r="J1021" s="488"/>
      <c r="Z1021" s="489"/>
    </row>
    <row r="1022" ht="15.75" customHeight="1">
      <c r="G1022" s="478"/>
      <c r="J1022" s="488"/>
      <c r="Z1022" s="489"/>
    </row>
    <row r="1023" ht="15.75" customHeight="1">
      <c r="G1023" s="478"/>
      <c r="J1023" s="488"/>
      <c r="Z1023" s="489"/>
    </row>
    <row r="1024" ht="15.75" customHeight="1">
      <c r="G1024" s="478"/>
      <c r="J1024" s="488"/>
      <c r="Z1024" s="489"/>
    </row>
    <row r="1025" ht="15.75" customHeight="1">
      <c r="G1025" s="478"/>
      <c r="J1025" s="488"/>
      <c r="Z1025" s="489"/>
    </row>
    <row r="1026" ht="15.75" customHeight="1">
      <c r="G1026" s="478"/>
      <c r="J1026" s="488"/>
      <c r="Z1026" s="489"/>
    </row>
    <row r="1027" ht="15.75" customHeight="1">
      <c r="G1027" s="478"/>
      <c r="J1027" s="488"/>
      <c r="Z1027" s="489"/>
    </row>
    <row r="1028" ht="15.75" customHeight="1">
      <c r="G1028" s="478"/>
      <c r="J1028" s="488"/>
      <c r="Z1028" s="489"/>
    </row>
    <row r="1029" ht="15.75" customHeight="1">
      <c r="G1029" s="478"/>
      <c r="J1029" s="488"/>
      <c r="Z1029" s="489"/>
    </row>
    <row r="1030" ht="15.75" customHeight="1">
      <c r="G1030" s="478"/>
      <c r="J1030" s="488"/>
      <c r="Z1030" s="489"/>
    </row>
    <row r="1031" ht="15.75" customHeight="1">
      <c r="G1031" s="478"/>
      <c r="J1031" s="488"/>
      <c r="Z1031" s="489"/>
    </row>
    <row r="1032" ht="15.75" customHeight="1">
      <c r="G1032" s="478"/>
      <c r="J1032" s="488"/>
      <c r="Z1032" s="489"/>
    </row>
    <row r="1033" ht="15.75" customHeight="1">
      <c r="G1033" s="478"/>
      <c r="J1033" s="488"/>
      <c r="Z1033" s="489"/>
    </row>
    <row r="1034" ht="15.75" customHeight="1">
      <c r="G1034" s="478"/>
      <c r="J1034" s="488"/>
      <c r="Z1034" s="489"/>
    </row>
    <row r="1035" ht="15.75" customHeight="1">
      <c r="G1035" s="478"/>
      <c r="J1035" s="488"/>
      <c r="Z1035" s="489"/>
    </row>
    <row r="1036" ht="15.75" customHeight="1">
      <c r="G1036" s="478"/>
      <c r="J1036" s="488"/>
      <c r="Z1036" s="489"/>
    </row>
    <row r="1037" ht="15.75" customHeight="1">
      <c r="G1037" s="478"/>
      <c r="J1037" s="488"/>
      <c r="Z1037" s="489"/>
    </row>
    <row r="1038" ht="15.75" customHeight="1">
      <c r="G1038" s="478"/>
      <c r="J1038" s="488"/>
      <c r="Z1038" s="489"/>
    </row>
    <row r="1039" ht="15.75" customHeight="1">
      <c r="G1039" s="478"/>
      <c r="J1039" s="488"/>
      <c r="Z1039" s="496"/>
    </row>
    <row r="1040" ht="15.75" customHeight="1">
      <c r="G1040" s="478"/>
      <c r="J1040" s="488"/>
      <c r="Z1040" s="496"/>
    </row>
    <row r="1041" ht="15.75" customHeight="1">
      <c r="G1041" s="478"/>
      <c r="J1041" s="488"/>
      <c r="Z1041" s="496"/>
    </row>
    <row r="1042" ht="15.75" customHeight="1">
      <c r="G1042" s="478"/>
      <c r="J1042" s="488"/>
      <c r="Z1042" s="496"/>
    </row>
    <row r="1043" ht="15.75" customHeight="1">
      <c r="G1043" s="478"/>
      <c r="J1043" s="488"/>
      <c r="Z1043" s="496"/>
    </row>
  </sheetData>
  <mergeCells count="2">
    <mergeCell ref="G1:I1"/>
    <mergeCell ref="P149:U158"/>
  </mergeCells>
  <printOptions/>
  <pageMargins bottom="0.787401575" footer="0.0" header="0.0" left="0.511811024" right="0.511811024" top="0.7874015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21.29"/>
    <col customWidth="1" min="2" max="2" width="16.14"/>
    <col customWidth="1" min="5" max="5" width="16.0"/>
  </cols>
  <sheetData>
    <row r="1">
      <c r="A1" s="8"/>
      <c r="B1" s="25"/>
      <c r="C1" s="25"/>
      <c r="D1" s="25"/>
      <c r="E1" s="25"/>
    </row>
    <row r="2">
      <c r="A2" s="21"/>
      <c r="B2" s="25"/>
      <c r="C2" s="25"/>
      <c r="D2" s="25"/>
      <c r="E2" s="25"/>
    </row>
    <row r="3">
      <c r="A3" s="459" t="s">
        <v>9</v>
      </c>
      <c r="B3" s="421">
        <v>2025.0</v>
      </c>
      <c r="C3" s="25">
        <v>2026.0</v>
      </c>
      <c r="D3" s="25">
        <v>2027.0</v>
      </c>
      <c r="E3" s="25">
        <v>2028.0</v>
      </c>
    </row>
    <row r="4">
      <c r="A4" s="72" t="s">
        <v>64</v>
      </c>
      <c r="B4" s="433"/>
      <c r="C4" s="426">
        <v>1.0</v>
      </c>
      <c r="D4" s="430"/>
      <c r="E4" s="25"/>
    </row>
    <row r="5">
      <c r="A5" s="72" t="s">
        <v>66</v>
      </c>
      <c r="B5" s="433">
        <v>3.46450673E7</v>
      </c>
      <c r="C5" s="430">
        <v>5.0E7</v>
      </c>
      <c r="D5" s="430">
        <v>6.5E7</v>
      </c>
      <c r="E5" s="25">
        <f t="shared" ref="E5:E7" si="1">D5*1.03</f>
        <v>66950000</v>
      </c>
    </row>
    <row r="6">
      <c r="A6" s="72" t="s">
        <v>67</v>
      </c>
      <c r="B6" s="438">
        <v>329232.0</v>
      </c>
      <c r="C6" s="256">
        <v>557692.0555555556</v>
      </c>
      <c r="D6" s="256">
        <v>722222.2222222222</v>
      </c>
      <c r="E6" s="25">
        <f t="shared" si="1"/>
        <v>743888.8889</v>
      </c>
    </row>
    <row r="7">
      <c r="A7" s="124" t="s">
        <v>69</v>
      </c>
      <c r="B7" s="444">
        <f>B5*0.049</f>
        <v>1697608.298</v>
      </c>
      <c r="C7" s="430">
        <v>2450000.0000000005</v>
      </c>
      <c r="D7" s="430">
        <v>3185000.0</v>
      </c>
      <c r="E7" s="25">
        <f t="shared" si="1"/>
        <v>3280550</v>
      </c>
    </row>
    <row r="8">
      <c r="A8" s="461"/>
      <c r="B8" s="25"/>
      <c r="C8" s="430"/>
      <c r="D8" s="430"/>
      <c r="E8" s="25"/>
    </row>
    <row r="9">
      <c r="A9" s="459" t="s">
        <v>71</v>
      </c>
      <c r="B9" s="421">
        <v>2025.0</v>
      </c>
      <c r="C9" s="25">
        <v>2026.0</v>
      </c>
      <c r="D9" s="25">
        <v>2027.0</v>
      </c>
      <c r="E9" s="25">
        <v>2028.0</v>
      </c>
    </row>
    <row r="10">
      <c r="A10" s="72" t="s">
        <v>64</v>
      </c>
      <c r="B10" s="433"/>
      <c r="C10" s="426">
        <v>1.0</v>
      </c>
      <c r="D10" s="430"/>
      <c r="E10" s="25"/>
    </row>
    <row r="11">
      <c r="A11" s="72" t="s">
        <v>66</v>
      </c>
      <c r="B11" s="433" t="s">
        <v>63</v>
      </c>
      <c r="C11" s="430">
        <v>2000000.0</v>
      </c>
      <c r="D11" s="430">
        <v>4000000.0</v>
      </c>
      <c r="E11" s="25">
        <f t="shared" ref="E11:E13" si="2">D11*1.1</f>
        <v>4400000</v>
      </c>
    </row>
    <row r="12">
      <c r="A12" s="72" t="s">
        <v>67</v>
      </c>
      <c r="B12" s="438" t="s">
        <v>63</v>
      </c>
      <c r="C12" s="256">
        <v>52206.4301</v>
      </c>
      <c r="D12" s="256">
        <v>133333.33333333334</v>
      </c>
      <c r="E12" s="25">
        <f t="shared" si="2"/>
        <v>146666.6667</v>
      </c>
    </row>
    <row r="13">
      <c r="A13" s="124" t="s">
        <v>69</v>
      </c>
      <c r="B13" s="444" t="s">
        <v>63</v>
      </c>
      <c r="C13" s="430">
        <v>72502.812825</v>
      </c>
      <c r="D13" s="430">
        <v>183566.66666666666</v>
      </c>
      <c r="E13" s="25">
        <f t="shared" si="2"/>
        <v>201923.3333</v>
      </c>
    </row>
    <row r="14">
      <c r="A14" s="461"/>
      <c r="B14" s="25"/>
      <c r="C14" s="497"/>
      <c r="D14" s="497"/>
      <c r="E14" s="25"/>
    </row>
    <row r="15">
      <c r="A15" s="459" t="s">
        <v>74</v>
      </c>
      <c r="B15" s="421">
        <v>2025.0</v>
      </c>
      <c r="C15" s="25">
        <v>2026.0</v>
      </c>
      <c r="D15" s="25">
        <v>2027.0</v>
      </c>
      <c r="E15" s="25"/>
    </row>
    <row r="16">
      <c r="A16" s="72" t="s">
        <v>64</v>
      </c>
      <c r="B16" s="433"/>
      <c r="C16" s="426">
        <v>1.0</v>
      </c>
      <c r="D16" s="430"/>
      <c r="E16" s="25"/>
    </row>
    <row r="17">
      <c r="A17" s="72" t="s">
        <v>66</v>
      </c>
      <c r="B17" s="433" t="s">
        <v>63</v>
      </c>
      <c r="C17" s="430">
        <v>4000000.0</v>
      </c>
      <c r="D17" s="430">
        <v>6000000.0</v>
      </c>
      <c r="E17" s="25">
        <f t="shared" ref="E17:E19" si="3">D17*1.1</f>
        <v>6600000</v>
      </c>
    </row>
    <row r="18">
      <c r="A18" s="72" t="s">
        <v>67</v>
      </c>
      <c r="B18" s="438" t="s">
        <v>63</v>
      </c>
      <c r="C18" s="256">
        <v>22222.222222222223</v>
      </c>
      <c r="D18" s="256">
        <v>33333.333333333336</v>
      </c>
      <c r="E18" s="25">
        <f t="shared" si="3"/>
        <v>36666.66667</v>
      </c>
    </row>
    <row r="19">
      <c r="A19" s="124" t="s">
        <v>69</v>
      </c>
      <c r="B19" s="444" t="s">
        <v>63</v>
      </c>
      <c r="C19" s="430">
        <v>100000.0</v>
      </c>
      <c r="D19" s="430">
        <v>150000.0</v>
      </c>
      <c r="E19" s="25">
        <f t="shared" si="3"/>
        <v>165000</v>
      </c>
    </row>
    <row r="20">
      <c r="A20" s="8"/>
      <c r="B20" s="25"/>
      <c r="C20" s="25"/>
      <c r="D20" s="25"/>
      <c r="E20" s="25"/>
    </row>
    <row r="21" ht="15.75" customHeight="1">
      <c r="A21" s="459" t="s">
        <v>76</v>
      </c>
      <c r="B21" s="421">
        <v>2025.0</v>
      </c>
      <c r="C21" s="25">
        <v>2026.0</v>
      </c>
      <c r="D21" s="25">
        <v>2027.0</v>
      </c>
      <c r="E21" s="25"/>
    </row>
    <row r="22">
      <c r="A22" s="72" t="s">
        <v>64</v>
      </c>
      <c r="B22" s="429" t="s">
        <v>63</v>
      </c>
      <c r="C22" s="426">
        <v>1.0</v>
      </c>
      <c r="D22" s="426">
        <v>1.0</v>
      </c>
      <c r="E22" s="25"/>
    </row>
    <row r="23">
      <c r="A23" s="72" t="s">
        <v>66</v>
      </c>
      <c r="B23" s="433">
        <v>1632825.8</v>
      </c>
      <c r="C23" s="430">
        <v>4849096.225694574</v>
      </c>
      <c r="D23" s="430">
        <v>1.0E7</v>
      </c>
      <c r="E23" s="25">
        <f t="shared" ref="E23:E25" si="4">D23*1.03</f>
        <v>10300000</v>
      </c>
    </row>
    <row r="24">
      <c r="A24" s="72" t="s">
        <v>67</v>
      </c>
      <c r="B24" s="438">
        <v>15759.0</v>
      </c>
      <c r="C24" s="256">
        <v>45318.65631490257</v>
      </c>
      <c r="D24" s="256">
        <v>93457.94392523365</v>
      </c>
      <c r="E24" s="25">
        <f t="shared" si="4"/>
        <v>96261.68224</v>
      </c>
    </row>
    <row r="25">
      <c r="A25" s="124" t="s">
        <v>69</v>
      </c>
      <c r="B25" s="444">
        <f>B23*0.39</f>
        <v>636802.062</v>
      </c>
      <c r="C25" s="430">
        <v>184934.66039277337</v>
      </c>
      <c r="D25" s="430">
        <v>344465.0</v>
      </c>
      <c r="E25" s="25">
        <f t="shared" si="4"/>
        <v>354798.95</v>
      </c>
    </row>
    <row r="26">
      <c r="A26" s="8"/>
      <c r="B26" s="25"/>
      <c r="C26" s="25"/>
      <c r="D26" s="25"/>
      <c r="E26" s="25"/>
    </row>
    <row r="27">
      <c r="A27" s="459" t="s">
        <v>78</v>
      </c>
      <c r="B27" s="421">
        <v>2025.0</v>
      </c>
      <c r="C27" s="25">
        <v>2026.0</v>
      </c>
      <c r="D27" s="25">
        <v>2027.0</v>
      </c>
      <c r="E27" s="25"/>
    </row>
    <row r="28">
      <c r="A28" s="72" t="s">
        <v>64</v>
      </c>
      <c r="B28" s="429" t="s">
        <v>63</v>
      </c>
      <c r="C28" s="426">
        <v>1.0</v>
      </c>
      <c r="D28" s="426">
        <v>1.0</v>
      </c>
      <c r="E28" s="25"/>
    </row>
    <row r="29">
      <c r="A29" s="72" t="s">
        <v>66</v>
      </c>
      <c r="B29" s="433" t="s">
        <v>63</v>
      </c>
      <c r="C29" s="430">
        <v>50000.0</v>
      </c>
      <c r="D29" s="430">
        <v>1000000.0</v>
      </c>
      <c r="E29" s="25">
        <f t="shared" ref="E29:E31" si="5">D29*1.1</f>
        <v>1100000</v>
      </c>
    </row>
    <row r="30">
      <c r="A30" s="72" t="s">
        <v>67</v>
      </c>
      <c r="B30" s="438" t="s">
        <v>63</v>
      </c>
      <c r="C30" s="256">
        <v>833.3333333333333</v>
      </c>
      <c r="D30" s="256">
        <v>16666.666666666668</v>
      </c>
      <c r="E30" s="25">
        <f t="shared" si="5"/>
        <v>18333.33333</v>
      </c>
    </row>
    <row r="31">
      <c r="A31" s="124" t="s">
        <v>69</v>
      </c>
      <c r="B31" s="444" t="s">
        <v>63</v>
      </c>
      <c r="C31" s="430">
        <v>2450.0</v>
      </c>
      <c r="D31" s="430">
        <v>49000.0</v>
      </c>
      <c r="E31" s="25">
        <f t="shared" si="5"/>
        <v>53900</v>
      </c>
    </row>
    <row r="32">
      <c r="A32" s="8"/>
      <c r="B32" s="25"/>
      <c r="C32" s="25"/>
      <c r="D32" s="25"/>
      <c r="E32" s="25"/>
    </row>
    <row r="33">
      <c r="A33" s="459" t="s">
        <v>81</v>
      </c>
      <c r="B33" s="421">
        <v>2025.0</v>
      </c>
      <c r="C33" s="25">
        <v>2026.0</v>
      </c>
      <c r="D33" s="25">
        <v>2027.0</v>
      </c>
      <c r="E33" s="25"/>
    </row>
    <row r="34">
      <c r="A34" s="72" t="s">
        <v>83</v>
      </c>
      <c r="B34" s="429" t="s">
        <v>63</v>
      </c>
      <c r="C34" s="426">
        <v>1.0</v>
      </c>
      <c r="D34" s="426">
        <v>0.9999999999999999</v>
      </c>
      <c r="E34" s="25"/>
    </row>
    <row r="35">
      <c r="A35" s="72" t="s">
        <v>66</v>
      </c>
      <c r="B35" s="433">
        <v>368854.14</v>
      </c>
      <c r="C35" s="430">
        <v>1278979.9757081596</v>
      </c>
      <c r="D35" s="430">
        <v>2000000.0</v>
      </c>
      <c r="E35" s="25">
        <f t="shared" ref="E35:E37" si="6">D35*1.03</f>
        <v>2060000</v>
      </c>
    </row>
    <row r="36">
      <c r="A36" s="72" t="s">
        <v>67</v>
      </c>
      <c r="B36" s="438">
        <v>5074.0</v>
      </c>
      <c r="C36" s="256">
        <v>17673.87466261333</v>
      </c>
      <c r="D36" s="256">
        <v>27777.77777777778</v>
      </c>
      <c r="E36" s="25">
        <f t="shared" si="6"/>
        <v>28611.11111</v>
      </c>
    </row>
    <row r="37">
      <c r="A37" s="124" t="s">
        <v>69</v>
      </c>
      <c r="B37" s="444">
        <f>B35*0.04</f>
        <v>14754.1656</v>
      </c>
      <c r="C37" s="430">
        <v>51159.19902832639</v>
      </c>
      <c r="D37" s="430">
        <v>80000.0</v>
      </c>
      <c r="E37" s="25">
        <f t="shared" si="6"/>
        <v>82400</v>
      </c>
    </row>
    <row r="38">
      <c r="A38" s="461"/>
      <c r="B38" s="25"/>
      <c r="C38" s="497"/>
      <c r="D38" s="497"/>
      <c r="E38" s="25"/>
    </row>
    <row r="39">
      <c r="A39" s="459" t="s">
        <v>84</v>
      </c>
      <c r="B39" s="421">
        <v>2025.0</v>
      </c>
      <c r="C39" s="25">
        <v>2026.0</v>
      </c>
      <c r="D39" s="25">
        <v>2027.0</v>
      </c>
      <c r="E39" s="25"/>
    </row>
    <row r="40">
      <c r="A40" s="72" t="s">
        <v>64</v>
      </c>
      <c r="B40" s="429" t="s">
        <v>63</v>
      </c>
      <c r="C40" s="426">
        <v>1.0</v>
      </c>
      <c r="D40" s="426">
        <v>0.9999999999999999</v>
      </c>
      <c r="E40" s="25"/>
    </row>
    <row r="41">
      <c r="A41" s="72" t="s">
        <v>66</v>
      </c>
      <c r="B41" s="433" t="s">
        <v>63</v>
      </c>
      <c r="C41" s="430">
        <v>4000000.0</v>
      </c>
      <c r="D41" s="430">
        <v>8000000.0</v>
      </c>
      <c r="E41" s="25">
        <f t="shared" ref="E41:E43" si="7">D41*1.1</f>
        <v>8800000</v>
      </c>
    </row>
    <row r="42">
      <c r="A42" s="72" t="s">
        <v>67</v>
      </c>
      <c r="B42" s="438" t="s">
        <v>63</v>
      </c>
      <c r="C42" s="256">
        <v>38095.2380952381</v>
      </c>
      <c r="D42" s="256">
        <v>76190.47619047618</v>
      </c>
      <c r="E42" s="25">
        <f t="shared" si="7"/>
        <v>83809.52381</v>
      </c>
    </row>
    <row r="43">
      <c r="A43" s="124" t="s">
        <v>69</v>
      </c>
      <c r="B43" s="444" t="s">
        <v>63</v>
      </c>
      <c r="C43" s="430">
        <v>120000.0</v>
      </c>
      <c r="D43" s="430">
        <v>240000.0</v>
      </c>
      <c r="E43" s="25">
        <f t="shared" si="7"/>
        <v>264000</v>
      </c>
    </row>
    <row r="44">
      <c r="A44" s="8"/>
      <c r="B44" s="25"/>
      <c r="C44" s="25"/>
      <c r="D44" s="25"/>
      <c r="E44" s="25"/>
    </row>
    <row r="45">
      <c r="A45" s="467" t="s">
        <v>86</v>
      </c>
      <c r="B45" s="421">
        <v>2025.0</v>
      </c>
      <c r="C45" s="25">
        <v>2026.0</v>
      </c>
      <c r="D45" s="25">
        <v>2027.0</v>
      </c>
      <c r="E45" s="25"/>
    </row>
    <row r="46">
      <c r="A46" s="72" t="s">
        <v>64</v>
      </c>
      <c r="B46" s="429" t="s">
        <v>63</v>
      </c>
      <c r="C46" s="426">
        <v>1.0</v>
      </c>
      <c r="D46" s="426">
        <v>0.9999999999999999</v>
      </c>
      <c r="E46" s="25"/>
    </row>
    <row r="47">
      <c r="A47" s="72" t="s">
        <v>66</v>
      </c>
      <c r="B47" s="433">
        <v>294165.0</v>
      </c>
      <c r="C47" s="430">
        <v>6000000.0</v>
      </c>
      <c r="D47" s="430">
        <v>7200000.0</v>
      </c>
      <c r="E47" s="25">
        <f t="shared" ref="E47:E49" si="8">D47*1.03</f>
        <v>7416000</v>
      </c>
    </row>
    <row r="48">
      <c r="A48" s="72" t="s">
        <v>67</v>
      </c>
      <c r="B48" s="438">
        <v>3683.0</v>
      </c>
      <c r="C48" s="256">
        <v>65217.391304347824</v>
      </c>
      <c r="D48" s="256">
        <v>78260.86956521739</v>
      </c>
      <c r="E48" s="25">
        <f t="shared" si="8"/>
        <v>80608.69565</v>
      </c>
    </row>
    <row r="49">
      <c r="A49" s="124" t="s">
        <v>69</v>
      </c>
      <c r="B49" s="498"/>
      <c r="C49" s="430">
        <v>192077.21240999998</v>
      </c>
      <c r="D49" s="430">
        <v>234000.0</v>
      </c>
      <c r="E49" s="25">
        <f t="shared" si="8"/>
        <v>241020</v>
      </c>
    </row>
    <row r="50">
      <c r="A50" s="461"/>
      <c r="B50" s="25"/>
      <c r="C50" s="497"/>
      <c r="D50" s="497"/>
      <c r="E50" s="25"/>
    </row>
    <row r="51">
      <c r="A51" s="468" t="s">
        <v>88</v>
      </c>
      <c r="B51" s="421">
        <v>2025.0</v>
      </c>
      <c r="C51" s="25">
        <v>2026.0</v>
      </c>
      <c r="D51" s="25">
        <v>2027.0</v>
      </c>
      <c r="E51" s="25"/>
    </row>
    <row r="52">
      <c r="A52" s="72" t="s">
        <v>64</v>
      </c>
      <c r="B52" s="429" t="s">
        <v>63</v>
      </c>
      <c r="C52" s="426">
        <v>1.0</v>
      </c>
      <c r="D52" s="426">
        <v>0.9999999999999999</v>
      </c>
      <c r="E52" s="25"/>
    </row>
    <row r="53">
      <c r="A53" s="72" t="s">
        <v>66</v>
      </c>
      <c r="B53" s="433">
        <v>1580676.0</v>
      </c>
      <c r="C53" s="430">
        <v>1.4E7</v>
      </c>
      <c r="D53" s="430">
        <v>2.0E7</v>
      </c>
      <c r="E53" s="25">
        <f t="shared" ref="E53:E55" si="9">D53*1.03</f>
        <v>20600000</v>
      </c>
    </row>
    <row r="54">
      <c r="A54" s="72" t="s">
        <v>67</v>
      </c>
      <c r="B54" s="438">
        <v>66013.0</v>
      </c>
      <c r="C54" s="256">
        <v>466620.5833333333</v>
      </c>
      <c r="D54" s="256">
        <v>666666.6666666666</v>
      </c>
      <c r="E54" s="25">
        <f t="shared" si="9"/>
        <v>686666.6667</v>
      </c>
    </row>
    <row r="55">
      <c r="A55" s="124" t="s">
        <v>69</v>
      </c>
      <c r="B55" s="444">
        <f>B53*0.04</f>
        <v>63227.04</v>
      </c>
      <c r="C55" s="430">
        <v>465038.995</v>
      </c>
      <c r="D55" s="430">
        <v>800000.0</v>
      </c>
      <c r="E55" s="25">
        <f t="shared" si="9"/>
        <v>824000</v>
      </c>
    </row>
    <row r="56">
      <c r="A56" s="461"/>
      <c r="B56" s="25"/>
      <c r="C56" s="256"/>
      <c r="D56" s="256"/>
      <c r="E56" s="25"/>
    </row>
    <row r="57">
      <c r="A57" s="459" t="s">
        <v>90</v>
      </c>
      <c r="B57" s="421">
        <v>2025.0</v>
      </c>
      <c r="C57" s="25">
        <v>2026.0</v>
      </c>
      <c r="D57" s="25">
        <v>2027.0</v>
      </c>
      <c r="E57" s="25"/>
    </row>
    <row r="58">
      <c r="A58" s="72" t="s">
        <v>64</v>
      </c>
      <c r="B58" s="429" t="s">
        <v>63</v>
      </c>
      <c r="C58" s="426">
        <v>1.0</v>
      </c>
      <c r="D58" s="426">
        <v>0.9999999999999999</v>
      </c>
      <c r="E58" s="25"/>
    </row>
    <row r="59">
      <c r="A59" s="72" t="s">
        <v>66</v>
      </c>
      <c r="B59" s="433">
        <v>195455.9</v>
      </c>
      <c r="C59" s="430">
        <v>2000000.0</v>
      </c>
      <c r="D59" s="430">
        <v>2100000.0</v>
      </c>
      <c r="E59" s="25">
        <f t="shared" ref="E59:E61" si="10">D59*1.03</f>
        <v>2163000</v>
      </c>
    </row>
    <row r="60">
      <c r="A60" s="72" t="s">
        <v>67</v>
      </c>
      <c r="B60" s="438">
        <v>1727.0</v>
      </c>
      <c r="C60" s="256">
        <v>17525.14035087719</v>
      </c>
      <c r="D60" s="256">
        <v>18421.052631578947</v>
      </c>
      <c r="E60" s="25">
        <f t="shared" si="10"/>
        <v>18973.68421</v>
      </c>
    </row>
    <row r="61">
      <c r="A61" s="124" t="s">
        <v>69</v>
      </c>
      <c r="B61" s="444">
        <f>B59*$K$61+8*199</f>
        <v>1592</v>
      </c>
      <c r="C61" s="430">
        <v>78000.0</v>
      </c>
      <c r="D61" s="430">
        <v>81900.0</v>
      </c>
      <c r="E61" s="25">
        <f t="shared" si="10"/>
        <v>84357</v>
      </c>
    </row>
    <row r="62">
      <c r="A62" s="8"/>
      <c r="B62" s="25"/>
      <c r="C62" s="497"/>
      <c r="D62" s="497"/>
      <c r="E62" s="25"/>
    </row>
    <row r="63">
      <c r="A63" s="459" t="s">
        <v>92</v>
      </c>
      <c r="B63" s="421">
        <v>2025.0</v>
      </c>
      <c r="C63" s="25">
        <v>2026.0</v>
      </c>
      <c r="D63" s="25">
        <v>2027.0</v>
      </c>
      <c r="E63" s="25"/>
    </row>
    <row r="64">
      <c r="A64" s="72" t="s">
        <v>64</v>
      </c>
      <c r="B64" s="429" t="s">
        <v>63</v>
      </c>
      <c r="C64" s="426">
        <v>1.0</v>
      </c>
      <c r="D64" s="426">
        <v>0.9999999999999999</v>
      </c>
      <c r="E64" s="25"/>
    </row>
    <row r="65">
      <c r="A65" s="72" t="s">
        <v>66</v>
      </c>
      <c r="B65" s="433">
        <v>294165.0</v>
      </c>
      <c r="C65" s="430">
        <v>2200000.0</v>
      </c>
      <c r="D65" s="430">
        <v>3600000.0</v>
      </c>
      <c r="E65" s="25">
        <f t="shared" ref="E65:E67" si="11">D65*1.03</f>
        <v>3708000</v>
      </c>
    </row>
    <row r="66">
      <c r="A66" s="72" t="s">
        <v>67</v>
      </c>
      <c r="B66" s="438">
        <v>3683.0</v>
      </c>
      <c r="C66" s="256">
        <v>78493.39285714287</v>
      </c>
      <c r="D66" s="256">
        <v>90000.0</v>
      </c>
      <c r="E66" s="25">
        <f t="shared" si="11"/>
        <v>92700</v>
      </c>
    </row>
    <row r="67">
      <c r="A67" s="124" t="s">
        <v>69</v>
      </c>
      <c r="B67" s="444">
        <f>B65*0.03+10*299</f>
        <v>11814.95</v>
      </c>
      <c r="C67" s="430">
        <v>66000.0</v>
      </c>
      <c r="D67" s="430">
        <v>108000.0</v>
      </c>
      <c r="E67" s="25">
        <f t="shared" si="11"/>
        <v>111240</v>
      </c>
    </row>
    <row r="68">
      <c r="A68" s="8"/>
      <c r="B68" s="25"/>
      <c r="C68" s="497"/>
      <c r="D68" s="497"/>
      <c r="E68" s="25"/>
    </row>
    <row r="69">
      <c r="A69" s="473" t="s">
        <v>94</v>
      </c>
      <c r="B69" s="421">
        <v>2025.0</v>
      </c>
      <c r="C69" s="25">
        <v>2026.0</v>
      </c>
      <c r="D69" s="25">
        <v>2027.0</v>
      </c>
      <c r="E69" s="25"/>
    </row>
    <row r="70">
      <c r="A70" s="72" t="s">
        <v>64</v>
      </c>
      <c r="B70" s="429" t="s">
        <v>63</v>
      </c>
      <c r="C70" s="426">
        <v>1.0</v>
      </c>
      <c r="D70" s="426">
        <v>0.9999999999999999</v>
      </c>
      <c r="E70" s="25"/>
    </row>
    <row r="71">
      <c r="A71" s="72" t="s">
        <v>66</v>
      </c>
      <c r="B71" s="499">
        <v>1.7765623E7</v>
      </c>
      <c r="C71" s="430">
        <v>2.0E7</v>
      </c>
      <c r="D71" s="430">
        <v>3.0E7</v>
      </c>
      <c r="E71" s="25">
        <f t="shared" ref="E71:E73" si="12">D71*1.03</f>
        <v>30900000</v>
      </c>
    </row>
    <row r="72">
      <c r="A72" s="72" t="s">
        <v>67</v>
      </c>
      <c r="B72" s="438">
        <v>181712.0</v>
      </c>
      <c r="C72" s="256">
        <v>199654.49</v>
      </c>
      <c r="D72" s="256">
        <v>300000.0</v>
      </c>
      <c r="E72" s="25">
        <f t="shared" si="12"/>
        <v>309000</v>
      </c>
    </row>
    <row r="73">
      <c r="A73" s="124" t="s">
        <v>69</v>
      </c>
      <c r="B73" s="498"/>
      <c r="C73" s="430">
        <v>1269000.0</v>
      </c>
      <c r="D73" s="430">
        <v>1800000.0</v>
      </c>
      <c r="E73" s="25">
        <f t="shared" si="12"/>
        <v>1854000</v>
      </c>
    </row>
    <row r="74">
      <c r="A74" s="474"/>
      <c r="B74" s="25"/>
      <c r="C74" s="25"/>
      <c r="D74" s="25"/>
      <c r="E74" s="25"/>
    </row>
    <row r="75">
      <c r="A75" s="459" t="s">
        <v>98</v>
      </c>
      <c r="B75" s="421">
        <v>2025.0</v>
      </c>
      <c r="C75" s="25">
        <v>2026.0</v>
      </c>
      <c r="D75" s="25">
        <v>2027.0</v>
      </c>
      <c r="E75" s="25"/>
    </row>
    <row r="76">
      <c r="A76" s="72" t="s">
        <v>64</v>
      </c>
      <c r="B76" s="429" t="s">
        <v>63</v>
      </c>
      <c r="C76" s="426">
        <v>1.0</v>
      </c>
      <c r="D76" s="426">
        <v>1.0</v>
      </c>
      <c r="E76" s="25"/>
    </row>
    <row r="77">
      <c r="A77" s="72" t="s">
        <v>66</v>
      </c>
      <c r="B77" s="433" t="s">
        <v>63</v>
      </c>
      <c r="C77" s="430">
        <v>35000.0</v>
      </c>
      <c r="D77" s="430">
        <v>40000.0</v>
      </c>
      <c r="E77" s="25">
        <f t="shared" ref="E77:E79" si="13">D77*1.03</f>
        <v>41200</v>
      </c>
    </row>
    <row r="78">
      <c r="A78" s="72" t="s">
        <v>67</v>
      </c>
      <c r="B78" s="438" t="s">
        <v>63</v>
      </c>
      <c r="C78" s="256">
        <v>304.3478260869565</v>
      </c>
      <c r="D78" s="256">
        <v>347.8260869565218</v>
      </c>
      <c r="E78" s="25">
        <f t="shared" si="13"/>
        <v>358.2608696</v>
      </c>
    </row>
    <row r="79">
      <c r="A79" s="124" t="s">
        <v>69</v>
      </c>
      <c r="B79" s="444" t="s">
        <v>63</v>
      </c>
      <c r="C79" s="430">
        <v>2388.0</v>
      </c>
      <c r="D79" s="430">
        <v>2388.0</v>
      </c>
      <c r="E79" s="25">
        <f t="shared" si="13"/>
        <v>2459.64</v>
      </c>
    </row>
    <row r="80">
      <c r="A80" s="8"/>
      <c r="B80" s="500"/>
      <c r="C80" s="500"/>
      <c r="D80" s="500"/>
      <c r="E80" s="25"/>
    </row>
    <row r="81">
      <c r="A81" s="459" t="s">
        <v>100</v>
      </c>
      <c r="B81" s="421">
        <v>2025.0</v>
      </c>
      <c r="C81" s="25">
        <v>2026.0</v>
      </c>
      <c r="D81" s="25">
        <v>2027.0</v>
      </c>
      <c r="E81" s="25"/>
    </row>
    <row r="82">
      <c r="A82" s="72" t="s">
        <v>64</v>
      </c>
      <c r="B82" s="429" t="s">
        <v>63</v>
      </c>
      <c r="C82" s="426">
        <v>1.0</v>
      </c>
      <c r="D82" s="426">
        <v>1.0</v>
      </c>
      <c r="E82" s="25"/>
    </row>
    <row r="83">
      <c r="A83" s="72" t="s">
        <v>66</v>
      </c>
      <c r="B83" s="433">
        <v>0.0</v>
      </c>
      <c r="C83" s="430">
        <v>700000.0</v>
      </c>
      <c r="D83" s="430">
        <v>6000000.0</v>
      </c>
      <c r="E83" s="25">
        <f t="shared" ref="E83:E85" si="14">D83*1.1</f>
        <v>6600000</v>
      </c>
    </row>
    <row r="84">
      <c r="A84" s="72" t="s">
        <v>67</v>
      </c>
      <c r="B84" s="438">
        <v>0.0</v>
      </c>
      <c r="C84" s="256">
        <v>14000.0</v>
      </c>
      <c r="D84" s="256">
        <v>120000.0</v>
      </c>
      <c r="E84" s="25">
        <f t="shared" si="14"/>
        <v>132000</v>
      </c>
    </row>
    <row r="85">
      <c r="A85" s="124" t="s">
        <v>69</v>
      </c>
      <c r="B85" s="444">
        <v>0.0</v>
      </c>
      <c r="C85" s="430">
        <v>14000.0</v>
      </c>
      <c r="D85" s="430">
        <v>120000.0</v>
      </c>
      <c r="E85" s="25">
        <f t="shared" si="14"/>
        <v>132000</v>
      </c>
    </row>
    <row r="86">
      <c r="A86" s="8"/>
      <c r="B86" s="497"/>
      <c r="C86" s="497"/>
      <c r="D86" s="497"/>
      <c r="E86" s="25"/>
    </row>
    <row r="87">
      <c r="A87" s="468" t="s">
        <v>102</v>
      </c>
      <c r="B87" s="421">
        <v>2025.0</v>
      </c>
      <c r="C87" s="25">
        <v>2026.0</v>
      </c>
      <c r="D87" s="25">
        <v>2027.0</v>
      </c>
      <c r="E87" s="25"/>
    </row>
    <row r="88">
      <c r="A88" s="72" t="s">
        <v>64</v>
      </c>
      <c r="B88" s="429" t="s">
        <v>63</v>
      </c>
      <c r="C88" s="426">
        <v>1.0</v>
      </c>
      <c r="D88" s="426">
        <v>0.9999999999999999</v>
      </c>
      <c r="E88" s="25"/>
    </row>
    <row r="89">
      <c r="A89" s="72" t="s">
        <v>66</v>
      </c>
      <c r="B89" s="433">
        <v>9705.0</v>
      </c>
      <c r="C89" s="430">
        <v>150000.0</v>
      </c>
      <c r="D89" s="430">
        <v>165000.0</v>
      </c>
      <c r="E89" s="25">
        <f t="shared" ref="E89:E91" si="15">D89*1.1</f>
        <v>181500</v>
      </c>
    </row>
    <row r="90">
      <c r="A90" s="72" t="s">
        <v>67</v>
      </c>
      <c r="B90" s="438">
        <v>519.0</v>
      </c>
      <c r="C90" s="256">
        <v>5008.6</v>
      </c>
      <c r="D90" s="256">
        <v>5500.0</v>
      </c>
      <c r="E90" s="25">
        <f t="shared" si="15"/>
        <v>6050</v>
      </c>
    </row>
    <row r="91">
      <c r="A91" s="124" t="s">
        <v>69</v>
      </c>
      <c r="B91" s="444">
        <f>(5 * 399) + MAX(B89 * 4.9%, 499)</f>
        <v>2494</v>
      </c>
      <c r="C91" s="430">
        <v>7350.000000000001</v>
      </c>
      <c r="D91" s="430">
        <v>8085.000000000001</v>
      </c>
      <c r="E91" s="25">
        <f t="shared" si="15"/>
        <v>8893.5</v>
      </c>
    </row>
    <row r="92">
      <c r="A92" s="8"/>
      <c r="B92" s="497"/>
      <c r="C92" s="497"/>
      <c r="D92" s="497"/>
      <c r="E92" s="25"/>
    </row>
    <row r="93">
      <c r="A93" s="468" t="s">
        <v>104</v>
      </c>
      <c r="B93" s="421">
        <v>2025.0</v>
      </c>
      <c r="C93" s="25">
        <v>2026.0</v>
      </c>
      <c r="D93" s="25">
        <v>2027.0</v>
      </c>
      <c r="E93" s="25"/>
    </row>
    <row r="94">
      <c r="A94" s="72" t="s">
        <v>64</v>
      </c>
      <c r="B94" s="429" t="s">
        <v>63</v>
      </c>
      <c r="C94" s="426">
        <v>1.0</v>
      </c>
      <c r="D94" s="426">
        <v>0.9999999999999999</v>
      </c>
      <c r="E94" s="25"/>
    </row>
    <row r="95">
      <c r="A95" s="72" t="s">
        <v>66</v>
      </c>
      <c r="B95" s="433">
        <v>356599.28</v>
      </c>
      <c r="C95" s="430">
        <v>700000.0</v>
      </c>
      <c r="D95" s="430">
        <v>750000.0</v>
      </c>
      <c r="E95" s="25">
        <f t="shared" ref="E95:E97" si="16">D95*1.03</f>
        <v>772500</v>
      </c>
    </row>
    <row r="96">
      <c r="A96" s="72" t="s">
        <v>67</v>
      </c>
      <c r="B96" s="438">
        <v>11282.0</v>
      </c>
      <c r="C96" s="256">
        <v>23333.333333333332</v>
      </c>
      <c r="D96" s="256">
        <v>25000.0</v>
      </c>
      <c r="E96" s="25">
        <f t="shared" si="16"/>
        <v>25750</v>
      </c>
    </row>
    <row r="97">
      <c r="A97" s="124" t="s">
        <v>69</v>
      </c>
      <c r="B97" s="444">
        <f>B95*0.04</f>
        <v>14263.9712</v>
      </c>
      <c r="C97" s="430">
        <v>28000.0</v>
      </c>
      <c r="D97" s="430">
        <v>30000.0</v>
      </c>
      <c r="E97" s="25">
        <f t="shared" si="16"/>
        <v>30900</v>
      </c>
    </row>
    <row r="98">
      <c r="A98" s="479"/>
      <c r="B98" s="25"/>
      <c r="C98" s="25"/>
      <c r="D98" s="25"/>
      <c r="E98" s="25"/>
    </row>
    <row r="99">
      <c r="A99" s="459" t="s">
        <v>105</v>
      </c>
      <c r="B99" s="421">
        <v>2025.0</v>
      </c>
      <c r="C99" s="25">
        <v>2026.0</v>
      </c>
      <c r="D99" s="25">
        <v>2027.0</v>
      </c>
      <c r="E99" s="25"/>
    </row>
    <row r="100">
      <c r="A100" s="72" t="s">
        <v>64</v>
      </c>
      <c r="B100" s="429" t="s">
        <v>63</v>
      </c>
      <c r="C100" s="426">
        <v>1.0</v>
      </c>
      <c r="D100" s="426">
        <v>1.0</v>
      </c>
      <c r="E100" s="25"/>
    </row>
    <row r="101">
      <c r="A101" s="72" t="s">
        <v>66</v>
      </c>
      <c r="B101" s="501"/>
      <c r="C101" s="430">
        <v>2.4E7</v>
      </c>
      <c r="D101" s="430">
        <v>6.0E7</v>
      </c>
      <c r="E101" s="25">
        <f t="shared" ref="E101:E103" si="17">D101*1.1</f>
        <v>66000000</v>
      </c>
    </row>
    <row r="102">
      <c r="A102" s="72" t="s">
        <v>67</v>
      </c>
      <c r="B102" s="502"/>
      <c r="C102" s="256">
        <v>237623.76237623757</v>
      </c>
      <c r="D102" s="256">
        <v>594059.405940594</v>
      </c>
      <c r="E102" s="25">
        <f t="shared" si="17"/>
        <v>653465.3465</v>
      </c>
    </row>
    <row r="103">
      <c r="A103" s="124" t="s">
        <v>69</v>
      </c>
      <c r="B103" s="498"/>
      <c r="C103" s="430">
        <v>651188.1188118812</v>
      </c>
      <c r="D103" s="430">
        <v>1409108.9108910894</v>
      </c>
      <c r="E103" s="25">
        <f t="shared" si="17"/>
        <v>1550019.802</v>
      </c>
    </row>
    <row r="104">
      <c r="A104" s="479"/>
      <c r="B104" s="25"/>
      <c r="C104" s="25"/>
      <c r="D104" s="25"/>
      <c r="E104" s="25"/>
    </row>
    <row r="105">
      <c r="A105" s="459" t="s">
        <v>106</v>
      </c>
      <c r="B105" s="25"/>
      <c r="C105" s="25"/>
      <c r="D105" s="25">
        <v>2027.0</v>
      </c>
      <c r="E105" s="25"/>
    </row>
    <row r="106">
      <c r="A106" s="72" t="s">
        <v>64</v>
      </c>
      <c r="B106" s="25"/>
      <c r="C106" s="25"/>
      <c r="D106" s="426">
        <v>1.0</v>
      </c>
      <c r="E106" s="25"/>
    </row>
    <row r="107">
      <c r="A107" s="72" t="s">
        <v>66</v>
      </c>
      <c r="B107" s="25"/>
      <c r="C107" s="25"/>
      <c r="D107" s="430">
        <v>500000.0</v>
      </c>
      <c r="E107" s="25">
        <f t="shared" ref="E107:E109" si="18">D107*1.15</f>
        <v>575000</v>
      </c>
    </row>
    <row r="108">
      <c r="A108" s="72" t="s">
        <v>67</v>
      </c>
      <c r="B108" s="25"/>
      <c r="C108" s="25"/>
      <c r="D108" s="256">
        <v>4950.495049504951</v>
      </c>
      <c r="E108" s="25">
        <f t="shared" si="18"/>
        <v>5693.069307</v>
      </c>
    </row>
    <row r="109">
      <c r="A109" s="124" t="s">
        <v>69</v>
      </c>
      <c r="B109" s="25"/>
      <c r="C109" s="25"/>
      <c r="D109" s="430">
        <v>19801.980198019803</v>
      </c>
      <c r="E109" s="25">
        <f t="shared" si="18"/>
        <v>22772.27723</v>
      </c>
    </row>
    <row r="110">
      <c r="A110" s="479"/>
      <c r="B110" s="25"/>
      <c r="C110" s="430"/>
      <c r="D110" s="25"/>
      <c r="E110" s="25"/>
    </row>
    <row r="111">
      <c r="A111" s="459" t="s">
        <v>140</v>
      </c>
      <c r="B111" s="25"/>
      <c r="C111" s="256"/>
      <c r="D111" s="25">
        <v>2027.0</v>
      </c>
      <c r="E111" s="25"/>
    </row>
    <row r="112">
      <c r="A112" s="72" t="s">
        <v>64</v>
      </c>
      <c r="B112" s="25"/>
      <c r="C112" s="430"/>
      <c r="D112" s="426">
        <v>1.0</v>
      </c>
      <c r="E112" s="25"/>
    </row>
    <row r="113">
      <c r="A113" s="72" t="s">
        <v>66</v>
      </c>
      <c r="B113" s="25"/>
      <c r="C113" s="25"/>
      <c r="D113" s="430">
        <v>2016000.0</v>
      </c>
      <c r="E113" s="25">
        <f t="shared" ref="E113:E115" si="19">D113*1.15</f>
        <v>2318400</v>
      </c>
    </row>
    <row r="114">
      <c r="A114" s="72" t="s">
        <v>67</v>
      </c>
      <c r="B114" s="25"/>
      <c r="C114" s="25"/>
      <c r="D114" s="256">
        <v>19960.396039603962</v>
      </c>
      <c r="E114" s="25">
        <f t="shared" si="19"/>
        <v>22954.45545</v>
      </c>
    </row>
    <row r="115">
      <c r="A115" s="124" t="s">
        <v>69</v>
      </c>
      <c r="B115" s="25"/>
      <c r="C115" s="25"/>
      <c r="D115" s="430">
        <v>79841.58415841585</v>
      </c>
      <c r="E115" s="25">
        <f t="shared" si="19"/>
        <v>91817.82178</v>
      </c>
    </row>
    <row r="116">
      <c r="A116" s="479"/>
      <c r="B116" s="25"/>
      <c r="C116" s="25"/>
      <c r="D116" s="25"/>
      <c r="E116" s="25"/>
    </row>
    <row r="117">
      <c r="A117" s="459" t="s">
        <v>141</v>
      </c>
      <c r="B117" s="25"/>
      <c r="C117" s="25"/>
      <c r="D117" s="25">
        <v>2027.0</v>
      </c>
      <c r="E117" s="25"/>
    </row>
    <row r="118">
      <c r="A118" s="72" t="s">
        <v>64</v>
      </c>
      <c r="B118" s="25"/>
      <c r="C118" s="25"/>
      <c r="D118" s="426">
        <v>1.0</v>
      </c>
      <c r="E118" s="25"/>
    </row>
    <row r="119">
      <c r="A119" s="72" t="s">
        <v>66</v>
      </c>
      <c r="B119" s="25"/>
      <c r="C119" s="25"/>
      <c r="D119" s="430">
        <v>105000.0</v>
      </c>
      <c r="E119" s="25">
        <f t="shared" ref="E119:E121" si="20">D119*1.15</f>
        <v>120750</v>
      </c>
    </row>
    <row r="120">
      <c r="A120" s="72" t="s">
        <v>67</v>
      </c>
      <c r="B120" s="25"/>
      <c r="C120" s="25"/>
      <c r="D120" s="256">
        <v>1039.6039603960396</v>
      </c>
      <c r="E120" s="25">
        <f t="shared" si="20"/>
        <v>1195.544554</v>
      </c>
    </row>
    <row r="121">
      <c r="A121" s="124" t="s">
        <v>69</v>
      </c>
      <c r="B121" s="25"/>
      <c r="C121" s="25"/>
      <c r="D121" s="430">
        <v>4158.415841584158</v>
      </c>
      <c r="E121" s="25">
        <f t="shared" si="20"/>
        <v>4782.178218</v>
      </c>
    </row>
    <row r="122">
      <c r="A122" s="479"/>
      <c r="B122" s="25"/>
      <c r="C122" s="25"/>
      <c r="D122" s="25"/>
      <c r="E122" s="25"/>
    </row>
    <row r="123">
      <c r="A123" s="459" t="s">
        <v>142</v>
      </c>
      <c r="B123" s="25"/>
      <c r="C123" s="25"/>
      <c r="D123" s="25">
        <v>2027.0</v>
      </c>
      <c r="E123" s="25"/>
    </row>
    <row r="124">
      <c r="A124" s="72" t="s">
        <v>64</v>
      </c>
      <c r="B124" s="25"/>
      <c r="C124" s="25"/>
      <c r="D124" s="426">
        <v>1.0</v>
      </c>
      <c r="E124" s="25"/>
    </row>
    <row r="125">
      <c r="A125" s="72" t="s">
        <v>66</v>
      </c>
      <c r="B125" s="25"/>
      <c r="C125" s="25"/>
      <c r="D125" s="430">
        <v>100000.0</v>
      </c>
      <c r="E125" s="25">
        <f t="shared" ref="E125:E127" si="21">D125*1.15</f>
        <v>115000</v>
      </c>
    </row>
    <row r="126">
      <c r="A126" s="72" t="s">
        <v>67</v>
      </c>
      <c r="B126" s="25"/>
      <c r="C126" s="25"/>
      <c r="D126" s="256">
        <v>990.0990099009902</v>
      </c>
      <c r="E126" s="25">
        <f t="shared" si="21"/>
        <v>1138.613861</v>
      </c>
    </row>
    <row r="127">
      <c r="A127" s="124" t="s">
        <v>69</v>
      </c>
      <c r="B127" s="25"/>
      <c r="C127" s="25"/>
      <c r="D127" s="430">
        <v>3960.3960396039606</v>
      </c>
      <c r="E127" s="25">
        <f t="shared" si="21"/>
        <v>4554.455446</v>
      </c>
    </row>
    <row r="128">
      <c r="A128" s="479"/>
      <c r="B128" s="25"/>
      <c r="C128" s="25"/>
      <c r="D128" s="25"/>
      <c r="E128" s="25"/>
    </row>
    <row r="129">
      <c r="A129" s="459" t="s">
        <v>143</v>
      </c>
      <c r="B129" s="25"/>
      <c r="C129" s="25"/>
      <c r="D129" s="25">
        <v>2027.0</v>
      </c>
      <c r="E129" s="25"/>
    </row>
    <row r="130">
      <c r="A130" s="72" t="s">
        <v>64</v>
      </c>
      <c r="B130" s="25"/>
      <c r="C130" s="25"/>
      <c r="D130" s="426">
        <v>1.0</v>
      </c>
      <c r="E130" s="25"/>
    </row>
    <row r="131">
      <c r="A131" s="72" t="s">
        <v>66</v>
      </c>
      <c r="B131" s="25"/>
      <c r="C131" s="25"/>
      <c r="D131" s="430">
        <v>300000.0</v>
      </c>
      <c r="E131" s="25">
        <f t="shared" ref="E131:E133" si="22">D131*1.15</f>
        <v>345000</v>
      </c>
    </row>
    <row r="132">
      <c r="A132" s="72" t="s">
        <v>67</v>
      </c>
      <c r="B132" s="25"/>
      <c r="C132" s="25"/>
      <c r="D132" s="256">
        <v>2970.2970297029706</v>
      </c>
      <c r="E132" s="25">
        <f t="shared" si="22"/>
        <v>3415.841584</v>
      </c>
    </row>
    <row r="133">
      <c r="A133" s="124" t="s">
        <v>69</v>
      </c>
      <c r="B133" s="25"/>
      <c r="C133" s="25"/>
      <c r="D133" s="430">
        <v>11881.188118811882</v>
      </c>
      <c r="E133" s="25">
        <f t="shared" si="22"/>
        <v>13663.36634</v>
      </c>
    </row>
    <row r="134">
      <c r="A134" s="479"/>
      <c r="B134" s="25"/>
      <c r="C134" s="25"/>
      <c r="D134" s="25"/>
      <c r="E134" s="25"/>
    </row>
    <row r="135">
      <c r="A135" s="459" t="s">
        <v>144</v>
      </c>
      <c r="B135" s="25"/>
      <c r="C135" s="25"/>
      <c r="D135" s="25">
        <v>2027.0</v>
      </c>
      <c r="E135" s="25"/>
    </row>
    <row r="136">
      <c r="A136" s="72" t="s">
        <v>64</v>
      </c>
      <c r="B136" s="25"/>
      <c r="C136" s="25"/>
      <c r="D136" s="426">
        <v>1.0</v>
      </c>
      <c r="E136" s="25"/>
    </row>
    <row r="137">
      <c r="A137" s="72" t="s">
        <v>66</v>
      </c>
      <c r="B137" s="25"/>
      <c r="C137" s="25"/>
      <c r="D137" s="430">
        <v>2000000.0</v>
      </c>
      <c r="E137" s="25">
        <f t="shared" ref="E137:E139" si="23">D137*1.15</f>
        <v>2300000</v>
      </c>
    </row>
    <row r="138">
      <c r="A138" s="72" t="s">
        <v>67</v>
      </c>
      <c r="B138" s="25"/>
      <c r="C138" s="25"/>
      <c r="D138" s="256">
        <v>19801.980198019803</v>
      </c>
      <c r="E138" s="25">
        <f t="shared" si="23"/>
        <v>22772.27723</v>
      </c>
    </row>
    <row r="139">
      <c r="A139" s="124" t="s">
        <v>69</v>
      </c>
      <c r="B139" s="25"/>
      <c r="C139" s="25"/>
      <c r="D139" s="430">
        <v>79207.92079207921</v>
      </c>
      <c r="E139" s="25">
        <f t="shared" si="23"/>
        <v>91089.10891</v>
      </c>
    </row>
    <row r="140">
      <c r="A140" s="479"/>
      <c r="B140" s="25"/>
      <c r="C140" s="25"/>
      <c r="D140" s="25"/>
      <c r="E140" s="25"/>
    </row>
    <row r="141">
      <c r="A141" s="459" t="s">
        <v>144</v>
      </c>
      <c r="B141" s="25"/>
      <c r="C141" s="25"/>
      <c r="D141" s="25">
        <v>2027.0</v>
      </c>
      <c r="E141" s="25"/>
    </row>
    <row r="142">
      <c r="A142" s="72" t="s">
        <v>64</v>
      </c>
      <c r="B142" s="25"/>
      <c r="C142" s="25"/>
      <c r="D142" s="426">
        <v>1.0</v>
      </c>
      <c r="E142" s="25"/>
    </row>
    <row r="143">
      <c r="A143" s="72" t="s">
        <v>66</v>
      </c>
      <c r="B143" s="25"/>
      <c r="C143" s="25"/>
      <c r="D143" s="430">
        <v>1000000.0</v>
      </c>
      <c r="E143" s="25">
        <f t="shared" ref="E143:E145" si="24">D143*1.15</f>
        <v>1150000</v>
      </c>
    </row>
    <row r="144">
      <c r="A144" s="72" t="s">
        <v>67</v>
      </c>
      <c r="B144" s="25"/>
      <c r="C144" s="25"/>
      <c r="D144" s="256">
        <v>9900.990099009901</v>
      </c>
      <c r="E144" s="25">
        <f t="shared" si="24"/>
        <v>11386.13861</v>
      </c>
    </row>
    <row r="145">
      <c r="A145" s="124" t="s">
        <v>69</v>
      </c>
      <c r="B145" s="25"/>
      <c r="C145" s="25"/>
      <c r="D145" s="430">
        <v>39603.960396039605</v>
      </c>
      <c r="E145" s="25">
        <f t="shared" si="24"/>
        <v>45544.55446</v>
      </c>
    </row>
    <row r="146">
      <c r="A146" s="474"/>
      <c r="B146" s="25"/>
      <c r="C146" s="25"/>
      <c r="D146" s="25"/>
      <c r="E146" s="25"/>
    </row>
    <row r="147">
      <c r="A147" s="482" t="s">
        <v>145</v>
      </c>
      <c r="B147" s="25"/>
      <c r="C147" s="25"/>
      <c r="D147" s="25"/>
      <c r="E147" s="25"/>
    </row>
    <row r="148">
      <c r="A148" s="479"/>
      <c r="B148" s="25"/>
      <c r="C148" s="25"/>
      <c r="D148" s="25"/>
      <c r="E148" s="25"/>
    </row>
    <row r="149">
      <c r="A149" s="479"/>
      <c r="B149" s="25"/>
      <c r="C149" s="25"/>
      <c r="D149" s="430"/>
      <c r="E149" s="25"/>
    </row>
    <row r="150">
      <c r="A150" s="479"/>
      <c r="B150" s="25"/>
      <c r="C150" s="25"/>
      <c r="D150" s="256"/>
      <c r="E150" s="25"/>
    </row>
    <row r="151">
      <c r="A151" s="479"/>
      <c r="B151" s="25"/>
      <c r="C151" s="25"/>
      <c r="D151" s="430"/>
      <c r="E151" s="25"/>
    </row>
    <row r="152">
      <c r="A152" s="479"/>
      <c r="B152" s="25"/>
      <c r="C152" s="25"/>
      <c r="D152" s="25"/>
      <c r="E152" s="25"/>
    </row>
    <row r="153">
      <c r="A153" s="479"/>
      <c r="B153" s="25"/>
      <c r="C153" s="25"/>
      <c r="D153" s="25"/>
      <c r="E153" s="25"/>
    </row>
    <row r="154">
      <c r="A154" s="479"/>
      <c r="B154" s="25"/>
      <c r="C154" s="25"/>
      <c r="D154" s="25"/>
      <c r="E154" s="25"/>
    </row>
    <row r="155">
      <c r="A155" s="479"/>
      <c r="B155" s="25"/>
      <c r="C155" s="25"/>
      <c r="D155" s="25"/>
      <c r="E155" s="25"/>
    </row>
    <row r="156">
      <c r="A156" s="479"/>
      <c r="B156" s="25"/>
      <c r="C156" s="25"/>
      <c r="D156" s="25"/>
      <c r="E156" s="25"/>
    </row>
    <row r="157">
      <c r="A157" s="479"/>
      <c r="B157" s="25"/>
      <c r="C157" s="25"/>
      <c r="D157" s="25"/>
      <c r="E157" s="25"/>
    </row>
    <row r="158">
      <c r="A158" s="479"/>
      <c r="B158" s="25"/>
      <c r="C158" s="25"/>
      <c r="D158" s="25"/>
      <c r="E158" s="25"/>
    </row>
    <row r="159">
      <c r="A159" s="479"/>
      <c r="B159" s="25"/>
      <c r="C159" s="25"/>
      <c r="D159" s="25"/>
      <c r="E159" s="25"/>
    </row>
    <row r="160">
      <c r="A160" s="479"/>
      <c r="B160" s="25"/>
      <c r="C160" s="25"/>
      <c r="D160" s="25"/>
      <c r="E160" s="25"/>
    </row>
    <row r="161">
      <c r="A161" s="479"/>
      <c r="B161" s="25"/>
      <c r="C161" s="25"/>
      <c r="D161" s="25"/>
      <c r="E161" s="25"/>
    </row>
    <row r="162">
      <c r="A162" s="479"/>
      <c r="B162" s="25"/>
      <c r="C162" s="25"/>
      <c r="D162" s="25"/>
      <c r="E162" s="25"/>
    </row>
    <row r="163">
      <c r="A163" s="479"/>
      <c r="B163" s="25"/>
      <c r="C163" s="25"/>
      <c r="D163" s="25"/>
      <c r="E163" s="25"/>
    </row>
    <row r="164">
      <c r="A164" s="479"/>
      <c r="B164" s="25"/>
      <c r="C164" s="25"/>
      <c r="D164" s="25"/>
      <c r="E164" s="25"/>
    </row>
    <row r="165">
      <c r="A165" s="479"/>
      <c r="B165" s="25"/>
      <c r="C165" s="25"/>
      <c r="D165" s="25"/>
      <c r="E165" s="25"/>
    </row>
    <row r="166">
      <c r="A166" s="479"/>
      <c r="B166" s="25"/>
      <c r="C166" s="25"/>
      <c r="D166" s="25"/>
      <c r="E166" s="25"/>
    </row>
    <row r="167">
      <c r="A167" s="479"/>
      <c r="B167" s="25"/>
      <c r="C167" s="25"/>
      <c r="D167" s="25"/>
      <c r="E167" s="25"/>
    </row>
    <row r="168">
      <c r="A168" s="479"/>
      <c r="B168" s="25"/>
      <c r="C168" s="25"/>
      <c r="D168" s="25"/>
      <c r="E168" s="25"/>
    </row>
    <row r="169">
      <c r="A169" s="479"/>
      <c r="B169" s="25"/>
      <c r="C169" s="25"/>
      <c r="D169" s="25"/>
      <c r="E169" s="25"/>
    </row>
    <row r="170">
      <c r="A170" s="479"/>
      <c r="B170" s="25"/>
      <c r="C170" s="25"/>
      <c r="D170" s="25"/>
      <c r="E170" s="25"/>
    </row>
    <row r="171">
      <c r="A171" s="479"/>
      <c r="B171" s="25"/>
      <c r="C171" s="25"/>
      <c r="D171" s="25"/>
      <c r="E171" s="25"/>
    </row>
    <row r="172">
      <c r="A172" s="479"/>
      <c r="B172" s="25"/>
      <c r="C172" s="25"/>
      <c r="D172" s="25"/>
      <c r="E172" s="25"/>
    </row>
    <row r="173">
      <c r="A173" s="479"/>
      <c r="B173" s="25"/>
      <c r="C173" s="25"/>
      <c r="D173" s="25"/>
      <c r="E173" s="25"/>
    </row>
    <row r="174">
      <c r="A174" s="479"/>
      <c r="B174" s="25"/>
      <c r="C174" s="25"/>
      <c r="D174" s="25"/>
      <c r="E174" s="25"/>
    </row>
    <row r="175">
      <c r="A175" s="479"/>
      <c r="B175" s="25"/>
      <c r="C175" s="25"/>
      <c r="D175" s="25"/>
      <c r="E175" s="25"/>
    </row>
    <row r="176">
      <c r="A176" s="479"/>
      <c r="B176" s="25"/>
      <c r="C176" s="25"/>
      <c r="D176" s="25"/>
      <c r="E176" s="25"/>
    </row>
    <row r="177">
      <c r="A177" s="479"/>
      <c r="B177" s="25"/>
      <c r="C177" s="25"/>
      <c r="D177" s="25"/>
      <c r="E177" s="25"/>
    </row>
    <row r="178">
      <c r="A178" s="479"/>
      <c r="B178" s="25"/>
      <c r="C178" s="25"/>
      <c r="D178" s="25"/>
      <c r="E178" s="25"/>
    </row>
    <row r="179">
      <c r="A179" s="479"/>
      <c r="B179" s="25"/>
      <c r="C179" s="25"/>
      <c r="D179" s="25"/>
      <c r="E179" s="25"/>
    </row>
    <row r="180">
      <c r="A180" s="479"/>
      <c r="B180" s="25"/>
      <c r="C180" s="25"/>
      <c r="D180" s="25"/>
      <c r="E180" s="25"/>
    </row>
    <row r="181">
      <c r="A181" s="479"/>
      <c r="B181" s="25"/>
      <c r="C181" s="25"/>
      <c r="D181" s="25"/>
      <c r="E181" s="25"/>
    </row>
    <row r="182">
      <c r="A182" s="479"/>
      <c r="B182" s="25"/>
      <c r="C182" s="25"/>
      <c r="D182" s="25"/>
      <c r="E182" s="25"/>
    </row>
    <row r="183">
      <c r="A183" s="479"/>
      <c r="B183" s="25"/>
      <c r="C183" s="25"/>
      <c r="D183" s="25"/>
      <c r="E183" s="25"/>
    </row>
    <row r="184">
      <c r="A184" s="479"/>
      <c r="B184" s="25"/>
      <c r="C184" s="25"/>
      <c r="D184" s="25"/>
      <c r="E184" s="25"/>
    </row>
    <row r="185">
      <c r="A185" s="479"/>
      <c r="B185" s="25"/>
      <c r="C185" s="25"/>
      <c r="D185" s="25"/>
      <c r="E185" s="25"/>
    </row>
    <row r="186">
      <c r="A186" s="479"/>
      <c r="B186" s="25"/>
      <c r="C186" s="25"/>
      <c r="D186" s="25"/>
      <c r="E186" s="25"/>
    </row>
    <row r="187">
      <c r="A187" s="479"/>
      <c r="B187" s="25"/>
      <c r="C187" s="25"/>
      <c r="D187" s="25"/>
      <c r="E187" s="25"/>
    </row>
    <row r="188">
      <c r="A188" s="479"/>
      <c r="B188" s="25"/>
      <c r="C188" s="25"/>
      <c r="D188" s="25"/>
      <c r="E188" s="25"/>
    </row>
    <row r="189">
      <c r="A189" s="479"/>
      <c r="B189" s="25"/>
      <c r="C189" s="25"/>
      <c r="D189" s="25"/>
      <c r="E189" s="25"/>
    </row>
    <row r="190">
      <c r="A190" s="479"/>
      <c r="B190" s="25"/>
      <c r="C190" s="25"/>
      <c r="D190" s="25"/>
      <c r="E190" s="25"/>
    </row>
    <row r="191">
      <c r="A191" s="479"/>
      <c r="B191" s="25"/>
      <c r="C191" s="25"/>
      <c r="D191" s="25"/>
      <c r="E191" s="25"/>
    </row>
    <row r="192">
      <c r="A192" s="479"/>
      <c r="B192" s="25"/>
      <c r="C192" s="25"/>
      <c r="D192" s="25"/>
      <c r="E192" s="25"/>
    </row>
    <row r="193">
      <c r="A193" s="479"/>
      <c r="B193" s="25"/>
      <c r="C193" s="25"/>
      <c r="D193" s="25"/>
      <c r="E193" s="25"/>
    </row>
    <row r="194">
      <c r="A194" s="479"/>
      <c r="B194" s="25"/>
      <c r="C194" s="25"/>
      <c r="D194" s="25"/>
      <c r="E194" s="25"/>
    </row>
    <row r="195">
      <c r="A195" s="479"/>
      <c r="B195" s="25"/>
      <c r="C195" s="25"/>
      <c r="D195" s="25"/>
      <c r="E195" s="25"/>
    </row>
    <row r="196">
      <c r="A196" s="479"/>
      <c r="B196" s="25"/>
      <c r="C196" s="25"/>
      <c r="D196" s="25"/>
      <c r="E196" s="25"/>
    </row>
    <row r="197">
      <c r="A197" s="479"/>
      <c r="B197" s="25"/>
      <c r="C197" s="25"/>
      <c r="D197" s="25"/>
      <c r="E197" s="25"/>
    </row>
    <row r="198">
      <c r="A198" s="479"/>
      <c r="B198" s="25"/>
      <c r="C198" s="25"/>
      <c r="D198" s="25"/>
      <c r="E198" s="25"/>
    </row>
    <row r="199">
      <c r="A199" s="479"/>
      <c r="B199" s="25"/>
      <c r="C199" s="25"/>
      <c r="D199" s="25"/>
      <c r="E199" s="25"/>
    </row>
    <row r="200">
      <c r="A200" s="479"/>
      <c r="B200" s="25"/>
      <c r="C200" s="25"/>
      <c r="D200" s="25"/>
      <c r="E200" s="25"/>
    </row>
    <row r="201">
      <c r="A201" s="479"/>
      <c r="B201" s="25"/>
      <c r="C201" s="25"/>
      <c r="D201" s="25"/>
      <c r="E201" s="25"/>
    </row>
    <row r="202">
      <c r="A202" s="479"/>
      <c r="B202" s="25"/>
      <c r="C202" s="25"/>
      <c r="D202" s="25"/>
      <c r="E202" s="25"/>
    </row>
    <row r="203">
      <c r="A203" s="479"/>
      <c r="B203" s="25"/>
      <c r="C203" s="25"/>
      <c r="D203" s="25"/>
      <c r="E203" s="25"/>
    </row>
    <row r="204">
      <c r="A204" s="479"/>
      <c r="B204" s="25"/>
      <c r="C204" s="25"/>
      <c r="D204" s="25"/>
      <c r="E204" s="25"/>
    </row>
    <row r="205">
      <c r="A205" s="479"/>
      <c r="B205" s="25"/>
      <c r="C205" s="25"/>
      <c r="D205" s="25"/>
      <c r="E205" s="25"/>
    </row>
    <row r="206">
      <c r="A206" s="479"/>
      <c r="B206" s="25"/>
      <c r="C206" s="25"/>
      <c r="D206" s="25"/>
      <c r="E206" s="25"/>
    </row>
    <row r="207">
      <c r="A207" s="479"/>
      <c r="B207" s="25"/>
      <c r="C207" s="25"/>
      <c r="D207" s="25"/>
      <c r="E207" s="25"/>
    </row>
    <row r="208">
      <c r="A208" s="479"/>
      <c r="B208" s="25"/>
      <c r="C208" s="25"/>
      <c r="D208" s="25"/>
      <c r="E208" s="25"/>
    </row>
    <row r="209">
      <c r="A209" s="479"/>
      <c r="B209" s="25"/>
      <c r="C209" s="25"/>
      <c r="D209" s="25"/>
      <c r="E209" s="25"/>
    </row>
    <row r="210">
      <c r="A210" s="479"/>
      <c r="B210" s="25"/>
      <c r="C210" s="25"/>
      <c r="D210" s="25"/>
      <c r="E210" s="25"/>
    </row>
    <row r="211">
      <c r="A211" s="479"/>
      <c r="B211" s="25"/>
      <c r="C211" s="25"/>
      <c r="D211" s="25"/>
      <c r="E211" s="25"/>
    </row>
    <row r="212">
      <c r="A212" s="479"/>
      <c r="B212" s="25"/>
      <c r="C212" s="25"/>
      <c r="D212" s="25"/>
      <c r="E212" s="25"/>
    </row>
    <row r="213">
      <c r="A213" s="479"/>
      <c r="B213" s="25"/>
      <c r="C213" s="25"/>
      <c r="D213" s="25"/>
      <c r="E213" s="25"/>
    </row>
    <row r="214">
      <c r="A214" s="479"/>
      <c r="B214" s="25"/>
      <c r="C214" s="25"/>
      <c r="D214" s="25"/>
      <c r="E214" s="25"/>
    </row>
    <row r="215">
      <c r="A215" s="479"/>
      <c r="B215" s="25"/>
      <c r="C215" s="25"/>
      <c r="D215" s="25"/>
      <c r="E215" s="25"/>
    </row>
    <row r="216">
      <c r="A216" s="479"/>
      <c r="B216" s="25"/>
      <c r="C216" s="25"/>
      <c r="D216" s="25"/>
      <c r="E216" s="25"/>
    </row>
    <row r="217">
      <c r="A217" s="479"/>
      <c r="B217" s="25"/>
      <c r="C217" s="25"/>
      <c r="D217" s="25"/>
      <c r="E217" s="25"/>
    </row>
    <row r="218">
      <c r="A218" s="479"/>
      <c r="B218" s="25"/>
      <c r="C218" s="25"/>
      <c r="D218" s="25"/>
      <c r="E218" s="25"/>
    </row>
    <row r="219">
      <c r="A219" s="479"/>
      <c r="B219" s="25"/>
      <c r="C219" s="25"/>
      <c r="D219" s="25"/>
      <c r="E219" s="25"/>
    </row>
    <row r="220">
      <c r="A220" s="479"/>
      <c r="B220" s="25"/>
      <c r="C220" s="25"/>
      <c r="D220" s="25"/>
      <c r="E220" s="25"/>
    </row>
    <row r="221">
      <c r="A221" s="479"/>
      <c r="B221" s="25"/>
      <c r="C221" s="25"/>
      <c r="D221" s="25"/>
      <c r="E221" s="25"/>
    </row>
    <row r="222">
      <c r="A222" s="479"/>
      <c r="B222" s="25"/>
      <c r="C222" s="25"/>
      <c r="D222" s="25"/>
      <c r="E222" s="25"/>
    </row>
    <row r="223">
      <c r="A223" s="479"/>
      <c r="B223" s="25"/>
      <c r="C223" s="25"/>
      <c r="D223" s="25"/>
      <c r="E223" s="25"/>
    </row>
    <row r="224">
      <c r="A224" s="479"/>
      <c r="B224" s="25"/>
      <c r="C224" s="25"/>
      <c r="D224" s="25"/>
      <c r="E224" s="25"/>
    </row>
    <row r="225">
      <c r="A225" s="479"/>
      <c r="B225" s="25"/>
      <c r="C225" s="25"/>
      <c r="D225" s="25"/>
      <c r="E225" s="25"/>
    </row>
    <row r="226">
      <c r="A226" s="479"/>
      <c r="B226" s="25"/>
      <c r="C226" s="25"/>
      <c r="D226" s="25"/>
      <c r="E226" s="25"/>
    </row>
    <row r="227">
      <c r="A227" s="479"/>
      <c r="B227" s="25"/>
      <c r="C227" s="25"/>
      <c r="D227" s="25"/>
      <c r="E227" s="25"/>
    </row>
    <row r="228">
      <c r="A228" s="479"/>
      <c r="B228" s="25"/>
      <c r="C228" s="25"/>
      <c r="D228" s="25"/>
      <c r="E228" s="25"/>
    </row>
    <row r="229">
      <c r="A229" s="479"/>
      <c r="B229" s="25"/>
      <c r="C229" s="25"/>
      <c r="D229" s="25"/>
      <c r="E229" s="25"/>
    </row>
    <row r="230">
      <c r="A230" s="479"/>
      <c r="B230" s="25"/>
      <c r="C230" s="25"/>
      <c r="D230" s="25"/>
      <c r="E230" s="25"/>
    </row>
    <row r="231">
      <c r="A231" s="479"/>
      <c r="B231" s="25"/>
      <c r="C231" s="25"/>
      <c r="D231" s="25"/>
      <c r="E231" s="25"/>
    </row>
    <row r="232">
      <c r="A232" s="479"/>
      <c r="B232" s="25"/>
      <c r="C232" s="25"/>
      <c r="D232" s="25"/>
      <c r="E232" s="25"/>
    </row>
    <row r="233">
      <c r="A233" s="479"/>
      <c r="B233" s="25"/>
      <c r="C233" s="25"/>
      <c r="D233" s="25"/>
      <c r="E233" s="25"/>
    </row>
    <row r="234">
      <c r="A234" s="479"/>
      <c r="B234" s="25"/>
      <c r="C234" s="25"/>
      <c r="D234" s="25"/>
      <c r="E234" s="25"/>
    </row>
    <row r="235">
      <c r="A235" s="479"/>
      <c r="B235" s="25"/>
      <c r="C235" s="25"/>
      <c r="D235" s="25"/>
      <c r="E235" s="25"/>
    </row>
    <row r="236">
      <c r="A236" s="479"/>
      <c r="B236" s="25"/>
      <c r="C236" s="25"/>
      <c r="D236" s="25"/>
      <c r="E236" s="25"/>
    </row>
    <row r="237">
      <c r="A237" s="479"/>
      <c r="B237" s="25"/>
      <c r="C237" s="25"/>
      <c r="D237" s="25"/>
      <c r="E237" s="25"/>
    </row>
    <row r="238">
      <c r="A238" s="479"/>
      <c r="B238" s="25"/>
      <c r="C238" s="25"/>
      <c r="D238" s="25"/>
      <c r="E238" s="25"/>
    </row>
    <row r="239">
      <c r="A239" s="479"/>
      <c r="B239" s="25"/>
      <c r="C239" s="25"/>
      <c r="D239" s="25"/>
      <c r="E239" s="25"/>
    </row>
    <row r="240">
      <c r="A240" s="479"/>
      <c r="B240" s="25"/>
      <c r="C240" s="25"/>
      <c r="D240" s="25"/>
      <c r="E240" s="25"/>
    </row>
    <row r="241">
      <c r="A241" s="479"/>
      <c r="B241" s="25"/>
      <c r="C241" s="25"/>
      <c r="D241" s="25"/>
      <c r="E241" s="25"/>
    </row>
    <row r="242">
      <c r="A242" s="479"/>
      <c r="B242" s="25"/>
      <c r="C242" s="25"/>
      <c r="D242" s="25"/>
      <c r="E242" s="25"/>
    </row>
    <row r="243">
      <c r="A243" s="479"/>
      <c r="B243" s="25"/>
      <c r="C243" s="25"/>
      <c r="D243" s="25"/>
      <c r="E243" s="25"/>
    </row>
    <row r="244">
      <c r="A244" s="479"/>
      <c r="B244" s="25"/>
      <c r="C244" s="25"/>
      <c r="D244" s="25"/>
      <c r="E244" s="25"/>
    </row>
    <row r="245">
      <c r="A245" s="479"/>
      <c r="B245" s="25"/>
      <c r="C245" s="25"/>
      <c r="D245" s="25"/>
      <c r="E245" s="25"/>
    </row>
    <row r="246">
      <c r="A246" s="479"/>
      <c r="B246" s="25"/>
      <c r="C246" s="25"/>
      <c r="D246" s="25"/>
      <c r="E246" s="25"/>
    </row>
    <row r="247">
      <c r="A247" s="479"/>
      <c r="B247" s="25"/>
      <c r="C247" s="25"/>
      <c r="D247" s="25"/>
      <c r="E247" s="25"/>
    </row>
    <row r="248">
      <c r="A248" s="479"/>
      <c r="B248" s="25"/>
      <c r="C248" s="25"/>
      <c r="D248" s="25"/>
      <c r="E248" s="25"/>
    </row>
    <row r="249">
      <c r="A249" s="479"/>
      <c r="B249" s="25"/>
      <c r="C249" s="25"/>
      <c r="D249" s="25"/>
      <c r="E249" s="25"/>
    </row>
    <row r="250">
      <c r="A250" s="479"/>
      <c r="B250" s="25"/>
      <c r="C250" s="25"/>
      <c r="D250" s="25"/>
      <c r="E250" s="25"/>
    </row>
    <row r="251">
      <c r="A251" s="479"/>
      <c r="B251" s="25"/>
      <c r="C251" s="25"/>
      <c r="D251" s="25"/>
      <c r="E251" s="25"/>
    </row>
    <row r="252">
      <c r="A252" s="479"/>
      <c r="B252" s="25"/>
      <c r="C252" s="25"/>
      <c r="D252" s="25"/>
      <c r="E252" s="25"/>
    </row>
    <row r="253">
      <c r="A253" s="479"/>
      <c r="B253" s="25"/>
      <c r="C253" s="25"/>
      <c r="D253" s="25"/>
      <c r="E253" s="25"/>
    </row>
    <row r="254">
      <c r="A254" s="479"/>
      <c r="B254" s="25"/>
      <c r="C254" s="25"/>
      <c r="D254" s="25"/>
      <c r="E254" s="25"/>
    </row>
    <row r="255">
      <c r="A255" s="479"/>
      <c r="B255" s="25"/>
      <c r="C255" s="25"/>
      <c r="D255" s="25"/>
      <c r="E255" s="25"/>
    </row>
    <row r="256">
      <c r="A256" s="479"/>
      <c r="B256" s="25"/>
      <c r="C256" s="25"/>
      <c r="D256" s="25"/>
      <c r="E256" s="25"/>
    </row>
    <row r="257">
      <c r="A257" s="479"/>
      <c r="B257" s="25"/>
      <c r="C257" s="25"/>
      <c r="D257" s="25"/>
      <c r="E257" s="25"/>
    </row>
    <row r="258">
      <c r="A258" s="479"/>
      <c r="B258" s="25"/>
      <c r="C258" s="25"/>
      <c r="D258" s="25"/>
      <c r="E258" s="25"/>
    </row>
    <row r="259">
      <c r="A259" s="479"/>
      <c r="B259" s="25"/>
      <c r="C259" s="25"/>
      <c r="D259" s="25"/>
      <c r="E259" s="25"/>
    </row>
    <row r="260">
      <c r="A260" s="479"/>
      <c r="B260" s="25"/>
      <c r="C260" s="25"/>
      <c r="D260" s="25"/>
      <c r="E260" s="25"/>
    </row>
    <row r="261">
      <c r="A261" s="479"/>
      <c r="B261" s="25"/>
      <c r="C261" s="25"/>
      <c r="D261" s="25"/>
      <c r="E261" s="25"/>
    </row>
    <row r="262">
      <c r="A262" s="479"/>
      <c r="B262" s="25"/>
      <c r="C262" s="25"/>
      <c r="D262" s="25"/>
      <c r="E262" s="25"/>
    </row>
    <row r="263">
      <c r="A263" s="479"/>
      <c r="B263" s="25"/>
      <c r="C263" s="25"/>
      <c r="D263" s="25"/>
      <c r="E263" s="25"/>
    </row>
    <row r="264">
      <c r="A264" s="479"/>
      <c r="B264" s="25"/>
      <c r="C264" s="25"/>
      <c r="D264" s="25"/>
      <c r="E264" s="25"/>
    </row>
    <row r="265">
      <c r="A265" s="479"/>
      <c r="B265" s="25"/>
      <c r="C265" s="25"/>
      <c r="D265" s="25"/>
      <c r="E265" s="25"/>
    </row>
    <row r="266">
      <c r="A266" s="479"/>
      <c r="B266" s="25"/>
      <c r="C266" s="25"/>
      <c r="D266" s="25"/>
      <c r="E266" s="25"/>
    </row>
    <row r="267">
      <c r="A267" s="479"/>
      <c r="B267" s="25"/>
      <c r="C267" s="25"/>
      <c r="D267" s="25"/>
      <c r="E267" s="25"/>
    </row>
    <row r="268">
      <c r="A268" s="479"/>
      <c r="B268" s="25"/>
      <c r="C268" s="25"/>
      <c r="D268" s="25"/>
      <c r="E268" s="25"/>
    </row>
    <row r="269">
      <c r="A269" s="479"/>
      <c r="B269" s="25"/>
      <c r="C269" s="25"/>
      <c r="D269" s="25"/>
      <c r="E269" s="25"/>
    </row>
    <row r="270">
      <c r="A270" s="479"/>
      <c r="B270" s="25"/>
      <c r="C270" s="25"/>
      <c r="D270" s="25"/>
      <c r="E270" s="25"/>
    </row>
    <row r="271">
      <c r="A271" s="479"/>
      <c r="B271" s="25"/>
      <c r="C271" s="25"/>
      <c r="D271" s="25"/>
      <c r="E271" s="25"/>
    </row>
    <row r="272">
      <c r="A272" s="479"/>
      <c r="B272" s="25"/>
      <c r="C272" s="25"/>
      <c r="D272" s="25"/>
      <c r="E272" s="25"/>
    </row>
    <row r="273">
      <c r="A273" s="479"/>
      <c r="B273" s="25"/>
      <c r="C273" s="25"/>
      <c r="D273" s="25"/>
      <c r="E273" s="25"/>
    </row>
    <row r="274">
      <c r="A274" s="479"/>
      <c r="B274" s="25"/>
      <c r="C274" s="25"/>
      <c r="D274" s="25"/>
      <c r="E274" s="25"/>
    </row>
    <row r="275">
      <c r="A275" s="479"/>
      <c r="B275" s="25"/>
      <c r="C275" s="25"/>
      <c r="D275" s="25"/>
      <c r="E275" s="25"/>
    </row>
    <row r="276">
      <c r="A276" s="479"/>
      <c r="B276" s="25"/>
      <c r="C276" s="25"/>
      <c r="D276" s="25"/>
      <c r="E276" s="25"/>
    </row>
    <row r="277">
      <c r="A277" s="479"/>
      <c r="B277" s="25"/>
      <c r="C277" s="25"/>
      <c r="D277" s="25"/>
      <c r="E277" s="25"/>
    </row>
    <row r="278">
      <c r="A278" s="479"/>
      <c r="B278" s="25"/>
      <c r="C278" s="25"/>
      <c r="D278" s="25"/>
      <c r="E278" s="25"/>
    </row>
    <row r="279">
      <c r="A279" s="479"/>
      <c r="B279" s="25"/>
      <c r="C279" s="25"/>
      <c r="D279" s="25"/>
      <c r="E279" s="25"/>
    </row>
    <row r="280">
      <c r="A280" s="479"/>
      <c r="B280" s="25"/>
      <c r="C280" s="25"/>
      <c r="D280" s="25"/>
      <c r="E280" s="25"/>
    </row>
    <row r="281">
      <c r="A281" s="479"/>
      <c r="B281" s="25"/>
      <c r="C281" s="25"/>
      <c r="D281" s="25"/>
      <c r="E281" s="25"/>
    </row>
    <row r="282">
      <c r="A282" s="479"/>
      <c r="B282" s="25"/>
      <c r="C282" s="25"/>
      <c r="D282" s="25"/>
      <c r="E282" s="25"/>
    </row>
    <row r="283">
      <c r="A283" s="479"/>
      <c r="B283" s="25"/>
      <c r="C283" s="25"/>
      <c r="D283" s="25"/>
      <c r="E283" s="25"/>
    </row>
    <row r="284">
      <c r="A284" s="479"/>
      <c r="B284" s="25"/>
      <c r="C284" s="25"/>
      <c r="D284" s="25"/>
      <c r="E284" s="25"/>
    </row>
    <row r="285">
      <c r="A285" s="479"/>
      <c r="B285" s="25"/>
      <c r="C285" s="25"/>
      <c r="D285" s="25"/>
      <c r="E285" s="25"/>
    </row>
    <row r="286">
      <c r="A286" s="479"/>
      <c r="B286" s="25"/>
      <c r="C286" s="25"/>
      <c r="D286" s="25"/>
      <c r="E286" s="25"/>
    </row>
    <row r="287">
      <c r="A287" s="479"/>
      <c r="B287" s="25"/>
      <c r="C287" s="25"/>
      <c r="D287" s="25"/>
      <c r="E287" s="25"/>
    </row>
    <row r="288">
      <c r="A288" s="479"/>
      <c r="B288" s="25"/>
      <c r="C288" s="25"/>
      <c r="D288" s="25"/>
      <c r="E288" s="25"/>
    </row>
    <row r="289">
      <c r="A289" s="479"/>
      <c r="B289" s="25"/>
      <c r="C289" s="25"/>
      <c r="D289" s="25"/>
      <c r="E289" s="25"/>
    </row>
    <row r="290">
      <c r="A290" s="479"/>
      <c r="B290" s="25"/>
      <c r="C290" s="25"/>
      <c r="D290" s="25"/>
      <c r="E290" s="25"/>
    </row>
    <row r="291">
      <c r="A291" s="479"/>
      <c r="B291" s="25"/>
      <c r="C291" s="25"/>
      <c r="D291" s="25"/>
      <c r="E291" s="25"/>
    </row>
    <row r="292">
      <c r="A292" s="479"/>
      <c r="B292" s="25"/>
      <c r="C292" s="25"/>
      <c r="D292" s="25"/>
      <c r="E292" s="25"/>
    </row>
    <row r="293">
      <c r="A293" s="479"/>
      <c r="B293" s="25"/>
      <c r="C293" s="25"/>
      <c r="D293" s="25"/>
      <c r="E293" s="25"/>
    </row>
    <row r="294">
      <c r="A294" s="479"/>
      <c r="B294" s="25"/>
      <c r="C294" s="25"/>
      <c r="D294" s="25"/>
      <c r="E294" s="25"/>
    </row>
    <row r="295">
      <c r="A295" s="479"/>
      <c r="B295" s="25"/>
      <c r="C295" s="25"/>
      <c r="D295" s="25"/>
      <c r="E295" s="25"/>
    </row>
    <row r="296">
      <c r="A296" s="479"/>
      <c r="B296" s="25"/>
      <c r="C296" s="25"/>
      <c r="D296" s="25"/>
      <c r="E296" s="25"/>
    </row>
    <row r="297">
      <c r="A297" s="479"/>
      <c r="B297" s="25"/>
      <c r="C297" s="25"/>
      <c r="D297" s="25"/>
      <c r="E297" s="25"/>
    </row>
    <row r="298">
      <c r="A298" s="479"/>
      <c r="B298" s="25"/>
      <c r="C298" s="25"/>
      <c r="D298" s="25"/>
      <c r="E298" s="25"/>
    </row>
    <row r="299">
      <c r="A299" s="479"/>
      <c r="B299" s="25"/>
      <c r="C299" s="25"/>
      <c r="D299" s="25"/>
      <c r="E299" s="25"/>
    </row>
    <row r="300">
      <c r="A300" s="479"/>
      <c r="B300" s="25"/>
      <c r="C300" s="25"/>
      <c r="D300" s="25"/>
      <c r="E300" s="25"/>
    </row>
    <row r="301">
      <c r="A301" s="479"/>
      <c r="B301" s="25"/>
      <c r="C301" s="25"/>
      <c r="D301" s="25"/>
      <c r="E301" s="25"/>
    </row>
    <row r="302">
      <c r="A302" s="479"/>
      <c r="B302" s="25"/>
      <c r="C302" s="25"/>
      <c r="D302" s="25"/>
      <c r="E302" s="25"/>
    </row>
    <row r="303">
      <c r="A303" s="479"/>
      <c r="B303" s="25"/>
      <c r="C303" s="25"/>
      <c r="D303" s="25"/>
      <c r="E303" s="25"/>
    </row>
    <row r="304">
      <c r="A304" s="479"/>
      <c r="B304" s="25"/>
      <c r="C304" s="25"/>
      <c r="D304" s="25"/>
      <c r="E304" s="25"/>
    </row>
    <row r="305">
      <c r="A305" s="479"/>
      <c r="B305" s="25"/>
      <c r="C305" s="25"/>
      <c r="D305" s="25"/>
      <c r="E305" s="25"/>
    </row>
    <row r="306">
      <c r="A306" s="479"/>
      <c r="B306" s="25"/>
      <c r="C306" s="25"/>
      <c r="D306" s="25"/>
      <c r="E306" s="25"/>
    </row>
    <row r="307">
      <c r="A307" s="479"/>
      <c r="B307" s="25"/>
      <c r="C307" s="25"/>
      <c r="D307" s="25"/>
      <c r="E307" s="25"/>
    </row>
    <row r="308">
      <c r="A308" s="479"/>
      <c r="B308" s="25"/>
      <c r="C308" s="25"/>
      <c r="D308" s="25"/>
      <c r="E308" s="25"/>
    </row>
    <row r="309">
      <c r="A309" s="479"/>
      <c r="B309" s="25"/>
      <c r="C309" s="25"/>
      <c r="D309" s="25"/>
      <c r="E309" s="25"/>
    </row>
    <row r="310">
      <c r="A310" s="479"/>
      <c r="B310" s="25"/>
      <c r="C310" s="25"/>
      <c r="D310" s="25"/>
      <c r="E310" s="25"/>
    </row>
    <row r="311">
      <c r="A311" s="479"/>
      <c r="B311" s="25"/>
      <c r="C311" s="25"/>
      <c r="D311" s="25"/>
      <c r="E311" s="25"/>
    </row>
    <row r="312">
      <c r="A312" s="479"/>
      <c r="B312" s="25"/>
      <c r="C312" s="25"/>
      <c r="D312" s="25"/>
      <c r="E312" s="25"/>
    </row>
    <row r="313">
      <c r="A313" s="479"/>
      <c r="B313" s="25"/>
      <c r="C313" s="25"/>
      <c r="D313" s="25"/>
      <c r="E313" s="25"/>
    </row>
    <row r="314">
      <c r="A314" s="479"/>
      <c r="B314" s="25"/>
      <c r="C314" s="25"/>
      <c r="D314" s="25"/>
      <c r="E314" s="25"/>
    </row>
    <row r="315">
      <c r="A315" s="479"/>
      <c r="B315" s="25"/>
      <c r="C315" s="25"/>
      <c r="D315" s="25"/>
      <c r="E315" s="25"/>
    </row>
    <row r="316">
      <c r="A316" s="479"/>
      <c r="B316" s="25"/>
      <c r="C316" s="25"/>
      <c r="D316" s="25"/>
      <c r="E316" s="25"/>
    </row>
    <row r="317">
      <c r="A317" s="479"/>
      <c r="B317" s="25"/>
      <c r="C317" s="25"/>
      <c r="D317" s="25"/>
      <c r="E317" s="25"/>
    </row>
    <row r="318">
      <c r="A318" s="479"/>
      <c r="B318" s="25"/>
      <c r="C318" s="25"/>
      <c r="D318" s="25"/>
      <c r="E318" s="25"/>
    </row>
    <row r="319">
      <c r="A319" s="479"/>
      <c r="B319" s="25"/>
      <c r="C319" s="25"/>
      <c r="D319" s="25"/>
      <c r="E319" s="25"/>
    </row>
    <row r="320">
      <c r="A320" s="479"/>
      <c r="B320" s="25"/>
      <c r="C320" s="25"/>
      <c r="D320" s="25"/>
      <c r="E320" s="25"/>
    </row>
    <row r="321">
      <c r="A321" s="479"/>
      <c r="B321" s="25"/>
      <c r="C321" s="25"/>
      <c r="D321" s="25"/>
      <c r="E321" s="25"/>
    </row>
    <row r="322">
      <c r="A322" s="479"/>
      <c r="B322" s="25"/>
      <c r="C322" s="25"/>
      <c r="D322" s="25"/>
      <c r="E322" s="25"/>
    </row>
    <row r="323">
      <c r="A323" s="479"/>
      <c r="B323" s="25"/>
      <c r="C323" s="25"/>
      <c r="D323" s="25"/>
      <c r="E323" s="25"/>
    </row>
    <row r="324">
      <c r="A324" s="479"/>
      <c r="B324" s="25"/>
      <c r="C324" s="25"/>
      <c r="D324" s="25"/>
      <c r="E324" s="25"/>
    </row>
    <row r="325">
      <c r="A325" s="479"/>
      <c r="B325" s="25"/>
      <c r="C325" s="25"/>
      <c r="D325" s="25"/>
      <c r="E325" s="25"/>
    </row>
    <row r="326">
      <c r="A326" s="479"/>
      <c r="B326" s="25"/>
      <c r="C326" s="25"/>
      <c r="D326" s="25"/>
      <c r="E326" s="25"/>
    </row>
    <row r="327">
      <c r="A327" s="479"/>
      <c r="B327" s="25"/>
      <c r="C327" s="25"/>
      <c r="D327" s="25"/>
      <c r="E327" s="25"/>
    </row>
    <row r="328">
      <c r="A328" s="479"/>
      <c r="B328" s="25"/>
      <c r="C328" s="25"/>
      <c r="D328" s="25"/>
      <c r="E328" s="25"/>
    </row>
    <row r="329">
      <c r="A329" s="479"/>
      <c r="B329" s="25"/>
      <c r="C329" s="25"/>
      <c r="D329" s="25"/>
      <c r="E329" s="25"/>
    </row>
    <row r="330">
      <c r="A330" s="479"/>
      <c r="B330" s="25"/>
      <c r="C330" s="25"/>
      <c r="D330" s="25"/>
      <c r="E330" s="25"/>
    </row>
    <row r="331">
      <c r="A331" s="479"/>
      <c r="B331" s="25"/>
      <c r="C331" s="25"/>
      <c r="D331" s="25"/>
      <c r="E331" s="25"/>
    </row>
    <row r="332">
      <c r="A332" s="479"/>
      <c r="B332" s="25"/>
      <c r="C332" s="25"/>
      <c r="D332" s="25"/>
      <c r="E332" s="25"/>
    </row>
    <row r="333">
      <c r="A333" s="479"/>
      <c r="B333" s="25"/>
      <c r="C333" s="25"/>
      <c r="D333" s="25"/>
      <c r="E333" s="25"/>
    </row>
    <row r="334">
      <c r="A334" s="479"/>
      <c r="B334" s="25"/>
      <c r="C334" s="25"/>
      <c r="D334" s="25"/>
      <c r="E334" s="25"/>
    </row>
    <row r="335">
      <c r="A335" s="479"/>
      <c r="B335" s="25"/>
      <c r="C335" s="25"/>
      <c r="D335" s="25"/>
      <c r="E335" s="25"/>
    </row>
    <row r="336">
      <c r="A336" s="479"/>
      <c r="B336" s="25"/>
      <c r="C336" s="25"/>
      <c r="D336" s="25"/>
      <c r="E336" s="25"/>
    </row>
    <row r="337">
      <c r="A337" s="479"/>
      <c r="B337" s="25"/>
      <c r="C337" s="25"/>
      <c r="D337" s="25"/>
      <c r="E337" s="25"/>
    </row>
    <row r="338">
      <c r="A338" s="479"/>
      <c r="B338" s="25"/>
      <c r="C338" s="25"/>
      <c r="D338" s="25"/>
      <c r="E338" s="25"/>
    </row>
    <row r="339">
      <c r="A339" s="479"/>
      <c r="B339" s="25"/>
      <c r="C339" s="25"/>
      <c r="D339" s="25"/>
      <c r="E339" s="25"/>
    </row>
    <row r="340">
      <c r="A340" s="479"/>
      <c r="B340" s="25"/>
      <c r="C340" s="25"/>
      <c r="D340" s="25"/>
      <c r="E340" s="25"/>
    </row>
    <row r="341">
      <c r="A341" s="479"/>
      <c r="B341" s="25"/>
      <c r="C341" s="25"/>
      <c r="D341" s="25"/>
      <c r="E341" s="25"/>
    </row>
    <row r="342">
      <c r="A342" s="479"/>
      <c r="B342" s="25"/>
      <c r="C342" s="25"/>
      <c r="D342" s="25"/>
      <c r="E342" s="25"/>
    </row>
    <row r="343">
      <c r="A343" s="479"/>
      <c r="B343" s="25"/>
      <c r="C343" s="25"/>
      <c r="D343" s="25"/>
      <c r="E343" s="25"/>
    </row>
    <row r="344">
      <c r="A344" s="479"/>
      <c r="B344" s="25"/>
      <c r="C344" s="25"/>
      <c r="D344" s="25"/>
      <c r="E344" s="25"/>
    </row>
    <row r="345">
      <c r="A345" s="479"/>
      <c r="B345" s="25"/>
      <c r="C345" s="25"/>
      <c r="D345" s="25"/>
      <c r="E345" s="25"/>
    </row>
    <row r="346">
      <c r="A346" s="479"/>
      <c r="B346" s="25"/>
      <c r="C346" s="25"/>
      <c r="D346" s="25"/>
      <c r="E346" s="25"/>
    </row>
    <row r="347">
      <c r="A347" s="479"/>
      <c r="B347" s="25"/>
      <c r="C347" s="25"/>
      <c r="D347" s="25"/>
      <c r="E347" s="25"/>
    </row>
    <row r="348">
      <c r="A348" s="479"/>
      <c r="B348" s="25"/>
      <c r="C348" s="25"/>
      <c r="D348" s="25"/>
      <c r="E348" s="25"/>
    </row>
    <row r="349">
      <c r="A349" s="479"/>
      <c r="B349" s="25"/>
      <c r="C349" s="25"/>
      <c r="D349" s="25"/>
      <c r="E349" s="25"/>
    </row>
    <row r="350">
      <c r="A350" s="479"/>
      <c r="B350" s="25"/>
      <c r="C350" s="25"/>
      <c r="D350" s="25"/>
      <c r="E350" s="25"/>
    </row>
    <row r="351">
      <c r="A351" s="479"/>
      <c r="B351" s="25"/>
      <c r="C351" s="25"/>
      <c r="D351" s="25"/>
      <c r="E351" s="25"/>
    </row>
    <row r="352">
      <c r="A352" s="479"/>
      <c r="B352" s="25"/>
      <c r="C352" s="25"/>
      <c r="E352" s="25"/>
    </row>
    <row r="353">
      <c r="A353" s="488"/>
      <c r="B353" s="25"/>
      <c r="C353" s="25"/>
      <c r="E353" s="25"/>
    </row>
    <row r="354">
      <c r="A354" s="488"/>
      <c r="B354" s="25"/>
      <c r="C354" s="25"/>
      <c r="E354" s="25"/>
    </row>
    <row r="355">
      <c r="A355" s="488"/>
      <c r="B355" s="25"/>
      <c r="C355" s="25"/>
      <c r="E355" s="25"/>
    </row>
    <row r="356">
      <c r="A356" s="488"/>
      <c r="B356" s="25"/>
      <c r="C356" s="25"/>
      <c r="E356" s="25"/>
    </row>
    <row r="357">
      <c r="A357" s="488"/>
      <c r="B357" s="25"/>
      <c r="C357" s="25"/>
      <c r="E357" s="25"/>
    </row>
    <row r="358">
      <c r="A358" s="488"/>
      <c r="B358" s="25"/>
      <c r="C358" s="25"/>
      <c r="E358" s="25"/>
    </row>
    <row r="359">
      <c r="A359" s="488"/>
      <c r="B359" s="25"/>
      <c r="C359" s="25"/>
      <c r="E359" s="25"/>
    </row>
    <row r="360">
      <c r="A360" s="488"/>
      <c r="B360" s="25"/>
      <c r="C360" s="25"/>
      <c r="E360" s="25"/>
    </row>
    <row r="361">
      <c r="A361" s="488"/>
      <c r="B361" s="25"/>
      <c r="C361" s="25"/>
      <c r="E361" s="25"/>
    </row>
    <row r="362">
      <c r="A362" s="488"/>
      <c r="B362" s="25"/>
      <c r="C362" s="25"/>
      <c r="E362" s="25"/>
    </row>
    <row r="363">
      <c r="A363" s="488"/>
      <c r="B363" s="25"/>
      <c r="C363" s="25"/>
      <c r="E363" s="25"/>
    </row>
    <row r="364">
      <c r="A364" s="488"/>
      <c r="B364" s="25"/>
      <c r="C364" s="25"/>
      <c r="E364" s="25"/>
    </row>
    <row r="365">
      <c r="A365" s="488"/>
      <c r="B365" s="25"/>
      <c r="C365" s="25"/>
      <c r="E365" s="25"/>
    </row>
    <row r="366">
      <c r="A366" s="488"/>
      <c r="B366" s="25"/>
      <c r="C366" s="25"/>
      <c r="E366" s="25"/>
    </row>
    <row r="367">
      <c r="A367" s="488"/>
      <c r="B367" s="25"/>
      <c r="C367" s="25"/>
      <c r="E367" s="25"/>
    </row>
    <row r="368">
      <c r="A368" s="488"/>
      <c r="B368" s="25"/>
      <c r="C368" s="25"/>
      <c r="E368" s="25"/>
    </row>
    <row r="369">
      <c r="A369" s="488"/>
      <c r="B369" s="25"/>
      <c r="C369" s="25"/>
      <c r="E369" s="25"/>
    </row>
    <row r="370">
      <c r="A370" s="488"/>
      <c r="B370" s="25"/>
      <c r="C370" s="25"/>
      <c r="E370" s="25"/>
    </row>
    <row r="371">
      <c r="A371" s="488"/>
      <c r="B371" s="25"/>
      <c r="C371" s="25"/>
      <c r="E371" s="25"/>
    </row>
    <row r="372">
      <c r="A372" s="488"/>
      <c r="B372" s="25"/>
      <c r="C372" s="25"/>
      <c r="E372" s="25"/>
    </row>
    <row r="373">
      <c r="A373" s="488"/>
      <c r="B373" s="25"/>
      <c r="C373" s="25"/>
      <c r="E373" s="25"/>
    </row>
    <row r="374">
      <c r="A374" s="488"/>
      <c r="B374" s="25"/>
      <c r="C374" s="25"/>
      <c r="E374" s="25"/>
    </row>
    <row r="375">
      <c r="A375" s="488"/>
      <c r="B375" s="25"/>
      <c r="C375" s="25"/>
      <c r="E375" s="25"/>
    </row>
    <row r="376">
      <c r="A376" s="488"/>
      <c r="B376" s="25"/>
      <c r="C376" s="25"/>
      <c r="E376" s="25"/>
    </row>
    <row r="377">
      <c r="A377" s="488"/>
      <c r="B377" s="25"/>
      <c r="C377" s="25"/>
      <c r="E377" s="25"/>
    </row>
    <row r="378">
      <c r="A378" s="488"/>
      <c r="B378" s="25"/>
      <c r="C378" s="25"/>
      <c r="E378" s="25"/>
    </row>
    <row r="379">
      <c r="A379" s="488"/>
      <c r="B379" s="25"/>
      <c r="C379" s="25"/>
      <c r="E379" s="25"/>
    </row>
    <row r="380">
      <c r="A380" s="488"/>
      <c r="B380" s="25"/>
      <c r="C380" s="25"/>
      <c r="E380" s="25"/>
    </row>
    <row r="381">
      <c r="A381" s="488"/>
      <c r="B381" s="25"/>
      <c r="C381" s="25"/>
      <c r="E381" s="25"/>
    </row>
    <row r="382">
      <c r="A382" s="488"/>
      <c r="B382" s="25"/>
      <c r="C382" s="25"/>
      <c r="E382" s="25"/>
    </row>
    <row r="383">
      <c r="A383" s="488"/>
      <c r="B383" s="25"/>
      <c r="C383" s="25"/>
      <c r="E383" s="25"/>
    </row>
    <row r="384">
      <c r="A384" s="488"/>
      <c r="B384" s="25"/>
      <c r="C384" s="25"/>
      <c r="E384" s="25"/>
    </row>
    <row r="385">
      <c r="A385" s="488"/>
      <c r="B385" s="25"/>
      <c r="C385" s="25"/>
      <c r="E385" s="25"/>
    </row>
    <row r="386">
      <c r="A386" s="488"/>
      <c r="B386" s="25"/>
      <c r="C386" s="25"/>
      <c r="E386" s="25"/>
    </row>
    <row r="387">
      <c r="A387" s="488"/>
      <c r="B387" s="25"/>
      <c r="C387" s="25"/>
      <c r="E387" s="25"/>
    </row>
    <row r="388">
      <c r="A388" s="488"/>
      <c r="B388" s="25"/>
      <c r="C388" s="25"/>
      <c r="E388" s="25"/>
    </row>
    <row r="389">
      <c r="A389" s="488"/>
      <c r="B389" s="25"/>
      <c r="C389" s="25"/>
      <c r="E389" s="25"/>
    </row>
    <row r="390">
      <c r="A390" s="488"/>
      <c r="B390" s="25"/>
      <c r="C390" s="25"/>
      <c r="E390" s="25"/>
    </row>
    <row r="391">
      <c r="A391" s="488"/>
      <c r="B391" s="25"/>
      <c r="C391" s="25"/>
      <c r="E391" s="25"/>
    </row>
    <row r="392">
      <c r="A392" s="488"/>
      <c r="B392" s="25"/>
      <c r="C392" s="25"/>
      <c r="E392" s="25"/>
    </row>
    <row r="393">
      <c r="A393" s="488"/>
      <c r="B393" s="25"/>
      <c r="C393" s="25"/>
      <c r="E393" s="25"/>
    </row>
    <row r="394">
      <c r="A394" s="488"/>
      <c r="B394" s="25"/>
      <c r="C394" s="25"/>
      <c r="E394" s="25"/>
    </row>
    <row r="395">
      <c r="A395" s="488"/>
      <c r="B395" s="25"/>
      <c r="C395" s="25"/>
      <c r="E395" s="25"/>
    </row>
    <row r="396">
      <c r="A396" s="488"/>
      <c r="B396" s="25"/>
      <c r="C396" s="25"/>
      <c r="E396" s="25"/>
    </row>
    <row r="397">
      <c r="A397" s="488"/>
      <c r="B397" s="25"/>
      <c r="C397" s="25"/>
      <c r="E397" s="25"/>
    </row>
    <row r="398">
      <c r="A398" s="488"/>
      <c r="B398" s="25"/>
      <c r="C398" s="25"/>
      <c r="E398" s="25"/>
    </row>
    <row r="399">
      <c r="A399" s="488"/>
      <c r="B399" s="25"/>
      <c r="C399" s="25"/>
      <c r="E399" s="25"/>
    </row>
    <row r="400">
      <c r="A400" s="488"/>
      <c r="B400" s="25"/>
      <c r="C400" s="25"/>
      <c r="E400" s="25"/>
    </row>
    <row r="401">
      <c r="A401" s="488"/>
      <c r="B401" s="25"/>
      <c r="C401" s="25"/>
      <c r="E401" s="25"/>
    </row>
    <row r="402">
      <c r="A402" s="488"/>
      <c r="B402" s="25"/>
      <c r="C402" s="25"/>
      <c r="E402" s="25"/>
    </row>
    <row r="403">
      <c r="A403" s="488"/>
      <c r="B403" s="25"/>
      <c r="C403" s="25"/>
      <c r="E403" s="25"/>
    </row>
    <row r="404">
      <c r="A404" s="488"/>
      <c r="B404" s="25"/>
      <c r="C404" s="25"/>
      <c r="E404" s="25"/>
    </row>
    <row r="405">
      <c r="A405" s="488"/>
      <c r="B405" s="25"/>
      <c r="C405" s="25"/>
      <c r="E405" s="25"/>
    </row>
    <row r="406">
      <c r="A406" s="488"/>
      <c r="B406" s="25"/>
      <c r="C406" s="25"/>
      <c r="E406" s="25"/>
    </row>
    <row r="407">
      <c r="A407" s="488"/>
      <c r="B407" s="25"/>
      <c r="C407" s="25"/>
      <c r="E407" s="25"/>
    </row>
    <row r="408">
      <c r="A408" s="488"/>
      <c r="B408" s="25"/>
      <c r="C408" s="25"/>
      <c r="E408" s="25"/>
    </row>
    <row r="409">
      <c r="A409" s="488"/>
      <c r="B409" s="25"/>
      <c r="C409" s="25"/>
      <c r="E409" s="25"/>
    </row>
    <row r="410">
      <c r="A410" s="488"/>
      <c r="B410" s="25"/>
      <c r="C410" s="25"/>
      <c r="E410" s="25"/>
    </row>
    <row r="411">
      <c r="A411" s="488"/>
      <c r="B411" s="25"/>
      <c r="C411" s="25"/>
      <c r="E411" s="25"/>
    </row>
    <row r="412">
      <c r="A412" s="488"/>
      <c r="B412" s="25"/>
      <c r="C412" s="25"/>
      <c r="E412" s="25"/>
    </row>
    <row r="413">
      <c r="A413" s="488"/>
      <c r="B413" s="25"/>
      <c r="C413" s="25"/>
      <c r="E413" s="25"/>
    </row>
    <row r="414">
      <c r="A414" s="488"/>
      <c r="B414" s="25"/>
      <c r="C414" s="25"/>
      <c r="E414" s="25"/>
    </row>
    <row r="415">
      <c r="A415" s="488"/>
      <c r="B415" s="25"/>
      <c r="C415" s="25"/>
      <c r="E415" s="25"/>
    </row>
    <row r="416">
      <c r="A416" s="488"/>
      <c r="B416" s="25"/>
      <c r="C416" s="25"/>
      <c r="E416" s="25"/>
    </row>
    <row r="417">
      <c r="A417" s="488"/>
      <c r="B417" s="25"/>
      <c r="C417" s="25"/>
      <c r="E417" s="25"/>
    </row>
    <row r="418">
      <c r="A418" s="488"/>
      <c r="B418" s="25"/>
      <c r="C418" s="25"/>
      <c r="E418" s="25"/>
    </row>
    <row r="419">
      <c r="A419" s="488"/>
      <c r="B419" s="25"/>
      <c r="C419" s="25"/>
      <c r="E419" s="25"/>
    </row>
    <row r="420">
      <c r="A420" s="488"/>
      <c r="B420" s="25"/>
      <c r="C420" s="25"/>
      <c r="E420" s="25"/>
    </row>
    <row r="421">
      <c r="A421" s="488"/>
      <c r="B421" s="25"/>
      <c r="C421" s="25"/>
      <c r="E421" s="25"/>
    </row>
    <row r="422">
      <c r="A422" s="488"/>
      <c r="B422" s="25"/>
      <c r="C422" s="25"/>
      <c r="E422" s="25"/>
    </row>
    <row r="423">
      <c r="A423" s="488"/>
      <c r="B423" s="25"/>
      <c r="C423" s="25"/>
      <c r="E423" s="25"/>
    </row>
    <row r="424">
      <c r="A424" s="488"/>
      <c r="B424" s="25"/>
      <c r="C424" s="25"/>
      <c r="E424" s="25"/>
    </row>
    <row r="425">
      <c r="A425" s="488"/>
      <c r="B425" s="25"/>
      <c r="C425" s="25"/>
      <c r="E425" s="25"/>
    </row>
    <row r="426">
      <c r="A426" s="488"/>
      <c r="B426" s="25"/>
      <c r="C426" s="25"/>
      <c r="E426" s="25"/>
    </row>
    <row r="427">
      <c r="A427" s="488"/>
      <c r="B427" s="25"/>
      <c r="C427" s="25"/>
      <c r="E427" s="25"/>
    </row>
    <row r="428">
      <c r="A428" s="488"/>
      <c r="B428" s="25"/>
      <c r="C428" s="25"/>
      <c r="E428" s="25"/>
    </row>
    <row r="429">
      <c r="A429" s="488"/>
      <c r="B429" s="25"/>
      <c r="C429" s="25"/>
      <c r="E429" s="25"/>
    </row>
    <row r="430">
      <c r="A430" s="488"/>
      <c r="B430" s="25"/>
      <c r="C430" s="25"/>
      <c r="E430" s="25"/>
    </row>
    <row r="431">
      <c r="A431" s="488"/>
      <c r="B431" s="25"/>
      <c r="C431" s="25"/>
      <c r="E431" s="25"/>
    </row>
    <row r="432">
      <c r="A432" s="488"/>
      <c r="B432" s="25"/>
      <c r="C432" s="25"/>
      <c r="E432" s="25"/>
    </row>
    <row r="433">
      <c r="A433" s="488"/>
      <c r="B433" s="25"/>
      <c r="C433" s="25"/>
      <c r="E433" s="25"/>
    </row>
    <row r="434">
      <c r="A434" s="488"/>
      <c r="B434" s="25"/>
      <c r="C434" s="25"/>
      <c r="E434" s="25"/>
    </row>
    <row r="435">
      <c r="A435" s="488"/>
      <c r="B435" s="25"/>
      <c r="C435" s="25"/>
      <c r="E435" s="25"/>
    </row>
    <row r="436">
      <c r="A436" s="488"/>
      <c r="B436" s="25"/>
      <c r="C436" s="25"/>
      <c r="E436" s="25"/>
    </row>
    <row r="437">
      <c r="A437" s="488"/>
      <c r="B437" s="25"/>
      <c r="C437" s="25"/>
      <c r="E437" s="25"/>
    </row>
    <row r="438">
      <c r="A438" s="488"/>
      <c r="B438" s="25"/>
      <c r="C438" s="25"/>
      <c r="E438" s="25"/>
    </row>
    <row r="439">
      <c r="A439" s="488"/>
      <c r="B439" s="25"/>
      <c r="C439" s="25"/>
      <c r="E439" s="25"/>
    </row>
    <row r="440">
      <c r="A440" s="488"/>
      <c r="B440" s="25"/>
      <c r="C440" s="25"/>
      <c r="E440" s="25"/>
    </row>
    <row r="441">
      <c r="A441" s="488"/>
      <c r="B441" s="25"/>
      <c r="C441" s="25"/>
      <c r="E441" s="25"/>
    </row>
    <row r="442">
      <c r="A442" s="488"/>
      <c r="B442" s="25"/>
      <c r="C442" s="25"/>
      <c r="E442" s="25"/>
    </row>
    <row r="443">
      <c r="A443" s="488"/>
      <c r="B443" s="25"/>
      <c r="C443" s="25"/>
      <c r="E443" s="25"/>
    </row>
    <row r="444">
      <c r="A444" s="488"/>
      <c r="B444" s="25"/>
      <c r="C444" s="25"/>
      <c r="E444" s="25"/>
    </row>
    <row r="445">
      <c r="A445" s="488"/>
      <c r="B445" s="25"/>
      <c r="C445" s="25"/>
      <c r="E445" s="25"/>
    </row>
    <row r="446">
      <c r="A446" s="488"/>
      <c r="B446" s="25"/>
      <c r="C446" s="25"/>
      <c r="E446" s="25"/>
    </row>
    <row r="447">
      <c r="A447" s="488"/>
      <c r="B447" s="25"/>
      <c r="C447" s="25"/>
      <c r="E447" s="25"/>
    </row>
    <row r="448">
      <c r="A448" s="488"/>
      <c r="B448" s="25"/>
      <c r="C448" s="25"/>
      <c r="E448" s="25"/>
    </row>
    <row r="449">
      <c r="A449" s="488"/>
      <c r="B449" s="25"/>
      <c r="C449" s="25"/>
      <c r="E449" s="25"/>
    </row>
    <row r="450">
      <c r="A450" s="488"/>
      <c r="B450" s="25"/>
      <c r="C450" s="25"/>
      <c r="E450" s="25"/>
    </row>
    <row r="451">
      <c r="A451" s="488"/>
      <c r="B451" s="25"/>
      <c r="C451" s="25"/>
      <c r="E451" s="25"/>
    </row>
    <row r="452">
      <c r="A452" s="488"/>
      <c r="B452" s="25"/>
      <c r="C452" s="25"/>
      <c r="E452" s="25"/>
    </row>
    <row r="453">
      <c r="A453" s="488"/>
      <c r="B453" s="25"/>
      <c r="C453" s="25"/>
      <c r="E453" s="25"/>
    </row>
    <row r="454">
      <c r="A454" s="488"/>
      <c r="B454" s="25"/>
      <c r="C454" s="25"/>
      <c r="E454" s="25"/>
    </row>
    <row r="455">
      <c r="A455" s="488"/>
      <c r="B455" s="25"/>
      <c r="C455" s="25"/>
      <c r="E455" s="25"/>
    </row>
    <row r="456">
      <c r="A456" s="488"/>
      <c r="B456" s="25"/>
      <c r="C456" s="25"/>
      <c r="E456" s="25"/>
    </row>
    <row r="457">
      <c r="A457" s="488"/>
      <c r="B457" s="25"/>
      <c r="C457" s="25"/>
      <c r="E457" s="25"/>
    </row>
    <row r="458">
      <c r="A458" s="488"/>
      <c r="B458" s="25"/>
      <c r="C458" s="25"/>
      <c r="E458" s="25"/>
    </row>
    <row r="459">
      <c r="A459" s="488"/>
      <c r="B459" s="25"/>
      <c r="C459" s="25"/>
      <c r="E459" s="25"/>
    </row>
    <row r="460">
      <c r="A460" s="488"/>
      <c r="B460" s="25"/>
      <c r="C460" s="25"/>
      <c r="E460" s="25"/>
    </row>
    <row r="461">
      <c r="A461" s="488"/>
      <c r="B461" s="25"/>
      <c r="C461" s="25"/>
      <c r="E461" s="25"/>
    </row>
    <row r="462">
      <c r="A462" s="488"/>
      <c r="B462" s="25"/>
      <c r="C462" s="25"/>
      <c r="E462" s="25"/>
    </row>
    <row r="463">
      <c r="A463" s="488"/>
      <c r="B463" s="25"/>
      <c r="C463" s="25"/>
      <c r="E463" s="25"/>
    </row>
    <row r="464">
      <c r="A464" s="488"/>
      <c r="B464" s="25"/>
      <c r="C464" s="25"/>
      <c r="E464" s="25"/>
    </row>
    <row r="465">
      <c r="A465" s="488"/>
      <c r="B465" s="25"/>
      <c r="C465" s="25"/>
      <c r="E465" s="25"/>
    </row>
    <row r="466">
      <c r="A466" s="488"/>
      <c r="B466" s="25"/>
      <c r="C466" s="25"/>
      <c r="E466" s="25"/>
    </row>
    <row r="467">
      <c r="A467" s="488"/>
      <c r="B467" s="25"/>
      <c r="C467" s="25"/>
      <c r="E467" s="25"/>
    </row>
    <row r="468">
      <c r="A468" s="488"/>
      <c r="B468" s="25"/>
      <c r="C468" s="25"/>
      <c r="E468" s="25"/>
    </row>
    <row r="469">
      <c r="A469" s="488"/>
      <c r="B469" s="25"/>
      <c r="C469" s="25"/>
      <c r="E469" s="25"/>
    </row>
    <row r="470">
      <c r="A470" s="488"/>
      <c r="B470" s="25"/>
      <c r="C470" s="25"/>
      <c r="E470" s="25"/>
    </row>
    <row r="471">
      <c r="A471" s="488"/>
      <c r="B471" s="25"/>
      <c r="C471" s="25"/>
      <c r="E471" s="25"/>
    </row>
    <row r="472">
      <c r="A472" s="488"/>
      <c r="B472" s="25"/>
      <c r="C472" s="25"/>
      <c r="E472" s="25"/>
    </row>
    <row r="473">
      <c r="A473" s="488"/>
      <c r="B473" s="25"/>
      <c r="C473" s="25"/>
      <c r="E473" s="25"/>
    </row>
    <row r="474">
      <c r="A474" s="488"/>
      <c r="B474" s="25"/>
      <c r="C474" s="25"/>
      <c r="E474" s="25"/>
    </row>
    <row r="475">
      <c r="A475" s="488"/>
      <c r="B475" s="25"/>
      <c r="C475" s="25"/>
      <c r="E475" s="25"/>
    </row>
    <row r="476">
      <c r="A476" s="488"/>
      <c r="B476" s="25"/>
      <c r="C476" s="25"/>
      <c r="E476" s="25"/>
    </row>
    <row r="477">
      <c r="A477" s="488"/>
      <c r="B477" s="25"/>
      <c r="C477" s="25"/>
      <c r="E477" s="25"/>
    </row>
    <row r="478">
      <c r="A478" s="488"/>
      <c r="B478" s="25"/>
      <c r="C478" s="25"/>
      <c r="E478" s="25"/>
    </row>
    <row r="479">
      <c r="A479" s="488"/>
      <c r="B479" s="25"/>
      <c r="C479" s="25"/>
      <c r="E479" s="25"/>
    </row>
    <row r="480">
      <c r="A480" s="488"/>
      <c r="B480" s="25"/>
      <c r="C480" s="25"/>
      <c r="E480" s="25"/>
    </row>
    <row r="481">
      <c r="A481" s="488"/>
      <c r="B481" s="25"/>
      <c r="C481" s="25"/>
      <c r="E481" s="25"/>
    </row>
    <row r="482">
      <c r="A482" s="488"/>
      <c r="B482" s="25"/>
      <c r="C482" s="25"/>
      <c r="E482" s="25"/>
    </row>
    <row r="483">
      <c r="A483" s="488"/>
      <c r="B483" s="25"/>
      <c r="C483" s="25"/>
      <c r="E483" s="25"/>
    </row>
    <row r="484">
      <c r="A484" s="488"/>
      <c r="B484" s="25"/>
      <c r="C484" s="25"/>
      <c r="E484" s="25"/>
    </row>
    <row r="485">
      <c r="A485" s="488"/>
      <c r="B485" s="25"/>
      <c r="C485" s="25"/>
      <c r="E485" s="25"/>
    </row>
    <row r="486">
      <c r="A486" s="488"/>
      <c r="B486" s="25"/>
      <c r="C486" s="25"/>
      <c r="E486" s="25"/>
    </row>
    <row r="487">
      <c r="A487" s="488"/>
      <c r="B487" s="25"/>
      <c r="C487" s="25"/>
      <c r="E487" s="25"/>
    </row>
    <row r="488">
      <c r="A488" s="488"/>
      <c r="B488" s="25"/>
      <c r="C488" s="25"/>
      <c r="E488" s="25"/>
    </row>
    <row r="489">
      <c r="A489" s="488"/>
      <c r="B489" s="25"/>
      <c r="C489" s="25"/>
      <c r="E489" s="25"/>
    </row>
    <row r="490">
      <c r="A490" s="488"/>
      <c r="B490" s="25"/>
      <c r="C490" s="25"/>
      <c r="E490" s="25"/>
    </row>
    <row r="491">
      <c r="A491" s="488"/>
      <c r="B491" s="25"/>
      <c r="C491" s="25"/>
      <c r="E491" s="25"/>
    </row>
    <row r="492">
      <c r="A492" s="488"/>
      <c r="B492" s="25"/>
      <c r="C492" s="25"/>
      <c r="E492" s="25"/>
    </row>
    <row r="493">
      <c r="A493" s="488"/>
      <c r="B493" s="25"/>
      <c r="C493" s="25"/>
      <c r="E493" s="25"/>
    </row>
    <row r="494">
      <c r="A494" s="488"/>
      <c r="B494" s="25"/>
      <c r="C494" s="25"/>
      <c r="E494" s="25"/>
    </row>
    <row r="495">
      <c r="A495" s="488"/>
      <c r="B495" s="25"/>
      <c r="C495" s="25"/>
      <c r="E495" s="25"/>
    </row>
    <row r="496">
      <c r="A496" s="488"/>
      <c r="B496" s="25"/>
      <c r="C496" s="25"/>
      <c r="E496" s="25"/>
    </row>
    <row r="497">
      <c r="A497" s="488"/>
      <c r="B497" s="25"/>
      <c r="C497" s="25"/>
      <c r="E497" s="25"/>
    </row>
    <row r="498">
      <c r="A498" s="488"/>
      <c r="B498" s="25"/>
      <c r="C498" s="25"/>
      <c r="E498" s="25"/>
    </row>
    <row r="499">
      <c r="A499" s="488"/>
      <c r="B499" s="25"/>
      <c r="C499" s="25"/>
      <c r="E499" s="25"/>
    </row>
    <row r="500">
      <c r="A500" s="488"/>
      <c r="B500" s="25"/>
      <c r="C500" s="25"/>
      <c r="E500" s="25"/>
    </row>
    <row r="501">
      <c r="A501" s="488"/>
      <c r="B501" s="25"/>
      <c r="C501" s="25"/>
      <c r="E501" s="25"/>
    </row>
    <row r="502">
      <c r="A502" s="488"/>
      <c r="B502" s="25"/>
      <c r="C502" s="25"/>
      <c r="E502" s="25"/>
    </row>
    <row r="503">
      <c r="A503" s="488"/>
      <c r="B503" s="25"/>
      <c r="C503" s="25"/>
      <c r="E503" s="25"/>
    </row>
    <row r="504">
      <c r="A504" s="488"/>
      <c r="B504" s="25"/>
      <c r="C504" s="25"/>
      <c r="E504" s="25"/>
    </row>
    <row r="505">
      <c r="A505" s="488"/>
      <c r="B505" s="25"/>
      <c r="C505" s="25"/>
      <c r="E505" s="25"/>
    </row>
    <row r="506">
      <c r="A506" s="488"/>
      <c r="B506" s="25"/>
      <c r="C506" s="25"/>
      <c r="E506" s="25"/>
    </row>
    <row r="507">
      <c r="A507" s="488"/>
      <c r="B507" s="25"/>
      <c r="C507" s="25"/>
      <c r="E507" s="25"/>
    </row>
    <row r="508">
      <c r="A508" s="488"/>
      <c r="B508" s="25"/>
      <c r="C508" s="25"/>
      <c r="E508" s="25"/>
    </row>
    <row r="509">
      <c r="A509" s="488"/>
      <c r="B509" s="25"/>
      <c r="C509" s="25"/>
      <c r="E509" s="25"/>
    </row>
    <row r="510">
      <c r="A510" s="488"/>
      <c r="B510" s="25"/>
      <c r="C510" s="25"/>
      <c r="E510" s="25"/>
    </row>
    <row r="511">
      <c r="A511" s="488"/>
      <c r="B511" s="25"/>
      <c r="C511" s="25"/>
      <c r="E511" s="25"/>
    </row>
    <row r="512">
      <c r="A512" s="488"/>
      <c r="B512" s="25"/>
      <c r="C512" s="25"/>
      <c r="E512" s="25"/>
    </row>
    <row r="513">
      <c r="A513" s="488"/>
      <c r="B513" s="25"/>
      <c r="C513" s="25"/>
      <c r="E513" s="25"/>
    </row>
    <row r="514">
      <c r="A514" s="488"/>
      <c r="B514" s="25"/>
      <c r="C514" s="25"/>
      <c r="E514" s="25"/>
    </row>
    <row r="515">
      <c r="A515" s="488"/>
      <c r="B515" s="25"/>
      <c r="C515" s="25"/>
      <c r="E515" s="25"/>
    </row>
    <row r="516">
      <c r="A516" s="488"/>
      <c r="B516" s="25"/>
      <c r="C516" s="25"/>
      <c r="E516" s="25"/>
    </row>
    <row r="517">
      <c r="A517" s="488"/>
      <c r="B517" s="25"/>
      <c r="C517" s="25"/>
      <c r="E517" s="25"/>
    </row>
    <row r="518">
      <c r="A518" s="488"/>
      <c r="B518" s="25"/>
      <c r="C518" s="25"/>
      <c r="E518" s="25"/>
    </row>
    <row r="519">
      <c r="A519" s="488"/>
      <c r="B519" s="25"/>
      <c r="C519" s="25"/>
      <c r="E519" s="25"/>
    </row>
    <row r="520">
      <c r="A520" s="488"/>
      <c r="B520" s="25"/>
      <c r="C520" s="25"/>
      <c r="E520" s="25"/>
    </row>
    <row r="521">
      <c r="A521" s="488"/>
      <c r="B521" s="25"/>
      <c r="C521" s="25"/>
      <c r="E521" s="25"/>
    </row>
    <row r="522">
      <c r="A522" s="488"/>
      <c r="B522" s="25"/>
      <c r="C522" s="25"/>
      <c r="E522" s="25"/>
    </row>
    <row r="523">
      <c r="A523" s="488"/>
      <c r="B523" s="25"/>
      <c r="C523" s="25"/>
      <c r="E523" s="25"/>
    </row>
    <row r="524">
      <c r="A524" s="488"/>
      <c r="B524" s="25"/>
      <c r="C524" s="25"/>
      <c r="E524" s="25"/>
    </row>
    <row r="525">
      <c r="A525" s="488"/>
      <c r="B525" s="25"/>
      <c r="C525" s="25"/>
      <c r="E525" s="25"/>
    </row>
    <row r="526">
      <c r="A526" s="488"/>
      <c r="B526" s="25"/>
      <c r="C526" s="25"/>
      <c r="E526" s="25"/>
    </row>
    <row r="527">
      <c r="A527" s="488"/>
      <c r="B527" s="25"/>
      <c r="C527" s="25"/>
      <c r="E527" s="25"/>
    </row>
    <row r="528">
      <c r="A528" s="488"/>
      <c r="B528" s="25"/>
      <c r="C528" s="25"/>
      <c r="E528" s="25"/>
    </row>
    <row r="529">
      <c r="A529" s="488"/>
      <c r="B529" s="25"/>
      <c r="C529" s="25"/>
      <c r="E529" s="25"/>
    </row>
    <row r="530">
      <c r="A530" s="488"/>
      <c r="B530" s="25"/>
      <c r="C530" s="25"/>
      <c r="E530" s="25"/>
    </row>
    <row r="531">
      <c r="A531" s="488"/>
      <c r="B531" s="25"/>
      <c r="C531" s="25"/>
      <c r="E531" s="25"/>
    </row>
    <row r="532">
      <c r="A532" s="488"/>
      <c r="B532" s="25"/>
      <c r="C532" s="25"/>
      <c r="E532" s="25"/>
    </row>
    <row r="533">
      <c r="A533" s="488"/>
      <c r="B533" s="25"/>
      <c r="C533" s="25"/>
      <c r="E533" s="25"/>
    </row>
    <row r="534">
      <c r="A534" s="488"/>
      <c r="B534" s="25"/>
      <c r="C534" s="25"/>
      <c r="E534" s="25"/>
    </row>
    <row r="535">
      <c r="A535" s="488"/>
      <c r="B535" s="25"/>
      <c r="C535" s="25"/>
      <c r="E535" s="25"/>
    </row>
    <row r="536">
      <c r="A536" s="488"/>
      <c r="B536" s="25"/>
      <c r="C536" s="25"/>
      <c r="E536" s="25"/>
    </row>
    <row r="537">
      <c r="A537" s="488"/>
      <c r="B537" s="25"/>
      <c r="C537" s="25"/>
      <c r="E537" s="25"/>
    </row>
    <row r="538">
      <c r="A538" s="488"/>
      <c r="B538" s="25"/>
      <c r="C538" s="25"/>
      <c r="E538" s="25"/>
    </row>
    <row r="539">
      <c r="A539" s="488"/>
      <c r="B539" s="25"/>
      <c r="C539" s="25"/>
      <c r="E539" s="25"/>
    </row>
    <row r="540">
      <c r="A540" s="488"/>
      <c r="B540" s="25"/>
      <c r="C540" s="25"/>
      <c r="E540" s="25"/>
    </row>
    <row r="541">
      <c r="A541" s="488"/>
      <c r="B541" s="25"/>
      <c r="C541" s="25"/>
      <c r="E541" s="25"/>
    </row>
    <row r="542">
      <c r="A542" s="488"/>
      <c r="B542" s="25"/>
      <c r="C542" s="25"/>
      <c r="E542" s="25"/>
    </row>
    <row r="543">
      <c r="A543" s="488"/>
      <c r="B543" s="25"/>
      <c r="C543" s="25"/>
      <c r="E543" s="25"/>
    </row>
    <row r="544">
      <c r="A544" s="488"/>
      <c r="B544" s="25"/>
      <c r="C544" s="25"/>
      <c r="E544" s="25"/>
    </row>
    <row r="545">
      <c r="A545" s="488"/>
      <c r="B545" s="25"/>
      <c r="C545" s="25"/>
      <c r="E545" s="25"/>
    </row>
    <row r="546">
      <c r="A546" s="488"/>
      <c r="B546" s="25"/>
      <c r="C546" s="25"/>
      <c r="E546" s="25"/>
    </row>
    <row r="547">
      <c r="A547" s="488"/>
      <c r="B547" s="25"/>
      <c r="C547" s="25"/>
      <c r="E547" s="25"/>
    </row>
    <row r="548">
      <c r="A548" s="488"/>
      <c r="B548" s="25"/>
      <c r="C548" s="25"/>
      <c r="E548" s="25"/>
    </row>
    <row r="549">
      <c r="A549" s="488"/>
      <c r="B549" s="25"/>
      <c r="C549" s="25"/>
      <c r="E549" s="25"/>
    </row>
    <row r="550">
      <c r="A550" s="488"/>
      <c r="B550" s="25"/>
      <c r="C550" s="25"/>
      <c r="E550" s="25"/>
    </row>
    <row r="551">
      <c r="A551" s="488"/>
      <c r="B551" s="25"/>
      <c r="C551" s="25"/>
      <c r="E551" s="25"/>
    </row>
    <row r="552">
      <c r="A552" s="488"/>
      <c r="B552" s="25"/>
      <c r="C552" s="25"/>
      <c r="E552" s="25"/>
    </row>
    <row r="553">
      <c r="A553" s="488"/>
      <c r="B553" s="25"/>
      <c r="C553" s="25"/>
      <c r="E553" s="25"/>
    </row>
    <row r="554">
      <c r="A554" s="488"/>
      <c r="B554" s="25"/>
      <c r="C554" s="25"/>
      <c r="E554" s="25"/>
    </row>
    <row r="555">
      <c r="A555" s="488"/>
      <c r="B555" s="25"/>
      <c r="C555" s="25"/>
      <c r="E555" s="25"/>
    </row>
    <row r="556">
      <c r="A556" s="488"/>
      <c r="B556" s="25"/>
      <c r="C556" s="25"/>
      <c r="E556" s="25"/>
    </row>
    <row r="557">
      <c r="A557" s="488"/>
      <c r="B557" s="25"/>
      <c r="C557" s="25"/>
      <c r="E557" s="25"/>
    </row>
    <row r="558">
      <c r="A558" s="488"/>
      <c r="B558" s="25"/>
      <c r="C558" s="25"/>
      <c r="E558" s="25"/>
    </row>
    <row r="559">
      <c r="A559" s="488"/>
      <c r="B559" s="25"/>
      <c r="C559" s="25"/>
      <c r="E559" s="25"/>
    </row>
    <row r="560">
      <c r="A560" s="488"/>
      <c r="B560" s="25"/>
      <c r="C560" s="25"/>
      <c r="E560" s="25"/>
    </row>
    <row r="561">
      <c r="A561" s="488"/>
      <c r="B561" s="25"/>
      <c r="C561" s="25"/>
      <c r="E561" s="25"/>
    </row>
    <row r="562">
      <c r="A562" s="488"/>
      <c r="B562" s="25"/>
      <c r="C562" s="25"/>
      <c r="E562" s="25"/>
    </row>
    <row r="563">
      <c r="A563" s="488"/>
      <c r="B563" s="25"/>
      <c r="C563" s="25"/>
      <c r="E563" s="25"/>
    </row>
    <row r="564">
      <c r="A564" s="488"/>
      <c r="B564" s="25"/>
      <c r="C564" s="25"/>
      <c r="E564" s="25"/>
    </row>
    <row r="565">
      <c r="A565" s="488"/>
      <c r="B565" s="25"/>
      <c r="C565" s="25"/>
      <c r="E565" s="25"/>
    </row>
    <row r="566">
      <c r="A566" s="488"/>
      <c r="B566" s="25"/>
      <c r="C566" s="25"/>
      <c r="E566" s="25"/>
    </row>
    <row r="567">
      <c r="A567" s="488"/>
      <c r="B567" s="25"/>
      <c r="C567" s="25"/>
      <c r="E567" s="25"/>
    </row>
    <row r="568">
      <c r="A568" s="488"/>
      <c r="B568" s="25"/>
      <c r="C568" s="25"/>
      <c r="E568" s="25"/>
    </row>
    <row r="569">
      <c r="A569" s="488"/>
      <c r="B569" s="25"/>
      <c r="C569" s="25"/>
      <c r="E569" s="25"/>
    </row>
    <row r="570">
      <c r="A570" s="488"/>
      <c r="B570" s="25"/>
      <c r="C570" s="25"/>
      <c r="E570" s="25"/>
    </row>
    <row r="571">
      <c r="A571" s="488"/>
      <c r="B571" s="25"/>
      <c r="C571" s="25"/>
      <c r="E571" s="25"/>
    </row>
    <row r="572">
      <c r="A572" s="488"/>
      <c r="B572" s="25"/>
      <c r="C572" s="25"/>
      <c r="E572" s="25"/>
    </row>
    <row r="573">
      <c r="A573" s="488"/>
      <c r="B573" s="25"/>
      <c r="C573" s="25"/>
      <c r="E573" s="25"/>
    </row>
    <row r="574">
      <c r="A574" s="488"/>
      <c r="B574" s="25"/>
      <c r="C574" s="25"/>
      <c r="E574" s="25"/>
    </row>
    <row r="575">
      <c r="A575" s="488"/>
      <c r="B575" s="25"/>
      <c r="C575" s="25"/>
      <c r="E575" s="25"/>
    </row>
    <row r="576">
      <c r="A576" s="488"/>
      <c r="B576" s="25"/>
      <c r="C576" s="25"/>
      <c r="E576" s="25"/>
    </row>
    <row r="577">
      <c r="A577" s="488"/>
      <c r="B577" s="25"/>
      <c r="C577" s="25"/>
      <c r="E577" s="25"/>
    </row>
    <row r="578">
      <c r="A578" s="488"/>
      <c r="B578" s="25"/>
      <c r="C578" s="25"/>
      <c r="E578" s="25"/>
    </row>
    <row r="579">
      <c r="A579" s="488"/>
      <c r="B579" s="25"/>
      <c r="C579" s="25"/>
      <c r="E579" s="25"/>
    </row>
    <row r="580">
      <c r="A580" s="488"/>
      <c r="B580" s="25"/>
      <c r="C580" s="25"/>
      <c r="E580" s="25"/>
    </row>
    <row r="581">
      <c r="A581" s="488"/>
      <c r="B581" s="25"/>
      <c r="C581" s="25"/>
      <c r="E581" s="25"/>
    </row>
    <row r="582">
      <c r="A582" s="488"/>
      <c r="B582" s="25"/>
      <c r="C582" s="25"/>
      <c r="E582" s="25"/>
    </row>
    <row r="583">
      <c r="A583" s="488"/>
      <c r="B583" s="25"/>
      <c r="C583" s="25"/>
      <c r="E583" s="25"/>
    </row>
    <row r="584">
      <c r="A584" s="488"/>
      <c r="B584" s="25"/>
      <c r="C584" s="25"/>
      <c r="E584" s="25"/>
    </row>
    <row r="585">
      <c r="A585" s="488"/>
      <c r="B585" s="25"/>
      <c r="C585" s="25"/>
      <c r="E585" s="25"/>
    </row>
    <row r="586">
      <c r="A586" s="488"/>
      <c r="B586" s="25"/>
      <c r="C586" s="25"/>
      <c r="E586" s="25"/>
    </row>
    <row r="587">
      <c r="A587" s="488"/>
      <c r="B587" s="25"/>
      <c r="C587" s="25"/>
      <c r="E587" s="25"/>
    </row>
    <row r="588">
      <c r="A588" s="488"/>
      <c r="B588" s="25"/>
      <c r="C588" s="25"/>
      <c r="E588" s="25"/>
    </row>
    <row r="589">
      <c r="A589" s="488"/>
      <c r="B589" s="25"/>
      <c r="C589" s="25"/>
      <c r="E589" s="25"/>
    </row>
    <row r="590">
      <c r="A590" s="488"/>
      <c r="B590" s="25"/>
      <c r="C590" s="25"/>
      <c r="E590" s="25"/>
    </row>
    <row r="591">
      <c r="A591" s="488"/>
      <c r="B591" s="25"/>
      <c r="C591" s="25"/>
      <c r="E591" s="25"/>
    </row>
    <row r="592">
      <c r="A592" s="488"/>
      <c r="B592" s="25"/>
      <c r="C592" s="25"/>
      <c r="E592" s="25"/>
    </row>
    <row r="593">
      <c r="A593" s="488"/>
      <c r="B593" s="25"/>
      <c r="C593" s="25"/>
      <c r="E593" s="25"/>
    </row>
    <row r="594">
      <c r="A594" s="488"/>
      <c r="B594" s="25"/>
      <c r="C594" s="25"/>
      <c r="E594" s="25"/>
    </row>
    <row r="595">
      <c r="A595" s="488"/>
      <c r="B595" s="25"/>
      <c r="C595" s="25"/>
      <c r="E595" s="25"/>
    </row>
    <row r="596">
      <c r="A596" s="488"/>
      <c r="B596" s="25"/>
      <c r="C596" s="25"/>
      <c r="E596" s="25"/>
    </row>
    <row r="597">
      <c r="A597" s="488"/>
      <c r="B597" s="25"/>
      <c r="C597" s="25"/>
      <c r="E597" s="25"/>
    </row>
    <row r="598">
      <c r="A598" s="488"/>
      <c r="B598" s="25"/>
      <c r="C598" s="25"/>
      <c r="E598" s="25"/>
    </row>
    <row r="599">
      <c r="A599" s="488"/>
      <c r="B599" s="25"/>
      <c r="C599" s="25"/>
      <c r="E599" s="25"/>
    </row>
    <row r="600">
      <c r="A600" s="488"/>
      <c r="B600" s="25"/>
      <c r="C600" s="25"/>
      <c r="E600" s="25"/>
    </row>
    <row r="601">
      <c r="A601" s="488"/>
      <c r="B601" s="25"/>
      <c r="C601" s="25"/>
      <c r="E601" s="25"/>
    </row>
    <row r="602">
      <c r="A602" s="488"/>
      <c r="B602" s="25"/>
      <c r="C602" s="25"/>
      <c r="E602" s="25"/>
    </row>
    <row r="603">
      <c r="A603" s="488"/>
      <c r="B603" s="25"/>
      <c r="C603" s="25"/>
      <c r="E603" s="25"/>
    </row>
    <row r="604">
      <c r="A604" s="488"/>
      <c r="B604" s="25"/>
      <c r="C604" s="25"/>
      <c r="E604" s="25"/>
    </row>
    <row r="605">
      <c r="A605" s="488"/>
      <c r="B605" s="25"/>
      <c r="C605" s="25"/>
      <c r="E605" s="25"/>
    </row>
    <row r="606">
      <c r="A606" s="488"/>
      <c r="B606" s="25"/>
      <c r="C606" s="25"/>
      <c r="E606" s="25"/>
    </row>
    <row r="607">
      <c r="A607" s="488"/>
      <c r="B607" s="25"/>
      <c r="C607" s="25"/>
      <c r="E607" s="25"/>
    </row>
    <row r="608">
      <c r="A608" s="488"/>
      <c r="B608" s="25"/>
      <c r="C608" s="25"/>
      <c r="E608" s="25"/>
    </row>
    <row r="609">
      <c r="A609" s="488"/>
      <c r="B609" s="25"/>
      <c r="C609" s="25"/>
      <c r="E609" s="25"/>
    </row>
    <row r="610">
      <c r="A610" s="488"/>
      <c r="B610" s="25"/>
      <c r="C610" s="25"/>
      <c r="E610" s="25"/>
    </row>
    <row r="611">
      <c r="A611" s="488"/>
      <c r="B611" s="25"/>
      <c r="C611" s="25"/>
      <c r="E611" s="25"/>
    </row>
    <row r="612">
      <c r="A612" s="488"/>
      <c r="B612" s="25"/>
      <c r="C612" s="25"/>
      <c r="E612" s="25"/>
    </row>
    <row r="613">
      <c r="A613" s="488"/>
      <c r="B613" s="25"/>
      <c r="C613" s="25"/>
      <c r="E613" s="25"/>
    </row>
    <row r="614">
      <c r="A614" s="488"/>
      <c r="B614" s="25"/>
      <c r="C614" s="25"/>
      <c r="E614" s="25"/>
    </row>
    <row r="615">
      <c r="A615" s="488"/>
      <c r="B615" s="25"/>
      <c r="C615" s="25"/>
      <c r="E615" s="25"/>
    </row>
    <row r="616">
      <c r="A616" s="488"/>
      <c r="B616" s="25"/>
      <c r="C616" s="25"/>
      <c r="E616" s="25"/>
    </row>
    <row r="617">
      <c r="A617" s="488"/>
      <c r="B617" s="25"/>
      <c r="C617" s="25"/>
      <c r="E617" s="25"/>
    </row>
    <row r="618">
      <c r="A618" s="488"/>
      <c r="B618" s="25"/>
      <c r="C618" s="25"/>
      <c r="E618" s="25"/>
    </row>
    <row r="619">
      <c r="A619" s="488"/>
      <c r="B619" s="25"/>
      <c r="C619" s="25"/>
      <c r="E619" s="25"/>
    </row>
    <row r="620">
      <c r="A620" s="488"/>
      <c r="B620" s="25"/>
      <c r="C620" s="25"/>
      <c r="E620" s="25"/>
    </row>
    <row r="621">
      <c r="A621" s="488"/>
      <c r="B621" s="25"/>
      <c r="C621" s="25"/>
      <c r="E621" s="25"/>
    </row>
    <row r="622">
      <c r="A622" s="488"/>
      <c r="B622" s="25"/>
      <c r="C622" s="25"/>
      <c r="E622" s="25"/>
    </row>
    <row r="623">
      <c r="A623" s="488"/>
      <c r="B623" s="25"/>
      <c r="C623" s="25"/>
      <c r="E623" s="25"/>
    </row>
    <row r="624">
      <c r="A624" s="488"/>
      <c r="B624" s="25"/>
      <c r="C624" s="25"/>
      <c r="E624" s="25"/>
    </row>
    <row r="625">
      <c r="A625" s="488"/>
      <c r="B625" s="25"/>
      <c r="C625" s="25"/>
      <c r="E625" s="25"/>
    </row>
    <row r="626">
      <c r="A626" s="488"/>
      <c r="B626" s="25"/>
      <c r="C626" s="25"/>
      <c r="E626" s="25"/>
    </row>
    <row r="627">
      <c r="A627" s="488"/>
      <c r="B627" s="25"/>
      <c r="C627" s="25"/>
      <c r="E627" s="25"/>
    </row>
    <row r="628">
      <c r="A628" s="488"/>
      <c r="B628" s="25"/>
      <c r="C628" s="25"/>
      <c r="E628" s="25"/>
    </row>
    <row r="629">
      <c r="A629" s="488"/>
      <c r="B629" s="25"/>
      <c r="C629" s="25"/>
      <c r="E629" s="25"/>
    </row>
    <row r="630">
      <c r="A630" s="488"/>
      <c r="B630" s="25"/>
      <c r="C630" s="25"/>
      <c r="E630" s="25"/>
    </row>
    <row r="631">
      <c r="A631" s="488"/>
      <c r="B631" s="25"/>
      <c r="C631" s="25"/>
      <c r="E631" s="25"/>
    </row>
    <row r="632">
      <c r="A632" s="488"/>
      <c r="B632" s="25"/>
      <c r="C632" s="25"/>
      <c r="E632" s="25"/>
    </row>
    <row r="633">
      <c r="A633" s="488"/>
      <c r="B633" s="25"/>
      <c r="C633" s="25"/>
      <c r="E633" s="25"/>
    </row>
    <row r="634">
      <c r="A634" s="488"/>
      <c r="B634" s="25"/>
      <c r="C634" s="25"/>
      <c r="E634" s="25"/>
    </row>
    <row r="635">
      <c r="A635" s="488"/>
      <c r="B635" s="25"/>
      <c r="C635" s="25"/>
      <c r="E635" s="25"/>
    </row>
    <row r="636">
      <c r="A636" s="488"/>
      <c r="B636" s="25"/>
      <c r="C636" s="25"/>
      <c r="E636" s="25"/>
    </row>
    <row r="637">
      <c r="A637" s="488"/>
      <c r="B637" s="25"/>
      <c r="C637" s="25"/>
      <c r="E637" s="25"/>
    </row>
    <row r="638">
      <c r="A638" s="488"/>
      <c r="B638" s="25"/>
      <c r="C638" s="25"/>
      <c r="E638" s="25"/>
    </row>
    <row r="639">
      <c r="A639" s="488"/>
      <c r="B639" s="25"/>
      <c r="C639" s="25"/>
      <c r="E639" s="25"/>
    </row>
    <row r="640">
      <c r="A640" s="488"/>
      <c r="B640" s="25"/>
      <c r="C640" s="25"/>
      <c r="E640" s="25"/>
    </row>
    <row r="641">
      <c r="A641" s="488"/>
      <c r="B641" s="25"/>
      <c r="C641" s="25"/>
      <c r="E641" s="25"/>
    </row>
    <row r="642">
      <c r="A642" s="488"/>
      <c r="B642" s="25"/>
      <c r="C642" s="25"/>
      <c r="E642" s="25"/>
    </row>
    <row r="643">
      <c r="A643" s="488"/>
      <c r="B643" s="25"/>
      <c r="C643" s="25"/>
      <c r="E643" s="25"/>
    </row>
    <row r="644">
      <c r="A644" s="488"/>
      <c r="B644" s="25"/>
      <c r="C644" s="25"/>
      <c r="E644" s="25"/>
    </row>
    <row r="645">
      <c r="A645" s="488"/>
      <c r="B645" s="25"/>
      <c r="C645" s="25"/>
      <c r="E645" s="25"/>
    </row>
    <row r="646">
      <c r="A646" s="488"/>
      <c r="B646" s="25"/>
      <c r="C646" s="25"/>
      <c r="E646" s="25"/>
    </row>
    <row r="647">
      <c r="A647" s="488"/>
      <c r="B647" s="25"/>
      <c r="C647" s="25"/>
      <c r="E647" s="25"/>
    </row>
    <row r="648">
      <c r="A648" s="488"/>
      <c r="B648" s="25"/>
      <c r="C648" s="25"/>
      <c r="E648" s="25"/>
    </row>
    <row r="649">
      <c r="A649" s="488"/>
      <c r="B649" s="25"/>
      <c r="C649" s="25"/>
      <c r="E649" s="25"/>
    </row>
    <row r="650">
      <c r="A650" s="488"/>
      <c r="B650" s="25"/>
      <c r="C650" s="25"/>
      <c r="E650" s="25"/>
    </row>
    <row r="651">
      <c r="A651" s="488"/>
      <c r="B651" s="25"/>
      <c r="C651" s="25"/>
      <c r="E651" s="25"/>
    </row>
    <row r="652">
      <c r="A652" s="488"/>
      <c r="B652" s="25"/>
      <c r="C652" s="25"/>
      <c r="E652" s="25"/>
    </row>
    <row r="653">
      <c r="A653" s="488"/>
      <c r="B653" s="25"/>
      <c r="C653" s="25"/>
      <c r="E653" s="25"/>
    </row>
    <row r="654">
      <c r="A654" s="488"/>
      <c r="B654" s="25"/>
      <c r="C654" s="25"/>
      <c r="E654" s="25"/>
    </row>
    <row r="655">
      <c r="A655" s="488"/>
      <c r="B655" s="25"/>
      <c r="C655" s="25"/>
      <c r="E655" s="25"/>
    </row>
    <row r="656">
      <c r="A656" s="488"/>
      <c r="B656" s="25"/>
      <c r="C656" s="25"/>
      <c r="E656" s="25"/>
    </row>
    <row r="657">
      <c r="A657" s="488"/>
      <c r="B657" s="25"/>
      <c r="C657" s="25"/>
      <c r="E657" s="25"/>
    </row>
    <row r="658">
      <c r="A658" s="488"/>
      <c r="B658" s="25"/>
      <c r="C658" s="25"/>
      <c r="E658" s="25"/>
    </row>
    <row r="659">
      <c r="A659" s="488"/>
      <c r="B659" s="25"/>
      <c r="C659" s="25"/>
      <c r="E659" s="25"/>
    </row>
    <row r="660">
      <c r="A660" s="488"/>
      <c r="B660" s="25"/>
      <c r="C660" s="25"/>
      <c r="E660" s="25"/>
    </row>
    <row r="661">
      <c r="A661" s="488"/>
      <c r="B661" s="25"/>
      <c r="C661" s="25"/>
      <c r="E661" s="25"/>
    </row>
    <row r="662">
      <c r="A662" s="488"/>
      <c r="B662" s="25"/>
      <c r="C662" s="25"/>
      <c r="E662" s="25"/>
    </row>
    <row r="663">
      <c r="A663" s="488"/>
      <c r="B663" s="25"/>
      <c r="C663" s="25"/>
      <c r="E663" s="25"/>
    </row>
    <row r="664">
      <c r="A664" s="488"/>
      <c r="B664" s="25"/>
      <c r="C664" s="25"/>
      <c r="E664" s="25"/>
    </row>
    <row r="665">
      <c r="A665" s="488"/>
      <c r="B665" s="25"/>
      <c r="C665" s="25"/>
      <c r="E665" s="25"/>
    </row>
    <row r="666">
      <c r="A666" s="488"/>
      <c r="B666" s="25"/>
      <c r="C666" s="25"/>
      <c r="E666" s="25"/>
    </row>
    <row r="667">
      <c r="A667" s="488"/>
      <c r="B667" s="25"/>
      <c r="C667" s="25"/>
      <c r="E667" s="25"/>
    </row>
    <row r="668">
      <c r="A668" s="488"/>
      <c r="B668" s="25"/>
      <c r="C668" s="25"/>
      <c r="E668" s="25"/>
    </row>
    <row r="669">
      <c r="A669" s="488"/>
      <c r="B669" s="25"/>
      <c r="C669" s="25"/>
      <c r="E669" s="25"/>
    </row>
    <row r="670">
      <c r="A670" s="488"/>
      <c r="B670" s="25"/>
      <c r="C670" s="25"/>
      <c r="E670" s="25"/>
    </row>
    <row r="671">
      <c r="A671" s="488"/>
      <c r="B671" s="25"/>
      <c r="C671" s="25"/>
      <c r="E671" s="25"/>
    </row>
    <row r="672">
      <c r="A672" s="488"/>
      <c r="B672" s="25"/>
      <c r="C672" s="25"/>
      <c r="E672" s="25"/>
    </row>
    <row r="673">
      <c r="A673" s="488"/>
      <c r="B673" s="25"/>
      <c r="C673" s="25"/>
      <c r="E673" s="25"/>
    </row>
    <row r="674">
      <c r="A674" s="488"/>
      <c r="B674" s="25"/>
      <c r="C674" s="25"/>
      <c r="E674" s="25"/>
    </row>
    <row r="675">
      <c r="A675" s="488"/>
      <c r="B675" s="25"/>
      <c r="C675" s="25"/>
      <c r="E675" s="25"/>
    </row>
    <row r="676">
      <c r="A676" s="488"/>
      <c r="B676" s="25"/>
      <c r="C676" s="25"/>
      <c r="E676" s="25"/>
    </row>
    <row r="677">
      <c r="A677" s="488"/>
      <c r="B677" s="25"/>
      <c r="C677" s="25"/>
      <c r="E677" s="25"/>
    </row>
    <row r="678">
      <c r="A678" s="488"/>
      <c r="B678" s="25"/>
      <c r="C678" s="25"/>
      <c r="E678" s="25"/>
    </row>
    <row r="679">
      <c r="A679" s="488"/>
      <c r="B679" s="25"/>
      <c r="C679" s="25"/>
      <c r="E679" s="25"/>
    </row>
    <row r="680">
      <c r="A680" s="488"/>
      <c r="B680" s="25"/>
      <c r="C680" s="25"/>
      <c r="E680" s="25"/>
    </row>
    <row r="681">
      <c r="A681" s="488"/>
      <c r="B681" s="25"/>
      <c r="C681" s="25"/>
      <c r="E681" s="25"/>
    </row>
    <row r="682">
      <c r="A682" s="488"/>
      <c r="B682" s="25"/>
      <c r="C682" s="25"/>
      <c r="E682" s="25"/>
    </row>
    <row r="683">
      <c r="A683" s="488"/>
      <c r="B683" s="25"/>
      <c r="C683" s="25"/>
      <c r="E683" s="25"/>
    </row>
    <row r="684">
      <c r="A684" s="488"/>
      <c r="B684" s="25"/>
      <c r="C684" s="25"/>
      <c r="E684" s="25"/>
    </row>
    <row r="685">
      <c r="A685" s="488"/>
      <c r="B685" s="25"/>
      <c r="C685" s="25"/>
      <c r="E685" s="25"/>
    </row>
    <row r="686">
      <c r="A686" s="488"/>
      <c r="B686" s="25"/>
      <c r="C686" s="25"/>
      <c r="E686" s="25"/>
    </row>
    <row r="687">
      <c r="A687" s="488"/>
      <c r="B687" s="25"/>
      <c r="C687" s="25"/>
      <c r="E687" s="25"/>
    </row>
    <row r="688">
      <c r="A688" s="488"/>
      <c r="B688" s="25"/>
      <c r="C688" s="25"/>
      <c r="E688" s="25"/>
    </row>
    <row r="689">
      <c r="A689" s="488"/>
      <c r="B689" s="25"/>
      <c r="C689" s="25"/>
      <c r="E689" s="25"/>
    </row>
    <row r="690">
      <c r="A690" s="488"/>
      <c r="B690" s="25"/>
      <c r="C690" s="25"/>
      <c r="E690" s="25"/>
    </row>
    <row r="691">
      <c r="A691" s="488"/>
      <c r="B691" s="25"/>
      <c r="C691" s="25"/>
      <c r="E691" s="25"/>
    </row>
    <row r="692">
      <c r="A692" s="488"/>
      <c r="B692" s="25"/>
      <c r="C692" s="25"/>
      <c r="E692" s="25"/>
    </row>
    <row r="693">
      <c r="A693" s="488"/>
      <c r="B693" s="25"/>
      <c r="C693" s="25"/>
      <c r="E693" s="25"/>
    </row>
    <row r="694">
      <c r="A694" s="488"/>
      <c r="B694" s="25"/>
      <c r="C694" s="25"/>
      <c r="E694" s="25"/>
    </row>
    <row r="695">
      <c r="A695" s="488"/>
      <c r="B695" s="25"/>
      <c r="C695" s="25"/>
      <c r="E695" s="25"/>
    </row>
    <row r="696">
      <c r="A696" s="488"/>
      <c r="B696" s="25"/>
      <c r="C696" s="25"/>
      <c r="E696" s="25"/>
    </row>
    <row r="697">
      <c r="A697" s="488"/>
      <c r="B697" s="25"/>
      <c r="C697" s="25"/>
      <c r="E697" s="25"/>
    </row>
    <row r="698">
      <c r="A698" s="488"/>
      <c r="B698" s="25"/>
      <c r="C698" s="25"/>
      <c r="E698" s="25"/>
    </row>
    <row r="699">
      <c r="A699" s="488"/>
      <c r="B699" s="25"/>
      <c r="C699" s="25"/>
      <c r="E699" s="25"/>
    </row>
    <row r="700">
      <c r="A700" s="488"/>
      <c r="B700" s="25"/>
      <c r="C700" s="25"/>
      <c r="E700" s="25"/>
    </row>
    <row r="701">
      <c r="A701" s="488"/>
      <c r="B701" s="25"/>
      <c r="C701" s="25"/>
      <c r="E701" s="25"/>
    </row>
    <row r="702">
      <c r="A702" s="488"/>
      <c r="B702" s="25"/>
      <c r="C702" s="25"/>
      <c r="E702" s="25"/>
    </row>
    <row r="703">
      <c r="A703" s="488"/>
      <c r="B703" s="25"/>
      <c r="C703" s="25"/>
      <c r="E703" s="25"/>
    </row>
    <row r="704">
      <c r="A704" s="488"/>
      <c r="B704" s="25"/>
      <c r="C704" s="25"/>
      <c r="E704" s="25"/>
    </row>
    <row r="705">
      <c r="A705" s="488"/>
      <c r="B705" s="25"/>
      <c r="C705" s="25"/>
      <c r="E705" s="25"/>
    </row>
    <row r="706">
      <c r="A706" s="488"/>
      <c r="B706" s="25"/>
      <c r="C706" s="25"/>
      <c r="E706" s="25"/>
    </row>
    <row r="707">
      <c r="A707" s="488"/>
      <c r="B707" s="25"/>
      <c r="C707" s="25"/>
      <c r="E707" s="25"/>
    </row>
    <row r="708">
      <c r="A708" s="488"/>
      <c r="B708" s="25"/>
      <c r="C708" s="25"/>
      <c r="E708" s="25"/>
    </row>
    <row r="709">
      <c r="A709" s="488"/>
      <c r="B709" s="25"/>
      <c r="C709" s="25"/>
      <c r="E709" s="25"/>
    </row>
    <row r="710">
      <c r="A710" s="488"/>
      <c r="B710" s="25"/>
      <c r="C710" s="25"/>
      <c r="E710" s="25"/>
    </row>
    <row r="711">
      <c r="A711" s="488"/>
      <c r="B711" s="25"/>
      <c r="C711" s="25"/>
      <c r="E711" s="25"/>
    </row>
    <row r="712">
      <c r="A712" s="488"/>
      <c r="B712" s="25"/>
      <c r="C712" s="25"/>
      <c r="E712" s="25"/>
    </row>
    <row r="713">
      <c r="A713" s="488"/>
      <c r="B713" s="25"/>
      <c r="C713" s="25"/>
      <c r="E713" s="25"/>
    </row>
    <row r="714">
      <c r="A714" s="488"/>
      <c r="B714" s="25"/>
      <c r="C714" s="25"/>
      <c r="E714" s="25"/>
    </row>
    <row r="715">
      <c r="A715" s="488"/>
      <c r="B715" s="25"/>
      <c r="C715" s="25"/>
      <c r="E715" s="25"/>
    </row>
    <row r="716">
      <c r="A716" s="488"/>
      <c r="B716" s="25"/>
      <c r="C716" s="25"/>
      <c r="E716" s="25"/>
    </row>
    <row r="717">
      <c r="A717" s="488"/>
      <c r="B717" s="25"/>
      <c r="C717" s="25"/>
      <c r="E717" s="25"/>
    </row>
    <row r="718">
      <c r="A718" s="488"/>
      <c r="B718" s="25"/>
      <c r="C718" s="25"/>
      <c r="E718" s="25"/>
    </row>
    <row r="719">
      <c r="A719" s="488"/>
      <c r="B719" s="25"/>
      <c r="C719" s="25"/>
      <c r="E719" s="25"/>
    </row>
    <row r="720">
      <c r="A720" s="488"/>
      <c r="B720" s="25"/>
      <c r="C720" s="25"/>
      <c r="E720" s="25"/>
    </row>
    <row r="721">
      <c r="A721" s="488"/>
      <c r="B721" s="25"/>
      <c r="C721" s="25"/>
      <c r="E721" s="25"/>
    </row>
    <row r="722">
      <c r="A722" s="488"/>
      <c r="B722" s="25"/>
      <c r="C722" s="25"/>
      <c r="E722" s="25"/>
    </row>
    <row r="723">
      <c r="A723" s="488"/>
      <c r="B723" s="25"/>
      <c r="C723" s="25"/>
      <c r="E723" s="25"/>
    </row>
    <row r="724">
      <c r="A724" s="488"/>
      <c r="B724" s="25"/>
      <c r="C724" s="25"/>
      <c r="E724" s="25"/>
    </row>
    <row r="725">
      <c r="A725" s="488"/>
      <c r="B725" s="25"/>
      <c r="C725" s="25"/>
      <c r="E725" s="25"/>
    </row>
    <row r="726">
      <c r="A726" s="488"/>
      <c r="B726" s="25"/>
      <c r="C726" s="25"/>
      <c r="E726" s="25"/>
    </row>
    <row r="727">
      <c r="A727" s="488"/>
      <c r="B727" s="25"/>
      <c r="C727" s="25"/>
      <c r="E727" s="25"/>
    </row>
    <row r="728">
      <c r="A728" s="488"/>
      <c r="B728" s="25"/>
      <c r="C728" s="25"/>
      <c r="E728" s="25"/>
    </row>
    <row r="729">
      <c r="A729" s="488"/>
      <c r="B729" s="25"/>
      <c r="C729" s="25"/>
      <c r="E729" s="25"/>
    </row>
    <row r="730">
      <c r="A730" s="488"/>
      <c r="B730" s="25"/>
      <c r="C730" s="25"/>
      <c r="E730" s="25"/>
    </row>
    <row r="731">
      <c r="A731" s="488"/>
      <c r="B731" s="25"/>
      <c r="C731" s="25"/>
      <c r="E731" s="25"/>
    </row>
    <row r="732">
      <c r="A732" s="488"/>
      <c r="B732" s="25"/>
      <c r="C732" s="25"/>
      <c r="E732" s="25"/>
    </row>
    <row r="733">
      <c r="A733" s="488"/>
      <c r="B733" s="25"/>
      <c r="C733" s="25"/>
      <c r="E733" s="25"/>
    </row>
    <row r="734">
      <c r="A734" s="488"/>
      <c r="B734" s="25"/>
      <c r="C734" s="25"/>
      <c r="E734" s="25"/>
    </row>
    <row r="735">
      <c r="A735" s="488"/>
      <c r="B735" s="25"/>
      <c r="C735" s="25"/>
      <c r="E735" s="25"/>
    </row>
    <row r="736">
      <c r="A736" s="488"/>
      <c r="B736" s="25"/>
      <c r="C736" s="25"/>
      <c r="E736" s="25"/>
    </row>
    <row r="737">
      <c r="A737" s="488"/>
      <c r="B737" s="25"/>
      <c r="C737" s="25"/>
      <c r="E737" s="25"/>
    </row>
    <row r="738">
      <c r="A738" s="488"/>
      <c r="B738" s="25"/>
      <c r="C738" s="25"/>
      <c r="E738" s="25"/>
    </row>
    <row r="739">
      <c r="A739" s="488"/>
      <c r="B739" s="25"/>
      <c r="C739" s="25"/>
      <c r="E739" s="25"/>
    </row>
    <row r="740">
      <c r="A740" s="488"/>
      <c r="B740" s="25"/>
      <c r="C740" s="25"/>
      <c r="E740" s="25"/>
    </row>
    <row r="741">
      <c r="A741" s="488"/>
      <c r="B741" s="25"/>
      <c r="C741" s="25"/>
      <c r="E741" s="25"/>
    </row>
    <row r="742">
      <c r="A742" s="488"/>
      <c r="B742" s="25"/>
      <c r="C742" s="25"/>
      <c r="E742" s="25"/>
    </row>
    <row r="743">
      <c r="A743" s="488"/>
      <c r="B743" s="25"/>
      <c r="C743" s="25"/>
      <c r="E743" s="25"/>
    </row>
    <row r="744">
      <c r="A744" s="488"/>
      <c r="B744" s="25"/>
      <c r="C744" s="25"/>
      <c r="E744" s="25"/>
    </row>
    <row r="745">
      <c r="A745" s="488"/>
      <c r="B745" s="25"/>
      <c r="C745" s="25"/>
      <c r="E745" s="25"/>
    </row>
    <row r="746">
      <c r="A746" s="488"/>
      <c r="B746" s="25"/>
      <c r="C746" s="25"/>
      <c r="E746" s="25"/>
    </row>
    <row r="747">
      <c r="A747" s="488"/>
      <c r="B747" s="25"/>
      <c r="C747" s="25"/>
      <c r="E747" s="25"/>
    </row>
    <row r="748">
      <c r="A748" s="488"/>
      <c r="B748" s="25"/>
      <c r="C748" s="25"/>
      <c r="E748" s="25"/>
    </row>
    <row r="749">
      <c r="A749" s="488"/>
      <c r="B749" s="25"/>
      <c r="C749" s="25"/>
      <c r="E749" s="25"/>
    </row>
    <row r="750">
      <c r="A750" s="488"/>
      <c r="B750" s="25"/>
      <c r="C750" s="25"/>
      <c r="E750" s="25"/>
    </row>
    <row r="751">
      <c r="A751" s="488"/>
      <c r="B751" s="25"/>
      <c r="C751" s="25"/>
      <c r="E751" s="25"/>
    </row>
    <row r="752">
      <c r="A752" s="488"/>
      <c r="B752" s="25"/>
      <c r="C752" s="25"/>
      <c r="E752" s="25"/>
    </row>
    <row r="753">
      <c r="A753" s="488"/>
      <c r="B753" s="25"/>
      <c r="C753" s="25"/>
      <c r="E753" s="25"/>
    </row>
    <row r="754">
      <c r="A754" s="488"/>
      <c r="B754" s="25"/>
      <c r="C754" s="25"/>
      <c r="E754" s="25"/>
    </row>
    <row r="755">
      <c r="A755" s="488"/>
      <c r="B755" s="25"/>
      <c r="C755" s="25"/>
      <c r="E755" s="25"/>
    </row>
    <row r="756">
      <c r="A756" s="488"/>
      <c r="B756" s="25"/>
      <c r="C756" s="25"/>
      <c r="E756" s="25"/>
    </row>
    <row r="757">
      <c r="A757" s="488"/>
      <c r="B757" s="25"/>
      <c r="C757" s="25"/>
      <c r="E757" s="25"/>
    </row>
    <row r="758">
      <c r="A758" s="488"/>
      <c r="B758" s="25"/>
      <c r="C758" s="25"/>
      <c r="E758" s="25"/>
    </row>
    <row r="759">
      <c r="A759" s="488"/>
      <c r="B759" s="25"/>
      <c r="C759" s="25"/>
      <c r="E759" s="25"/>
    </row>
    <row r="760">
      <c r="A760" s="488"/>
      <c r="B760" s="25"/>
      <c r="C760" s="25"/>
      <c r="E760" s="25"/>
    </row>
    <row r="761">
      <c r="A761" s="488"/>
      <c r="B761" s="25"/>
      <c r="C761" s="25"/>
      <c r="E761" s="25"/>
    </row>
    <row r="762">
      <c r="A762" s="488"/>
      <c r="B762" s="25"/>
      <c r="C762" s="25"/>
      <c r="E762" s="25"/>
    </row>
    <row r="763">
      <c r="A763" s="488"/>
      <c r="B763" s="25"/>
      <c r="C763" s="25"/>
      <c r="E763" s="25"/>
    </row>
    <row r="764">
      <c r="A764" s="488"/>
      <c r="B764" s="25"/>
      <c r="C764" s="25"/>
      <c r="E764" s="25"/>
    </row>
    <row r="765">
      <c r="A765" s="488"/>
      <c r="B765" s="25"/>
      <c r="C765" s="25"/>
      <c r="E765" s="25"/>
    </row>
    <row r="766">
      <c r="A766" s="488"/>
      <c r="B766" s="25"/>
      <c r="C766" s="25"/>
      <c r="E766" s="25"/>
    </row>
    <row r="767">
      <c r="A767" s="488"/>
      <c r="B767" s="25"/>
      <c r="C767" s="25"/>
      <c r="E767" s="25"/>
    </row>
    <row r="768">
      <c r="A768" s="488"/>
      <c r="B768" s="25"/>
      <c r="C768" s="25"/>
      <c r="E768" s="25"/>
    </row>
    <row r="769">
      <c r="A769" s="488"/>
      <c r="B769" s="25"/>
      <c r="C769" s="25"/>
      <c r="E769" s="25"/>
    </row>
    <row r="770">
      <c r="A770" s="488"/>
      <c r="B770" s="25"/>
      <c r="C770" s="25"/>
      <c r="E770" s="25"/>
    </row>
    <row r="771">
      <c r="A771" s="488"/>
      <c r="B771" s="25"/>
      <c r="C771" s="25"/>
      <c r="E771" s="25"/>
    </row>
    <row r="772">
      <c r="A772" s="488"/>
      <c r="B772" s="25"/>
      <c r="C772" s="25"/>
      <c r="E772" s="25"/>
    </row>
    <row r="773">
      <c r="A773" s="488"/>
      <c r="B773" s="25"/>
      <c r="C773" s="25"/>
      <c r="E773" s="25"/>
    </row>
    <row r="774">
      <c r="A774" s="488"/>
      <c r="B774" s="25"/>
      <c r="C774" s="25"/>
      <c r="E774" s="25"/>
    </row>
    <row r="775">
      <c r="A775" s="488"/>
      <c r="B775" s="25"/>
      <c r="C775" s="25"/>
      <c r="E775" s="25"/>
    </row>
    <row r="776">
      <c r="A776" s="488"/>
      <c r="B776" s="25"/>
      <c r="C776" s="25"/>
      <c r="E776" s="25"/>
    </row>
    <row r="777">
      <c r="A777" s="488"/>
      <c r="B777" s="25"/>
      <c r="C777" s="25"/>
      <c r="E777" s="25"/>
    </row>
    <row r="778">
      <c r="A778" s="488"/>
      <c r="B778" s="25"/>
      <c r="C778" s="25"/>
      <c r="E778" s="25"/>
    </row>
    <row r="779">
      <c r="A779" s="488"/>
      <c r="B779" s="25"/>
      <c r="C779" s="25"/>
      <c r="E779" s="25"/>
    </row>
    <row r="780">
      <c r="A780" s="488"/>
      <c r="B780" s="25"/>
      <c r="C780" s="25"/>
      <c r="E780" s="25"/>
    </row>
    <row r="781">
      <c r="A781" s="488"/>
      <c r="B781" s="25"/>
      <c r="C781" s="25"/>
      <c r="E781" s="25"/>
    </row>
    <row r="782">
      <c r="A782" s="488"/>
      <c r="B782" s="25"/>
      <c r="C782" s="25"/>
      <c r="E782" s="25"/>
    </row>
    <row r="783">
      <c r="A783" s="488"/>
      <c r="B783" s="25"/>
      <c r="C783" s="25"/>
      <c r="E783" s="25"/>
    </row>
    <row r="784">
      <c r="A784" s="488"/>
      <c r="B784" s="25"/>
      <c r="C784" s="25"/>
      <c r="E784" s="25"/>
    </row>
    <row r="785">
      <c r="A785" s="488"/>
      <c r="B785" s="25"/>
      <c r="C785" s="25"/>
      <c r="E785" s="25"/>
    </row>
    <row r="786">
      <c r="A786" s="488"/>
      <c r="B786" s="25"/>
      <c r="C786" s="25"/>
      <c r="E786" s="25"/>
    </row>
    <row r="787">
      <c r="A787" s="488"/>
      <c r="B787" s="25"/>
      <c r="C787" s="25"/>
      <c r="E787" s="25"/>
    </row>
    <row r="788">
      <c r="A788" s="488"/>
      <c r="B788" s="25"/>
      <c r="C788" s="25"/>
      <c r="E788" s="25"/>
    </row>
    <row r="789">
      <c r="A789" s="488"/>
      <c r="B789" s="25"/>
      <c r="C789" s="25"/>
      <c r="E789" s="25"/>
    </row>
    <row r="790">
      <c r="A790" s="488"/>
      <c r="B790" s="25"/>
      <c r="C790" s="25"/>
      <c r="E790" s="25"/>
    </row>
    <row r="791">
      <c r="A791" s="488"/>
      <c r="B791" s="25"/>
      <c r="C791" s="25"/>
      <c r="E791" s="25"/>
    </row>
    <row r="792">
      <c r="A792" s="488"/>
      <c r="B792" s="25"/>
      <c r="C792" s="25"/>
      <c r="E792" s="25"/>
    </row>
    <row r="793">
      <c r="A793" s="488"/>
      <c r="B793" s="25"/>
      <c r="C793" s="25"/>
      <c r="E793" s="25"/>
    </row>
    <row r="794">
      <c r="A794" s="488"/>
      <c r="B794" s="25"/>
      <c r="C794" s="25"/>
      <c r="E794" s="25"/>
    </row>
    <row r="795">
      <c r="A795" s="488"/>
      <c r="B795" s="25"/>
      <c r="C795" s="25"/>
      <c r="E795" s="25"/>
    </row>
    <row r="796">
      <c r="A796" s="488"/>
      <c r="B796" s="25"/>
      <c r="C796" s="25"/>
      <c r="E796" s="25"/>
    </row>
    <row r="797">
      <c r="A797" s="488"/>
      <c r="B797" s="25"/>
      <c r="C797" s="25"/>
      <c r="E797" s="25"/>
    </row>
    <row r="798">
      <c r="A798" s="488"/>
      <c r="B798" s="25"/>
      <c r="C798" s="25"/>
      <c r="E798" s="25"/>
    </row>
    <row r="799">
      <c r="A799" s="488"/>
      <c r="B799" s="25"/>
      <c r="C799" s="25"/>
      <c r="E799" s="25"/>
    </row>
    <row r="800">
      <c r="A800" s="488"/>
      <c r="B800" s="25"/>
      <c r="C800" s="25"/>
      <c r="E800" s="25"/>
    </row>
    <row r="801">
      <c r="A801" s="488"/>
      <c r="B801" s="25"/>
      <c r="C801" s="25"/>
      <c r="E801" s="25"/>
    </row>
    <row r="802">
      <c r="A802" s="488"/>
      <c r="B802" s="25"/>
      <c r="C802" s="25"/>
      <c r="E802" s="25"/>
    </row>
    <row r="803">
      <c r="A803" s="488"/>
      <c r="B803" s="25"/>
      <c r="C803" s="25"/>
      <c r="E803" s="25"/>
    </row>
    <row r="804">
      <c r="A804" s="488"/>
      <c r="B804" s="25"/>
      <c r="C804" s="25"/>
      <c r="E804" s="25"/>
    </row>
    <row r="805">
      <c r="A805" s="488"/>
      <c r="B805" s="25"/>
      <c r="C805" s="25"/>
      <c r="E805" s="25"/>
    </row>
    <row r="806">
      <c r="A806" s="488"/>
      <c r="B806" s="25"/>
      <c r="C806" s="25"/>
      <c r="E806" s="25"/>
    </row>
    <row r="807">
      <c r="A807" s="488"/>
      <c r="B807" s="25"/>
      <c r="C807" s="25"/>
      <c r="E807" s="25"/>
    </row>
    <row r="808">
      <c r="A808" s="488"/>
      <c r="B808" s="25"/>
      <c r="C808" s="25"/>
      <c r="E808" s="25"/>
    </row>
    <row r="809">
      <c r="A809" s="488"/>
      <c r="B809" s="25"/>
      <c r="C809" s="25"/>
      <c r="E809" s="25"/>
    </row>
    <row r="810">
      <c r="A810" s="488"/>
      <c r="B810" s="25"/>
      <c r="C810" s="25"/>
      <c r="E810" s="25"/>
    </row>
    <row r="811">
      <c r="A811" s="488"/>
      <c r="B811" s="25"/>
      <c r="C811" s="25"/>
      <c r="E811" s="25"/>
    </row>
    <row r="812">
      <c r="A812" s="488"/>
      <c r="B812" s="25"/>
      <c r="C812" s="25"/>
      <c r="E812" s="25"/>
    </row>
    <row r="813">
      <c r="A813" s="488"/>
      <c r="B813" s="25"/>
      <c r="C813" s="25"/>
      <c r="E813" s="25"/>
    </row>
    <row r="814">
      <c r="A814" s="488"/>
      <c r="B814" s="25"/>
      <c r="C814" s="25"/>
      <c r="E814" s="25"/>
    </row>
    <row r="815">
      <c r="A815" s="488"/>
      <c r="B815" s="25"/>
      <c r="C815" s="25"/>
      <c r="E815" s="25"/>
    </row>
    <row r="816">
      <c r="A816" s="488"/>
      <c r="B816" s="25"/>
      <c r="C816" s="25"/>
      <c r="E816" s="25"/>
    </row>
    <row r="817">
      <c r="A817" s="488"/>
      <c r="B817" s="25"/>
      <c r="C817" s="25"/>
      <c r="E817" s="25"/>
    </row>
    <row r="818">
      <c r="A818" s="488"/>
      <c r="B818" s="25"/>
      <c r="C818" s="25"/>
      <c r="E818" s="25"/>
    </row>
    <row r="819">
      <c r="A819" s="488"/>
      <c r="B819" s="25"/>
      <c r="C819" s="25"/>
      <c r="E819" s="25"/>
    </row>
    <row r="820">
      <c r="A820" s="488"/>
      <c r="B820" s="25"/>
      <c r="C820" s="25"/>
      <c r="E820" s="25"/>
    </row>
    <row r="821">
      <c r="A821" s="488"/>
      <c r="B821" s="25"/>
      <c r="C821" s="25"/>
      <c r="E821" s="25"/>
    </row>
    <row r="822">
      <c r="A822" s="488"/>
      <c r="B822" s="25"/>
      <c r="C822" s="25"/>
      <c r="E822" s="25"/>
    </row>
    <row r="823">
      <c r="A823" s="488"/>
      <c r="B823" s="25"/>
      <c r="C823" s="25"/>
      <c r="E823" s="25"/>
    </row>
    <row r="824">
      <c r="A824" s="488"/>
      <c r="B824" s="25"/>
      <c r="C824" s="25"/>
      <c r="E824" s="25"/>
    </row>
    <row r="825">
      <c r="A825" s="488"/>
      <c r="B825" s="25"/>
      <c r="C825" s="25"/>
      <c r="E825" s="25"/>
    </row>
    <row r="826">
      <c r="A826" s="488"/>
      <c r="B826" s="25"/>
      <c r="C826" s="25"/>
      <c r="E826" s="25"/>
    </row>
    <row r="827">
      <c r="A827" s="488"/>
      <c r="B827" s="25"/>
      <c r="C827" s="25"/>
      <c r="E827" s="25"/>
    </row>
    <row r="828">
      <c r="A828" s="488"/>
      <c r="B828" s="25"/>
      <c r="C828" s="25"/>
      <c r="E828" s="25"/>
    </row>
    <row r="829">
      <c r="A829" s="488"/>
      <c r="B829" s="25"/>
      <c r="C829" s="25"/>
      <c r="E829" s="25"/>
    </row>
    <row r="830">
      <c r="A830" s="488"/>
      <c r="B830" s="25"/>
      <c r="C830" s="25"/>
      <c r="E830" s="25"/>
    </row>
    <row r="831">
      <c r="A831" s="488"/>
      <c r="B831" s="25"/>
      <c r="C831" s="25"/>
      <c r="E831" s="25"/>
    </row>
    <row r="832">
      <c r="A832" s="488"/>
      <c r="B832" s="25"/>
      <c r="C832" s="25"/>
      <c r="E832" s="25"/>
    </row>
    <row r="833">
      <c r="A833" s="488"/>
      <c r="B833" s="25"/>
      <c r="C833" s="25"/>
      <c r="E833" s="25"/>
    </row>
    <row r="834">
      <c r="A834" s="488"/>
      <c r="B834" s="25"/>
      <c r="C834" s="25"/>
      <c r="E834" s="25"/>
    </row>
    <row r="835">
      <c r="A835" s="488"/>
      <c r="B835" s="25"/>
      <c r="C835" s="25"/>
      <c r="E835" s="25"/>
    </row>
    <row r="836">
      <c r="A836" s="488"/>
      <c r="B836" s="25"/>
      <c r="C836" s="25"/>
      <c r="E836" s="25"/>
    </row>
    <row r="837">
      <c r="A837" s="488"/>
      <c r="B837" s="25"/>
      <c r="C837" s="25"/>
      <c r="E837" s="25"/>
    </row>
    <row r="838">
      <c r="A838" s="488"/>
      <c r="B838" s="25"/>
      <c r="C838" s="25"/>
      <c r="E838" s="25"/>
    </row>
    <row r="839">
      <c r="A839" s="488"/>
      <c r="B839" s="25"/>
      <c r="C839" s="25"/>
      <c r="E839" s="25"/>
    </row>
    <row r="840">
      <c r="A840" s="488"/>
      <c r="B840" s="25"/>
      <c r="C840" s="25"/>
      <c r="E840" s="25"/>
    </row>
    <row r="841">
      <c r="A841" s="488"/>
      <c r="B841" s="25"/>
      <c r="C841" s="25"/>
      <c r="E841" s="25"/>
    </row>
    <row r="842">
      <c r="A842" s="488"/>
      <c r="B842" s="25"/>
      <c r="C842" s="25"/>
      <c r="E842" s="25"/>
    </row>
    <row r="843">
      <c r="A843" s="488"/>
      <c r="B843" s="25"/>
      <c r="C843" s="25"/>
      <c r="E843" s="25"/>
    </row>
    <row r="844">
      <c r="A844" s="488"/>
      <c r="B844" s="25"/>
      <c r="C844" s="25"/>
      <c r="E844" s="25"/>
    </row>
    <row r="845">
      <c r="A845" s="488"/>
      <c r="B845" s="25"/>
      <c r="C845" s="25"/>
      <c r="E845" s="25"/>
    </row>
    <row r="846">
      <c r="A846" s="488"/>
      <c r="B846" s="25"/>
      <c r="C846" s="25"/>
      <c r="E846" s="25"/>
    </row>
    <row r="847">
      <c r="A847" s="488"/>
      <c r="B847" s="25"/>
      <c r="C847" s="25"/>
      <c r="E847" s="25"/>
    </row>
    <row r="848">
      <c r="A848" s="488"/>
      <c r="B848" s="25"/>
      <c r="C848" s="25"/>
      <c r="E848" s="25"/>
    </row>
    <row r="849">
      <c r="A849" s="488"/>
      <c r="B849" s="25"/>
      <c r="C849" s="25"/>
      <c r="E849" s="25"/>
    </row>
    <row r="850">
      <c r="A850" s="488"/>
      <c r="B850" s="25"/>
      <c r="C850" s="25"/>
      <c r="E850" s="25"/>
    </row>
    <row r="851">
      <c r="A851" s="488"/>
      <c r="B851" s="25"/>
      <c r="C851" s="25"/>
      <c r="E851" s="25"/>
    </row>
    <row r="852">
      <c r="A852" s="488"/>
      <c r="B852" s="25"/>
      <c r="C852" s="25"/>
      <c r="E852" s="25"/>
    </row>
    <row r="853">
      <c r="A853" s="488"/>
      <c r="B853" s="25"/>
      <c r="C853" s="25"/>
      <c r="E853" s="25"/>
    </row>
    <row r="854">
      <c r="A854" s="488"/>
      <c r="B854" s="25"/>
      <c r="C854" s="25"/>
      <c r="E854" s="25"/>
    </row>
    <row r="855">
      <c r="A855" s="488"/>
      <c r="B855" s="25"/>
      <c r="C855" s="25"/>
      <c r="E855" s="25"/>
    </row>
    <row r="856">
      <c r="A856" s="488"/>
      <c r="B856" s="25"/>
      <c r="C856" s="25"/>
      <c r="E856" s="25"/>
    </row>
    <row r="857">
      <c r="A857" s="488"/>
      <c r="B857" s="25"/>
      <c r="C857" s="25"/>
      <c r="E857" s="25"/>
    </row>
    <row r="858">
      <c r="A858" s="488"/>
      <c r="B858" s="25"/>
      <c r="C858" s="25"/>
      <c r="E858" s="25"/>
    </row>
    <row r="859">
      <c r="A859" s="488"/>
      <c r="B859" s="25"/>
      <c r="C859" s="25"/>
      <c r="E859" s="25"/>
    </row>
    <row r="860">
      <c r="A860" s="488"/>
      <c r="B860" s="25"/>
      <c r="C860" s="25"/>
      <c r="E860" s="25"/>
    </row>
    <row r="861">
      <c r="A861" s="488"/>
      <c r="B861" s="25"/>
      <c r="C861" s="25"/>
      <c r="E861" s="25"/>
    </row>
    <row r="862">
      <c r="A862" s="488"/>
      <c r="B862" s="25"/>
      <c r="C862" s="25"/>
      <c r="E862" s="25"/>
    </row>
    <row r="863">
      <c r="A863" s="488"/>
      <c r="B863" s="25"/>
      <c r="C863" s="25"/>
      <c r="E863" s="25"/>
    </row>
    <row r="864">
      <c r="A864" s="488"/>
      <c r="B864" s="25"/>
      <c r="C864" s="25"/>
      <c r="E864" s="25"/>
    </row>
    <row r="865">
      <c r="A865" s="488"/>
      <c r="B865" s="25"/>
      <c r="C865" s="25"/>
      <c r="E865" s="25"/>
    </row>
    <row r="866">
      <c r="A866" s="488"/>
      <c r="B866" s="25"/>
      <c r="C866" s="25"/>
      <c r="E866" s="25"/>
    </row>
    <row r="867">
      <c r="A867" s="488"/>
      <c r="B867" s="25"/>
      <c r="C867" s="25"/>
      <c r="E867" s="25"/>
    </row>
    <row r="868">
      <c r="A868" s="488"/>
      <c r="B868" s="25"/>
      <c r="C868" s="25"/>
      <c r="E868" s="25"/>
    </row>
    <row r="869">
      <c r="A869" s="488"/>
      <c r="B869" s="25"/>
      <c r="C869" s="25"/>
      <c r="E869" s="25"/>
    </row>
    <row r="870">
      <c r="A870" s="488"/>
      <c r="B870" s="25"/>
      <c r="C870" s="25"/>
      <c r="E870" s="25"/>
    </row>
    <row r="871">
      <c r="A871" s="488"/>
      <c r="B871" s="25"/>
      <c r="C871" s="25"/>
      <c r="E871" s="25"/>
    </row>
    <row r="872">
      <c r="A872" s="488"/>
      <c r="B872" s="25"/>
      <c r="C872" s="25"/>
      <c r="E872" s="25"/>
    </row>
    <row r="873">
      <c r="A873" s="488"/>
      <c r="B873" s="25"/>
      <c r="C873" s="25"/>
      <c r="E873" s="25"/>
    </row>
    <row r="874">
      <c r="A874" s="488"/>
      <c r="B874" s="25"/>
      <c r="C874" s="25"/>
      <c r="E874" s="25"/>
    </row>
    <row r="875">
      <c r="A875" s="488"/>
      <c r="B875" s="25"/>
      <c r="C875" s="25"/>
      <c r="E875" s="25"/>
    </row>
    <row r="876">
      <c r="A876" s="488"/>
      <c r="B876" s="25"/>
      <c r="C876" s="25"/>
      <c r="E876" s="25"/>
    </row>
    <row r="877">
      <c r="A877" s="488"/>
      <c r="B877" s="25"/>
      <c r="C877" s="25"/>
      <c r="E877" s="25"/>
    </row>
    <row r="878">
      <c r="A878" s="488"/>
      <c r="B878" s="25"/>
      <c r="C878" s="25"/>
      <c r="E878" s="25"/>
    </row>
    <row r="879">
      <c r="A879" s="488"/>
      <c r="B879" s="25"/>
      <c r="C879" s="25"/>
      <c r="E879" s="25"/>
    </row>
    <row r="880">
      <c r="A880" s="488"/>
      <c r="B880" s="25"/>
      <c r="C880" s="25"/>
      <c r="E880" s="25"/>
    </row>
    <row r="881">
      <c r="A881" s="488"/>
      <c r="B881" s="25"/>
      <c r="C881" s="25"/>
      <c r="E881" s="25"/>
    </row>
    <row r="882">
      <c r="A882" s="488"/>
      <c r="B882" s="25"/>
      <c r="C882" s="25"/>
      <c r="E882" s="25"/>
    </row>
    <row r="883">
      <c r="A883" s="488"/>
      <c r="B883" s="25"/>
      <c r="C883" s="25"/>
      <c r="E883" s="25"/>
    </row>
    <row r="884">
      <c r="A884" s="488"/>
      <c r="B884" s="25"/>
      <c r="C884" s="25"/>
      <c r="E884" s="25"/>
    </row>
    <row r="885">
      <c r="A885" s="488"/>
      <c r="B885" s="25"/>
      <c r="C885" s="25"/>
      <c r="E885" s="25"/>
    </row>
    <row r="886">
      <c r="A886" s="488"/>
      <c r="B886" s="25"/>
      <c r="C886" s="25"/>
      <c r="E886" s="25"/>
    </row>
    <row r="887">
      <c r="A887" s="488"/>
      <c r="B887" s="25"/>
      <c r="C887" s="25"/>
      <c r="E887" s="25"/>
    </row>
    <row r="888">
      <c r="A888" s="488"/>
      <c r="B888" s="25"/>
      <c r="C888" s="25"/>
      <c r="E888" s="25"/>
    </row>
    <row r="889">
      <c r="A889" s="488"/>
      <c r="B889" s="25"/>
      <c r="C889" s="25"/>
      <c r="E889" s="25"/>
    </row>
    <row r="890">
      <c r="A890" s="488"/>
      <c r="B890" s="25"/>
      <c r="C890" s="25"/>
      <c r="E890" s="25"/>
    </row>
    <row r="891">
      <c r="A891" s="488"/>
      <c r="B891" s="25"/>
      <c r="C891" s="25"/>
      <c r="E891" s="25"/>
    </row>
    <row r="892">
      <c r="A892" s="488"/>
      <c r="B892" s="25"/>
      <c r="C892" s="25"/>
      <c r="E892" s="25"/>
    </row>
    <row r="893">
      <c r="A893" s="488"/>
      <c r="B893" s="25"/>
      <c r="C893" s="25"/>
      <c r="E893" s="25"/>
    </row>
    <row r="894">
      <c r="A894" s="488"/>
      <c r="B894" s="25"/>
      <c r="C894" s="25"/>
      <c r="E894" s="25"/>
    </row>
    <row r="895">
      <c r="A895" s="488"/>
      <c r="B895" s="25"/>
      <c r="C895" s="25"/>
      <c r="E895" s="25"/>
    </row>
    <row r="896">
      <c r="A896" s="488"/>
      <c r="B896" s="25"/>
      <c r="C896" s="25"/>
      <c r="E896" s="25"/>
    </row>
    <row r="897">
      <c r="A897" s="488"/>
      <c r="B897" s="25"/>
      <c r="C897" s="25"/>
      <c r="E897" s="25"/>
    </row>
    <row r="898">
      <c r="A898" s="488"/>
      <c r="B898" s="25"/>
      <c r="C898" s="25"/>
      <c r="E898" s="25"/>
    </row>
    <row r="899">
      <c r="A899" s="488"/>
      <c r="B899" s="25"/>
      <c r="C899" s="25"/>
      <c r="E899" s="25"/>
    </row>
    <row r="900">
      <c r="A900" s="488"/>
      <c r="B900" s="25"/>
      <c r="C900" s="25"/>
      <c r="E900" s="25"/>
    </row>
    <row r="901">
      <c r="A901" s="488"/>
      <c r="B901" s="25"/>
      <c r="C901" s="25"/>
      <c r="E901" s="25"/>
    </row>
    <row r="902">
      <c r="A902" s="488"/>
      <c r="B902" s="25"/>
      <c r="C902" s="25"/>
      <c r="E902" s="25"/>
    </row>
    <row r="903">
      <c r="A903" s="488"/>
      <c r="B903" s="25"/>
      <c r="C903" s="25"/>
      <c r="E903" s="25"/>
    </row>
    <row r="904">
      <c r="A904" s="488"/>
      <c r="B904" s="25"/>
      <c r="C904" s="25"/>
      <c r="E904" s="25"/>
    </row>
    <row r="905">
      <c r="A905" s="488"/>
      <c r="B905" s="25"/>
      <c r="C905" s="25"/>
      <c r="E905" s="25"/>
    </row>
    <row r="906">
      <c r="A906" s="488"/>
      <c r="B906" s="25"/>
      <c r="C906" s="25"/>
      <c r="E906" s="25"/>
    </row>
    <row r="907">
      <c r="A907" s="488"/>
      <c r="B907" s="25"/>
      <c r="C907" s="25"/>
      <c r="E907" s="25"/>
    </row>
    <row r="908">
      <c r="A908" s="488"/>
      <c r="B908" s="25"/>
      <c r="C908" s="25"/>
      <c r="E908" s="25"/>
    </row>
    <row r="909">
      <c r="A909" s="488"/>
      <c r="B909" s="25"/>
      <c r="C909" s="25"/>
      <c r="E909" s="25"/>
    </row>
    <row r="910">
      <c r="A910" s="488"/>
      <c r="B910" s="25"/>
      <c r="C910" s="25"/>
      <c r="E910" s="25"/>
    </row>
    <row r="911">
      <c r="A911" s="488"/>
      <c r="B911" s="25"/>
      <c r="C911" s="25"/>
      <c r="E911" s="25"/>
    </row>
    <row r="912">
      <c r="A912" s="488"/>
      <c r="B912" s="25"/>
      <c r="C912" s="25"/>
      <c r="E912" s="25"/>
    </row>
    <row r="913">
      <c r="A913" s="488"/>
      <c r="B913" s="25"/>
      <c r="C913" s="25"/>
      <c r="E913" s="25"/>
    </row>
    <row r="914">
      <c r="A914" s="488"/>
      <c r="B914" s="25"/>
      <c r="C914" s="25"/>
      <c r="E914" s="25"/>
    </row>
    <row r="915">
      <c r="A915" s="488"/>
      <c r="B915" s="25"/>
      <c r="C915" s="25"/>
      <c r="E915" s="25"/>
    </row>
    <row r="916">
      <c r="A916" s="488"/>
      <c r="B916" s="25"/>
      <c r="C916" s="25"/>
      <c r="E916" s="25"/>
    </row>
    <row r="917">
      <c r="A917" s="488"/>
      <c r="B917" s="25"/>
      <c r="C917" s="25"/>
      <c r="E917" s="25"/>
    </row>
    <row r="918">
      <c r="A918" s="488"/>
      <c r="B918" s="25"/>
      <c r="C918" s="25"/>
      <c r="E918" s="25"/>
    </row>
    <row r="919">
      <c r="A919" s="488"/>
      <c r="B919" s="25"/>
      <c r="C919" s="25"/>
      <c r="E919" s="25"/>
    </row>
    <row r="920">
      <c r="A920" s="488"/>
      <c r="B920" s="25"/>
      <c r="C920" s="25"/>
      <c r="E920" s="25"/>
    </row>
    <row r="921">
      <c r="A921" s="488"/>
      <c r="B921" s="25"/>
      <c r="C921" s="25"/>
      <c r="E921" s="25"/>
    </row>
    <row r="922">
      <c r="A922" s="488"/>
      <c r="B922" s="25"/>
      <c r="C922" s="25"/>
      <c r="E922" s="25"/>
    </row>
    <row r="923">
      <c r="A923" s="488"/>
      <c r="B923" s="25"/>
      <c r="C923" s="25"/>
      <c r="E923" s="25"/>
    </row>
    <row r="924">
      <c r="A924" s="488"/>
      <c r="B924" s="25"/>
      <c r="C924" s="25"/>
      <c r="E924" s="25"/>
    </row>
    <row r="925">
      <c r="A925" s="488"/>
      <c r="B925" s="25"/>
      <c r="C925" s="25"/>
      <c r="E925" s="25"/>
    </row>
    <row r="926">
      <c r="A926" s="488"/>
      <c r="B926" s="25"/>
      <c r="C926" s="25"/>
      <c r="E926" s="25"/>
    </row>
    <row r="927">
      <c r="A927" s="488"/>
      <c r="B927" s="25"/>
      <c r="C927" s="25"/>
      <c r="E927" s="25"/>
    </row>
    <row r="928">
      <c r="A928" s="488"/>
      <c r="B928" s="25"/>
      <c r="C928" s="25"/>
      <c r="E928" s="25"/>
    </row>
    <row r="929">
      <c r="A929" s="488"/>
      <c r="B929" s="25"/>
      <c r="C929" s="25"/>
      <c r="E929" s="25"/>
    </row>
    <row r="930">
      <c r="A930" s="488"/>
      <c r="B930" s="25"/>
      <c r="C930" s="25"/>
      <c r="E930" s="25"/>
    </row>
    <row r="931">
      <c r="A931" s="488"/>
      <c r="B931" s="25"/>
      <c r="C931" s="25"/>
      <c r="E931" s="25"/>
    </row>
    <row r="932">
      <c r="A932" s="488"/>
      <c r="B932" s="25"/>
      <c r="C932" s="25"/>
      <c r="E932" s="25"/>
    </row>
    <row r="933">
      <c r="A933" s="488"/>
      <c r="B933" s="25"/>
      <c r="C933" s="25"/>
      <c r="E933" s="25"/>
    </row>
    <row r="934">
      <c r="A934" s="488"/>
      <c r="B934" s="25"/>
      <c r="C934" s="25"/>
      <c r="E934" s="25"/>
    </row>
    <row r="935">
      <c r="A935" s="488"/>
      <c r="B935" s="25"/>
      <c r="C935" s="25"/>
      <c r="E935" s="25"/>
    </row>
    <row r="936">
      <c r="A936" s="488"/>
      <c r="B936" s="25"/>
      <c r="C936" s="25"/>
      <c r="E936" s="25"/>
    </row>
    <row r="937">
      <c r="A937" s="488"/>
      <c r="B937" s="25"/>
      <c r="C937" s="25"/>
      <c r="E937" s="25"/>
    </row>
    <row r="938">
      <c r="A938" s="488"/>
      <c r="B938" s="25"/>
      <c r="C938" s="25"/>
      <c r="E938" s="25"/>
    </row>
    <row r="939">
      <c r="A939" s="488"/>
      <c r="B939" s="25"/>
      <c r="C939" s="25"/>
      <c r="E939" s="25"/>
    </row>
    <row r="940">
      <c r="A940" s="488"/>
      <c r="B940" s="25"/>
      <c r="C940" s="25"/>
      <c r="E940" s="25"/>
    </row>
    <row r="941">
      <c r="A941" s="488"/>
      <c r="B941" s="25"/>
      <c r="C941" s="25"/>
      <c r="E941" s="25"/>
    </row>
    <row r="942">
      <c r="A942" s="488"/>
      <c r="B942" s="25"/>
      <c r="C942" s="25"/>
      <c r="E942" s="25"/>
    </row>
    <row r="943">
      <c r="A943" s="488"/>
      <c r="B943" s="25"/>
      <c r="C943" s="25"/>
      <c r="E943" s="25"/>
    </row>
    <row r="944">
      <c r="A944" s="488"/>
      <c r="B944" s="25"/>
      <c r="C944" s="25"/>
      <c r="E944" s="25"/>
    </row>
    <row r="945">
      <c r="A945" s="488"/>
      <c r="B945" s="25"/>
      <c r="C945" s="25"/>
      <c r="E945" s="25"/>
    </row>
    <row r="946">
      <c r="A946" s="488"/>
      <c r="B946" s="25"/>
      <c r="C946" s="25"/>
      <c r="E946" s="25"/>
    </row>
    <row r="947">
      <c r="A947" s="488"/>
      <c r="B947" s="25"/>
      <c r="C947" s="25"/>
      <c r="E947" s="25"/>
    </row>
    <row r="948">
      <c r="A948" s="488"/>
      <c r="B948" s="25"/>
      <c r="C948" s="25"/>
      <c r="E948" s="25"/>
    </row>
    <row r="949">
      <c r="A949" s="488"/>
      <c r="B949" s="25"/>
      <c r="C949" s="25"/>
      <c r="E949" s="25"/>
    </row>
    <row r="950">
      <c r="A950" s="488"/>
      <c r="B950" s="25"/>
      <c r="C950" s="25"/>
      <c r="E950" s="25"/>
    </row>
    <row r="951">
      <c r="A951" s="488"/>
      <c r="B951" s="25"/>
      <c r="C951" s="25"/>
      <c r="E951" s="25"/>
    </row>
    <row r="952">
      <c r="A952" s="488"/>
      <c r="B952" s="25"/>
      <c r="C952" s="25"/>
      <c r="E952" s="25"/>
    </row>
    <row r="953">
      <c r="A953" s="488"/>
      <c r="B953" s="25"/>
      <c r="C953" s="25"/>
      <c r="E953" s="25"/>
    </row>
    <row r="954">
      <c r="A954" s="488"/>
      <c r="B954" s="25"/>
      <c r="C954" s="25"/>
      <c r="E954" s="25"/>
    </row>
    <row r="955">
      <c r="A955" s="488"/>
      <c r="B955" s="25"/>
      <c r="C955" s="25"/>
      <c r="E955" s="25"/>
    </row>
    <row r="956">
      <c r="A956" s="488"/>
      <c r="B956" s="25"/>
      <c r="C956" s="25"/>
      <c r="E956" s="25"/>
    </row>
    <row r="957">
      <c r="A957" s="488"/>
      <c r="B957" s="25"/>
      <c r="C957" s="25"/>
      <c r="E957" s="25"/>
    </row>
    <row r="958">
      <c r="A958" s="488"/>
      <c r="B958" s="25"/>
      <c r="C958" s="25"/>
      <c r="E958" s="25"/>
    </row>
    <row r="959">
      <c r="A959" s="488"/>
      <c r="B959" s="25"/>
      <c r="C959" s="25"/>
      <c r="E959" s="25"/>
    </row>
    <row r="960">
      <c r="A960" s="488"/>
      <c r="B960" s="25"/>
      <c r="C960" s="25"/>
      <c r="E960" s="25"/>
    </row>
    <row r="961">
      <c r="A961" s="488"/>
      <c r="B961" s="25"/>
      <c r="C961" s="25"/>
      <c r="E961" s="25"/>
    </row>
    <row r="962">
      <c r="A962" s="488"/>
      <c r="B962" s="25"/>
      <c r="C962" s="25"/>
      <c r="E962" s="25"/>
    </row>
    <row r="963">
      <c r="A963" s="488"/>
      <c r="B963" s="25"/>
      <c r="C963" s="25"/>
      <c r="E963" s="25"/>
    </row>
    <row r="964">
      <c r="A964" s="488"/>
      <c r="B964" s="25"/>
      <c r="C964" s="25"/>
      <c r="E964" s="25"/>
    </row>
    <row r="965">
      <c r="A965" s="488"/>
      <c r="B965" s="25"/>
      <c r="C965" s="25"/>
      <c r="E965" s="25"/>
    </row>
    <row r="966">
      <c r="A966" s="488"/>
      <c r="B966" s="25"/>
      <c r="C966" s="25"/>
      <c r="E966" s="25"/>
    </row>
    <row r="967">
      <c r="A967" s="488"/>
      <c r="B967" s="25"/>
      <c r="C967" s="25"/>
      <c r="E967" s="25"/>
    </row>
    <row r="968">
      <c r="A968" s="488"/>
      <c r="B968" s="25"/>
      <c r="C968" s="25"/>
      <c r="E968" s="25"/>
    </row>
    <row r="969">
      <c r="A969" s="488"/>
      <c r="B969" s="25"/>
      <c r="C969" s="25"/>
      <c r="E969" s="25"/>
    </row>
    <row r="970">
      <c r="A970" s="488"/>
      <c r="B970" s="25"/>
      <c r="C970" s="25"/>
      <c r="E970" s="25"/>
    </row>
    <row r="971">
      <c r="A971" s="488"/>
      <c r="B971" s="25"/>
      <c r="C971" s="25"/>
      <c r="E971" s="25"/>
    </row>
    <row r="972">
      <c r="A972" s="488"/>
      <c r="B972" s="25"/>
      <c r="C972" s="25"/>
      <c r="E972" s="25"/>
    </row>
    <row r="973">
      <c r="A973" s="488"/>
      <c r="B973" s="25"/>
      <c r="C973" s="25"/>
      <c r="E973" s="25"/>
    </row>
    <row r="974">
      <c r="A974" s="488"/>
      <c r="B974" s="25"/>
      <c r="C974" s="25"/>
      <c r="E974" s="25"/>
    </row>
    <row r="975">
      <c r="A975" s="488"/>
      <c r="B975" s="25"/>
      <c r="C975" s="25"/>
      <c r="E975" s="25"/>
    </row>
    <row r="976">
      <c r="A976" s="488"/>
      <c r="B976" s="25"/>
      <c r="C976" s="25"/>
      <c r="E976" s="25"/>
    </row>
    <row r="977">
      <c r="A977" s="488"/>
      <c r="B977" s="25"/>
      <c r="C977" s="25"/>
      <c r="E977" s="25"/>
    </row>
    <row r="978">
      <c r="A978" s="488"/>
      <c r="B978" s="25"/>
      <c r="C978" s="25"/>
      <c r="E978" s="25"/>
    </row>
    <row r="979">
      <c r="A979" s="488"/>
      <c r="B979" s="25"/>
      <c r="C979" s="25"/>
      <c r="E979" s="25"/>
    </row>
    <row r="980">
      <c r="A980" s="488"/>
      <c r="B980" s="25"/>
      <c r="C980" s="25"/>
      <c r="E980" s="25"/>
    </row>
    <row r="981">
      <c r="A981" s="488"/>
      <c r="B981" s="25"/>
      <c r="C981" s="25"/>
      <c r="E981" s="25"/>
    </row>
    <row r="982">
      <c r="A982" s="488"/>
      <c r="B982" s="25"/>
      <c r="C982" s="25"/>
      <c r="E982" s="25"/>
    </row>
    <row r="983">
      <c r="A983" s="488"/>
      <c r="B983" s="25"/>
      <c r="C983" s="25"/>
      <c r="E983" s="25"/>
    </row>
    <row r="984">
      <c r="A984" s="488"/>
      <c r="B984" s="25"/>
      <c r="C984" s="25"/>
      <c r="E984" s="25"/>
    </row>
    <row r="985">
      <c r="A985" s="488"/>
      <c r="B985" s="25"/>
      <c r="C985" s="25"/>
      <c r="E985" s="25"/>
    </row>
    <row r="986">
      <c r="A986" s="488"/>
      <c r="B986" s="25"/>
      <c r="C986" s="25"/>
      <c r="E986" s="25"/>
    </row>
    <row r="987">
      <c r="A987" s="488"/>
      <c r="B987" s="25"/>
      <c r="C987" s="25"/>
      <c r="E987" s="25"/>
    </row>
    <row r="988">
      <c r="A988" s="488"/>
      <c r="B988" s="25"/>
      <c r="C988" s="25"/>
      <c r="E988" s="25"/>
    </row>
    <row r="989">
      <c r="A989" s="488"/>
      <c r="B989" s="25"/>
      <c r="C989" s="25"/>
      <c r="E989" s="25"/>
    </row>
    <row r="990">
      <c r="A990" s="488"/>
      <c r="B990" s="25"/>
      <c r="C990" s="25"/>
      <c r="E990" s="25"/>
    </row>
    <row r="991">
      <c r="A991" s="488"/>
      <c r="B991" s="25"/>
      <c r="C991" s="25"/>
      <c r="E991" s="25"/>
    </row>
    <row r="992">
      <c r="A992" s="488"/>
      <c r="B992" s="25"/>
      <c r="C992" s="25"/>
      <c r="E992" s="25"/>
    </row>
    <row r="993">
      <c r="A993" s="488"/>
      <c r="B993" s="25"/>
      <c r="C993" s="25"/>
      <c r="E993" s="25"/>
    </row>
    <row r="994">
      <c r="A994" s="488"/>
      <c r="B994" s="25"/>
      <c r="C994" s="25"/>
      <c r="E994" s="25"/>
    </row>
    <row r="995">
      <c r="A995" s="488"/>
      <c r="B995" s="25"/>
      <c r="C995" s="25"/>
      <c r="E995" s="25"/>
    </row>
    <row r="996">
      <c r="A996" s="488"/>
      <c r="B996" s="25"/>
      <c r="C996" s="25"/>
      <c r="E996" s="25"/>
    </row>
    <row r="997">
      <c r="A997" s="488"/>
      <c r="B997" s="25"/>
      <c r="C997" s="25"/>
      <c r="E997" s="25"/>
    </row>
    <row r="998">
      <c r="A998" s="488"/>
      <c r="B998" s="25"/>
      <c r="C998" s="25"/>
      <c r="E998" s="25"/>
    </row>
    <row r="999">
      <c r="A999" s="488"/>
      <c r="B999" s="25"/>
      <c r="C999" s="25"/>
      <c r="E999" s="25"/>
    </row>
    <row r="1000">
      <c r="A1000" s="488"/>
      <c r="B1000" s="25"/>
      <c r="C1000" s="25"/>
      <c r="E1000" s="25"/>
    </row>
    <row r="1001">
      <c r="A1001" s="488"/>
      <c r="B1001" s="25"/>
      <c r="C1001" s="25"/>
      <c r="E1001" s="25"/>
    </row>
    <row r="1002">
      <c r="A1002" s="488"/>
      <c r="B1002" s="25"/>
      <c r="C1002" s="25"/>
      <c r="E1002" s="25"/>
    </row>
    <row r="1003">
      <c r="A1003" s="488"/>
      <c r="B1003" s="25"/>
      <c r="C1003" s="25"/>
      <c r="E1003" s="25"/>
    </row>
    <row r="1004">
      <c r="A1004" s="488"/>
      <c r="B1004" s="25"/>
      <c r="C1004" s="25"/>
      <c r="E1004" s="25"/>
    </row>
    <row r="1005">
      <c r="A1005" s="488"/>
      <c r="B1005" s="25"/>
      <c r="C1005" s="25"/>
      <c r="E1005" s="25"/>
    </row>
    <row r="1006">
      <c r="A1006" s="488"/>
      <c r="B1006" s="25"/>
      <c r="C1006" s="25"/>
      <c r="E1006" s="25"/>
    </row>
    <row r="1007">
      <c r="A1007" s="488"/>
      <c r="B1007" s="25"/>
      <c r="C1007" s="25"/>
      <c r="E1007" s="25"/>
    </row>
    <row r="1008">
      <c r="A1008" s="488"/>
      <c r="B1008" s="25"/>
      <c r="C1008" s="25"/>
      <c r="E1008" s="25"/>
    </row>
    <row r="1009">
      <c r="A1009" s="488"/>
      <c r="B1009" s="25"/>
      <c r="C1009" s="25"/>
      <c r="E1009" s="25"/>
    </row>
    <row r="1010">
      <c r="A1010" s="488"/>
      <c r="B1010" s="25"/>
      <c r="C1010" s="25"/>
      <c r="E1010" s="25"/>
    </row>
    <row r="1011">
      <c r="A1011" s="488"/>
      <c r="B1011" s="25"/>
      <c r="C1011" s="25"/>
      <c r="E1011" s="25"/>
    </row>
    <row r="1012">
      <c r="A1012" s="488"/>
      <c r="B1012" s="25"/>
      <c r="C1012" s="25"/>
      <c r="E1012" s="25"/>
    </row>
    <row r="1013">
      <c r="A1013" s="488"/>
      <c r="B1013" s="25"/>
      <c r="C1013" s="25"/>
      <c r="E1013" s="25"/>
    </row>
    <row r="1014">
      <c r="A1014" s="488"/>
      <c r="B1014" s="25"/>
      <c r="C1014" s="25"/>
      <c r="E1014" s="25"/>
    </row>
    <row r="1015">
      <c r="A1015" s="488"/>
      <c r="B1015" s="25"/>
      <c r="C1015" s="25"/>
      <c r="E1015" s="25"/>
    </row>
    <row r="1016">
      <c r="A1016" s="488"/>
      <c r="B1016" s="25"/>
      <c r="C1016" s="25"/>
      <c r="E1016" s="25"/>
    </row>
    <row r="1017">
      <c r="A1017" s="488"/>
      <c r="B1017" s="25"/>
      <c r="C1017" s="25"/>
      <c r="E1017" s="25"/>
    </row>
    <row r="1018">
      <c r="A1018" s="488"/>
      <c r="B1018" s="25"/>
      <c r="C1018" s="25"/>
      <c r="E1018" s="25"/>
    </row>
    <row r="1019">
      <c r="A1019" s="488"/>
      <c r="B1019" s="25"/>
      <c r="C1019" s="25"/>
      <c r="E1019" s="25"/>
    </row>
    <row r="1020">
      <c r="A1020" s="488"/>
      <c r="B1020" s="25"/>
      <c r="C1020" s="25"/>
      <c r="E1020" s="25"/>
    </row>
    <row r="1021">
      <c r="A1021" s="488"/>
      <c r="B1021" s="25"/>
      <c r="C1021" s="25"/>
      <c r="E1021" s="25"/>
    </row>
    <row r="1022">
      <c r="A1022" s="488"/>
      <c r="B1022" s="25"/>
      <c r="C1022" s="25"/>
      <c r="E1022" s="25"/>
    </row>
    <row r="1023">
      <c r="A1023" s="488"/>
      <c r="B1023" s="25"/>
      <c r="C1023" s="25"/>
      <c r="E1023" s="25"/>
    </row>
    <row r="1024">
      <c r="A1024" s="488"/>
      <c r="B1024" s="25"/>
      <c r="C1024" s="25"/>
      <c r="E1024" s="25"/>
    </row>
    <row r="1025">
      <c r="A1025" s="488"/>
      <c r="B1025" s="25"/>
      <c r="C1025" s="25"/>
      <c r="E1025" s="25"/>
    </row>
    <row r="1026">
      <c r="A1026" s="488"/>
      <c r="B1026" s="25"/>
      <c r="C1026" s="25"/>
      <c r="E1026" s="25"/>
    </row>
    <row r="1027">
      <c r="A1027" s="488"/>
      <c r="B1027" s="25"/>
      <c r="C1027" s="25"/>
      <c r="E1027" s="25"/>
    </row>
    <row r="1028">
      <c r="A1028" s="488"/>
      <c r="B1028" s="25"/>
      <c r="C1028" s="25"/>
      <c r="E1028" s="25"/>
    </row>
    <row r="1029">
      <c r="A1029" s="488"/>
      <c r="B1029" s="25"/>
      <c r="C1029" s="25"/>
      <c r="E1029" s="25"/>
    </row>
    <row r="1030">
      <c r="A1030" s="488"/>
      <c r="B1030" s="25"/>
      <c r="C1030" s="25"/>
      <c r="E1030" s="25"/>
    </row>
    <row r="1031">
      <c r="A1031" s="488"/>
      <c r="B1031" s="25"/>
      <c r="C1031" s="25"/>
      <c r="E1031" s="25"/>
    </row>
    <row r="1032">
      <c r="A1032" s="488"/>
      <c r="B1032" s="25"/>
      <c r="C1032" s="25"/>
      <c r="E1032" s="25"/>
    </row>
    <row r="1033">
      <c r="A1033" s="488"/>
      <c r="B1033" s="25"/>
      <c r="C1033" s="25"/>
      <c r="E1033" s="25"/>
    </row>
    <row r="1034">
      <c r="A1034" s="488"/>
      <c r="B1034" s="25"/>
      <c r="C1034" s="25"/>
      <c r="E1034" s="25"/>
    </row>
    <row r="1035">
      <c r="A1035" s="488"/>
      <c r="B1035" s="25"/>
      <c r="C1035" s="25"/>
      <c r="E1035" s="25"/>
    </row>
    <row r="1036">
      <c r="A1036" s="488"/>
      <c r="B1036" s="25"/>
      <c r="C1036" s="25"/>
      <c r="E1036" s="25"/>
    </row>
    <row r="1037">
      <c r="A1037" s="488"/>
      <c r="B1037" s="25"/>
      <c r="C1037" s="25"/>
      <c r="E1037" s="25"/>
    </row>
    <row r="1038">
      <c r="A1038" s="488"/>
      <c r="B1038" s="25"/>
      <c r="C1038" s="25"/>
      <c r="E1038" s="25"/>
    </row>
    <row r="1039">
      <c r="A1039" s="488"/>
      <c r="B1039" s="25"/>
      <c r="C1039" s="25"/>
      <c r="E1039" s="25"/>
    </row>
    <row r="1040">
      <c r="A1040" s="488"/>
      <c r="B1040" s="25"/>
      <c r="C1040" s="25"/>
      <c r="E1040" s="25"/>
    </row>
    <row r="1041">
      <c r="A1041" s="488"/>
      <c r="B1041" s="25"/>
      <c r="C1041" s="25"/>
      <c r="E1041" s="25"/>
    </row>
    <row r="1042">
      <c r="A1042" s="488"/>
      <c r="B1042" s="25"/>
      <c r="C1042" s="25"/>
      <c r="E1042" s="25"/>
    </row>
    <row r="1043">
      <c r="A1043" s="488"/>
      <c r="B1043" s="25"/>
      <c r="C1043" s="25"/>
      <c r="E1043" s="25"/>
    </row>
  </sheetData>
  <printOptions/>
  <pageMargins bottom="0.787401575" footer="0.0" header="0.0" left="0.511811024" right="0.511811024" top="0.7874015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9.14"/>
    <col customWidth="1" min="2" max="2" width="10.43"/>
    <col customWidth="1" min="3" max="3" width="8.86"/>
    <col customWidth="1" min="4" max="4" width="12.71"/>
    <col customWidth="1" min="5" max="5" width="112.57"/>
    <col customWidth="1" min="6" max="26" width="9.14"/>
  </cols>
  <sheetData>
    <row r="1">
      <c r="A1" s="25"/>
      <c r="B1" s="503"/>
      <c r="C1" s="503"/>
      <c r="D1" s="503"/>
      <c r="E1" s="25"/>
      <c r="F1" s="25"/>
      <c r="G1" s="25"/>
      <c r="H1" s="25"/>
      <c r="I1" s="25"/>
      <c r="J1" s="25"/>
      <c r="K1" s="25"/>
      <c r="L1" s="25"/>
      <c r="M1" s="25"/>
      <c r="N1" s="25"/>
      <c r="O1" s="25"/>
      <c r="P1" s="25"/>
      <c r="Q1" s="25"/>
      <c r="R1" s="25"/>
      <c r="S1" s="25"/>
      <c r="T1" s="25"/>
      <c r="U1" s="25"/>
      <c r="V1" s="25"/>
      <c r="W1" s="25"/>
      <c r="X1" s="25"/>
      <c r="Y1" s="25"/>
      <c r="Z1" s="25"/>
    </row>
    <row r="2">
      <c r="A2" s="25"/>
      <c r="B2" s="504" t="s">
        <v>150</v>
      </c>
      <c r="C2" s="505" t="s">
        <v>151</v>
      </c>
      <c r="D2" s="505" t="s">
        <v>152</v>
      </c>
      <c r="E2" s="506" t="s">
        <v>153</v>
      </c>
      <c r="F2" s="25"/>
      <c r="G2" s="25"/>
      <c r="H2" s="25"/>
      <c r="I2" s="25"/>
      <c r="J2" s="25"/>
      <c r="K2" s="25"/>
      <c r="L2" s="25"/>
      <c r="M2" s="25"/>
      <c r="N2" s="25"/>
      <c r="O2" s="25"/>
      <c r="P2" s="25"/>
      <c r="Q2" s="25"/>
      <c r="R2" s="25"/>
      <c r="S2" s="25"/>
      <c r="T2" s="25"/>
      <c r="U2" s="25"/>
      <c r="V2" s="25"/>
      <c r="W2" s="25"/>
      <c r="X2" s="25"/>
      <c r="Y2" s="25"/>
      <c r="Z2" s="25"/>
    </row>
    <row r="3">
      <c r="A3" s="25"/>
      <c r="B3" s="507" t="s">
        <v>154</v>
      </c>
      <c r="C3" s="489">
        <v>0.05</v>
      </c>
      <c r="D3" s="508">
        <v>1200000.0</v>
      </c>
      <c r="E3" s="509" t="s">
        <v>155</v>
      </c>
      <c r="F3" s="25"/>
      <c r="G3" s="25"/>
      <c r="H3" s="25"/>
      <c r="I3" s="25"/>
      <c r="J3" s="25"/>
      <c r="K3" s="25"/>
      <c r="L3" s="25"/>
      <c r="M3" s="25"/>
      <c r="N3" s="25"/>
      <c r="O3" s="25"/>
      <c r="P3" s="25"/>
      <c r="Q3" s="25"/>
      <c r="R3" s="25"/>
      <c r="S3" s="25"/>
      <c r="T3" s="25"/>
      <c r="U3" s="25"/>
      <c r="V3" s="25"/>
      <c r="W3" s="25"/>
      <c r="X3" s="25"/>
      <c r="Y3" s="25"/>
      <c r="Z3" s="25"/>
    </row>
    <row r="4">
      <c r="A4" s="25"/>
      <c r="B4" s="510" t="s">
        <v>156</v>
      </c>
      <c r="C4" s="489">
        <v>0.08</v>
      </c>
      <c r="D4" s="508">
        <v>1920000.0</v>
      </c>
      <c r="E4" s="511" t="s">
        <v>157</v>
      </c>
      <c r="F4" s="25"/>
      <c r="G4" s="25"/>
      <c r="H4" s="25"/>
      <c r="I4" s="25"/>
      <c r="J4" s="25"/>
      <c r="K4" s="25"/>
      <c r="L4" s="25"/>
      <c r="M4" s="25"/>
      <c r="N4" s="25"/>
      <c r="O4" s="25"/>
      <c r="P4" s="25"/>
      <c r="Q4" s="25"/>
      <c r="R4" s="25"/>
      <c r="S4" s="25"/>
      <c r="T4" s="25"/>
      <c r="U4" s="25"/>
      <c r="V4" s="25"/>
      <c r="W4" s="25"/>
      <c r="X4" s="25"/>
      <c r="Y4" s="25"/>
      <c r="Z4" s="25"/>
    </row>
    <row r="5">
      <c r="A5" s="25"/>
      <c r="B5" s="510" t="s">
        <v>158</v>
      </c>
      <c r="C5" s="489">
        <v>0.1</v>
      </c>
      <c r="D5" s="508">
        <v>2400000.0</v>
      </c>
      <c r="E5" s="511" t="s">
        <v>159</v>
      </c>
      <c r="F5" s="25"/>
      <c r="G5" s="25"/>
      <c r="H5" s="25"/>
      <c r="I5" s="25"/>
      <c r="J5" s="25"/>
      <c r="K5" s="25"/>
      <c r="L5" s="25"/>
      <c r="M5" s="25"/>
      <c r="N5" s="25"/>
      <c r="O5" s="25"/>
      <c r="P5" s="25"/>
      <c r="Q5" s="25"/>
      <c r="R5" s="25"/>
      <c r="S5" s="25"/>
      <c r="T5" s="25"/>
      <c r="U5" s="25"/>
      <c r="V5" s="25"/>
      <c r="W5" s="25"/>
      <c r="X5" s="25"/>
      <c r="Y5" s="25"/>
      <c r="Z5" s="25"/>
    </row>
    <row r="6">
      <c r="A6" s="25"/>
      <c r="B6" s="510" t="s">
        <v>160</v>
      </c>
      <c r="C6" s="489">
        <v>0.16</v>
      </c>
      <c r="D6" s="508">
        <v>3840000.0</v>
      </c>
      <c r="E6" s="511" t="s">
        <v>161</v>
      </c>
      <c r="F6" s="25"/>
      <c r="G6" s="25"/>
      <c r="H6" s="25"/>
      <c r="I6" s="25"/>
      <c r="J6" s="25"/>
      <c r="K6" s="25"/>
      <c r="L6" s="25"/>
      <c r="M6" s="25"/>
      <c r="N6" s="25"/>
      <c r="O6" s="25"/>
      <c r="P6" s="25"/>
      <c r="Q6" s="25"/>
      <c r="R6" s="25"/>
      <c r="S6" s="25"/>
      <c r="T6" s="25"/>
      <c r="U6" s="25"/>
      <c r="V6" s="25"/>
      <c r="W6" s="25"/>
      <c r="X6" s="25"/>
      <c r="Y6" s="25"/>
      <c r="Z6" s="25"/>
    </row>
    <row r="7">
      <c r="A7" s="25"/>
      <c r="B7" s="510" t="s">
        <v>162</v>
      </c>
      <c r="C7" s="489">
        <v>0.2</v>
      </c>
      <c r="D7" s="508">
        <v>4800000.0</v>
      </c>
      <c r="E7" s="511" t="s">
        <v>163</v>
      </c>
      <c r="F7" s="25"/>
      <c r="G7" s="25"/>
      <c r="H7" s="25"/>
      <c r="I7" s="25"/>
      <c r="J7" s="25"/>
      <c r="K7" s="25"/>
      <c r="L7" s="25"/>
      <c r="M7" s="25"/>
      <c r="N7" s="25"/>
      <c r="O7" s="25"/>
      <c r="P7" s="25"/>
      <c r="Q7" s="25"/>
      <c r="R7" s="25"/>
      <c r="S7" s="25"/>
      <c r="T7" s="25"/>
      <c r="U7" s="25"/>
      <c r="V7" s="25"/>
      <c r="W7" s="25"/>
      <c r="X7" s="25"/>
      <c r="Y7" s="25"/>
      <c r="Z7" s="25"/>
    </row>
    <row r="8">
      <c r="A8" s="25"/>
      <c r="B8" s="510" t="s">
        <v>164</v>
      </c>
      <c r="C8" s="489">
        <v>0.21</v>
      </c>
      <c r="D8" s="508">
        <v>5040000.0</v>
      </c>
      <c r="E8" s="511" t="s">
        <v>165</v>
      </c>
      <c r="F8" s="25"/>
      <c r="G8" s="25"/>
      <c r="H8" s="25"/>
      <c r="I8" s="25"/>
      <c r="J8" s="25"/>
      <c r="K8" s="25"/>
      <c r="L8" s="25"/>
      <c r="M8" s="25"/>
      <c r="N8" s="25"/>
      <c r="O8" s="25"/>
      <c r="P8" s="25"/>
      <c r="Q8" s="25"/>
      <c r="R8" s="25"/>
      <c r="S8" s="25"/>
      <c r="T8" s="25"/>
      <c r="U8" s="25"/>
      <c r="V8" s="25"/>
      <c r="W8" s="25"/>
      <c r="X8" s="25"/>
      <c r="Y8" s="25"/>
      <c r="Z8" s="25"/>
    </row>
    <row r="9">
      <c r="A9" s="25"/>
      <c r="B9" s="510" t="s">
        <v>166</v>
      </c>
      <c r="C9" s="489">
        <v>0.2</v>
      </c>
      <c r="D9" s="508">
        <v>4800000.0</v>
      </c>
      <c r="E9" s="511" t="s">
        <v>167</v>
      </c>
      <c r="F9" s="25"/>
      <c r="G9" s="25"/>
      <c r="H9" s="25"/>
      <c r="I9" s="25"/>
      <c r="J9" s="25"/>
      <c r="K9" s="25"/>
      <c r="L9" s="25"/>
      <c r="M9" s="25"/>
      <c r="N9" s="25"/>
      <c r="O9" s="25"/>
      <c r="P9" s="25"/>
      <c r="Q9" s="25"/>
      <c r="R9" s="25"/>
      <c r="S9" s="25"/>
      <c r="T9" s="25"/>
      <c r="U9" s="25"/>
      <c r="V9" s="25"/>
      <c r="W9" s="25"/>
      <c r="X9" s="25"/>
      <c r="Y9" s="25"/>
      <c r="Z9" s="25"/>
    </row>
    <row r="10">
      <c r="A10" s="25"/>
      <c r="B10" s="512" t="s">
        <v>168</v>
      </c>
      <c r="C10" s="513">
        <f t="shared" ref="C10:D10" si="1">SUM(C3:C9)</f>
        <v>1</v>
      </c>
      <c r="D10" s="514">
        <f t="shared" si="1"/>
        <v>24000000</v>
      </c>
      <c r="E10" s="515" t="s">
        <v>169</v>
      </c>
      <c r="F10" s="25"/>
      <c r="G10" s="25"/>
      <c r="H10" s="25"/>
      <c r="I10" s="25"/>
      <c r="J10" s="25"/>
      <c r="K10" s="25"/>
      <c r="L10" s="25"/>
      <c r="M10" s="25"/>
      <c r="N10" s="25"/>
      <c r="O10" s="25"/>
      <c r="P10" s="25"/>
      <c r="Q10" s="25"/>
      <c r="R10" s="25"/>
      <c r="S10" s="25"/>
      <c r="T10" s="25"/>
      <c r="U10" s="25"/>
      <c r="V10" s="25"/>
      <c r="W10" s="25"/>
      <c r="X10" s="25"/>
      <c r="Y10" s="25"/>
      <c r="Z10" s="25"/>
    </row>
    <row r="11">
      <c r="A11" s="25"/>
      <c r="B11" s="503"/>
      <c r="C11" s="503"/>
      <c r="D11" s="503"/>
      <c r="E11" s="25"/>
      <c r="F11" s="25"/>
      <c r="G11" s="25"/>
      <c r="H11" s="25"/>
      <c r="I11" s="25"/>
      <c r="J11" s="25"/>
      <c r="K11" s="25"/>
      <c r="L11" s="25"/>
      <c r="M11" s="25"/>
      <c r="N11" s="25"/>
      <c r="O11" s="25"/>
      <c r="P11" s="25"/>
      <c r="Q11" s="25"/>
      <c r="R11" s="25"/>
      <c r="S11" s="25"/>
      <c r="T11" s="25"/>
      <c r="U11" s="25"/>
      <c r="V11" s="25"/>
      <c r="W11" s="25"/>
      <c r="X11" s="25"/>
      <c r="Y11" s="25"/>
      <c r="Z11" s="25"/>
    </row>
    <row r="12">
      <c r="A12" s="25"/>
      <c r="B12" s="503"/>
      <c r="C12" s="503"/>
      <c r="D12" s="503"/>
      <c r="E12" s="25"/>
      <c r="F12" s="25"/>
      <c r="G12" s="25"/>
      <c r="H12" s="25"/>
      <c r="I12" s="25"/>
      <c r="J12" s="25"/>
      <c r="K12" s="25"/>
      <c r="L12" s="25"/>
      <c r="M12" s="25"/>
      <c r="N12" s="25"/>
      <c r="O12" s="25"/>
      <c r="P12" s="25"/>
      <c r="Q12" s="25"/>
      <c r="R12" s="25"/>
      <c r="S12" s="25"/>
      <c r="T12" s="25"/>
      <c r="U12" s="25"/>
      <c r="V12" s="25"/>
      <c r="W12" s="25"/>
      <c r="X12" s="25"/>
      <c r="Y12" s="25"/>
      <c r="Z12" s="25"/>
    </row>
    <row r="13">
      <c r="A13" s="25"/>
      <c r="B13" s="503"/>
      <c r="C13" s="503"/>
      <c r="D13" s="503"/>
      <c r="E13" s="25"/>
      <c r="F13" s="25"/>
      <c r="G13" s="25"/>
      <c r="H13" s="25"/>
      <c r="I13" s="25"/>
      <c r="J13" s="25"/>
      <c r="K13" s="25"/>
      <c r="L13" s="25"/>
      <c r="M13" s="25"/>
      <c r="N13" s="25"/>
      <c r="O13" s="25"/>
      <c r="P13" s="25"/>
      <c r="Q13" s="25"/>
      <c r="R13" s="25"/>
      <c r="S13" s="25"/>
      <c r="T13" s="25"/>
      <c r="U13" s="25"/>
      <c r="V13" s="25"/>
      <c r="W13" s="25"/>
      <c r="X13" s="25"/>
      <c r="Y13" s="25"/>
      <c r="Z13" s="25"/>
    </row>
    <row r="14">
      <c r="A14" s="25"/>
      <c r="B14" s="503"/>
      <c r="C14" s="503"/>
      <c r="D14" s="503"/>
      <c r="E14" s="25"/>
      <c r="F14" s="25"/>
      <c r="G14" s="25"/>
      <c r="H14" s="25"/>
      <c r="I14" s="25"/>
      <c r="J14" s="25"/>
      <c r="K14" s="25"/>
      <c r="L14" s="25"/>
      <c r="M14" s="25"/>
      <c r="N14" s="25"/>
      <c r="O14" s="25"/>
      <c r="P14" s="25"/>
      <c r="Q14" s="25"/>
      <c r="R14" s="25"/>
      <c r="S14" s="25"/>
      <c r="T14" s="25"/>
      <c r="U14" s="25"/>
      <c r="V14" s="25"/>
      <c r="W14" s="25"/>
      <c r="X14" s="25"/>
      <c r="Y14" s="25"/>
      <c r="Z14" s="25"/>
    </row>
    <row r="15">
      <c r="A15" s="25"/>
      <c r="B15" s="503"/>
      <c r="C15" s="503"/>
      <c r="D15" s="503"/>
      <c r="E15" s="25"/>
      <c r="F15" s="25"/>
      <c r="G15" s="25"/>
      <c r="H15" s="25"/>
      <c r="I15" s="25"/>
      <c r="J15" s="25"/>
      <c r="K15" s="25"/>
      <c r="L15" s="25"/>
      <c r="M15" s="25"/>
      <c r="N15" s="25"/>
      <c r="O15" s="25"/>
      <c r="P15" s="25"/>
      <c r="Q15" s="25"/>
      <c r="R15" s="25"/>
      <c r="S15" s="25"/>
      <c r="T15" s="25"/>
      <c r="U15" s="25"/>
      <c r="V15" s="25"/>
      <c r="W15" s="25"/>
      <c r="X15" s="25"/>
      <c r="Y15" s="25"/>
      <c r="Z15" s="25"/>
    </row>
    <row r="16">
      <c r="A16" s="25"/>
      <c r="B16" s="503"/>
      <c r="C16" s="503"/>
      <c r="D16" s="503"/>
      <c r="E16" s="25"/>
      <c r="F16" s="25"/>
      <c r="G16" s="25"/>
      <c r="H16" s="25"/>
      <c r="I16" s="25"/>
      <c r="J16" s="25"/>
      <c r="K16" s="25"/>
      <c r="L16" s="25"/>
      <c r="M16" s="25"/>
      <c r="N16" s="25"/>
      <c r="O16" s="25"/>
      <c r="P16" s="25"/>
      <c r="Q16" s="25"/>
      <c r="R16" s="25"/>
      <c r="S16" s="25"/>
      <c r="T16" s="25"/>
      <c r="U16" s="25"/>
      <c r="V16" s="25"/>
      <c r="W16" s="25"/>
      <c r="X16" s="25"/>
      <c r="Y16" s="25"/>
      <c r="Z16" s="25"/>
    </row>
    <row r="17">
      <c r="A17" s="25"/>
      <c r="B17" s="503"/>
      <c r="C17" s="503"/>
      <c r="D17" s="503"/>
      <c r="E17" s="25"/>
      <c r="F17" s="25"/>
      <c r="G17" s="25"/>
      <c r="H17" s="25"/>
      <c r="I17" s="25"/>
      <c r="J17" s="25"/>
      <c r="K17" s="25"/>
      <c r="L17" s="25"/>
      <c r="M17" s="25"/>
      <c r="N17" s="25"/>
      <c r="O17" s="25"/>
      <c r="P17" s="25"/>
      <c r="Q17" s="25"/>
      <c r="R17" s="25"/>
      <c r="S17" s="25"/>
      <c r="T17" s="25"/>
      <c r="U17" s="25"/>
      <c r="V17" s="25"/>
      <c r="W17" s="25"/>
      <c r="X17" s="25"/>
      <c r="Y17" s="25"/>
      <c r="Z17" s="25"/>
    </row>
    <row r="18">
      <c r="A18" s="25"/>
      <c r="B18" s="503"/>
      <c r="C18" s="503"/>
      <c r="D18" s="503"/>
      <c r="E18" s="25"/>
      <c r="F18" s="25"/>
      <c r="G18" s="25"/>
      <c r="H18" s="25"/>
      <c r="I18" s="25"/>
      <c r="J18" s="25"/>
      <c r="K18" s="25"/>
      <c r="L18" s="25"/>
      <c r="M18" s="25"/>
      <c r="N18" s="25"/>
      <c r="O18" s="25"/>
      <c r="P18" s="25"/>
      <c r="Q18" s="25"/>
      <c r="R18" s="25"/>
      <c r="S18" s="25"/>
      <c r="T18" s="25"/>
      <c r="U18" s="25"/>
      <c r="V18" s="25"/>
      <c r="W18" s="25"/>
      <c r="X18" s="25"/>
      <c r="Y18" s="25"/>
      <c r="Z18" s="25"/>
    </row>
    <row r="19">
      <c r="A19" s="25"/>
      <c r="B19" s="503"/>
      <c r="C19" s="503"/>
      <c r="D19" s="503"/>
      <c r="E19" s="25"/>
      <c r="F19" s="25"/>
      <c r="G19" s="25"/>
      <c r="H19" s="25"/>
      <c r="I19" s="25"/>
      <c r="J19" s="25"/>
      <c r="K19" s="25"/>
      <c r="L19" s="25"/>
      <c r="M19" s="25"/>
      <c r="N19" s="25"/>
      <c r="O19" s="25"/>
      <c r="P19" s="25"/>
      <c r="Q19" s="25"/>
      <c r="R19" s="25"/>
      <c r="S19" s="25"/>
      <c r="T19" s="25"/>
      <c r="U19" s="25"/>
      <c r="V19" s="25"/>
      <c r="W19" s="25"/>
      <c r="X19" s="25"/>
      <c r="Y19" s="25"/>
      <c r="Z19" s="25"/>
    </row>
    <row r="20">
      <c r="A20" s="25"/>
      <c r="B20" s="503"/>
      <c r="C20" s="503"/>
      <c r="D20" s="503"/>
      <c r="E20" s="25"/>
      <c r="F20" s="25"/>
      <c r="G20" s="25"/>
      <c r="H20" s="25"/>
      <c r="I20" s="25"/>
      <c r="J20" s="25"/>
      <c r="K20" s="25"/>
      <c r="L20" s="25"/>
      <c r="M20" s="25"/>
      <c r="N20" s="25"/>
      <c r="O20" s="25"/>
      <c r="P20" s="25"/>
      <c r="Q20" s="25"/>
      <c r="R20" s="25"/>
      <c r="S20" s="25"/>
      <c r="T20" s="25"/>
      <c r="U20" s="25"/>
      <c r="V20" s="25"/>
      <c r="W20" s="25"/>
      <c r="X20" s="25"/>
      <c r="Y20" s="25"/>
      <c r="Z20" s="25"/>
    </row>
    <row r="21" ht="15.75" customHeight="1">
      <c r="A21" s="25"/>
      <c r="B21" s="503"/>
      <c r="C21" s="503"/>
      <c r="D21" s="503"/>
      <c r="E21" s="25"/>
      <c r="F21" s="25"/>
      <c r="G21" s="25"/>
      <c r="H21" s="25"/>
      <c r="I21" s="25"/>
      <c r="J21" s="25"/>
      <c r="K21" s="25"/>
      <c r="L21" s="25"/>
      <c r="M21" s="25"/>
      <c r="N21" s="25"/>
      <c r="O21" s="25"/>
      <c r="P21" s="25"/>
      <c r="Q21" s="25"/>
      <c r="R21" s="25"/>
      <c r="S21" s="25"/>
      <c r="T21" s="25"/>
      <c r="U21" s="25"/>
      <c r="V21" s="25"/>
      <c r="W21" s="25"/>
      <c r="X21" s="25"/>
      <c r="Y21" s="25"/>
      <c r="Z21" s="25"/>
    </row>
    <row r="22" ht="15.75" customHeight="1">
      <c r="A22" s="25"/>
      <c r="B22" s="503"/>
      <c r="C22" s="503"/>
      <c r="D22" s="503"/>
      <c r="E22" s="25"/>
      <c r="F22" s="25"/>
      <c r="G22" s="25"/>
      <c r="H22" s="25"/>
      <c r="I22" s="25"/>
      <c r="J22" s="25"/>
      <c r="K22" s="25"/>
      <c r="L22" s="25"/>
      <c r="M22" s="25"/>
      <c r="N22" s="25"/>
      <c r="O22" s="25"/>
      <c r="P22" s="25"/>
      <c r="Q22" s="25"/>
      <c r="R22" s="25"/>
      <c r="S22" s="25"/>
      <c r="T22" s="25"/>
      <c r="U22" s="25"/>
      <c r="V22" s="25"/>
      <c r="W22" s="25"/>
      <c r="X22" s="25"/>
      <c r="Y22" s="25"/>
      <c r="Z22" s="25"/>
    </row>
    <row r="23" ht="15.75" customHeight="1">
      <c r="A23" s="25"/>
      <c r="B23" s="503"/>
      <c r="C23" s="503"/>
      <c r="D23" s="503"/>
      <c r="E23" s="25"/>
      <c r="F23" s="25"/>
      <c r="G23" s="25"/>
      <c r="H23" s="25"/>
      <c r="I23" s="25"/>
      <c r="J23" s="25"/>
      <c r="K23" s="25"/>
      <c r="L23" s="25"/>
      <c r="M23" s="25"/>
      <c r="N23" s="25"/>
      <c r="O23" s="25"/>
      <c r="P23" s="25"/>
      <c r="Q23" s="25"/>
      <c r="R23" s="25"/>
      <c r="S23" s="25"/>
      <c r="T23" s="25"/>
      <c r="U23" s="25"/>
      <c r="V23" s="25"/>
      <c r="W23" s="25"/>
      <c r="X23" s="25"/>
      <c r="Y23" s="25"/>
      <c r="Z23" s="25"/>
    </row>
    <row r="24" ht="15.75" customHeight="1">
      <c r="A24" s="25"/>
      <c r="B24" s="503"/>
      <c r="C24" s="503"/>
      <c r="D24" s="503"/>
      <c r="E24" s="25"/>
      <c r="F24" s="25"/>
      <c r="G24" s="25"/>
      <c r="H24" s="25"/>
      <c r="I24" s="25"/>
      <c r="J24" s="25"/>
      <c r="K24" s="25"/>
      <c r="L24" s="25"/>
      <c r="M24" s="25"/>
      <c r="N24" s="25"/>
      <c r="O24" s="25"/>
      <c r="P24" s="25"/>
      <c r="Q24" s="25"/>
      <c r="R24" s="25"/>
      <c r="S24" s="25"/>
      <c r="T24" s="25"/>
      <c r="U24" s="25"/>
      <c r="V24" s="25"/>
      <c r="W24" s="25"/>
      <c r="X24" s="25"/>
      <c r="Y24" s="25"/>
      <c r="Z24" s="25"/>
    </row>
    <row r="25" ht="15.75" customHeight="1">
      <c r="A25" s="25"/>
      <c r="B25" s="503"/>
      <c r="C25" s="503"/>
      <c r="D25" s="503"/>
      <c r="E25" s="25"/>
      <c r="F25" s="25"/>
      <c r="G25" s="25"/>
      <c r="H25" s="25"/>
      <c r="I25" s="25"/>
      <c r="J25" s="25"/>
      <c r="K25" s="25"/>
      <c r="L25" s="25"/>
      <c r="M25" s="25"/>
      <c r="N25" s="25"/>
      <c r="O25" s="25"/>
      <c r="P25" s="25"/>
      <c r="Q25" s="25"/>
      <c r="R25" s="25"/>
      <c r="S25" s="25"/>
      <c r="T25" s="25"/>
      <c r="U25" s="25"/>
      <c r="V25" s="25"/>
      <c r="W25" s="25"/>
      <c r="X25" s="25"/>
      <c r="Y25" s="25"/>
      <c r="Z25" s="25"/>
    </row>
    <row r="26" ht="15.75" customHeight="1">
      <c r="A26" s="25"/>
      <c r="B26" s="503"/>
      <c r="C26" s="503"/>
      <c r="D26" s="503"/>
      <c r="E26" s="25"/>
      <c r="F26" s="25"/>
      <c r="G26" s="25"/>
      <c r="H26" s="25"/>
      <c r="I26" s="25"/>
      <c r="J26" s="25"/>
      <c r="K26" s="25"/>
      <c r="L26" s="25"/>
      <c r="M26" s="25"/>
      <c r="N26" s="25"/>
      <c r="O26" s="25"/>
      <c r="P26" s="25"/>
      <c r="Q26" s="25"/>
      <c r="R26" s="25"/>
      <c r="S26" s="25"/>
      <c r="T26" s="25"/>
      <c r="U26" s="25"/>
      <c r="V26" s="25"/>
      <c r="W26" s="25"/>
      <c r="X26" s="25"/>
      <c r="Y26" s="25"/>
      <c r="Z26" s="25"/>
    </row>
    <row r="27" ht="15.75" customHeight="1">
      <c r="A27" s="25"/>
      <c r="B27" s="503"/>
      <c r="C27" s="503"/>
      <c r="D27" s="503"/>
      <c r="E27" s="25"/>
      <c r="F27" s="25"/>
      <c r="G27" s="25"/>
      <c r="H27" s="25"/>
      <c r="I27" s="25"/>
      <c r="J27" s="25"/>
      <c r="K27" s="25"/>
      <c r="L27" s="25"/>
      <c r="M27" s="25"/>
      <c r="N27" s="25"/>
      <c r="O27" s="25"/>
      <c r="P27" s="25"/>
      <c r="Q27" s="25"/>
      <c r="R27" s="25"/>
      <c r="S27" s="25"/>
      <c r="T27" s="25"/>
      <c r="U27" s="25"/>
      <c r="V27" s="25"/>
      <c r="W27" s="25"/>
      <c r="X27" s="25"/>
      <c r="Y27" s="25"/>
      <c r="Z27" s="25"/>
    </row>
    <row r="28" ht="15.75" customHeight="1">
      <c r="A28" s="25"/>
      <c r="B28" s="503"/>
      <c r="C28" s="503"/>
      <c r="D28" s="503"/>
      <c r="E28" s="25"/>
      <c r="F28" s="25"/>
      <c r="G28" s="25"/>
      <c r="H28" s="25"/>
      <c r="I28" s="25"/>
      <c r="J28" s="25"/>
      <c r="K28" s="25"/>
      <c r="L28" s="25"/>
      <c r="M28" s="25"/>
      <c r="N28" s="25"/>
      <c r="O28" s="25"/>
      <c r="P28" s="25"/>
      <c r="Q28" s="25"/>
      <c r="R28" s="25"/>
      <c r="S28" s="25"/>
      <c r="T28" s="25"/>
      <c r="U28" s="25"/>
      <c r="V28" s="25"/>
      <c r="W28" s="25"/>
      <c r="X28" s="25"/>
      <c r="Y28" s="25"/>
      <c r="Z28" s="25"/>
    </row>
    <row r="29" ht="15.75" customHeight="1">
      <c r="A29" s="25"/>
      <c r="B29" s="503"/>
      <c r="C29" s="503"/>
      <c r="D29" s="503"/>
      <c r="E29" s="25"/>
      <c r="F29" s="25"/>
      <c r="G29" s="25"/>
      <c r="H29" s="25"/>
      <c r="I29" s="25"/>
      <c r="J29" s="25"/>
      <c r="K29" s="25"/>
      <c r="L29" s="25"/>
      <c r="M29" s="25"/>
      <c r="N29" s="25"/>
      <c r="O29" s="25"/>
      <c r="P29" s="25"/>
      <c r="Q29" s="25"/>
      <c r="R29" s="25"/>
      <c r="S29" s="25"/>
      <c r="T29" s="25"/>
      <c r="U29" s="25"/>
      <c r="V29" s="25"/>
      <c r="W29" s="25"/>
      <c r="X29" s="25"/>
      <c r="Y29" s="25"/>
      <c r="Z29" s="25"/>
    </row>
    <row r="30" ht="15.75" customHeight="1">
      <c r="A30" s="25"/>
      <c r="B30" s="503"/>
      <c r="C30" s="503"/>
      <c r="D30" s="503"/>
      <c r="E30" s="25"/>
      <c r="F30" s="25"/>
      <c r="G30" s="25"/>
      <c r="H30" s="25"/>
      <c r="I30" s="25"/>
      <c r="J30" s="25"/>
      <c r="K30" s="25"/>
      <c r="L30" s="25"/>
      <c r="M30" s="25"/>
      <c r="N30" s="25"/>
      <c r="O30" s="25"/>
      <c r="P30" s="25"/>
      <c r="Q30" s="25"/>
      <c r="R30" s="25"/>
      <c r="S30" s="25"/>
      <c r="T30" s="25"/>
      <c r="U30" s="25"/>
      <c r="V30" s="25"/>
      <c r="W30" s="25"/>
      <c r="X30" s="25"/>
      <c r="Y30" s="25"/>
      <c r="Z30" s="25"/>
    </row>
    <row r="31" ht="15.75" customHeight="1">
      <c r="A31" s="25"/>
      <c r="B31" s="503"/>
      <c r="C31" s="503"/>
      <c r="D31" s="503"/>
      <c r="E31" s="25"/>
      <c r="F31" s="25"/>
      <c r="G31" s="25"/>
      <c r="H31" s="25"/>
      <c r="I31" s="25"/>
      <c r="J31" s="25"/>
      <c r="K31" s="25"/>
      <c r="L31" s="25"/>
      <c r="M31" s="25"/>
      <c r="N31" s="25"/>
      <c r="O31" s="25"/>
      <c r="P31" s="25"/>
      <c r="Q31" s="25"/>
      <c r="R31" s="25"/>
      <c r="S31" s="25"/>
      <c r="T31" s="25"/>
      <c r="U31" s="25"/>
      <c r="V31" s="25"/>
      <c r="W31" s="25"/>
      <c r="X31" s="25"/>
      <c r="Y31" s="25"/>
      <c r="Z31" s="25"/>
    </row>
    <row r="32" ht="15.75" customHeight="1">
      <c r="A32" s="25"/>
      <c r="B32" s="503"/>
      <c r="C32" s="503"/>
      <c r="D32" s="503"/>
      <c r="E32" s="25"/>
      <c r="F32" s="25"/>
      <c r="G32" s="25"/>
      <c r="H32" s="25"/>
      <c r="I32" s="25"/>
      <c r="J32" s="25"/>
      <c r="K32" s="25"/>
      <c r="L32" s="25"/>
      <c r="M32" s="25"/>
      <c r="N32" s="25"/>
      <c r="O32" s="25"/>
      <c r="P32" s="25"/>
      <c r="Q32" s="25"/>
      <c r="R32" s="25"/>
      <c r="S32" s="25"/>
      <c r="T32" s="25"/>
      <c r="U32" s="25"/>
      <c r="V32" s="25"/>
      <c r="W32" s="25"/>
      <c r="X32" s="25"/>
      <c r="Y32" s="25"/>
      <c r="Z32" s="25"/>
    </row>
    <row r="33" ht="15.75" customHeight="1">
      <c r="A33" s="25"/>
      <c r="B33" s="503"/>
      <c r="C33" s="503"/>
      <c r="D33" s="503"/>
      <c r="E33" s="25"/>
      <c r="F33" s="25"/>
      <c r="G33" s="25"/>
      <c r="H33" s="25"/>
      <c r="I33" s="25"/>
      <c r="J33" s="25"/>
      <c r="K33" s="25"/>
      <c r="L33" s="25"/>
      <c r="M33" s="25"/>
      <c r="N33" s="25"/>
      <c r="O33" s="25"/>
      <c r="P33" s="25"/>
      <c r="Q33" s="25"/>
      <c r="R33" s="25"/>
      <c r="S33" s="25"/>
      <c r="T33" s="25"/>
      <c r="U33" s="25"/>
      <c r="V33" s="25"/>
      <c r="W33" s="25"/>
      <c r="X33" s="25"/>
      <c r="Y33" s="25"/>
      <c r="Z33" s="25"/>
    </row>
    <row r="34" ht="15.75" customHeight="1">
      <c r="A34" s="25"/>
      <c r="B34" s="503"/>
      <c r="C34" s="503"/>
      <c r="D34" s="503"/>
      <c r="E34" s="25"/>
      <c r="F34" s="25"/>
      <c r="G34" s="25"/>
      <c r="H34" s="25"/>
      <c r="I34" s="25"/>
      <c r="J34" s="25"/>
      <c r="K34" s="25"/>
      <c r="L34" s="25"/>
      <c r="M34" s="25"/>
      <c r="N34" s="25"/>
      <c r="O34" s="25"/>
      <c r="P34" s="25"/>
      <c r="Q34" s="25"/>
      <c r="R34" s="25"/>
      <c r="S34" s="25"/>
      <c r="T34" s="25"/>
      <c r="U34" s="25"/>
      <c r="V34" s="25"/>
      <c r="W34" s="25"/>
      <c r="X34" s="25"/>
      <c r="Y34" s="25"/>
      <c r="Z34" s="25"/>
    </row>
    <row r="35" ht="15.75" customHeight="1">
      <c r="A35" s="25"/>
      <c r="B35" s="503"/>
      <c r="C35" s="503"/>
      <c r="D35" s="503"/>
      <c r="E35" s="25"/>
      <c r="F35" s="25"/>
      <c r="G35" s="25"/>
      <c r="H35" s="25"/>
      <c r="I35" s="25"/>
      <c r="J35" s="25"/>
      <c r="K35" s="25"/>
      <c r="L35" s="25"/>
      <c r="M35" s="25"/>
      <c r="N35" s="25"/>
      <c r="O35" s="25"/>
      <c r="P35" s="25"/>
      <c r="Q35" s="25"/>
      <c r="R35" s="25"/>
      <c r="S35" s="25"/>
      <c r="T35" s="25"/>
      <c r="U35" s="25"/>
      <c r="V35" s="25"/>
      <c r="W35" s="25"/>
      <c r="X35" s="25"/>
      <c r="Y35" s="25"/>
      <c r="Z35" s="25"/>
    </row>
    <row r="36" ht="15.75" customHeight="1">
      <c r="A36" s="25"/>
      <c r="B36" s="503"/>
      <c r="C36" s="503"/>
      <c r="D36" s="503"/>
      <c r="E36" s="25"/>
      <c r="F36" s="25"/>
      <c r="G36" s="25"/>
      <c r="H36" s="25"/>
      <c r="I36" s="25"/>
      <c r="J36" s="25"/>
      <c r="K36" s="25"/>
      <c r="L36" s="25"/>
      <c r="M36" s="25"/>
      <c r="N36" s="25"/>
      <c r="O36" s="25"/>
      <c r="P36" s="25"/>
      <c r="Q36" s="25"/>
      <c r="R36" s="25"/>
      <c r="S36" s="25"/>
      <c r="T36" s="25"/>
      <c r="U36" s="25"/>
      <c r="V36" s="25"/>
      <c r="W36" s="25"/>
      <c r="X36" s="25"/>
      <c r="Y36" s="25"/>
      <c r="Z36" s="25"/>
    </row>
    <row r="37" ht="15.75" customHeight="1">
      <c r="A37" s="25"/>
      <c r="B37" s="503"/>
      <c r="C37" s="503"/>
      <c r="D37" s="503"/>
      <c r="E37" s="25"/>
      <c r="F37" s="25"/>
      <c r="G37" s="25"/>
      <c r="H37" s="25"/>
      <c r="I37" s="25"/>
      <c r="J37" s="25"/>
      <c r="K37" s="25"/>
      <c r="L37" s="25"/>
      <c r="M37" s="25"/>
      <c r="N37" s="25"/>
      <c r="O37" s="25"/>
      <c r="P37" s="25"/>
      <c r="Q37" s="25"/>
      <c r="R37" s="25"/>
      <c r="S37" s="25"/>
      <c r="T37" s="25"/>
      <c r="U37" s="25"/>
      <c r="V37" s="25"/>
      <c r="W37" s="25"/>
      <c r="X37" s="25"/>
      <c r="Y37" s="25"/>
      <c r="Z37" s="25"/>
    </row>
    <row r="38" ht="15.75" customHeight="1">
      <c r="A38" s="25"/>
      <c r="B38" s="503"/>
      <c r="C38" s="503"/>
      <c r="D38" s="503"/>
      <c r="E38" s="25"/>
      <c r="F38" s="25"/>
      <c r="G38" s="25"/>
      <c r="H38" s="25"/>
      <c r="I38" s="25"/>
      <c r="J38" s="25"/>
      <c r="K38" s="25"/>
      <c r="L38" s="25"/>
      <c r="M38" s="25"/>
      <c r="N38" s="25"/>
      <c r="O38" s="25"/>
      <c r="P38" s="25"/>
      <c r="Q38" s="25"/>
      <c r="R38" s="25"/>
      <c r="S38" s="25"/>
      <c r="T38" s="25"/>
      <c r="U38" s="25"/>
      <c r="V38" s="25"/>
      <c r="W38" s="25"/>
      <c r="X38" s="25"/>
      <c r="Y38" s="25"/>
      <c r="Z38" s="25"/>
    </row>
    <row r="39" ht="15.75" customHeight="1">
      <c r="A39" s="25"/>
      <c r="B39" s="503"/>
      <c r="C39" s="503"/>
      <c r="D39" s="503"/>
      <c r="E39" s="25"/>
      <c r="F39" s="25"/>
      <c r="G39" s="25"/>
      <c r="H39" s="25"/>
      <c r="I39" s="25"/>
      <c r="J39" s="25"/>
      <c r="K39" s="25"/>
      <c r="L39" s="25"/>
      <c r="M39" s="25"/>
      <c r="N39" s="25"/>
      <c r="O39" s="25"/>
      <c r="P39" s="25"/>
      <c r="Q39" s="25"/>
      <c r="R39" s="25"/>
      <c r="S39" s="25"/>
      <c r="T39" s="25"/>
      <c r="U39" s="25"/>
      <c r="V39" s="25"/>
      <c r="W39" s="25"/>
      <c r="X39" s="25"/>
      <c r="Y39" s="25"/>
      <c r="Z39" s="25"/>
    </row>
    <row r="40" ht="15.75" customHeight="1">
      <c r="A40" s="25"/>
      <c r="B40" s="503"/>
      <c r="C40" s="503"/>
      <c r="D40" s="503"/>
      <c r="E40" s="25"/>
      <c r="F40" s="25"/>
      <c r="G40" s="25"/>
      <c r="H40" s="25"/>
      <c r="I40" s="25"/>
      <c r="J40" s="25"/>
      <c r="K40" s="25"/>
      <c r="L40" s="25"/>
      <c r="M40" s="25"/>
      <c r="N40" s="25"/>
      <c r="O40" s="25"/>
      <c r="P40" s="25"/>
      <c r="Q40" s="25"/>
      <c r="R40" s="25"/>
      <c r="S40" s="25"/>
      <c r="T40" s="25"/>
      <c r="U40" s="25"/>
      <c r="V40" s="25"/>
      <c r="W40" s="25"/>
      <c r="X40" s="25"/>
      <c r="Y40" s="25"/>
      <c r="Z40" s="25"/>
    </row>
    <row r="41" ht="15.75" customHeight="1">
      <c r="A41" s="25"/>
      <c r="B41" s="503"/>
      <c r="C41" s="503"/>
      <c r="D41" s="503"/>
      <c r="E41" s="25"/>
      <c r="F41" s="25"/>
      <c r="G41" s="25"/>
      <c r="H41" s="25"/>
      <c r="I41" s="25"/>
      <c r="J41" s="25"/>
      <c r="K41" s="25"/>
      <c r="L41" s="25"/>
      <c r="M41" s="25"/>
      <c r="N41" s="25"/>
      <c r="O41" s="25"/>
      <c r="P41" s="25"/>
      <c r="Q41" s="25"/>
      <c r="R41" s="25"/>
      <c r="S41" s="25"/>
      <c r="T41" s="25"/>
      <c r="U41" s="25"/>
      <c r="V41" s="25"/>
      <c r="W41" s="25"/>
      <c r="X41" s="25"/>
      <c r="Y41" s="25"/>
      <c r="Z41" s="25"/>
    </row>
    <row r="42" ht="15.75" customHeight="1">
      <c r="A42" s="25"/>
      <c r="B42" s="503"/>
      <c r="C42" s="503"/>
      <c r="D42" s="503"/>
      <c r="E42" s="25"/>
      <c r="F42" s="25"/>
      <c r="G42" s="25"/>
      <c r="H42" s="25"/>
      <c r="I42" s="25"/>
      <c r="J42" s="25"/>
      <c r="K42" s="25"/>
      <c r="L42" s="25"/>
      <c r="M42" s="25"/>
      <c r="N42" s="25"/>
      <c r="O42" s="25"/>
      <c r="P42" s="25"/>
      <c r="Q42" s="25"/>
      <c r="R42" s="25"/>
      <c r="S42" s="25"/>
      <c r="T42" s="25"/>
      <c r="U42" s="25"/>
      <c r="V42" s="25"/>
      <c r="W42" s="25"/>
      <c r="X42" s="25"/>
      <c r="Y42" s="25"/>
      <c r="Z42" s="25"/>
    </row>
    <row r="43" ht="15.75" customHeight="1">
      <c r="A43" s="25"/>
      <c r="B43" s="503"/>
      <c r="C43" s="503"/>
      <c r="D43" s="503"/>
      <c r="E43" s="25"/>
      <c r="F43" s="25"/>
      <c r="G43" s="25"/>
      <c r="H43" s="25"/>
      <c r="I43" s="25"/>
      <c r="J43" s="25"/>
      <c r="K43" s="25"/>
      <c r="L43" s="25"/>
      <c r="M43" s="25"/>
      <c r="N43" s="25"/>
      <c r="O43" s="25"/>
      <c r="P43" s="25"/>
      <c r="Q43" s="25"/>
      <c r="R43" s="25"/>
      <c r="S43" s="25"/>
      <c r="T43" s="25"/>
      <c r="U43" s="25"/>
      <c r="V43" s="25"/>
      <c r="W43" s="25"/>
      <c r="X43" s="25"/>
      <c r="Y43" s="25"/>
      <c r="Z43" s="25"/>
    </row>
    <row r="44" ht="15.75" customHeight="1">
      <c r="A44" s="25"/>
      <c r="B44" s="503"/>
      <c r="C44" s="503"/>
      <c r="D44" s="503"/>
      <c r="E44" s="25"/>
      <c r="F44" s="25"/>
      <c r="G44" s="25"/>
      <c r="H44" s="25"/>
      <c r="I44" s="25"/>
      <c r="J44" s="25"/>
      <c r="K44" s="25"/>
      <c r="L44" s="25"/>
      <c r="M44" s="25"/>
      <c r="N44" s="25"/>
      <c r="O44" s="25"/>
      <c r="P44" s="25"/>
      <c r="Q44" s="25"/>
      <c r="R44" s="25"/>
      <c r="S44" s="25"/>
      <c r="T44" s="25"/>
      <c r="U44" s="25"/>
      <c r="V44" s="25"/>
      <c r="W44" s="25"/>
      <c r="X44" s="25"/>
      <c r="Y44" s="25"/>
      <c r="Z44" s="25"/>
    </row>
    <row r="45" ht="15.75" customHeight="1">
      <c r="A45" s="25"/>
      <c r="B45" s="503"/>
      <c r="C45" s="503"/>
      <c r="D45" s="503"/>
      <c r="E45" s="25"/>
      <c r="F45" s="25"/>
      <c r="G45" s="25"/>
      <c r="H45" s="25"/>
      <c r="I45" s="25"/>
      <c r="J45" s="25"/>
      <c r="K45" s="25"/>
      <c r="L45" s="25"/>
      <c r="M45" s="25"/>
      <c r="N45" s="25"/>
      <c r="O45" s="25"/>
      <c r="P45" s="25"/>
      <c r="Q45" s="25"/>
      <c r="R45" s="25"/>
      <c r="S45" s="25"/>
      <c r="T45" s="25"/>
      <c r="U45" s="25"/>
      <c r="V45" s="25"/>
      <c r="W45" s="25"/>
      <c r="X45" s="25"/>
      <c r="Y45" s="25"/>
      <c r="Z45" s="25"/>
    </row>
    <row r="46" ht="15.75" customHeight="1">
      <c r="A46" s="25"/>
      <c r="B46" s="503"/>
      <c r="C46" s="503"/>
      <c r="D46" s="503"/>
      <c r="E46" s="25"/>
      <c r="F46" s="25"/>
      <c r="G46" s="25"/>
      <c r="H46" s="25"/>
      <c r="I46" s="25"/>
      <c r="J46" s="25"/>
      <c r="K46" s="25"/>
      <c r="L46" s="25"/>
      <c r="M46" s="25"/>
      <c r="N46" s="25"/>
      <c r="O46" s="25"/>
      <c r="P46" s="25"/>
      <c r="Q46" s="25"/>
      <c r="R46" s="25"/>
      <c r="S46" s="25"/>
      <c r="T46" s="25"/>
      <c r="U46" s="25"/>
      <c r="V46" s="25"/>
      <c r="W46" s="25"/>
      <c r="X46" s="25"/>
      <c r="Y46" s="25"/>
      <c r="Z46" s="25"/>
    </row>
    <row r="47" ht="15.75" customHeight="1">
      <c r="A47" s="25"/>
      <c r="B47" s="503"/>
      <c r="C47" s="503"/>
      <c r="D47" s="503"/>
      <c r="E47" s="25"/>
      <c r="F47" s="25"/>
      <c r="G47" s="25"/>
      <c r="H47" s="25"/>
      <c r="I47" s="25"/>
      <c r="J47" s="25"/>
      <c r="K47" s="25"/>
      <c r="L47" s="25"/>
      <c r="M47" s="25"/>
      <c r="N47" s="25"/>
      <c r="O47" s="25"/>
      <c r="P47" s="25"/>
      <c r="Q47" s="25"/>
      <c r="R47" s="25"/>
      <c r="S47" s="25"/>
      <c r="T47" s="25"/>
      <c r="U47" s="25"/>
      <c r="V47" s="25"/>
      <c r="W47" s="25"/>
      <c r="X47" s="25"/>
      <c r="Y47" s="25"/>
      <c r="Z47" s="25"/>
    </row>
    <row r="48" ht="15.75" customHeight="1">
      <c r="A48" s="25"/>
      <c r="B48" s="503"/>
      <c r="C48" s="503"/>
      <c r="D48" s="503"/>
      <c r="E48" s="25"/>
      <c r="F48" s="25"/>
      <c r="G48" s="25"/>
      <c r="H48" s="25"/>
      <c r="I48" s="25"/>
      <c r="J48" s="25"/>
      <c r="K48" s="25"/>
      <c r="L48" s="25"/>
      <c r="M48" s="25"/>
      <c r="N48" s="25"/>
      <c r="O48" s="25"/>
      <c r="P48" s="25"/>
      <c r="Q48" s="25"/>
      <c r="R48" s="25"/>
      <c r="S48" s="25"/>
      <c r="T48" s="25"/>
      <c r="U48" s="25"/>
      <c r="V48" s="25"/>
      <c r="W48" s="25"/>
      <c r="X48" s="25"/>
      <c r="Y48" s="25"/>
      <c r="Z48" s="25"/>
    </row>
    <row r="49" ht="15.75" customHeight="1">
      <c r="A49" s="25"/>
      <c r="B49" s="503"/>
      <c r="C49" s="503"/>
      <c r="D49" s="503"/>
      <c r="E49" s="25"/>
      <c r="F49" s="25"/>
      <c r="G49" s="25"/>
      <c r="H49" s="25"/>
      <c r="I49" s="25"/>
      <c r="J49" s="25"/>
      <c r="K49" s="25"/>
      <c r="L49" s="25"/>
      <c r="M49" s="25"/>
      <c r="N49" s="25"/>
      <c r="O49" s="25"/>
      <c r="P49" s="25"/>
      <c r="Q49" s="25"/>
      <c r="R49" s="25"/>
      <c r="S49" s="25"/>
      <c r="T49" s="25"/>
      <c r="U49" s="25"/>
      <c r="V49" s="25"/>
      <c r="W49" s="25"/>
      <c r="X49" s="25"/>
      <c r="Y49" s="25"/>
      <c r="Z49" s="25"/>
    </row>
    <row r="50" ht="15.75" customHeight="1">
      <c r="A50" s="25"/>
      <c r="B50" s="503"/>
      <c r="C50" s="503"/>
      <c r="D50" s="503"/>
      <c r="E50" s="25"/>
      <c r="F50" s="25"/>
      <c r="G50" s="25"/>
      <c r="H50" s="25"/>
      <c r="I50" s="25"/>
      <c r="J50" s="25"/>
      <c r="K50" s="25"/>
      <c r="L50" s="25"/>
      <c r="M50" s="25"/>
      <c r="N50" s="25"/>
      <c r="O50" s="25"/>
      <c r="P50" s="25"/>
      <c r="Q50" s="25"/>
      <c r="R50" s="25"/>
      <c r="S50" s="25"/>
      <c r="T50" s="25"/>
      <c r="U50" s="25"/>
      <c r="V50" s="25"/>
      <c r="W50" s="25"/>
      <c r="X50" s="25"/>
      <c r="Y50" s="25"/>
      <c r="Z50" s="25"/>
    </row>
    <row r="51" ht="15.75" customHeight="1">
      <c r="A51" s="25"/>
      <c r="B51" s="503"/>
      <c r="C51" s="503"/>
      <c r="D51" s="503"/>
      <c r="E51" s="25"/>
      <c r="F51" s="25"/>
      <c r="G51" s="25"/>
      <c r="H51" s="25"/>
      <c r="I51" s="25"/>
      <c r="J51" s="25"/>
      <c r="K51" s="25"/>
      <c r="L51" s="25"/>
      <c r="M51" s="25"/>
      <c r="N51" s="25"/>
      <c r="O51" s="25"/>
      <c r="P51" s="25"/>
      <c r="Q51" s="25"/>
      <c r="R51" s="25"/>
      <c r="S51" s="25"/>
      <c r="T51" s="25"/>
      <c r="U51" s="25"/>
      <c r="V51" s="25"/>
      <c r="W51" s="25"/>
      <c r="X51" s="25"/>
      <c r="Y51" s="25"/>
      <c r="Z51" s="25"/>
    </row>
    <row r="52" ht="15.75" customHeight="1">
      <c r="A52" s="25"/>
      <c r="B52" s="503"/>
      <c r="C52" s="503"/>
      <c r="D52" s="503"/>
      <c r="E52" s="25"/>
      <c r="F52" s="25"/>
      <c r="G52" s="25"/>
      <c r="H52" s="25"/>
      <c r="I52" s="25"/>
      <c r="J52" s="25"/>
      <c r="K52" s="25"/>
      <c r="L52" s="25"/>
      <c r="M52" s="25"/>
      <c r="N52" s="25"/>
      <c r="O52" s="25"/>
      <c r="P52" s="25"/>
      <c r="Q52" s="25"/>
      <c r="R52" s="25"/>
      <c r="S52" s="25"/>
      <c r="T52" s="25"/>
      <c r="U52" s="25"/>
      <c r="V52" s="25"/>
      <c r="W52" s="25"/>
      <c r="X52" s="25"/>
      <c r="Y52" s="25"/>
      <c r="Z52" s="25"/>
    </row>
    <row r="53" ht="15.75" customHeight="1">
      <c r="A53" s="25"/>
      <c r="B53" s="503"/>
      <c r="C53" s="503"/>
      <c r="D53" s="503"/>
      <c r="E53" s="25"/>
      <c r="F53" s="25"/>
      <c r="G53" s="25"/>
      <c r="H53" s="25"/>
      <c r="I53" s="25"/>
      <c r="J53" s="25"/>
      <c r="K53" s="25"/>
      <c r="L53" s="25"/>
      <c r="M53" s="25"/>
      <c r="N53" s="25"/>
      <c r="O53" s="25"/>
      <c r="P53" s="25"/>
      <c r="Q53" s="25"/>
      <c r="R53" s="25"/>
      <c r="S53" s="25"/>
      <c r="T53" s="25"/>
      <c r="U53" s="25"/>
      <c r="V53" s="25"/>
      <c r="W53" s="25"/>
      <c r="X53" s="25"/>
      <c r="Y53" s="25"/>
      <c r="Z53" s="25"/>
    </row>
    <row r="54" ht="15.75" customHeight="1">
      <c r="A54" s="25"/>
      <c r="B54" s="503"/>
      <c r="C54" s="503"/>
      <c r="D54" s="503"/>
      <c r="E54" s="25"/>
      <c r="F54" s="25"/>
      <c r="G54" s="25"/>
      <c r="H54" s="25"/>
      <c r="I54" s="25"/>
      <c r="J54" s="25"/>
      <c r="K54" s="25"/>
      <c r="L54" s="25"/>
      <c r="M54" s="25"/>
      <c r="N54" s="25"/>
      <c r="O54" s="25"/>
      <c r="P54" s="25"/>
      <c r="Q54" s="25"/>
      <c r="R54" s="25"/>
      <c r="S54" s="25"/>
      <c r="T54" s="25"/>
      <c r="U54" s="25"/>
      <c r="V54" s="25"/>
      <c r="W54" s="25"/>
      <c r="X54" s="25"/>
      <c r="Y54" s="25"/>
      <c r="Z54" s="25"/>
    </row>
    <row r="55" ht="15.75" customHeight="1">
      <c r="A55" s="25"/>
      <c r="B55" s="503"/>
      <c r="C55" s="503"/>
      <c r="D55" s="503"/>
      <c r="E55" s="25"/>
      <c r="F55" s="25"/>
      <c r="G55" s="25"/>
      <c r="H55" s="25"/>
      <c r="I55" s="25"/>
      <c r="J55" s="25"/>
      <c r="K55" s="25"/>
      <c r="L55" s="25"/>
      <c r="M55" s="25"/>
      <c r="N55" s="25"/>
      <c r="O55" s="25"/>
      <c r="P55" s="25"/>
      <c r="Q55" s="25"/>
      <c r="R55" s="25"/>
      <c r="S55" s="25"/>
      <c r="T55" s="25"/>
      <c r="U55" s="25"/>
      <c r="V55" s="25"/>
      <c r="W55" s="25"/>
      <c r="X55" s="25"/>
      <c r="Y55" s="25"/>
      <c r="Z55" s="25"/>
    </row>
    <row r="56" ht="15.75" customHeight="1">
      <c r="A56" s="25"/>
      <c r="B56" s="503"/>
      <c r="C56" s="503"/>
      <c r="D56" s="503"/>
      <c r="E56" s="25"/>
      <c r="F56" s="25"/>
      <c r="G56" s="25"/>
      <c r="H56" s="25"/>
      <c r="I56" s="25"/>
      <c r="J56" s="25"/>
      <c r="K56" s="25"/>
      <c r="L56" s="25"/>
      <c r="M56" s="25"/>
      <c r="N56" s="25"/>
      <c r="O56" s="25"/>
      <c r="P56" s="25"/>
      <c r="Q56" s="25"/>
      <c r="R56" s="25"/>
      <c r="S56" s="25"/>
      <c r="T56" s="25"/>
      <c r="U56" s="25"/>
      <c r="V56" s="25"/>
      <c r="W56" s="25"/>
      <c r="X56" s="25"/>
      <c r="Y56" s="25"/>
      <c r="Z56" s="25"/>
    </row>
    <row r="57" ht="15.75" customHeight="1">
      <c r="A57" s="25"/>
      <c r="B57" s="503"/>
      <c r="C57" s="503"/>
      <c r="D57" s="503"/>
      <c r="E57" s="25"/>
      <c r="F57" s="25"/>
      <c r="G57" s="25"/>
      <c r="H57" s="25"/>
      <c r="I57" s="25"/>
      <c r="J57" s="25"/>
      <c r="K57" s="25"/>
      <c r="L57" s="25"/>
      <c r="M57" s="25"/>
      <c r="N57" s="25"/>
      <c r="O57" s="25"/>
      <c r="P57" s="25"/>
      <c r="Q57" s="25"/>
      <c r="R57" s="25"/>
      <c r="S57" s="25"/>
      <c r="T57" s="25"/>
      <c r="U57" s="25"/>
      <c r="V57" s="25"/>
      <c r="W57" s="25"/>
      <c r="X57" s="25"/>
      <c r="Y57" s="25"/>
      <c r="Z57" s="25"/>
    </row>
    <row r="58" ht="15.75" customHeight="1">
      <c r="A58" s="25"/>
      <c r="B58" s="503"/>
      <c r="C58" s="503"/>
      <c r="D58" s="503"/>
      <c r="E58" s="25"/>
      <c r="F58" s="25"/>
      <c r="G58" s="25"/>
      <c r="H58" s="25"/>
      <c r="I58" s="25"/>
      <c r="J58" s="25"/>
      <c r="K58" s="25"/>
      <c r="L58" s="25"/>
      <c r="M58" s="25"/>
      <c r="N58" s="25"/>
      <c r="O58" s="25"/>
      <c r="P58" s="25"/>
      <c r="Q58" s="25"/>
      <c r="R58" s="25"/>
      <c r="S58" s="25"/>
      <c r="T58" s="25"/>
      <c r="U58" s="25"/>
      <c r="V58" s="25"/>
      <c r="W58" s="25"/>
      <c r="X58" s="25"/>
      <c r="Y58" s="25"/>
      <c r="Z58" s="25"/>
    </row>
    <row r="59" ht="15.75" customHeight="1">
      <c r="A59" s="25"/>
      <c r="B59" s="503"/>
      <c r="C59" s="503"/>
      <c r="D59" s="503"/>
      <c r="E59" s="25"/>
      <c r="F59" s="25"/>
      <c r="G59" s="25"/>
      <c r="H59" s="25"/>
      <c r="I59" s="25"/>
      <c r="J59" s="25"/>
      <c r="K59" s="25"/>
      <c r="L59" s="25"/>
      <c r="M59" s="25"/>
      <c r="N59" s="25"/>
      <c r="O59" s="25"/>
      <c r="P59" s="25"/>
      <c r="Q59" s="25"/>
      <c r="R59" s="25"/>
      <c r="S59" s="25"/>
      <c r="T59" s="25"/>
      <c r="U59" s="25"/>
      <c r="V59" s="25"/>
      <c r="W59" s="25"/>
      <c r="X59" s="25"/>
      <c r="Y59" s="25"/>
      <c r="Z59" s="25"/>
    </row>
    <row r="60" ht="15.75" customHeight="1">
      <c r="A60" s="25"/>
      <c r="B60" s="503"/>
      <c r="C60" s="503"/>
      <c r="D60" s="503"/>
      <c r="E60" s="25"/>
      <c r="F60" s="25"/>
      <c r="G60" s="25"/>
      <c r="H60" s="25"/>
      <c r="I60" s="25"/>
      <c r="J60" s="25"/>
      <c r="K60" s="25"/>
      <c r="L60" s="25"/>
      <c r="M60" s="25"/>
      <c r="N60" s="25"/>
      <c r="O60" s="25"/>
      <c r="P60" s="25"/>
      <c r="Q60" s="25"/>
      <c r="R60" s="25"/>
      <c r="S60" s="25"/>
      <c r="T60" s="25"/>
      <c r="U60" s="25"/>
      <c r="V60" s="25"/>
      <c r="W60" s="25"/>
      <c r="X60" s="25"/>
      <c r="Y60" s="25"/>
      <c r="Z60" s="25"/>
    </row>
    <row r="61" ht="15.75" customHeight="1">
      <c r="A61" s="25"/>
      <c r="B61" s="503"/>
      <c r="C61" s="503"/>
      <c r="D61" s="503"/>
      <c r="E61" s="25"/>
      <c r="F61" s="25"/>
      <c r="G61" s="25"/>
      <c r="H61" s="25"/>
      <c r="I61" s="25"/>
      <c r="J61" s="25"/>
      <c r="K61" s="25"/>
      <c r="L61" s="25"/>
      <c r="M61" s="25"/>
      <c r="N61" s="25"/>
      <c r="O61" s="25"/>
      <c r="P61" s="25"/>
      <c r="Q61" s="25"/>
      <c r="R61" s="25"/>
      <c r="S61" s="25"/>
      <c r="T61" s="25"/>
      <c r="U61" s="25"/>
      <c r="V61" s="25"/>
      <c r="W61" s="25"/>
      <c r="X61" s="25"/>
      <c r="Y61" s="25"/>
      <c r="Z61" s="25"/>
    </row>
    <row r="62" ht="15.75" customHeight="1">
      <c r="A62" s="25"/>
      <c r="B62" s="503"/>
      <c r="C62" s="503"/>
      <c r="D62" s="503"/>
      <c r="E62" s="25"/>
      <c r="F62" s="25"/>
      <c r="G62" s="25"/>
      <c r="H62" s="25"/>
      <c r="I62" s="25"/>
      <c r="J62" s="25"/>
      <c r="K62" s="25"/>
      <c r="L62" s="25"/>
      <c r="M62" s="25"/>
      <c r="N62" s="25"/>
      <c r="O62" s="25"/>
      <c r="P62" s="25"/>
      <c r="Q62" s="25"/>
      <c r="R62" s="25"/>
      <c r="S62" s="25"/>
      <c r="T62" s="25"/>
      <c r="U62" s="25"/>
      <c r="V62" s="25"/>
      <c r="W62" s="25"/>
      <c r="X62" s="25"/>
      <c r="Y62" s="25"/>
      <c r="Z62" s="25"/>
    </row>
    <row r="63" ht="15.75" customHeight="1">
      <c r="A63" s="25"/>
      <c r="B63" s="503"/>
      <c r="C63" s="503"/>
      <c r="D63" s="503"/>
      <c r="E63" s="25"/>
      <c r="F63" s="25"/>
      <c r="G63" s="25"/>
      <c r="H63" s="25"/>
      <c r="I63" s="25"/>
      <c r="J63" s="25"/>
      <c r="K63" s="25"/>
      <c r="L63" s="25"/>
      <c r="M63" s="25"/>
      <c r="N63" s="25"/>
      <c r="O63" s="25"/>
      <c r="P63" s="25"/>
      <c r="Q63" s="25"/>
      <c r="R63" s="25"/>
      <c r="S63" s="25"/>
      <c r="T63" s="25"/>
      <c r="U63" s="25"/>
      <c r="V63" s="25"/>
      <c r="W63" s="25"/>
      <c r="X63" s="25"/>
      <c r="Y63" s="25"/>
      <c r="Z63" s="25"/>
    </row>
    <row r="64" ht="15.75" customHeight="1">
      <c r="A64" s="25"/>
      <c r="B64" s="503"/>
      <c r="C64" s="503"/>
      <c r="D64" s="503"/>
      <c r="E64" s="25"/>
      <c r="F64" s="25"/>
      <c r="G64" s="25"/>
      <c r="H64" s="25"/>
      <c r="I64" s="25"/>
      <c r="J64" s="25"/>
      <c r="K64" s="25"/>
      <c r="L64" s="25"/>
      <c r="M64" s="25"/>
      <c r="N64" s="25"/>
      <c r="O64" s="25"/>
      <c r="P64" s="25"/>
      <c r="Q64" s="25"/>
      <c r="R64" s="25"/>
      <c r="S64" s="25"/>
      <c r="T64" s="25"/>
      <c r="U64" s="25"/>
      <c r="V64" s="25"/>
      <c r="W64" s="25"/>
      <c r="X64" s="25"/>
      <c r="Y64" s="25"/>
      <c r="Z64" s="25"/>
    </row>
    <row r="65" ht="15.75" customHeight="1">
      <c r="A65" s="25"/>
      <c r="B65" s="503"/>
      <c r="C65" s="503"/>
      <c r="D65" s="503"/>
      <c r="E65" s="25"/>
      <c r="F65" s="25"/>
      <c r="G65" s="25"/>
      <c r="H65" s="25"/>
      <c r="I65" s="25"/>
      <c r="J65" s="25"/>
      <c r="K65" s="25"/>
      <c r="L65" s="25"/>
      <c r="M65" s="25"/>
      <c r="N65" s="25"/>
      <c r="O65" s="25"/>
      <c r="P65" s="25"/>
      <c r="Q65" s="25"/>
      <c r="R65" s="25"/>
      <c r="S65" s="25"/>
      <c r="T65" s="25"/>
      <c r="U65" s="25"/>
      <c r="V65" s="25"/>
      <c r="W65" s="25"/>
      <c r="X65" s="25"/>
      <c r="Y65" s="25"/>
      <c r="Z65" s="25"/>
    </row>
    <row r="66" ht="15.75" customHeight="1">
      <c r="A66" s="25"/>
      <c r="B66" s="503"/>
      <c r="C66" s="503"/>
      <c r="D66" s="503"/>
      <c r="E66" s="25"/>
      <c r="F66" s="25"/>
      <c r="G66" s="25"/>
      <c r="H66" s="25"/>
      <c r="I66" s="25"/>
      <c r="J66" s="25"/>
      <c r="K66" s="25"/>
      <c r="L66" s="25"/>
      <c r="M66" s="25"/>
      <c r="N66" s="25"/>
      <c r="O66" s="25"/>
      <c r="P66" s="25"/>
      <c r="Q66" s="25"/>
      <c r="R66" s="25"/>
      <c r="S66" s="25"/>
      <c r="T66" s="25"/>
      <c r="U66" s="25"/>
      <c r="V66" s="25"/>
      <c r="W66" s="25"/>
      <c r="X66" s="25"/>
      <c r="Y66" s="25"/>
      <c r="Z66" s="25"/>
    </row>
    <row r="67" ht="15.75" customHeight="1">
      <c r="A67" s="25"/>
      <c r="B67" s="503"/>
      <c r="C67" s="503"/>
      <c r="D67" s="503"/>
      <c r="E67" s="25"/>
      <c r="F67" s="25"/>
      <c r="G67" s="25"/>
      <c r="H67" s="25"/>
      <c r="I67" s="25"/>
      <c r="J67" s="25"/>
      <c r="K67" s="25"/>
      <c r="L67" s="25"/>
      <c r="M67" s="25"/>
      <c r="N67" s="25"/>
      <c r="O67" s="25"/>
      <c r="P67" s="25"/>
      <c r="Q67" s="25"/>
      <c r="R67" s="25"/>
      <c r="S67" s="25"/>
      <c r="T67" s="25"/>
      <c r="U67" s="25"/>
      <c r="V67" s="25"/>
      <c r="W67" s="25"/>
      <c r="X67" s="25"/>
      <c r="Y67" s="25"/>
      <c r="Z67" s="25"/>
    </row>
    <row r="68" ht="15.75" customHeight="1">
      <c r="A68" s="25"/>
      <c r="B68" s="503"/>
      <c r="C68" s="503"/>
      <c r="D68" s="503"/>
      <c r="E68" s="25"/>
      <c r="F68" s="25"/>
      <c r="G68" s="25"/>
      <c r="H68" s="25"/>
      <c r="I68" s="25"/>
      <c r="J68" s="25"/>
      <c r="K68" s="25"/>
      <c r="L68" s="25"/>
      <c r="M68" s="25"/>
      <c r="N68" s="25"/>
      <c r="O68" s="25"/>
      <c r="P68" s="25"/>
      <c r="Q68" s="25"/>
      <c r="R68" s="25"/>
      <c r="S68" s="25"/>
      <c r="T68" s="25"/>
      <c r="U68" s="25"/>
      <c r="V68" s="25"/>
      <c r="W68" s="25"/>
      <c r="X68" s="25"/>
      <c r="Y68" s="25"/>
      <c r="Z68" s="25"/>
    </row>
    <row r="69" ht="15.75" customHeight="1">
      <c r="A69" s="25"/>
      <c r="B69" s="503"/>
      <c r="C69" s="503"/>
      <c r="D69" s="503"/>
      <c r="E69" s="25"/>
      <c r="F69" s="25"/>
      <c r="G69" s="25"/>
      <c r="H69" s="25"/>
      <c r="I69" s="25"/>
      <c r="J69" s="25"/>
      <c r="K69" s="25"/>
      <c r="L69" s="25"/>
      <c r="M69" s="25"/>
      <c r="N69" s="25"/>
      <c r="O69" s="25"/>
      <c r="P69" s="25"/>
      <c r="Q69" s="25"/>
      <c r="R69" s="25"/>
      <c r="S69" s="25"/>
      <c r="T69" s="25"/>
      <c r="U69" s="25"/>
      <c r="V69" s="25"/>
      <c r="W69" s="25"/>
      <c r="X69" s="25"/>
      <c r="Y69" s="25"/>
      <c r="Z69" s="25"/>
    </row>
    <row r="70" ht="15.75" customHeight="1">
      <c r="A70" s="25"/>
      <c r="B70" s="503"/>
      <c r="C70" s="503"/>
      <c r="D70" s="503"/>
      <c r="E70" s="25"/>
      <c r="F70" s="25"/>
      <c r="G70" s="25"/>
      <c r="H70" s="25"/>
      <c r="I70" s="25"/>
      <c r="J70" s="25"/>
      <c r="K70" s="25"/>
      <c r="L70" s="25"/>
      <c r="M70" s="25"/>
      <c r="N70" s="25"/>
      <c r="O70" s="25"/>
      <c r="P70" s="25"/>
      <c r="Q70" s="25"/>
      <c r="R70" s="25"/>
      <c r="S70" s="25"/>
      <c r="T70" s="25"/>
      <c r="U70" s="25"/>
      <c r="V70" s="25"/>
      <c r="W70" s="25"/>
      <c r="X70" s="25"/>
      <c r="Y70" s="25"/>
      <c r="Z70" s="25"/>
    </row>
    <row r="71" ht="15.75" customHeight="1">
      <c r="A71" s="25"/>
      <c r="B71" s="503"/>
      <c r="C71" s="503"/>
      <c r="D71" s="503"/>
      <c r="E71" s="25"/>
      <c r="F71" s="25"/>
      <c r="G71" s="25"/>
      <c r="H71" s="25"/>
      <c r="I71" s="25"/>
      <c r="J71" s="25"/>
      <c r="K71" s="25"/>
      <c r="L71" s="25"/>
      <c r="M71" s="25"/>
      <c r="N71" s="25"/>
      <c r="O71" s="25"/>
      <c r="P71" s="25"/>
      <c r="Q71" s="25"/>
      <c r="R71" s="25"/>
      <c r="S71" s="25"/>
      <c r="T71" s="25"/>
      <c r="U71" s="25"/>
      <c r="V71" s="25"/>
      <c r="W71" s="25"/>
      <c r="X71" s="25"/>
      <c r="Y71" s="25"/>
      <c r="Z71" s="25"/>
    </row>
    <row r="72" ht="15.75" customHeight="1">
      <c r="A72" s="25"/>
      <c r="B72" s="503"/>
      <c r="C72" s="503"/>
      <c r="D72" s="503"/>
      <c r="E72" s="25"/>
      <c r="F72" s="25"/>
      <c r="G72" s="25"/>
      <c r="H72" s="25"/>
      <c r="I72" s="25"/>
      <c r="J72" s="25"/>
      <c r="K72" s="25"/>
      <c r="L72" s="25"/>
      <c r="M72" s="25"/>
      <c r="N72" s="25"/>
      <c r="O72" s="25"/>
      <c r="P72" s="25"/>
      <c r="Q72" s="25"/>
      <c r="R72" s="25"/>
      <c r="S72" s="25"/>
      <c r="T72" s="25"/>
      <c r="U72" s="25"/>
      <c r="V72" s="25"/>
      <c r="W72" s="25"/>
      <c r="X72" s="25"/>
      <c r="Y72" s="25"/>
      <c r="Z72" s="25"/>
    </row>
    <row r="73" ht="15.75" customHeight="1">
      <c r="A73" s="25"/>
      <c r="B73" s="503"/>
      <c r="C73" s="503"/>
      <c r="D73" s="503"/>
      <c r="E73" s="25"/>
      <c r="F73" s="25"/>
      <c r="G73" s="25"/>
      <c r="H73" s="25"/>
      <c r="I73" s="25"/>
      <c r="J73" s="25"/>
      <c r="K73" s="25"/>
      <c r="L73" s="25"/>
      <c r="M73" s="25"/>
      <c r="N73" s="25"/>
      <c r="O73" s="25"/>
      <c r="P73" s="25"/>
      <c r="Q73" s="25"/>
      <c r="R73" s="25"/>
      <c r="S73" s="25"/>
      <c r="T73" s="25"/>
      <c r="U73" s="25"/>
      <c r="V73" s="25"/>
      <c r="W73" s="25"/>
      <c r="X73" s="25"/>
      <c r="Y73" s="25"/>
      <c r="Z73" s="25"/>
    </row>
    <row r="74" ht="15.75" customHeight="1">
      <c r="A74" s="25"/>
      <c r="B74" s="503"/>
      <c r="C74" s="503"/>
      <c r="D74" s="503"/>
      <c r="E74" s="25"/>
      <c r="F74" s="25"/>
      <c r="G74" s="25"/>
      <c r="H74" s="25"/>
      <c r="I74" s="25"/>
      <c r="J74" s="25"/>
      <c r="K74" s="25"/>
      <c r="L74" s="25"/>
      <c r="M74" s="25"/>
      <c r="N74" s="25"/>
      <c r="O74" s="25"/>
      <c r="P74" s="25"/>
      <c r="Q74" s="25"/>
      <c r="R74" s="25"/>
      <c r="S74" s="25"/>
      <c r="T74" s="25"/>
      <c r="U74" s="25"/>
      <c r="V74" s="25"/>
      <c r="W74" s="25"/>
      <c r="X74" s="25"/>
      <c r="Y74" s="25"/>
      <c r="Z74" s="25"/>
    </row>
    <row r="75" ht="15.75" customHeight="1">
      <c r="A75" s="25"/>
      <c r="B75" s="503"/>
      <c r="C75" s="503"/>
      <c r="D75" s="503"/>
      <c r="E75" s="25"/>
      <c r="F75" s="25"/>
      <c r="G75" s="25"/>
      <c r="H75" s="25"/>
      <c r="I75" s="25"/>
      <c r="J75" s="25"/>
      <c r="K75" s="25"/>
      <c r="L75" s="25"/>
      <c r="M75" s="25"/>
      <c r="N75" s="25"/>
      <c r="O75" s="25"/>
      <c r="P75" s="25"/>
      <c r="Q75" s="25"/>
      <c r="R75" s="25"/>
      <c r="S75" s="25"/>
      <c r="T75" s="25"/>
      <c r="U75" s="25"/>
      <c r="V75" s="25"/>
      <c r="W75" s="25"/>
      <c r="X75" s="25"/>
      <c r="Y75" s="25"/>
      <c r="Z75" s="25"/>
    </row>
    <row r="76" ht="15.75" customHeight="1">
      <c r="A76" s="25"/>
      <c r="B76" s="503"/>
      <c r="C76" s="503"/>
      <c r="D76" s="503"/>
      <c r="E76" s="25"/>
      <c r="F76" s="25"/>
      <c r="G76" s="25"/>
      <c r="H76" s="25"/>
      <c r="I76" s="25"/>
      <c r="J76" s="25"/>
      <c r="K76" s="25"/>
      <c r="L76" s="25"/>
      <c r="M76" s="25"/>
      <c r="N76" s="25"/>
      <c r="O76" s="25"/>
      <c r="P76" s="25"/>
      <c r="Q76" s="25"/>
      <c r="R76" s="25"/>
      <c r="S76" s="25"/>
      <c r="T76" s="25"/>
      <c r="U76" s="25"/>
      <c r="V76" s="25"/>
      <c r="W76" s="25"/>
      <c r="X76" s="25"/>
      <c r="Y76" s="25"/>
      <c r="Z76" s="25"/>
    </row>
    <row r="77" ht="15.75" customHeight="1">
      <c r="A77" s="25"/>
      <c r="B77" s="503"/>
      <c r="C77" s="503"/>
      <c r="D77" s="503"/>
      <c r="E77" s="25"/>
      <c r="F77" s="25"/>
      <c r="G77" s="25"/>
      <c r="H77" s="25"/>
      <c r="I77" s="25"/>
      <c r="J77" s="25"/>
      <c r="K77" s="25"/>
      <c r="L77" s="25"/>
      <c r="M77" s="25"/>
      <c r="N77" s="25"/>
      <c r="O77" s="25"/>
      <c r="P77" s="25"/>
      <c r="Q77" s="25"/>
      <c r="R77" s="25"/>
      <c r="S77" s="25"/>
      <c r="T77" s="25"/>
      <c r="U77" s="25"/>
      <c r="V77" s="25"/>
      <c r="W77" s="25"/>
      <c r="X77" s="25"/>
      <c r="Y77" s="25"/>
      <c r="Z77" s="25"/>
    </row>
    <row r="78" ht="15.75" customHeight="1">
      <c r="A78" s="25"/>
      <c r="B78" s="503"/>
      <c r="C78" s="503"/>
      <c r="D78" s="503"/>
      <c r="E78" s="25"/>
      <c r="F78" s="25"/>
      <c r="G78" s="25"/>
      <c r="H78" s="25"/>
      <c r="I78" s="25"/>
      <c r="J78" s="25"/>
      <c r="K78" s="25"/>
      <c r="L78" s="25"/>
      <c r="M78" s="25"/>
      <c r="N78" s="25"/>
      <c r="O78" s="25"/>
      <c r="P78" s="25"/>
      <c r="Q78" s="25"/>
      <c r="R78" s="25"/>
      <c r="S78" s="25"/>
      <c r="T78" s="25"/>
      <c r="U78" s="25"/>
      <c r="V78" s="25"/>
      <c r="W78" s="25"/>
      <c r="X78" s="25"/>
      <c r="Y78" s="25"/>
      <c r="Z78" s="25"/>
    </row>
    <row r="79" ht="15.75" customHeight="1">
      <c r="A79" s="25"/>
      <c r="B79" s="503"/>
      <c r="C79" s="503"/>
      <c r="D79" s="503"/>
      <c r="E79" s="25"/>
      <c r="F79" s="25"/>
      <c r="G79" s="25"/>
      <c r="H79" s="25"/>
      <c r="I79" s="25"/>
      <c r="J79" s="25"/>
      <c r="K79" s="25"/>
      <c r="L79" s="25"/>
      <c r="M79" s="25"/>
      <c r="N79" s="25"/>
      <c r="O79" s="25"/>
      <c r="P79" s="25"/>
      <c r="Q79" s="25"/>
      <c r="R79" s="25"/>
      <c r="S79" s="25"/>
      <c r="T79" s="25"/>
      <c r="U79" s="25"/>
      <c r="V79" s="25"/>
      <c r="W79" s="25"/>
      <c r="X79" s="25"/>
      <c r="Y79" s="25"/>
      <c r="Z79" s="25"/>
    </row>
    <row r="80" ht="15.75" customHeight="1">
      <c r="A80" s="25"/>
      <c r="B80" s="503"/>
      <c r="C80" s="503"/>
      <c r="D80" s="503"/>
      <c r="E80" s="25"/>
      <c r="F80" s="25"/>
      <c r="G80" s="25"/>
      <c r="H80" s="25"/>
      <c r="I80" s="25"/>
      <c r="J80" s="25"/>
      <c r="K80" s="25"/>
      <c r="L80" s="25"/>
      <c r="M80" s="25"/>
      <c r="N80" s="25"/>
      <c r="O80" s="25"/>
      <c r="P80" s="25"/>
      <c r="Q80" s="25"/>
      <c r="R80" s="25"/>
      <c r="S80" s="25"/>
      <c r="T80" s="25"/>
      <c r="U80" s="25"/>
      <c r="V80" s="25"/>
      <c r="W80" s="25"/>
      <c r="X80" s="25"/>
      <c r="Y80" s="25"/>
      <c r="Z80" s="25"/>
    </row>
    <row r="81" ht="15.75" customHeight="1">
      <c r="A81" s="25"/>
      <c r="B81" s="503"/>
      <c r="C81" s="503"/>
      <c r="D81" s="503"/>
      <c r="E81" s="25"/>
      <c r="F81" s="25"/>
      <c r="G81" s="25"/>
      <c r="H81" s="25"/>
      <c r="I81" s="25"/>
      <c r="J81" s="25"/>
      <c r="K81" s="25"/>
      <c r="L81" s="25"/>
      <c r="M81" s="25"/>
      <c r="N81" s="25"/>
      <c r="O81" s="25"/>
      <c r="P81" s="25"/>
      <c r="Q81" s="25"/>
      <c r="R81" s="25"/>
      <c r="S81" s="25"/>
      <c r="T81" s="25"/>
      <c r="U81" s="25"/>
      <c r="V81" s="25"/>
      <c r="W81" s="25"/>
      <c r="X81" s="25"/>
      <c r="Y81" s="25"/>
      <c r="Z81" s="25"/>
    </row>
    <row r="82" ht="15.75" customHeight="1">
      <c r="A82" s="25"/>
      <c r="B82" s="503"/>
      <c r="C82" s="503"/>
      <c r="D82" s="503"/>
      <c r="E82" s="25"/>
      <c r="F82" s="25"/>
      <c r="G82" s="25"/>
      <c r="H82" s="25"/>
      <c r="I82" s="25"/>
      <c r="J82" s="25"/>
      <c r="K82" s="25"/>
      <c r="L82" s="25"/>
      <c r="M82" s="25"/>
      <c r="N82" s="25"/>
      <c r="O82" s="25"/>
      <c r="P82" s="25"/>
      <c r="Q82" s="25"/>
      <c r="R82" s="25"/>
      <c r="S82" s="25"/>
      <c r="T82" s="25"/>
      <c r="U82" s="25"/>
      <c r="V82" s="25"/>
      <c r="W82" s="25"/>
      <c r="X82" s="25"/>
      <c r="Y82" s="25"/>
      <c r="Z82" s="25"/>
    </row>
    <row r="83" ht="15.75" customHeight="1">
      <c r="A83" s="25"/>
      <c r="B83" s="503"/>
      <c r="C83" s="503"/>
      <c r="D83" s="503"/>
      <c r="E83" s="25"/>
      <c r="F83" s="25"/>
      <c r="G83" s="25"/>
      <c r="H83" s="25"/>
      <c r="I83" s="25"/>
      <c r="J83" s="25"/>
      <c r="K83" s="25"/>
      <c r="L83" s="25"/>
      <c r="M83" s="25"/>
      <c r="N83" s="25"/>
      <c r="O83" s="25"/>
      <c r="P83" s="25"/>
      <c r="Q83" s="25"/>
      <c r="R83" s="25"/>
      <c r="S83" s="25"/>
      <c r="T83" s="25"/>
      <c r="U83" s="25"/>
      <c r="V83" s="25"/>
      <c r="W83" s="25"/>
      <c r="X83" s="25"/>
      <c r="Y83" s="25"/>
      <c r="Z83" s="25"/>
    </row>
    <row r="84" ht="15.75" customHeight="1">
      <c r="A84" s="25"/>
      <c r="B84" s="503"/>
      <c r="C84" s="503"/>
      <c r="D84" s="503"/>
      <c r="E84" s="25"/>
      <c r="F84" s="25"/>
      <c r="G84" s="25"/>
      <c r="H84" s="25"/>
      <c r="I84" s="25"/>
      <c r="J84" s="25"/>
      <c r="K84" s="25"/>
      <c r="L84" s="25"/>
      <c r="M84" s="25"/>
      <c r="N84" s="25"/>
      <c r="O84" s="25"/>
      <c r="P84" s="25"/>
      <c r="Q84" s="25"/>
      <c r="R84" s="25"/>
      <c r="S84" s="25"/>
      <c r="T84" s="25"/>
      <c r="U84" s="25"/>
      <c r="V84" s="25"/>
      <c r="W84" s="25"/>
      <c r="X84" s="25"/>
      <c r="Y84" s="25"/>
      <c r="Z84" s="25"/>
    </row>
    <row r="85" ht="15.75" customHeight="1">
      <c r="A85" s="25"/>
      <c r="B85" s="503"/>
      <c r="C85" s="503"/>
      <c r="D85" s="503"/>
      <c r="E85" s="25"/>
      <c r="F85" s="25"/>
      <c r="G85" s="25"/>
      <c r="H85" s="25"/>
      <c r="I85" s="25"/>
      <c r="J85" s="25"/>
      <c r="K85" s="25"/>
      <c r="L85" s="25"/>
      <c r="M85" s="25"/>
      <c r="N85" s="25"/>
      <c r="O85" s="25"/>
      <c r="P85" s="25"/>
      <c r="Q85" s="25"/>
      <c r="R85" s="25"/>
      <c r="S85" s="25"/>
      <c r="T85" s="25"/>
      <c r="U85" s="25"/>
      <c r="V85" s="25"/>
      <c r="W85" s="25"/>
      <c r="X85" s="25"/>
      <c r="Y85" s="25"/>
      <c r="Z85" s="25"/>
    </row>
    <row r="86" ht="15.75" customHeight="1">
      <c r="A86" s="25"/>
      <c r="B86" s="503"/>
      <c r="C86" s="503"/>
      <c r="D86" s="503"/>
      <c r="E86" s="25"/>
      <c r="F86" s="25"/>
      <c r="G86" s="25"/>
      <c r="H86" s="25"/>
      <c r="I86" s="25"/>
      <c r="J86" s="25"/>
      <c r="K86" s="25"/>
      <c r="L86" s="25"/>
      <c r="M86" s="25"/>
      <c r="N86" s="25"/>
      <c r="O86" s="25"/>
      <c r="P86" s="25"/>
      <c r="Q86" s="25"/>
      <c r="R86" s="25"/>
      <c r="S86" s="25"/>
      <c r="T86" s="25"/>
      <c r="U86" s="25"/>
      <c r="V86" s="25"/>
      <c r="W86" s="25"/>
      <c r="X86" s="25"/>
      <c r="Y86" s="25"/>
      <c r="Z86" s="25"/>
    </row>
    <row r="87" ht="15.75" customHeight="1">
      <c r="A87" s="25"/>
      <c r="B87" s="503"/>
      <c r="C87" s="503"/>
      <c r="D87" s="503"/>
      <c r="E87" s="25"/>
      <c r="F87" s="25"/>
      <c r="G87" s="25"/>
      <c r="H87" s="25"/>
      <c r="I87" s="25"/>
      <c r="J87" s="25"/>
      <c r="K87" s="25"/>
      <c r="L87" s="25"/>
      <c r="M87" s="25"/>
      <c r="N87" s="25"/>
      <c r="O87" s="25"/>
      <c r="P87" s="25"/>
      <c r="Q87" s="25"/>
      <c r="R87" s="25"/>
      <c r="S87" s="25"/>
      <c r="T87" s="25"/>
      <c r="U87" s="25"/>
      <c r="V87" s="25"/>
      <c r="W87" s="25"/>
      <c r="X87" s="25"/>
      <c r="Y87" s="25"/>
      <c r="Z87" s="25"/>
    </row>
    <row r="88" ht="15.75" customHeight="1">
      <c r="A88" s="25"/>
      <c r="B88" s="503"/>
      <c r="C88" s="503"/>
      <c r="D88" s="503"/>
      <c r="E88" s="25"/>
      <c r="F88" s="25"/>
      <c r="G88" s="25"/>
      <c r="H88" s="25"/>
      <c r="I88" s="25"/>
      <c r="J88" s="25"/>
      <c r="K88" s="25"/>
      <c r="L88" s="25"/>
      <c r="M88" s="25"/>
      <c r="N88" s="25"/>
      <c r="O88" s="25"/>
      <c r="P88" s="25"/>
      <c r="Q88" s="25"/>
      <c r="R88" s="25"/>
      <c r="S88" s="25"/>
      <c r="T88" s="25"/>
      <c r="U88" s="25"/>
      <c r="V88" s="25"/>
      <c r="W88" s="25"/>
      <c r="X88" s="25"/>
      <c r="Y88" s="25"/>
      <c r="Z88" s="25"/>
    </row>
    <row r="89" ht="15.75" customHeight="1">
      <c r="A89" s="25"/>
      <c r="B89" s="503"/>
      <c r="C89" s="503"/>
      <c r="D89" s="503"/>
      <c r="E89" s="25"/>
      <c r="F89" s="25"/>
      <c r="G89" s="25"/>
      <c r="H89" s="25"/>
      <c r="I89" s="25"/>
      <c r="J89" s="25"/>
      <c r="K89" s="25"/>
      <c r="L89" s="25"/>
      <c r="M89" s="25"/>
      <c r="N89" s="25"/>
      <c r="O89" s="25"/>
      <c r="P89" s="25"/>
      <c r="Q89" s="25"/>
      <c r="R89" s="25"/>
      <c r="S89" s="25"/>
      <c r="T89" s="25"/>
      <c r="U89" s="25"/>
      <c r="V89" s="25"/>
      <c r="W89" s="25"/>
      <c r="X89" s="25"/>
      <c r="Y89" s="25"/>
      <c r="Z89" s="25"/>
    </row>
    <row r="90" ht="15.75" customHeight="1">
      <c r="A90" s="25"/>
      <c r="B90" s="503"/>
      <c r="C90" s="503"/>
      <c r="D90" s="503"/>
      <c r="E90" s="25"/>
      <c r="F90" s="25"/>
      <c r="G90" s="25"/>
      <c r="H90" s="25"/>
      <c r="I90" s="25"/>
      <c r="J90" s="25"/>
      <c r="K90" s="25"/>
      <c r="L90" s="25"/>
      <c r="M90" s="25"/>
      <c r="N90" s="25"/>
      <c r="O90" s="25"/>
      <c r="P90" s="25"/>
      <c r="Q90" s="25"/>
      <c r="R90" s="25"/>
      <c r="S90" s="25"/>
      <c r="T90" s="25"/>
      <c r="U90" s="25"/>
      <c r="V90" s="25"/>
      <c r="W90" s="25"/>
      <c r="X90" s="25"/>
      <c r="Y90" s="25"/>
      <c r="Z90" s="25"/>
    </row>
    <row r="91" ht="15.75" customHeight="1">
      <c r="A91" s="25"/>
      <c r="B91" s="503"/>
      <c r="C91" s="503"/>
      <c r="D91" s="503"/>
      <c r="E91" s="25"/>
      <c r="F91" s="25"/>
      <c r="G91" s="25"/>
      <c r="H91" s="25"/>
      <c r="I91" s="25"/>
      <c r="J91" s="25"/>
      <c r="K91" s="25"/>
      <c r="L91" s="25"/>
      <c r="M91" s="25"/>
      <c r="N91" s="25"/>
      <c r="O91" s="25"/>
      <c r="P91" s="25"/>
      <c r="Q91" s="25"/>
      <c r="R91" s="25"/>
      <c r="S91" s="25"/>
      <c r="T91" s="25"/>
      <c r="U91" s="25"/>
      <c r="V91" s="25"/>
      <c r="W91" s="25"/>
      <c r="X91" s="25"/>
      <c r="Y91" s="25"/>
      <c r="Z91" s="25"/>
    </row>
    <row r="92" ht="15.75" customHeight="1">
      <c r="A92" s="25"/>
      <c r="B92" s="503"/>
      <c r="C92" s="503"/>
      <c r="D92" s="503"/>
      <c r="E92" s="25"/>
      <c r="F92" s="25"/>
      <c r="G92" s="25"/>
      <c r="H92" s="25"/>
      <c r="I92" s="25"/>
      <c r="J92" s="25"/>
      <c r="K92" s="25"/>
      <c r="L92" s="25"/>
      <c r="M92" s="25"/>
      <c r="N92" s="25"/>
      <c r="O92" s="25"/>
      <c r="P92" s="25"/>
      <c r="Q92" s="25"/>
      <c r="R92" s="25"/>
      <c r="S92" s="25"/>
      <c r="T92" s="25"/>
      <c r="U92" s="25"/>
      <c r="V92" s="25"/>
      <c r="W92" s="25"/>
      <c r="X92" s="25"/>
      <c r="Y92" s="25"/>
      <c r="Z92" s="25"/>
    </row>
    <row r="93" ht="15.75" customHeight="1">
      <c r="A93" s="25"/>
      <c r="B93" s="503"/>
      <c r="C93" s="503"/>
      <c r="D93" s="503"/>
      <c r="E93" s="25"/>
      <c r="F93" s="25"/>
      <c r="G93" s="25"/>
      <c r="H93" s="25"/>
      <c r="I93" s="25"/>
      <c r="J93" s="25"/>
      <c r="K93" s="25"/>
      <c r="L93" s="25"/>
      <c r="M93" s="25"/>
      <c r="N93" s="25"/>
      <c r="O93" s="25"/>
      <c r="P93" s="25"/>
      <c r="Q93" s="25"/>
      <c r="R93" s="25"/>
      <c r="S93" s="25"/>
      <c r="T93" s="25"/>
      <c r="U93" s="25"/>
      <c r="V93" s="25"/>
      <c r="W93" s="25"/>
      <c r="X93" s="25"/>
      <c r="Y93" s="25"/>
      <c r="Z93" s="25"/>
    </row>
    <row r="94" ht="15.75" customHeight="1">
      <c r="A94" s="25"/>
      <c r="B94" s="503"/>
      <c r="C94" s="503"/>
      <c r="D94" s="503"/>
      <c r="E94" s="25"/>
      <c r="F94" s="25"/>
      <c r="G94" s="25"/>
      <c r="H94" s="25"/>
      <c r="I94" s="25"/>
      <c r="J94" s="25"/>
      <c r="K94" s="25"/>
      <c r="L94" s="25"/>
      <c r="M94" s="25"/>
      <c r="N94" s="25"/>
      <c r="O94" s="25"/>
      <c r="P94" s="25"/>
      <c r="Q94" s="25"/>
      <c r="R94" s="25"/>
      <c r="S94" s="25"/>
      <c r="T94" s="25"/>
      <c r="U94" s="25"/>
      <c r="V94" s="25"/>
      <c r="W94" s="25"/>
      <c r="X94" s="25"/>
      <c r="Y94" s="25"/>
      <c r="Z94" s="25"/>
    </row>
    <row r="95" ht="15.75" customHeight="1">
      <c r="A95" s="25"/>
      <c r="B95" s="503"/>
      <c r="C95" s="503"/>
      <c r="D95" s="503"/>
      <c r="E95" s="25"/>
      <c r="F95" s="25"/>
      <c r="G95" s="25"/>
      <c r="H95" s="25"/>
      <c r="I95" s="25"/>
      <c r="J95" s="25"/>
      <c r="K95" s="25"/>
      <c r="L95" s="25"/>
      <c r="M95" s="25"/>
      <c r="N95" s="25"/>
      <c r="O95" s="25"/>
      <c r="P95" s="25"/>
      <c r="Q95" s="25"/>
      <c r="R95" s="25"/>
      <c r="S95" s="25"/>
      <c r="T95" s="25"/>
      <c r="U95" s="25"/>
      <c r="V95" s="25"/>
      <c r="W95" s="25"/>
      <c r="X95" s="25"/>
      <c r="Y95" s="25"/>
      <c r="Z95" s="25"/>
    </row>
    <row r="96" ht="15.75" customHeight="1">
      <c r="A96" s="25"/>
      <c r="B96" s="503"/>
      <c r="C96" s="503"/>
      <c r="D96" s="503"/>
      <c r="E96" s="25"/>
      <c r="F96" s="25"/>
      <c r="G96" s="25"/>
      <c r="H96" s="25"/>
      <c r="I96" s="25"/>
      <c r="J96" s="25"/>
      <c r="K96" s="25"/>
      <c r="L96" s="25"/>
      <c r="M96" s="25"/>
      <c r="N96" s="25"/>
      <c r="O96" s="25"/>
      <c r="P96" s="25"/>
      <c r="Q96" s="25"/>
      <c r="R96" s="25"/>
      <c r="S96" s="25"/>
      <c r="T96" s="25"/>
      <c r="U96" s="25"/>
      <c r="V96" s="25"/>
      <c r="W96" s="25"/>
      <c r="X96" s="25"/>
      <c r="Y96" s="25"/>
      <c r="Z96" s="25"/>
    </row>
    <row r="97" ht="15.75" customHeight="1">
      <c r="A97" s="25"/>
      <c r="B97" s="503"/>
      <c r="C97" s="503"/>
      <c r="D97" s="503"/>
      <c r="E97" s="25"/>
      <c r="F97" s="25"/>
      <c r="G97" s="25"/>
      <c r="H97" s="25"/>
      <c r="I97" s="25"/>
      <c r="J97" s="25"/>
      <c r="K97" s="25"/>
      <c r="L97" s="25"/>
      <c r="M97" s="25"/>
      <c r="N97" s="25"/>
      <c r="O97" s="25"/>
      <c r="P97" s="25"/>
      <c r="Q97" s="25"/>
      <c r="R97" s="25"/>
      <c r="S97" s="25"/>
      <c r="T97" s="25"/>
      <c r="U97" s="25"/>
      <c r="V97" s="25"/>
      <c r="W97" s="25"/>
      <c r="X97" s="25"/>
      <c r="Y97" s="25"/>
      <c r="Z97" s="25"/>
    </row>
    <row r="98" ht="15.75" customHeight="1">
      <c r="A98" s="25"/>
      <c r="B98" s="503"/>
      <c r="C98" s="503"/>
      <c r="D98" s="503"/>
      <c r="E98" s="25"/>
      <c r="F98" s="25"/>
      <c r="G98" s="25"/>
      <c r="H98" s="25"/>
      <c r="I98" s="25"/>
      <c r="J98" s="25"/>
      <c r="K98" s="25"/>
      <c r="L98" s="25"/>
      <c r="M98" s="25"/>
      <c r="N98" s="25"/>
      <c r="O98" s="25"/>
      <c r="P98" s="25"/>
      <c r="Q98" s="25"/>
      <c r="R98" s="25"/>
      <c r="S98" s="25"/>
      <c r="T98" s="25"/>
      <c r="U98" s="25"/>
      <c r="V98" s="25"/>
      <c r="W98" s="25"/>
      <c r="X98" s="25"/>
      <c r="Y98" s="25"/>
      <c r="Z98" s="25"/>
    </row>
    <row r="99" ht="15.75" customHeight="1">
      <c r="A99" s="25"/>
      <c r="B99" s="503"/>
      <c r="C99" s="503"/>
      <c r="D99" s="503"/>
      <c r="E99" s="25"/>
      <c r="F99" s="25"/>
      <c r="G99" s="25"/>
      <c r="H99" s="25"/>
      <c r="I99" s="25"/>
      <c r="J99" s="25"/>
      <c r="K99" s="25"/>
      <c r="L99" s="25"/>
      <c r="M99" s="25"/>
      <c r="N99" s="25"/>
      <c r="O99" s="25"/>
      <c r="P99" s="25"/>
      <c r="Q99" s="25"/>
      <c r="R99" s="25"/>
      <c r="S99" s="25"/>
      <c r="T99" s="25"/>
      <c r="U99" s="25"/>
      <c r="V99" s="25"/>
      <c r="W99" s="25"/>
      <c r="X99" s="25"/>
      <c r="Y99" s="25"/>
      <c r="Z99" s="25"/>
    </row>
    <row r="100" ht="15.75" customHeight="1">
      <c r="A100" s="25"/>
      <c r="B100" s="503"/>
      <c r="C100" s="503"/>
      <c r="D100" s="503"/>
      <c r="E100" s="25"/>
      <c r="F100" s="25"/>
      <c r="G100" s="25"/>
      <c r="H100" s="25"/>
      <c r="I100" s="25"/>
      <c r="J100" s="25"/>
      <c r="K100" s="25"/>
      <c r="L100" s="25"/>
      <c r="M100" s="25"/>
      <c r="N100" s="25"/>
      <c r="O100" s="25"/>
      <c r="P100" s="25"/>
      <c r="Q100" s="25"/>
      <c r="R100" s="25"/>
      <c r="S100" s="25"/>
      <c r="T100" s="25"/>
      <c r="U100" s="25"/>
      <c r="V100" s="25"/>
      <c r="W100" s="25"/>
      <c r="X100" s="25"/>
      <c r="Y100" s="25"/>
      <c r="Z100" s="25"/>
    </row>
    <row r="101" ht="15.75" customHeight="1">
      <c r="A101" s="25"/>
      <c r="B101" s="503"/>
      <c r="C101" s="503"/>
      <c r="D101" s="503"/>
      <c r="E101" s="25"/>
      <c r="F101" s="25"/>
      <c r="G101" s="25"/>
      <c r="H101" s="25"/>
      <c r="I101" s="25"/>
      <c r="J101" s="25"/>
      <c r="K101" s="25"/>
      <c r="L101" s="25"/>
      <c r="M101" s="25"/>
      <c r="N101" s="25"/>
      <c r="O101" s="25"/>
      <c r="P101" s="25"/>
      <c r="Q101" s="25"/>
      <c r="R101" s="25"/>
      <c r="S101" s="25"/>
      <c r="T101" s="25"/>
      <c r="U101" s="25"/>
      <c r="V101" s="25"/>
      <c r="W101" s="25"/>
      <c r="X101" s="25"/>
      <c r="Y101" s="25"/>
      <c r="Z101" s="25"/>
    </row>
    <row r="102" ht="15.75" customHeight="1">
      <c r="A102" s="25"/>
      <c r="B102" s="503"/>
      <c r="C102" s="503"/>
      <c r="D102" s="503"/>
      <c r="E102" s="25"/>
      <c r="F102" s="25"/>
      <c r="G102" s="25"/>
      <c r="H102" s="25"/>
      <c r="I102" s="25"/>
      <c r="J102" s="25"/>
      <c r="K102" s="25"/>
      <c r="L102" s="25"/>
      <c r="M102" s="25"/>
      <c r="N102" s="25"/>
      <c r="O102" s="25"/>
      <c r="P102" s="25"/>
      <c r="Q102" s="25"/>
      <c r="R102" s="25"/>
      <c r="S102" s="25"/>
      <c r="T102" s="25"/>
      <c r="U102" s="25"/>
      <c r="V102" s="25"/>
      <c r="W102" s="25"/>
      <c r="X102" s="25"/>
      <c r="Y102" s="25"/>
      <c r="Z102" s="25"/>
    </row>
    <row r="103" ht="15.75" customHeight="1">
      <c r="A103" s="25"/>
      <c r="B103" s="503"/>
      <c r="C103" s="503"/>
      <c r="D103" s="503"/>
      <c r="E103" s="25"/>
      <c r="F103" s="25"/>
      <c r="G103" s="25"/>
      <c r="H103" s="25"/>
      <c r="I103" s="25"/>
      <c r="J103" s="25"/>
      <c r="K103" s="25"/>
      <c r="L103" s="25"/>
      <c r="M103" s="25"/>
      <c r="N103" s="25"/>
      <c r="O103" s="25"/>
      <c r="P103" s="25"/>
      <c r="Q103" s="25"/>
      <c r="R103" s="25"/>
      <c r="S103" s="25"/>
      <c r="T103" s="25"/>
      <c r="U103" s="25"/>
      <c r="V103" s="25"/>
      <c r="W103" s="25"/>
      <c r="X103" s="25"/>
      <c r="Y103" s="25"/>
      <c r="Z103" s="25"/>
    </row>
    <row r="104" ht="15.75" customHeight="1">
      <c r="A104" s="25"/>
      <c r="B104" s="503"/>
      <c r="C104" s="503"/>
      <c r="D104" s="503"/>
      <c r="E104" s="25"/>
      <c r="F104" s="25"/>
      <c r="G104" s="25"/>
      <c r="H104" s="25"/>
      <c r="I104" s="25"/>
      <c r="J104" s="25"/>
      <c r="K104" s="25"/>
      <c r="L104" s="25"/>
      <c r="M104" s="25"/>
      <c r="N104" s="25"/>
      <c r="O104" s="25"/>
      <c r="P104" s="25"/>
      <c r="Q104" s="25"/>
      <c r="R104" s="25"/>
      <c r="S104" s="25"/>
      <c r="T104" s="25"/>
      <c r="U104" s="25"/>
      <c r="V104" s="25"/>
      <c r="W104" s="25"/>
      <c r="X104" s="25"/>
      <c r="Y104" s="25"/>
      <c r="Z104" s="25"/>
    </row>
    <row r="105" ht="15.75" customHeight="1">
      <c r="A105" s="25"/>
      <c r="B105" s="503"/>
      <c r="C105" s="503"/>
      <c r="D105" s="503"/>
      <c r="E105" s="25"/>
      <c r="F105" s="25"/>
      <c r="G105" s="25"/>
      <c r="H105" s="25"/>
      <c r="I105" s="25"/>
      <c r="J105" s="25"/>
      <c r="K105" s="25"/>
      <c r="L105" s="25"/>
      <c r="M105" s="25"/>
      <c r="N105" s="25"/>
      <c r="O105" s="25"/>
      <c r="P105" s="25"/>
      <c r="Q105" s="25"/>
      <c r="R105" s="25"/>
      <c r="S105" s="25"/>
      <c r="T105" s="25"/>
      <c r="U105" s="25"/>
      <c r="V105" s="25"/>
      <c r="W105" s="25"/>
      <c r="X105" s="25"/>
      <c r="Y105" s="25"/>
      <c r="Z105" s="25"/>
    </row>
    <row r="106" ht="15.75" customHeight="1">
      <c r="A106" s="25"/>
      <c r="B106" s="503"/>
      <c r="C106" s="503"/>
      <c r="D106" s="503"/>
      <c r="E106" s="25"/>
      <c r="F106" s="25"/>
      <c r="G106" s="25"/>
      <c r="H106" s="25"/>
      <c r="I106" s="25"/>
      <c r="J106" s="25"/>
      <c r="K106" s="25"/>
      <c r="L106" s="25"/>
      <c r="M106" s="25"/>
      <c r="N106" s="25"/>
      <c r="O106" s="25"/>
      <c r="P106" s="25"/>
      <c r="Q106" s="25"/>
      <c r="R106" s="25"/>
      <c r="S106" s="25"/>
      <c r="T106" s="25"/>
      <c r="U106" s="25"/>
      <c r="V106" s="25"/>
      <c r="W106" s="25"/>
      <c r="X106" s="25"/>
      <c r="Y106" s="25"/>
      <c r="Z106" s="25"/>
    </row>
    <row r="107" ht="15.75" customHeight="1">
      <c r="A107" s="25"/>
      <c r="B107" s="503"/>
      <c r="C107" s="503"/>
      <c r="D107" s="503"/>
      <c r="E107" s="25"/>
      <c r="F107" s="25"/>
      <c r="G107" s="25"/>
      <c r="H107" s="25"/>
      <c r="I107" s="25"/>
      <c r="J107" s="25"/>
      <c r="K107" s="25"/>
      <c r="L107" s="25"/>
      <c r="M107" s="25"/>
      <c r="N107" s="25"/>
      <c r="O107" s="25"/>
      <c r="P107" s="25"/>
      <c r="Q107" s="25"/>
      <c r="R107" s="25"/>
      <c r="S107" s="25"/>
      <c r="T107" s="25"/>
      <c r="U107" s="25"/>
      <c r="V107" s="25"/>
      <c r="W107" s="25"/>
      <c r="X107" s="25"/>
      <c r="Y107" s="25"/>
      <c r="Z107" s="25"/>
    </row>
    <row r="108" ht="15.75" customHeight="1">
      <c r="A108" s="25"/>
      <c r="B108" s="503"/>
      <c r="C108" s="503"/>
      <c r="D108" s="503"/>
      <c r="E108" s="25"/>
      <c r="F108" s="25"/>
      <c r="G108" s="25"/>
      <c r="H108" s="25"/>
      <c r="I108" s="25"/>
      <c r="J108" s="25"/>
      <c r="K108" s="25"/>
      <c r="L108" s="25"/>
      <c r="M108" s="25"/>
      <c r="N108" s="25"/>
      <c r="O108" s="25"/>
      <c r="P108" s="25"/>
      <c r="Q108" s="25"/>
      <c r="R108" s="25"/>
      <c r="S108" s="25"/>
      <c r="T108" s="25"/>
      <c r="U108" s="25"/>
      <c r="V108" s="25"/>
      <c r="W108" s="25"/>
      <c r="X108" s="25"/>
      <c r="Y108" s="25"/>
      <c r="Z108" s="25"/>
    </row>
    <row r="109" ht="15.75" customHeight="1">
      <c r="A109" s="25"/>
      <c r="B109" s="503"/>
      <c r="C109" s="503"/>
      <c r="D109" s="503"/>
      <c r="E109" s="25"/>
      <c r="F109" s="25"/>
      <c r="G109" s="25"/>
      <c r="H109" s="25"/>
      <c r="I109" s="25"/>
      <c r="J109" s="25"/>
      <c r="K109" s="25"/>
      <c r="L109" s="25"/>
      <c r="M109" s="25"/>
      <c r="N109" s="25"/>
      <c r="O109" s="25"/>
      <c r="P109" s="25"/>
      <c r="Q109" s="25"/>
      <c r="R109" s="25"/>
      <c r="S109" s="25"/>
      <c r="T109" s="25"/>
      <c r="U109" s="25"/>
      <c r="V109" s="25"/>
      <c r="W109" s="25"/>
      <c r="X109" s="25"/>
      <c r="Y109" s="25"/>
      <c r="Z109" s="25"/>
    </row>
    <row r="110" ht="15.75" customHeight="1">
      <c r="A110" s="25"/>
      <c r="B110" s="503"/>
      <c r="C110" s="503"/>
      <c r="D110" s="503"/>
      <c r="E110" s="25"/>
      <c r="F110" s="25"/>
      <c r="G110" s="25"/>
      <c r="H110" s="25"/>
      <c r="I110" s="25"/>
      <c r="J110" s="25"/>
      <c r="K110" s="25"/>
      <c r="L110" s="25"/>
      <c r="M110" s="25"/>
      <c r="N110" s="25"/>
      <c r="O110" s="25"/>
      <c r="P110" s="25"/>
      <c r="Q110" s="25"/>
      <c r="R110" s="25"/>
      <c r="S110" s="25"/>
      <c r="T110" s="25"/>
      <c r="U110" s="25"/>
      <c r="V110" s="25"/>
      <c r="W110" s="25"/>
      <c r="X110" s="25"/>
      <c r="Y110" s="25"/>
      <c r="Z110" s="25"/>
    </row>
    <row r="111" ht="15.75" customHeight="1">
      <c r="A111" s="25"/>
      <c r="B111" s="503"/>
      <c r="C111" s="503"/>
      <c r="D111" s="503"/>
      <c r="E111" s="25"/>
      <c r="F111" s="25"/>
      <c r="G111" s="25"/>
      <c r="H111" s="25"/>
      <c r="I111" s="25"/>
      <c r="J111" s="25"/>
      <c r="K111" s="25"/>
      <c r="L111" s="25"/>
      <c r="M111" s="25"/>
      <c r="N111" s="25"/>
      <c r="O111" s="25"/>
      <c r="P111" s="25"/>
      <c r="Q111" s="25"/>
      <c r="R111" s="25"/>
      <c r="S111" s="25"/>
      <c r="T111" s="25"/>
      <c r="U111" s="25"/>
      <c r="V111" s="25"/>
      <c r="W111" s="25"/>
      <c r="X111" s="25"/>
      <c r="Y111" s="25"/>
      <c r="Z111" s="25"/>
    </row>
    <row r="112" ht="15.75" customHeight="1">
      <c r="A112" s="25"/>
      <c r="B112" s="503"/>
      <c r="C112" s="503"/>
      <c r="D112" s="503"/>
      <c r="E112" s="25"/>
      <c r="F112" s="25"/>
      <c r="G112" s="25"/>
      <c r="H112" s="25"/>
      <c r="I112" s="25"/>
      <c r="J112" s="25"/>
      <c r="K112" s="25"/>
      <c r="L112" s="25"/>
      <c r="M112" s="25"/>
      <c r="N112" s="25"/>
      <c r="O112" s="25"/>
      <c r="P112" s="25"/>
      <c r="Q112" s="25"/>
      <c r="R112" s="25"/>
      <c r="S112" s="25"/>
      <c r="T112" s="25"/>
      <c r="U112" s="25"/>
      <c r="V112" s="25"/>
      <c r="W112" s="25"/>
      <c r="X112" s="25"/>
      <c r="Y112" s="25"/>
      <c r="Z112" s="25"/>
    </row>
    <row r="113" ht="15.75" customHeight="1">
      <c r="A113" s="25"/>
      <c r="B113" s="503"/>
      <c r="C113" s="503"/>
      <c r="D113" s="503"/>
      <c r="E113" s="25"/>
      <c r="F113" s="25"/>
      <c r="G113" s="25"/>
      <c r="H113" s="25"/>
      <c r="I113" s="25"/>
      <c r="J113" s="25"/>
      <c r="K113" s="25"/>
      <c r="L113" s="25"/>
      <c r="M113" s="25"/>
      <c r="N113" s="25"/>
      <c r="O113" s="25"/>
      <c r="P113" s="25"/>
      <c r="Q113" s="25"/>
      <c r="R113" s="25"/>
      <c r="S113" s="25"/>
      <c r="T113" s="25"/>
      <c r="U113" s="25"/>
      <c r="V113" s="25"/>
      <c r="W113" s="25"/>
      <c r="X113" s="25"/>
      <c r="Y113" s="25"/>
      <c r="Z113" s="25"/>
    </row>
    <row r="114" ht="15.75" customHeight="1">
      <c r="A114" s="25"/>
      <c r="B114" s="503"/>
      <c r="C114" s="503"/>
      <c r="D114" s="503"/>
      <c r="E114" s="25"/>
      <c r="F114" s="25"/>
      <c r="G114" s="25"/>
      <c r="H114" s="25"/>
      <c r="I114" s="25"/>
      <c r="J114" s="25"/>
      <c r="K114" s="25"/>
      <c r="L114" s="25"/>
      <c r="M114" s="25"/>
      <c r="N114" s="25"/>
      <c r="O114" s="25"/>
      <c r="P114" s="25"/>
      <c r="Q114" s="25"/>
      <c r="R114" s="25"/>
      <c r="S114" s="25"/>
      <c r="T114" s="25"/>
      <c r="U114" s="25"/>
      <c r="V114" s="25"/>
      <c r="W114" s="25"/>
      <c r="X114" s="25"/>
      <c r="Y114" s="25"/>
      <c r="Z114" s="25"/>
    </row>
    <row r="115" ht="15.75" customHeight="1">
      <c r="A115" s="25"/>
      <c r="B115" s="503"/>
      <c r="C115" s="503"/>
      <c r="D115" s="503"/>
      <c r="E115" s="25"/>
      <c r="F115" s="25"/>
      <c r="G115" s="25"/>
      <c r="H115" s="25"/>
      <c r="I115" s="25"/>
      <c r="J115" s="25"/>
      <c r="K115" s="25"/>
      <c r="L115" s="25"/>
      <c r="M115" s="25"/>
      <c r="N115" s="25"/>
      <c r="O115" s="25"/>
      <c r="P115" s="25"/>
      <c r="Q115" s="25"/>
      <c r="R115" s="25"/>
      <c r="S115" s="25"/>
      <c r="T115" s="25"/>
      <c r="U115" s="25"/>
      <c r="V115" s="25"/>
      <c r="W115" s="25"/>
      <c r="X115" s="25"/>
      <c r="Y115" s="25"/>
      <c r="Z115" s="25"/>
    </row>
    <row r="116" ht="15.75" customHeight="1">
      <c r="A116" s="25"/>
      <c r="B116" s="503"/>
      <c r="C116" s="503"/>
      <c r="D116" s="503"/>
      <c r="E116" s="25"/>
      <c r="F116" s="25"/>
      <c r="G116" s="25"/>
      <c r="H116" s="25"/>
      <c r="I116" s="25"/>
      <c r="J116" s="25"/>
      <c r="K116" s="25"/>
      <c r="L116" s="25"/>
      <c r="M116" s="25"/>
      <c r="N116" s="25"/>
      <c r="O116" s="25"/>
      <c r="P116" s="25"/>
      <c r="Q116" s="25"/>
      <c r="R116" s="25"/>
      <c r="S116" s="25"/>
      <c r="T116" s="25"/>
      <c r="U116" s="25"/>
      <c r="V116" s="25"/>
      <c r="W116" s="25"/>
      <c r="X116" s="25"/>
      <c r="Y116" s="25"/>
      <c r="Z116" s="25"/>
    </row>
    <row r="117" ht="15.75" customHeight="1">
      <c r="A117" s="25"/>
      <c r="B117" s="503"/>
      <c r="C117" s="503"/>
      <c r="D117" s="503"/>
      <c r="E117" s="25"/>
      <c r="F117" s="25"/>
      <c r="G117" s="25"/>
      <c r="H117" s="25"/>
      <c r="I117" s="25"/>
      <c r="J117" s="25"/>
      <c r="K117" s="25"/>
      <c r="L117" s="25"/>
      <c r="M117" s="25"/>
      <c r="N117" s="25"/>
      <c r="O117" s="25"/>
      <c r="P117" s="25"/>
      <c r="Q117" s="25"/>
      <c r="R117" s="25"/>
      <c r="S117" s="25"/>
      <c r="T117" s="25"/>
      <c r="U117" s="25"/>
      <c r="V117" s="25"/>
      <c r="W117" s="25"/>
      <c r="X117" s="25"/>
      <c r="Y117" s="25"/>
      <c r="Z117" s="25"/>
    </row>
    <row r="118" ht="15.75" customHeight="1">
      <c r="A118" s="25"/>
      <c r="B118" s="503"/>
      <c r="C118" s="503"/>
      <c r="D118" s="503"/>
      <c r="E118" s="25"/>
      <c r="F118" s="25"/>
      <c r="G118" s="25"/>
      <c r="H118" s="25"/>
      <c r="I118" s="25"/>
      <c r="J118" s="25"/>
      <c r="K118" s="25"/>
      <c r="L118" s="25"/>
      <c r="M118" s="25"/>
      <c r="N118" s="25"/>
      <c r="O118" s="25"/>
      <c r="P118" s="25"/>
      <c r="Q118" s="25"/>
      <c r="R118" s="25"/>
      <c r="S118" s="25"/>
      <c r="T118" s="25"/>
      <c r="U118" s="25"/>
      <c r="V118" s="25"/>
      <c r="W118" s="25"/>
      <c r="X118" s="25"/>
      <c r="Y118" s="25"/>
      <c r="Z118" s="25"/>
    </row>
    <row r="119" ht="15.75" customHeight="1">
      <c r="A119" s="25"/>
      <c r="B119" s="503"/>
      <c r="C119" s="503"/>
      <c r="D119" s="503"/>
      <c r="E119" s="25"/>
      <c r="F119" s="25"/>
      <c r="G119" s="25"/>
      <c r="H119" s="25"/>
      <c r="I119" s="25"/>
      <c r="J119" s="25"/>
      <c r="K119" s="25"/>
      <c r="L119" s="25"/>
      <c r="M119" s="25"/>
      <c r="N119" s="25"/>
      <c r="O119" s="25"/>
      <c r="P119" s="25"/>
      <c r="Q119" s="25"/>
      <c r="R119" s="25"/>
      <c r="S119" s="25"/>
      <c r="T119" s="25"/>
      <c r="U119" s="25"/>
      <c r="V119" s="25"/>
      <c r="W119" s="25"/>
      <c r="X119" s="25"/>
      <c r="Y119" s="25"/>
      <c r="Z119" s="25"/>
    </row>
    <row r="120" ht="15.75" customHeight="1">
      <c r="A120" s="25"/>
      <c r="B120" s="503"/>
      <c r="C120" s="503"/>
      <c r="D120" s="503"/>
      <c r="E120" s="25"/>
      <c r="F120" s="25"/>
      <c r="G120" s="25"/>
      <c r="H120" s="25"/>
      <c r="I120" s="25"/>
      <c r="J120" s="25"/>
      <c r="K120" s="25"/>
      <c r="L120" s="25"/>
      <c r="M120" s="25"/>
      <c r="N120" s="25"/>
      <c r="O120" s="25"/>
      <c r="P120" s="25"/>
      <c r="Q120" s="25"/>
      <c r="R120" s="25"/>
      <c r="S120" s="25"/>
      <c r="T120" s="25"/>
      <c r="U120" s="25"/>
      <c r="V120" s="25"/>
      <c r="W120" s="25"/>
      <c r="X120" s="25"/>
      <c r="Y120" s="25"/>
      <c r="Z120" s="25"/>
    </row>
    <row r="121" ht="15.75" customHeight="1">
      <c r="A121" s="25"/>
      <c r="B121" s="503"/>
      <c r="C121" s="503"/>
      <c r="D121" s="503"/>
      <c r="E121" s="25"/>
      <c r="F121" s="25"/>
      <c r="G121" s="25"/>
      <c r="H121" s="25"/>
      <c r="I121" s="25"/>
      <c r="J121" s="25"/>
      <c r="K121" s="25"/>
      <c r="L121" s="25"/>
      <c r="M121" s="25"/>
      <c r="N121" s="25"/>
      <c r="O121" s="25"/>
      <c r="P121" s="25"/>
      <c r="Q121" s="25"/>
      <c r="R121" s="25"/>
      <c r="S121" s="25"/>
      <c r="T121" s="25"/>
      <c r="U121" s="25"/>
      <c r="V121" s="25"/>
      <c r="W121" s="25"/>
      <c r="X121" s="25"/>
      <c r="Y121" s="25"/>
      <c r="Z121" s="25"/>
    </row>
    <row r="122" ht="15.75" customHeight="1">
      <c r="A122" s="25"/>
      <c r="B122" s="503"/>
      <c r="C122" s="503"/>
      <c r="D122" s="503"/>
      <c r="E122" s="25"/>
      <c r="F122" s="25"/>
      <c r="G122" s="25"/>
      <c r="H122" s="25"/>
      <c r="I122" s="25"/>
      <c r="J122" s="25"/>
      <c r="K122" s="25"/>
      <c r="L122" s="25"/>
      <c r="M122" s="25"/>
      <c r="N122" s="25"/>
      <c r="O122" s="25"/>
      <c r="P122" s="25"/>
      <c r="Q122" s="25"/>
      <c r="R122" s="25"/>
      <c r="S122" s="25"/>
      <c r="T122" s="25"/>
      <c r="U122" s="25"/>
      <c r="V122" s="25"/>
      <c r="W122" s="25"/>
      <c r="X122" s="25"/>
      <c r="Y122" s="25"/>
      <c r="Z122" s="25"/>
    </row>
    <row r="123" ht="15.75" customHeight="1">
      <c r="A123" s="25"/>
      <c r="B123" s="503"/>
      <c r="C123" s="503"/>
      <c r="D123" s="503"/>
      <c r="E123" s="25"/>
      <c r="F123" s="25"/>
      <c r="G123" s="25"/>
      <c r="H123" s="25"/>
      <c r="I123" s="25"/>
      <c r="J123" s="25"/>
      <c r="K123" s="25"/>
      <c r="L123" s="25"/>
      <c r="M123" s="25"/>
      <c r="N123" s="25"/>
      <c r="O123" s="25"/>
      <c r="P123" s="25"/>
      <c r="Q123" s="25"/>
      <c r="R123" s="25"/>
      <c r="S123" s="25"/>
      <c r="T123" s="25"/>
      <c r="U123" s="25"/>
      <c r="V123" s="25"/>
      <c r="W123" s="25"/>
      <c r="X123" s="25"/>
      <c r="Y123" s="25"/>
      <c r="Z123" s="25"/>
    </row>
    <row r="124" ht="15.75" customHeight="1">
      <c r="A124" s="25"/>
      <c r="B124" s="503"/>
      <c r="C124" s="503"/>
      <c r="D124" s="503"/>
      <c r="E124" s="25"/>
      <c r="F124" s="25"/>
      <c r="G124" s="25"/>
      <c r="H124" s="25"/>
      <c r="I124" s="25"/>
      <c r="J124" s="25"/>
      <c r="K124" s="25"/>
      <c r="L124" s="25"/>
      <c r="M124" s="25"/>
      <c r="N124" s="25"/>
      <c r="O124" s="25"/>
      <c r="P124" s="25"/>
      <c r="Q124" s="25"/>
      <c r="R124" s="25"/>
      <c r="S124" s="25"/>
      <c r="T124" s="25"/>
      <c r="U124" s="25"/>
      <c r="V124" s="25"/>
      <c r="W124" s="25"/>
      <c r="X124" s="25"/>
      <c r="Y124" s="25"/>
      <c r="Z124" s="25"/>
    </row>
    <row r="125" ht="15.75" customHeight="1">
      <c r="A125" s="25"/>
      <c r="B125" s="503"/>
      <c r="C125" s="503"/>
      <c r="D125" s="503"/>
      <c r="E125" s="25"/>
      <c r="F125" s="25"/>
      <c r="G125" s="25"/>
      <c r="H125" s="25"/>
      <c r="I125" s="25"/>
      <c r="J125" s="25"/>
      <c r="K125" s="25"/>
      <c r="L125" s="25"/>
      <c r="M125" s="25"/>
      <c r="N125" s="25"/>
      <c r="O125" s="25"/>
      <c r="P125" s="25"/>
      <c r="Q125" s="25"/>
      <c r="R125" s="25"/>
      <c r="S125" s="25"/>
      <c r="T125" s="25"/>
      <c r="U125" s="25"/>
      <c r="V125" s="25"/>
      <c r="W125" s="25"/>
      <c r="X125" s="25"/>
      <c r="Y125" s="25"/>
      <c r="Z125" s="25"/>
    </row>
    <row r="126" ht="15.75" customHeight="1">
      <c r="A126" s="25"/>
      <c r="B126" s="503"/>
      <c r="C126" s="503"/>
      <c r="D126" s="503"/>
      <c r="E126" s="25"/>
      <c r="F126" s="25"/>
      <c r="G126" s="25"/>
      <c r="H126" s="25"/>
      <c r="I126" s="25"/>
      <c r="J126" s="25"/>
      <c r="K126" s="25"/>
      <c r="L126" s="25"/>
      <c r="M126" s="25"/>
      <c r="N126" s="25"/>
      <c r="O126" s="25"/>
      <c r="P126" s="25"/>
      <c r="Q126" s="25"/>
      <c r="R126" s="25"/>
      <c r="S126" s="25"/>
      <c r="T126" s="25"/>
      <c r="U126" s="25"/>
      <c r="V126" s="25"/>
      <c r="W126" s="25"/>
      <c r="X126" s="25"/>
      <c r="Y126" s="25"/>
      <c r="Z126" s="25"/>
    </row>
    <row r="127" ht="15.75" customHeight="1">
      <c r="A127" s="25"/>
      <c r="B127" s="503"/>
      <c r="C127" s="503"/>
      <c r="D127" s="503"/>
      <c r="E127" s="25"/>
      <c r="F127" s="25"/>
      <c r="G127" s="25"/>
      <c r="H127" s="25"/>
      <c r="I127" s="25"/>
      <c r="J127" s="25"/>
      <c r="K127" s="25"/>
      <c r="L127" s="25"/>
      <c r="M127" s="25"/>
      <c r="N127" s="25"/>
      <c r="O127" s="25"/>
      <c r="P127" s="25"/>
      <c r="Q127" s="25"/>
      <c r="R127" s="25"/>
      <c r="S127" s="25"/>
      <c r="T127" s="25"/>
      <c r="U127" s="25"/>
      <c r="V127" s="25"/>
      <c r="W127" s="25"/>
      <c r="X127" s="25"/>
      <c r="Y127" s="25"/>
      <c r="Z127" s="25"/>
    </row>
    <row r="128" ht="15.75" customHeight="1">
      <c r="A128" s="25"/>
      <c r="B128" s="503"/>
      <c r="C128" s="503"/>
      <c r="D128" s="503"/>
      <c r="E128" s="25"/>
      <c r="F128" s="25"/>
      <c r="G128" s="25"/>
      <c r="H128" s="25"/>
      <c r="I128" s="25"/>
      <c r="J128" s="25"/>
      <c r="K128" s="25"/>
      <c r="L128" s="25"/>
      <c r="M128" s="25"/>
      <c r="N128" s="25"/>
      <c r="O128" s="25"/>
      <c r="P128" s="25"/>
      <c r="Q128" s="25"/>
      <c r="R128" s="25"/>
      <c r="S128" s="25"/>
      <c r="T128" s="25"/>
      <c r="U128" s="25"/>
      <c r="V128" s="25"/>
      <c r="W128" s="25"/>
      <c r="X128" s="25"/>
      <c r="Y128" s="25"/>
      <c r="Z128" s="25"/>
    </row>
    <row r="129" ht="15.75" customHeight="1">
      <c r="A129" s="25"/>
      <c r="B129" s="503"/>
      <c r="C129" s="503"/>
      <c r="D129" s="503"/>
      <c r="E129" s="25"/>
      <c r="F129" s="25"/>
      <c r="G129" s="25"/>
      <c r="H129" s="25"/>
      <c r="I129" s="25"/>
      <c r="J129" s="25"/>
      <c r="K129" s="25"/>
      <c r="L129" s="25"/>
      <c r="M129" s="25"/>
      <c r="N129" s="25"/>
      <c r="O129" s="25"/>
      <c r="P129" s="25"/>
      <c r="Q129" s="25"/>
      <c r="R129" s="25"/>
      <c r="S129" s="25"/>
      <c r="T129" s="25"/>
      <c r="U129" s="25"/>
      <c r="V129" s="25"/>
      <c r="W129" s="25"/>
      <c r="X129" s="25"/>
      <c r="Y129" s="25"/>
      <c r="Z129" s="25"/>
    </row>
    <row r="130" ht="15.75" customHeight="1">
      <c r="A130" s="25"/>
      <c r="B130" s="503"/>
      <c r="C130" s="503"/>
      <c r="D130" s="503"/>
      <c r="E130" s="25"/>
      <c r="F130" s="25"/>
      <c r="G130" s="25"/>
      <c r="H130" s="25"/>
      <c r="I130" s="25"/>
      <c r="J130" s="25"/>
      <c r="K130" s="25"/>
      <c r="L130" s="25"/>
      <c r="M130" s="25"/>
      <c r="N130" s="25"/>
      <c r="O130" s="25"/>
      <c r="P130" s="25"/>
      <c r="Q130" s="25"/>
      <c r="R130" s="25"/>
      <c r="S130" s="25"/>
      <c r="T130" s="25"/>
      <c r="U130" s="25"/>
      <c r="V130" s="25"/>
      <c r="W130" s="25"/>
      <c r="X130" s="25"/>
      <c r="Y130" s="25"/>
      <c r="Z130" s="25"/>
    </row>
    <row r="131" ht="15.75" customHeight="1">
      <c r="A131" s="25"/>
      <c r="B131" s="503"/>
      <c r="C131" s="503"/>
      <c r="D131" s="503"/>
      <c r="E131" s="25"/>
      <c r="F131" s="25"/>
      <c r="G131" s="25"/>
      <c r="H131" s="25"/>
      <c r="I131" s="25"/>
      <c r="J131" s="25"/>
      <c r="K131" s="25"/>
      <c r="L131" s="25"/>
      <c r="M131" s="25"/>
      <c r="N131" s="25"/>
      <c r="O131" s="25"/>
      <c r="P131" s="25"/>
      <c r="Q131" s="25"/>
      <c r="R131" s="25"/>
      <c r="S131" s="25"/>
      <c r="T131" s="25"/>
      <c r="U131" s="25"/>
      <c r="V131" s="25"/>
      <c r="W131" s="25"/>
      <c r="X131" s="25"/>
      <c r="Y131" s="25"/>
      <c r="Z131" s="25"/>
    </row>
    <row r="132" ht="15.75" customHeight="1">
      <c r="A132" s="25"/>
      <c r="B132" s="503"/>
      <c r="C132" s="503"/>
      <c r="D132" s="503"/>
      <c r="E132" s="25"/>
      <c r="F132" s="25"/>
      <c r="G132" s="25"/>
      <c r="H132" s="25"/>
      <c r="I132" s="25"/>
      <c r="J132" s="25"/>
      <c r="K132" s="25"/>
      <c r="L132" s="25"/>
      <c r="M132" s="25"/>
      <c r="N132" s="25"/>
      <c r="O132" s="25"/>
      <c r="P132" s="25"/>
      <c r="Q132" s="25"/>
      <c r="R132" s="25"/>
      <c r="S132" s="25"/>
      <c r="T132" s="25"/>
      <c r="U132" s="25"/>
      <c r="V132" s="25"/>
      <c r="W132" s="25"/>
      <c r="X132" s="25"/>
      <c r="Y132" s="25"/>
      <c r="Z132" s="25"/>
    </row>
    <row r="133" ht="15.75" customHeight="1">
      <c r="A133" s="25"/>
      <c r="B133" s="503"/>
      <c r="C133" s="503"/>
      <c r="D133" s="503"/>
      <c r="E133" s="25"/>
      <c r="F133" s="25"/>
      <c r="G133" s="25"/>
      <c r="H133" s="25"/>
      <c r="I133" s="25"/>
      <c r="J133" s="25"/>
      <c r="K133" s="25"/>
      <c r="L133" s="25"/>
      <c r="M133" s="25"/>
      <c r="N133" s="25"/>
      <c r="O133" s="25"/>
      <c r="P133" s="25"/>
      <c r="Q133" s="25"/>
      <c r="R133" s="25"/>
      <c r="S133" s="25"/>
      <c r="T133" s="25"/>
      <c r="U133" s="25"/>
      <c r="V133" s="25"/>
      <c r="W133" s="25"/>
      <c r="X133" s="25"/>
      <c r="Y133" s="25"/>
      <c r="Z133" s="25"/>
    </row>
    <row r="134" ht="15.75" customHeight="1">
      <c r="A134" s="25"/>
      <c r="B134" s="503"/>
      <c r="C134" s="503"/>
      <c r="D134" s="503"/>
      <c r="E134" s="25"/>
      <c r="F134" s="25"/>
      <c r="G134" s="25"/>
      <c r="H134" s="25"/>
      <c r="I134" s="25"/>
      <c r="J134" s="25"/>
      <c r="K134" s="25"/>
      <c r="L134" s="25"/>
      <c r="M134" s="25"/>
      <c r="N134" s="25"/>
      <c r="O134" s="25"/>
      <c r="P134" s="25"/>
      <c r="Q134" s="25"/>
      <c r="R134" s="25"/>
      <c r="S134" s="25"/>
      <c r="T134" s="25"/>
      <c r="U134" s="25"/>
      <c r="V134" s="25"/>
      <c r="W134" s="25"/>
      <c r="X134" s="25"/>
      <c r="Y134" s="25"/>
      <c r="Z134" s="25"/>
    </row>
    <row r="135" ht="15.75" customHeight="1">
      <c r="A135" s="25"/>
      <c r="B135" s="503"/>
      <c r="C135" s="503"/>
      <c r="D135" s="503"/>
      <c r="E135" s="25"/>
      <c r="F135" s="25"/>
      <c r="G135" s="25"/>
      <c r="H135" s="25"/>
      <c r="I135" s="25"/>
      <c r="J135" s="25"/>
      <c r="K135" s="25"/>
      <c r="L135" s="25"/>
      <c r="M135" s="25"/>
      <c r="N135" s="25"/>
      <c r="O135" s="25"/>
      <c r="P135" s="25"/>
      <c r="Q135" s="25"/>
      <c r="R135" s="25"/>
      <c r="S135" s="25"/>
      <c r="T135" s="25"/>
      <c r="U135" s="25"/>
      <c r="V135" s="25"/>
      <c r="W135" s="25"/>
      <c r="X135" s="25"/>
      <c r="Y135" s="25"/>
      <c r="Z135" s="25"/>
    </row>
    <row r="136" ht="15.75" customHeight="1">
      <c r="A136" s="25"/>
      <c r="B136" s="503"/>
      <c r="C136" s="503"/>
      <c r="D136" s="503"/>
      <c r="E136" s="25"/>
      <c r="F136" s="25"/>
      <c r="G136" s="25"/>
      <c r="H136" s="25"/>
      <c r="I136" s="25"/>
      <c r="J136" s="25"/>
      <c r="K136" s="25"/>
      <c r="L136" s="25"/>
      <c r="M136" s="25"/>
      <c r="N136" s="25"/>
      <c r="O136" s="25"/>
      <c r="P136" s="25"/>
      <c r="Q136" s="25"/>
      <c r="R136" s="25"/>
      <c r="S136" s="25"/>
      <c r="T136" s="25"/>
      <c r="U136" s="25"/>
      <c r="V136" s="25"/>
      <c r="W136" s="25"/>
      <c r="X136" s="25"/>
      <c r="Y136" s="25"/>
      <c r="Z136" s="25"/>
    </row>
    <row r="137" ht="15.75" customHeight="1">
      <c r="A137" s="25"/>
      <c r="B137" s="503"/>
      <c r="C137" s="503"/>
      <c r="D137" s="503"/>
      <c r="E137" s="25"/>
      <c r="F137" s="25"/>
      <c r="G137" s="25"/>
      <c r="H137" s="25"/>
      <c r="I137" s="25"/>
      <c r="J137" s="25"/>
      <c r="K137" s="25"/>
      <c r="L137" s="25"/>
      <c r="M137" s="25"/>
      <c r="N137" s="25"/>
      <c r="O137" s="25"/>
      <c r="P137" s="25"/>
      <c r="Q137" s="25"/>
      <c r="R137" s="25"/>
      <c r="S137" s="25"/>
      <c r="T137" s="25"/>
      <c r="U137" s="25"/>
      <c r="V137" s="25"/>
      <c r="W137" s="25"/>
      <c r="X137" s="25"/>
      <c r="Y137" s="25"/>
      <c r="Z137" s="25"/>
    </row>
    <row r="138" ht="15.75" customHeight="1">
      <c r="A138" s="25"/>
      <c r="B138" s="503"/>
      <c r="C138" s="503"/>
      <c r="D138" s="503"/>
      <c r="E138" s="25"/>
      <c r="F138" s="25"/>
      <c r="G138" s="25"/>
      <c r="H138" s="25"/>
      <c r="I138" s="25"/>
      <c r="J138" s="25"/>
      <c r="K138" s="25"/>
      <c r="L138" s="25"/>
      <c r="M138" s="25"/>
      <c r="N138" s="25"/>
      <c r="O138" s="25"/>
      <c r="P138" s="25"/>
      <c r="Q138" s="25"/>
      <c r="R138" s="25"/>
      <c r="S138" s="25"/>
      <c r="T138" s="25"/>
      <c r="U138" s="25"/>
      <c r="V138" s="25"/>
      <c r="W138" s="25"/>
      <c r="X138" s="25"/>
      <c r="Y138" s="25"/>
      <c r="Z138" s="25"/>
    </row>
    <row r="139" ht="15.75" customHeight="1">
      <c r="A139" s="25"/>
      <c r="B139" s="503"/>
      <c r="C139" s="503"/>
      <c r="D139" s="503"/>
      <c r="E139" s="25"/>
      <c r="F139" s="25"/>
      <c r="G139" s="25"/>
      <c r="H139" s="25"/>
      <c r="I139" s="25"/>
      <c r="J139" s="25"/>
      <c r="K139" s="25"/>
      <c r="L139" s="25"/>
      <c r="M139" s="25"/>
      <c r="N139" s="25"/>
      <c r="O139" s="25"/>
      <c r="P139" s="25"/>
      <c r="Q139" s="25"/>
      <c r="R139" s="25"/>
      <c r="S139" s="25"/>
      <c r="T139" s="25"/>
      <c r="U139" s="25"/>
      <c r="V139" s="25"/>
      <c r="W139" s="25"/>
      <c r="X139" s="25"/>
      <c r="Y139" s="25"/>
      <c r="Z139" s="25"/>
    </row>
    <row r="140" ht="15.75" customHeight="1">
      <c r="A140" s="25"/>
      <c r="B140" s="503"/>
      <c r="C140" s="503"/>
      <c r="D140" s="503"/>
      <c r="E140" s="25"/>
      <c r="F140" s="25"/>
      <c r="G140" s="25"/>
      <c r="H140" s="25"/>
      <c r="I140" s="25"/>
      <c r="J140" s="25"/>
      <c r="K140" s="25"/>
      <c r="L140" s="25"/>
      <c r="M140" s="25"/>
      <c r="N140" s="25"/>
      <c r="O140" s="25"/>
      <c r="P140" s="25"/>
      <c r="Q140" s="25"/>
      <c r="R140" s="25"/>
      <c r="S140" s="25"/>
      <c r="T140" s="25"/>
      <c r="U140" s="25"/>
      <c r="V140" s="25"/>
      <c r="W140" s="25"/>
      <c r="X140" s="25"/>
      <c r="Y140" s="25"/>
      <c r="Z140" s="25"/>
    </row>
    <row r="141" ht="15.75" customHeight="1">
      <c r="A141" s="25"/>
      <c r="B141" s="503"/>
      <c r="C141" s="503"/>
      <c r="D141" s="503"/>
      <c r="E141" s="25"/>
      <c r="F141" s="25"/>
      <c r="G141" s="25"/>
      <c r="H141" s="25"/>
      <c r="I141" s="25"/>
      <c r="J141" s="25"/>
      <c r="K141" s="25"/>
      <c r="L141" s="25"/>
      <c r="M141" s="25"/>
      <c r="N141" s="25"/>
      <c r="O141" s="25"/>
      <c r="P141" s="25"/>
      <c r="Q141" s="25"/>
      <c r="R141" s="25"/>
      <c r="S141" s="25"/>
      <c r="T141" s="25"/>
      <c r="U141" s="25"/>
      <c r="V141" s="25"/>
      <c r="W141" s="25"/>
      <c r="X141" s="25"/>
      <c r="Y141" s="25"/>
      <c r="Z141" s="25"/>
    </row>
    <row r="142" ht="15.75" customHeight="1">
      <c r="A142" s="25"/>
      <c r="B142" s="503"/>
      <c r="C142" s="503"/>
      <c r="D142" s="503"/>
      <c r="E142" s="25"/>
      <c r="F142" s="25"/>
      <c r="G142" s="25"/>
      <c r="H142" s="25"/>
      <c r="I142" s="25"/>
      <c r="J142" s="25"/>
      <c r="K142" s="25"/>
      <c r="L142" s="25"/>
      <c r="M142" s="25"/>
      <c r="N142" s="25"/>
      <c r="O142" s="25"/>
      <c r="P142" s="25"/>
      <c r="Q142" s="25"/>
      <c r="R142" s="25"/>
      <c r="S142" s="25"/>
      <c r="T142" s="25"/>
      <c r="U142" s="25"/>
      <c r="V142" s="25"/>
      <c r="W142" s="25"/>
      <c r="X142" s="25"/>
      <c r="Y142" s="25"/>
      <c r="Z142" s="25"/>
    </row>
    <row r="143" ht="15.75" customHeight="1">
      <c r="A143" s="25"/>
      <c r="B143" s="503"/>
      <c r="C143" s="503"/>
      <c r="D143" s="503"/>
      <c r="E143" s="25"/>
      <c r="F143" s="25"/>
      <c r="G143" s="25"/>
      <c r="H143" s="25"/>
      <c r="I143" s="25"/>
      <c r="J143" s="25"/>
      <c r="K143" s="25"/>
      <c r="L143" s="25"/>
      <c r="M143" s="25"/>
      <c r="N143" s="25"/>
      <c r="O143" s="25"/>
      <c r="P143" s="25"/>
      <c r="Q143" s="25"/>
      <c r="R143" s="25"/>
      <c r="S143" s="25"/>
      <c r="T143" s="25"/>
      <c r="U143" s="25"/>
      <c r="V143" s="25"/>
      <c r="W143" s="25"/>
      <c r="X143" s="25"/>
      <c r="Y143" s="25"/>
      <c r="Z143" s="25"/>
    </row>
    <row r="144" ht="15.75" customHeight="1">
      <c r="A144" s="25"/>
      <c r="B144" s="503"/>
      <c r="C144" s="503"/>
      <c r="D144" s="503"/>
      <c r="E144" s="25"/>
      <c r="F144" s="25"/>
      <c r="G144" s="25"/>
      <c r="H144" s="25"/>
      <c r="I144" s="25"/>
      <c r="J144" s="25"/>
      <c r="K144" s="25"/>
      <c r="L144" s="25"/>
      <c r="M144" s="25"/>
      <c r="N144" s="25"/>
      <c r="O144" s="25"/>
      <c r="P144" s="25"/>
      <c r="Q144" s="25"/>
      <c r="R144" s="25"/>
      <c r="S144" s="25"/>
      <c r="T144" s="25"/>
      <c r="U144" s="25"/>
      <c r="V144" s="25"/>
      <c r="W144" s="25"/>
      <c r="X144" s="25"/>
      <c r="Y144" s="25"/>
      <c r="Z144" s="25"/>
    </row>
    <row r="145" ht="15.75" customHeight="1">
      <c r="A145" s="25"/>
      <c r="B145" s="503"/>
      <c r="C145" s="503"/>
      <c r="D145" s="503"/>
      <c r="E145" s="25"/>
      <c r="F145" s="25"/>
      <c r="G145" s="25"/>
      <c r="H145" s="25"/>
      <c r="I145" s="25"/>
      <c r="J145" s="25"/>
      <c r="K145" s="25"/>
      <c r="L145" s="25"/>
      <c r="M145" s="25"/>
      <c r="N145" s="25"/>
      <c r="O145" s="25"/>
      <c r="P145" s="25"/>
      <c r="Q145" s="25"/>
      <c r="R145" s="25"/>
      <c r="S145" s="25"/>
      <c r="T145" s="25"/>
      <c r="U145" s="25"/>
      <c r="V145" s="25"/>
      <c r="W145" s="25"/>
      <c r="X145" s="25"/>
      <c r="Y145" s="25"/>
      <c r="Z145" s="25"/>
    </row>
    <row r="146" ht="15.75" customHeight="1">
      <c r="A146" s="25"/>
      <c r="B146" s="503"/>
      <c r="C146" s="503"/>
      <c r="D146" s="503"/>
      <c r="E146" s="25"/>
      <c r="F146" s="25"/>
      <c r="G146" s="25"/>
      <c r="H146" s="25"/>
      <c r="I146" s="25"/>
      <c r="J146" s="25"/>
      <c r="K146" s="25"/>
      <c r="L146" s="25"/>
      <c r="M146" s="25"/>
      <c r="N146" s="25"/>
      <c r="O146" s="25"/>
      <c r="P146" s="25"/>
      <c r="Q146" s="25"/>
      <c r="R146" s="25"/>
      <c r="S146" s="25"/>
      <c r="T146" s="25"/>
      <c r="U146" s="25"/>
      <c r="V146" s="25"/>
      <c r="W146" s="25"/>
      <c r="X146" s="25"/>
      <c r="Y146" s="25"/>
      <c r="Z146" s="25"/>
    </row>
    <row r="147" ht="15.75" customHeight="1">
      <c r="A147" s="25"/>
      <c r="B147" s="503"/>
      <c r="C147" s="503"/>
      <c r="D147" s="503"/>
      <c r="E147" s="25"/>
      <c r="F147" s="25"/>
      <c r="G147" s="25"/>
      <c r="H147" s="25"/>
      <c r="I147" s="25"/>
      <c r="J147" s="25"/>
      <c r="K147" s="25"/>
      <c r="L147" s="25"/>
      <c r="M147" s="25"/>
      <c r="N147" s="25"/>
      <c r="O147" s="25"/>
      <c r="P147" s="25"/>
      <c r="Q147" s="25"/>
      <c r="R147" s="25"/>
      <c r="S147" s="25"/>
      <c r="T147" s="25"/>
      <c r="U147" s="25"/>
      <c r="V147" s="25"/>
      <c r="W147" s="25"/>
      <c r="X147" s="25"/>
      <c r="Y147" s="25"/>
      <c r="Z147" s="25"/>
    </row>
    <row r="148" ht="15.75" customHeight="1">
      <c r="A148" s="25"/>
      <c r="B148" s="503"/>
      <c r="C148" s="503"/>
      <c r="D148" s="503"/>
      <c r="E148" s="25"/>
      <c r="F148" s="25"/>
      <c r="G148" s="25"/>
      <c r="H148" s="25"/>
      <c r="I148" s="25"/>
      <c r="J148" s="25"/>
      <c r="K148" s="25"/>
      <c r="L148" s="25"/>
      <c r="M148" s="25"/>
      <c r="N148" s="25"/>
      <c r="O148" s="25"/>
      <c r="P148" s="25"/>
      <c r="Q148" s="25"/>
      <c r="R148" s="25"/>
      <c r="S148" s="25"/>
      <c r="T148" s="25"/>
      <c r="U148" s="25"/>
      <c r="V148" s="25"/>
      <c r="W148" s="25"/>
      <c r="X148" s="25"/>
      <c r="Y148" s="25"/>
      <c r="Z148" s="25"/>
    </row>
    <row r="149" ht="15.75" customHeight="1">
      <c r="A149" s="25"/>
      <c r="B149" s="503"/>
      <c r="C149" s="503"/>
      <c r="D149" s="503"/>
      <c r="E149" s="25"/>
      <c r="F149" s="25"/>
      <c r="G149" s="25"/>
      <c r="H149" s="25"/>
      <c r="I149" s="25"/>
      <c r="J149" s="25"/>
      <c r="K149" s="25"/>
      <c r="L149" s="25"/>
      <c r="M149" s="25"/>
      <c r="N149" s="25"/>
      <c r="O149" s="25"/>
      <c r="P149" s="25"/>
      <c r="Q149" s="25"/>
      <c r="R149" s="25"/>
      <c r="S149" s="25"/>
      <c r="T149" s="25"/>
      <c r="U149" s="25"/>
      <c r="V149" s="25"/>
      <c r="W149" s="25"/>
      <c r="X149" s="25"/>
      <c r="Y149" s="25"/>
      <c r="Z149" s="25"/>
    </row>
    <row r="150" ht="15.75" customHeight="1">
      <c r="A150" s="25"/>
      <c r="B150" s="503"/>
      <c r="C150" s="503"/>
      <c r="D150" s="503"/>
      <c r="E150" s="25"/>
      <c r="F150" s="25"/>
      <c r="G150" s="25"/>
      <c r="H150" s="25"/>
      <c r="I150" s="25"/>
      <c r="J150" s="25"/>
      <c r="K150" s="25"/>
      <c r="L150" s="25"/>
      <c r="M150" s="25"/>
      <c r="N150" s="25"/>
      <c r="O150" s="25"/>
      <c r="P150" s="25"/>
      <c r="Q150" s="25"/>
      <c r="R150" s="25"/>
      <c r="S150" s="25"/>
      <c r="T150" s="25"/>
      <c r="U150" s="25"/>
      <c r="V150" s="25"/>
      <c r="W150" s="25"/>
      <c r="X150" s="25"/>
      <c r="Y150" s="25"/>
      <c r="Z150" s="25"/>
    </row>
    <row r="151" ht="15.75" customHeight="1">
      <c r="A151" s="25"/>
      <c r="B151" s="503"/>
      <c r="C151" s="503"/>
      <c r="D151" s="503"/>
      <c r="E151" s="25"/>
      <c r="F151" s="25"/>
      <c r="G151" s="25"/>
      <c r="H151" s="25"/>
      <c r="I151" s="25"/>
      <c r="J151" s="25"/>
      <c r="K151" s="25"/>
      <c r="L151" s="25"/>
      <c r="M151" s="25"/>
      <c r="N151" s="25"/>
      <c r="O151" s="25"/>
      <c r="P151" s="25"/>
      <c r="Q151" s="25"/>
      <c r="R151" s="25"/>
      <c r="S151" s="25"/>
      <c r="T151" s="25"/>
      <c r="U151" s="25"/>
      <c r="V151" s="25"/>
      <c r="W151" s="25"/>
      <c r="X151" s="25"/>
      <c r="Y151" s="25"/>
      <c r="Z151" s="25"/>
    </row>
    <row r="152" ht="15.75" customHeight="1">
      <c r="A152" s="25"/>
      <c r="B152" s="503"/>
      <c r="C152" s="503"/>
      <c r="D152" s="503"/>
      <c r="E152" s="25"/>
      <c r="F152" s="25"/>
      <c r="G152" s="25"/>
      <c r="H152" s="25"/>
      <c r="I152" s="25"/>
      <c r="J152" s="25"/>
      <c r="K152" s="25"/>
      <c r="L152" s="25"/>
      <c r="M152" s="25"/>
      <c r="N152" s="25"/>
      <c r="O152" s="25"/>
      <c r="P152" s="25"/>
      <c r="Q152" s="25"/>
      <c r="R152" s="25"/>
      <c r="S152" s="25"/>
      <c r="T152" s="25"/>
      <c r="U152" s="25"/>
      <c r="V152" s="25"/>
      <c r="W152" s="25"/>
      <c r="X152" s="25"/>
      <c r="Y152" s="25"/>
      <c r="Z152" s="25"/>
    </row>
    <row r="153" ht="15.75" customHeight="1">
      <c r="A153" s="25"/>
      <c r="B153" s="503"/>
      <c r="C153" s="503"/>
      <c r="D153" s="503"/>
      <c r="E153" s="25"/>
      <c r="F153" s="25"/>
      <c r="G153" s="25"/>
      <c r="H153" s="25"/>
      <c r="I153" s="25"/>
      <c r="J153" s="25"/>
      <c r="K153" s="25"/>
      <c r="L153" s="25"/>
      <c r="M153" s="25"/>
      <c r="N153" s="25"/>
      <c r="O153" s="25"/>
      <c r="P153" s="25"/>
      <c r="Q153" s="25"/>
      <c r="R153" s="25"/>
      <c r="S153" s="25"/>
      <c r="T153" s="25"/>
      <c r="U153" s="25"/>
      <c r="V153" s="25"/>
      <c r="W153" s="25"/>
      <c r="X153" s="25"/>
      <c r="Y153" s="25"/>
      <c r="Z153" s="25"/>
    </row>
    <row r="154" ht="15.75" customHeight="1">
      <c r="A154" s="25"/>
      <c r="B154" s="503"/>
      <c r="C154" s="503"/>
      <c r="D154" s="503"/>
      <c r="E154" s="25"/>
      <c r="F154" s="25"/>
      <c r="G154" s="25"/>
      <c r="H154" s="25"/>
      <c r="I154" s="25"/>
      <c r="J154" s="25"/>
      <c r="K154" s="25"/>
      <c r="L154" s="25"/>
      <c r="M154" s="25"/>
      <c r="N154" s="25"/>
      <c r="O154" s="25"/>
      <c r="P154" s="25"/>
      <c r="Q154" s="25"/>
      <c r="R154" s="25"/>
      <c r="S154" s="25"/>
      <c r="T154" s="25"/>
      <c r="U154" s="25"/>
      <c r="V154" s="25"/>
      <c r="W154" s="25"/>
      <c r="X154" s="25"/>
      <c r="Y154" s="25"/>
      <c r="Z154" s="25"/>
    </row>
    <row r="155" ht="15.75" customHeight="1">
      <c r="A155" s="25"/>
      <c r="B155" s="503"/>
      <c r="C155" s="503"/>
      <c r="D155" s="503"/>
      <c r="E155" s="25"/>
      <c r="F155" s="25"/>
      <c r="G155" s="25"/>
      <c r="H155" s="25"/>
      <c r="I155" s="25"/>
      <c r="J155" s="25"/>
      <c r="K155" s="25"/>
      <c r="L155" s="25"/>
      <c r="M155" s="25"/>
      <c r="N155" s="25"/>
      <c r="O155" s="25"/>
      <c r="P155" s="25"/>
      <c r="Q155" s="25"/>
      <c r="R155" s="25"/>
      <c r="S155" s="25"/>
      <c r="T155" s="25"/>
      <c r="U155" s="25"/>
      <c r="V155" s="25"/>
      <c r="W155" s="25"/>
      <c r="X155" s="25"/>
      <c r="Y155" s="25"/>
      <c r="Z155" s="25"/>
    </row>
    <row r="156" ht="15.75" customHeight="1">
      <c r="A156" s="25"/>
      <c r="B156" s="503"/>
      <c r="C156" s="503"/>
      <c r="D156" s="503"/>
      <c r="E156" s="25"/>
      <c r="F156" s="25"/>
      <c r="G156" s="25"/>
      <c r="H156" s="25"/>
      <c r="I156" s="25"/>
      <c r="J156" s="25"/>
      <c r="K156" s="25"/>
      <c r="L156" s="25"/>
      <c r="M156" s="25"/>
      <c r="N156" s="25"/>
      <c r="O156" s="25"/>
      <c r="P156" s="25"/>
      <c r="Q156" s="25"/>
      <c r="R156" s="25"/>
      <c r="S156" s="25"/>
      <c r="T156" s="25"/>
      <c r="U156" s="25"/>
      <c r="V156" s="25"/>
      <c r="W156" s="25"/>
      <c r="X156" s="25"/>
      <c r="Y156" s="25"/>
      <c r="Z156" s="25"/>
    </row>
    <row r="157" ht="15.75" customHeight="1">
      <c r="A157" s="25"/>
      <c r="B157" s="503"/>
      <c r="C157" s="503"/>
      <c r="D157" s="503"/>
      <c r="E157" s="25"/>
      <c r="F157" s="25"/>
      <c r="G157" s="25"/>
      <c r="H157" s="25"/>
      <c r="I157" s="25"/>
      <c r="J157" s="25"/>
      <c r="K157" s="25"/>
      <c r="L157" s="25"/>
      <c r="M157" s="25"/>
      <c r="N157" s="25"/>
      <c r="O157" s="25"/>
      <c r="P157" s="25"/>
      <c r="Q157" s="25"/>
      <c r="R157" s="25"/>
      <c r="S157" s="25"/>
      <c r="T157" s="25"/>
      <c r="U157" s="25"/>
      <c r="V157" s="25"/>
      <c r="W157" s="25"/>
      <c r="X157" s="25"/>
      <c r="Y157" s="25"/>
      <c r="Z157" s="25"/>
    </row>
    <row r="158" ht="15.75" customHeight="1">
      <c r="A158" s="25"/>
      <c r="B158" s="503"/>
      <c r="C158" s="503"/>
      <c r="D158" s="503"/>
      <c r="E158" s="25"/>
      <c r="F158" s="25"/>
      <c r="G158" s="25"/>
      <c r="H158" s="25"/>
      <c r="I158" s="25"/>
      <c r="J158" s="25"/>
      <c r="K158" s="25"/>
      <c r="L158" s="25"/>
      <c r="M158" s="25"/>
      <c r="N158" s="25"/>
      <c r="O158" s="25"/>
      <c r="P158" s="25"/>
      <c r="Q158" s="25"/>
      <c r="R158" s="25"/>
      <c r="S158" s="25"/>
      <c r="T158" s="25"/>
      <c r="U158" s="25"/>
      <c r="V158" s="25"/>
      <c r="W158" s="25"/>
      <c r="X158" s="25"/>
      <c r="Y158" s="25"/>
      <c r="Z158" s="25"/>
    </row>
    <row r="159" ht="15.75" customHeight="1">
      <c r="A159" s="25"/>
      <c r="B159" s="503"/>
      <c r="C159" s="503"/>
      <c r="D159" s="503"/>
      <c r="E159" s="25"/>
      <c r="F159" s="25"/>
      <c r="G159" s="25"/>
      <c r="H159" s="25"/>
      <c r="I159" s="25"/>
      <c r="J159" s="25"/>
      <c r="K159" s="25"/>
      <c r="L159" s="25"/>
      <c r="M159" s="25"/>
      <c r="N159" s="25"/>
      <c r="O159" s="25"/>
      <c r="P159" s="25"/>
      <c r="Q159" s="25"/>
      <c r="R159" s="25"/>
      <c r="S159" s="25"/>
      <c r="T159" s="25"/>
      <c r="U159" s="25"/>
      <c r="V159" s="25"/>
      <c r="W159" s="25"/>
      <c r="X159" s="25"/>
      <c r="Y159" s="25"/>
      <c r="Z159" s="25"/>
    </row>
    <row r="160" ht="15.75" customHeight="1">
      <c r="A160" s="25"/>
      <c r="B160" s="503"/>
      <c r="C160" s="503"/>
      <c r="D160" s="503"/>
      <c r="E160" s="25"/>
      <c r="F160" s="25"/>
      <c r="G160" s="25"/>
      <c r="H160" s="25"/>
      <c r="I160" s="25"/>
      <c r="J160" s="25"/>
      <c r="K160" s="25"/>
      <c r="L160" s="25"/>
      <c r="M160" s="25"/>
      <c r="N160" s="25"/>
      <c r="O160" s="25"/>
      <c r="P160" s="25"/>
      <c r="Q160" s="25"/>
      <c r="R160" s="25"/>
      <c r="S160" s="25"/>
      <c r="T160" s="25"/>
      <c r="U160" s="25"/>
      <c r="V160" s="25"/>
      <c r="W160" s="25"/>
      <c r="X160" s="25"/>
      <c r="Y160" s="25"/>
      <c r="Z160" s="25"/>
    </row>
    <row r="161" ht="15.75" customHeight="1">
      <c r="A161" s="25"/>
      <c r="B161" s="503"/>
      <c r="C161" s="503"/>
      <c r="D161" s="503"/>
      <c r="E161" s="25"/>
      <c r="F161" s="25"/>
      <c r="G161" s="25"/>
      <c r="H161" s="25"/>
      <c r="I161" s="25"/>
      <c r="J161" s="25"/>
      <c r="K161" s="25"/>
      <c r="L161" s="25"/>
      <c r="M161" s="25"/>
      <c r="N161" s="25"/>
      <c r="O161" s="25"/>
      <c r="P161" s="25"/>
      <c r="Q161" s="25"/>
      <c r="R161" s="25"/>
      <c r="S161" s="25"/>
      <c r="T161" s="25"/>
      <c r="U161" s="25"/>
      <c r="V161" s="25"/>
      <c r="W161" s="25"/>
      <c r="X161" s="25"/>
      <c r="Y161" s="25"/>
      <c r="Z161" s="25"/>
    </row>
    <row r="162" ht="15.75" customHeight="1">
      <c r="A162" s="25"/>
      <c r="B162" s="503"/>
      <c r="C162" s="503"/>
      <c r="D162" s="503"/>
      <c r="E162" s="25"/>
      <c r="F162" s="25"/>
      <c r="G162" s="25"/>
      <c r="H162" s="25"/>
      <c r="I162" s="25"/>
      <c r="J162" s="25"/>
      <c r="K162" s="25"/>
      <c r="L162" s="25"/>
      <c r="M162" s="25"/>
      <c r="N162" s="25"/>
      <c r="O162" s="25"/>
      <c r="P162" s="25"/>
      <c r="Q162" s="25"/>
      <c r="R162" s="25"/>
      <c r="S162" s="25"/>
      <c r="T162" s="25"/>
      <c r="U162" s="25"/>
      <c r="V162" s="25"/>
      <c r="W162" s="25"/>
      <c r="X162" s="25"/>
      <c r="Y162" s="25"/>
      <c r="Z162" s="25"/>
    </row>
    <row r="163" ht="15.75" customHeight="1">
      <c r="A163" s="25"/>
      <c r="B163" s="503"/>
      <c r="C163" s="503"/>
      <c r="D163" s="503"/>
      <c r="E163" s="25"/>
      <c r="F163" s="25"/>
      <c r="G163" s="25"/>
      <c r="H163" s="25"/>
      <c r="I163" s="25"/>
      <c r="J163" s="25"/>
      <c r="K163" s="25"/>
      <c r="L163" s="25"/>
      <c r="M163" s="25"/>
      <c r="N163" s="25"/>
      <c r="O163" s="25"/>
      <c r="P163" s="25"/>
      <c r="Q163" s="25"/>
      <c r="R163" s="25"/>
      <c r="S163" s="25"/>
      <c r="T163" s="25"/>
      <c r="U163" s="25"/>
      <c r="V163" s="25"/>
      <c r="W163" s="25"/>
      <c r="X163" s="25"/>
      <c r="Y163" s="25"/>
      <c r="Z163" s="25"/>
    </row>
    <row r="164" ht="15.75" customHeight="1">
      <c r="A164" s="25"/>
      <c r="B164" s="503"/>
      <c r="C164" s="503"/>
      <c r="D164" s="503"/>
      <c r="E164" s="25"/>
      <c r="F164" s="25"/>
      <c r="G164" s="25"/>
      <c r="H164" s="25"/>
      <c r="I164" s="25"/>
      <c r="J164" s="25"/>
      <c r="K164" s="25"/>
      <c r="L164" s="25"/>
      <c r="M164" s="25"/>
      <c r="N164" s="25"/>
      <c r="O164" s="25"/>
      <c r="P164" s="25"/>
      <c r="Q164" s="25"/>
      <c r="R164" s="25"/>
      <c r="S164" s="25"/>
      <c r="T164" s="25"/>
      <c r="U164" s="25"/>
      <c r="V164" s="25"/>
      <c r="W164" s="25"/>
      <c r="X164" s="25"/>
      <c r="Y164" s="25"/>
      <c r="Z164" s="25"/>
    </row>
    <row r="165" ht="15.75" customHeight="1">
      <c r="A165" s="25"/>
      <c r="B165" s="503"/>
      <c r="C165" s="503"/>
      <c r="D165" s="503"/>
      <c r="E165" s="25"/>
      <c r="F165" s="25"/>
      <c r="G165" s="25"/>
      <c r="H165" s="25"/>
      <c r="I165" s="25"/>
      <c r="J165" s="25"/>
      <c r="K165" s="25"/>
      <c r="L165" s="25"/>
      <c r="M165" s="25"/>
      <c r="N165" s="25"/>
      <c r="O165" s="25"/>
      <c r="P165" s="25"/>
      <c r="Q165" s="25"/>
      <c r="R165" s="25"/>
      <c r="S165" s="25"/>
      <c r="T165" s="25"/>
      <c r="U165" s="25"/>
      <c r="V165" s="25"/>
      <c r="W165" s="25"/>
      <c r="X165" s="25"/>
      <c r="Y165" s="25"/>
      <c r="Z165" s="25"/>
    </row>
    <row r="166" ht="15.75" customHeight="1">
      <c r="A166" s="25"/>
      <c r="B166" s="503"/>
      <c r="C166" s="503"/>
      <c r="D166" s="503"/>
      <c r="E166" s="25"/>
      <c r="F166" s="25"/>
      <c r="G166" s="25"/>
      <c r="H166" s="25"/>
      <c r="I166" s="25"/>
      <c r="J166" s="25"/>
      <c r="K166" s="25"/>
      <c r="L166" s="25"/>
      <c r="M166" s="25"/>
      <c r="N166" s="25"/>
      <c r="O166" s="25"/>
      <c r="P166" s="25"/>
      <c r="Q166" s="25"/>
      <c r="R166" s="25"/>
      <c r="S166" s="25"/>
      <c r="T166" s="25"/>
      <c r="U166" s="25"/>
      <c r="V166" s="25"/>
      <c r="W166" s="25"/>
      <c r="X166" s="25"/>
      <c r="Y166" s="25"/>
      <c r="Z166" s="25"/>
    </row>
    <row r="167" ht="15.75" customHeight="1">
      <c r="A167" s="25"/>
      <c r="B167" s="503"/>
      <c r="C167" s="503"/>
      <c r="D167" s="503"/>
      <c r="E167" s="25"/>
      <c r="F167" s="25"/>
      <c r="G167" s="25"/>
      <c r="H167" s="25"/>
      <c r="I167" s="25"/>
      <c r="J167" s="25"/>
      <c r="K167" s="25"/>
      <c r="L167" s="25"/>
      <c r="M167" s="25"/>
      <c r="N167" s="25"/>
      <c r="O167" s="25"/>
      <c r="P167" s="25"/>
      <c r="Q167" s="25"/>
      <c r="R167" s="25"/>
      <c r="S167" s="25"/>
      <c r="T167" s="25"/>
      <c r="U167" s="25"/>
      <c r="V167" s="25"/>
      <c r="W167" s="25"/>
      <c r="X167" s="25"/>
      <c r="Y167" s="25"/>
      <c r="Z167" s="25"/>
    </row>
    <row r="168" ht="15.75" customHeight="1">
      <c r="A168" s="25"/>
      <c r="B168" s="503"/>
      <c r="C168" s="503"/>
      <c r="D168" s="503"/>
      <c r="E168" s="25"/>
      <c r="F168" s="25"/>
      <c r="G168" s="25"/>
      <c r="H168" s="25"/>
      <c r="I168" s="25"/>
      <c r="J168" s="25"/>
      <c r="K168" s="25"/>
      <c r="L168" s="25"/>
      <c r="M168" s="25"/>
      <c r="N168" s="25"/>
      <c r="O168" s="25"/>
      <c r="P168" s="25"/>
      <c r="Q168" s="25"/>
      <c r="R168" s="25"/>
      <c r="S168" s="25"/>
      <c r="T168" s="25"/>
      <c r="U168" s="25"/>
      <c r="V168" s="25"/>
      <c r="W168" s="25"/>
      <c r="X168" s="25"/>
      <c r="Y168" s="25"/>
      <c r="Z168" s="25"/>
    </row>
    <row r="169" ht="15.75" customHeight="1">
      <c r="A169" s="25"/>
      <c r="B169" s="503"/>
      <c r="C169" s="503"/>
      <c r="D169" s="503"/>
      <c r="E169" s="25"/>
      <c r="F169" s="25"/>
      <c r="G169" s="25"/>
      <c r="H169" s="25"/>
      <c r="I169" s="25"/>
      <c r="J169" s="25"/>
      <c r="K169" s="25"/>
      <c r="L169" s="25"/>
      <c r="M169" s="25"/>
      <c r="N169" s="25"/>
      <c r="O169" s="25"/>
      <c r="P169" s="25"/>
      <c r="Q169" s="25"/>
      <c r="R169" s="25"/>
      <c r="S169" s="25"/>
      <c r="T169" s="25"/>
      <c r="U169" s="25"/>
      <c r="V169" s="25"/>
      <c r="W169" s="25"/>
      <c r="X169" s="25"/>
      <c r="Y169" s="25"/>
      <c r="Z169" s="25"/>
    </row>
    <row r="170" ht="15.75" customHeight="1">
      <c r="A170" s="25"/>
      <c r="B170" s="503"/>
      <c r="C170" s="503"/>
      <c r="D170" s="503"/>
      <c r="E170" s="25"/>
      <c r="F170" s="25"/>
      <c r="G170" s="25"/>
      <c r="H170" s="25"/>
      <c r="I170" s="25"/>
      <c r="J170" s="25"/>
      <c r="K170" s="25"/>
      <c r="L170" s="25"/>
      <c r="M170" s="25"/>
      <c r="N170" s="25"/>
      <c r="O170" s="25"/>
      <c r="P170" s="25"/>
      <c r="Q170" s="25"/>
      <c r="R170" s="25"/>
      <c r="S170" s="25"/>
      <c r="T170" s="25"/>
      <c r="U170" s="25"/>
      <c r="V170" s="25"/>
      <c r="W170" s="25"/>
      <c r="X170" s="25"/>
      <c r="Y170" s="25"/>
      <c r="Z170" s="25"/>
    </row>
    <row r="171" ht="15.75" customHeight="1">
      <c r="A171" s="25"/>
      <c r="B171" s="503"/>
      <c r="C171" s="503"/>
      <c r="D171" s="503"/>
      <c r="E171" s="25"/>
      <c r="F171" s="25"/>
      <c r="G171" s="25"/>
      <c r="H171" s="25"/>
      <c r="I171" s="25"/>
      <c r="J171" s="25"/>
      <c r="K171" s="25"/>
      <c r="L171" s="25"/>
      <c r="M171" s="25"/>
      <c r="N171" s="25"/>
      <c r="O171" s="25"/>
      <c r="P171" s="25"/>
      <c r="Q171" s="25"/>
      <c r="R171" s="25"/>
      <c r="S171" s="25"/>
      <c r="T171" s="25"/>
      <c r="U171" s="25"/>
      <c r="V171" s="25"/>
      <c r="W171" s="25"/>
      <c r="X171" s="25"/>
      <c r="Y171" s="25"/>
      <c r="Z171" s="25"/>
    </row>
    <row r="172" ht="15.75" customHeight="1">
      <c r="A172" s="25"/>
      <c r="B172" s="503"/>
      <c r="C172" s="503"/>
      <c r="D172" s="503"/>
      <c r="E172" s="25"/>
      <c r="F172" s="25"/>
      <c r="G172" s="25"/>
      <c r="H172" s="25"/>
      <c r="I172" s="25"/>
      <c r="J172" s="25"/>
      <c r="K172" s="25"/>
      <c r="L172" s="25"/>
      <c r="M172" s="25"/>
      <c r="N172" s="25"/>
      <c r="O172" s="25"/>
      <c r="P172" s="25"/>
      <c r="Q172" s="25"/>
      <c r="R172" s="25"/>
      <c r="S172" s="25"/>
      <c r="T172" s="25"/>
      <c r="U172" s="25"/>
      <c r="V172" s="25"/>
      <c r="W172" s="25"/>
      <c r="X172" s="25"/>
      <c r="Y172" s="25"/>
      <c r="Z172" s="25"/>
    </row>
    <row r="173" ht="15.75" customHeight="1">
      <c r="A173" s="25"/>
      <c r="B173" s="503"/>
      <c r="C173" s="503"/>
      <c r="D173" s="503"/>
      <c r="E173" s="25"/>
      <c r="F173" s="25"/>
      <c r="G173" s="25"/>
      <c r="H173" s="25"/>
      <c r="I173" s="25"/>
      <c r="J173" s="25"/>
      <c r="K173" s="25"/>
      <c r="L173" s="25"/>
      <c r="M173" s="25"/>
      <c r="N173" s="25"/>
      <c r="O173" s="25"/>
      <c r="P173" s="25"/>
      <c r="Q173" s="25"/>
      <c r="R173" s="25"/>
      <c r="S173" s="25"/>
      <c r="T173" s="25"/>
      <c r="U173" s="25"/>
      <c r="V173" s="25"/>
      <c r="W173" s="25"/>
      <c r="X173" s="25"/>
      <c r="Y173" s="25"/>
      <c r="Z173" s="25"/>
    </row>
    <row r="174" ht="15.75" customHeight="1">
      <c r="A174" s="25"/>
      <c r="B174" s="503"/>
      <c r="C174" s="503"/>
      <c r="D174" s="503"/>
      <c r="E174" s="25"/>
      <c r="F174" s="25"/>
      <c r="G174" s="25"/>
      <c r="H174" s="25"/>
      <c r="I174" s="25"/>
      <c r="J174" s="25"/>
      <c r="K174" s="25"/>
      <c r="L174" s="25"/>
      <c r="M174" s="25"/>
      <c r="N174" s="25"/>
      <c r="O174" s="25"/>
      <c r="P174" s="25"/>
      <c r="Q174" s="25"/>
      <c r="R174" s="25"/>
      <c r="S174" s="25"/>
      <c r="T174" s="25"/>
      <c r="U174" s="25"/>
      <c r="V174" s="25"/>
      <c r="W174" s="25"/>
      <c r="X174" s="25"/>
      <c r="Y174" s="25"/>
      <c r="Z174" s="25"/>
    </row>
    <row r="175" ht="15.75" customHeight="1">
      <c r="A175" s="25"/>
      <c r="B175" s="503"/>
      <c r="C175" s="503"/>
      <c r="D175" s="503"/>
      <c r="E175" s="25"/>
      <c r="F175" s="25"/>
      <c r="G175" s="25"/>
      <c r="H175" s="25"/>
      <c r="I175" s="25"/>
      <c r="J175" s="25"/>
      <c r="K175" s="25"/>
      <c r="L175" s="25"/>
      <c r="M175" s="25"/>
      <c r="N175" s="25"/>
      <c r="O175" s="25"/>
      <c r="P175" s="25"/>
      <c r="Q175" s="25"/>
      <c r="R175" s="25"/>
      <c r="S175" s="25"/>
      <c r="T175" s="25"/>
      <c r="U175" s="25"/>
      <c r="V175" s="25"/>
      <c r="W175" s="25"/>
      <c r="X175" s="25"/>
      <c r="Y175" s="25"/>
      <c r="Z175" s="25"/>
    </row>
    <row r="176" ht="15.75" customHeight="1">
      <c r="A176" s="25"/>
      <c r="B176" s="503"/>
      <c r="C176" s="503"/>
      <c r="D176" s="503"/>
      <c r="E176" s="25"/>
      <c r="F176" s="25"/>
      <c r="G176" s="25"/>
      <c r="H176" s="25"/>
      <c r="I176" s="25"/>
      <c r="J176" s="25"/>
      <c r="K176" s="25"/>
      <c r="L176" s="25"/>
      <c r="M176" s="25"/>
      <c r="N176" s="25"/>
      <c r="O176" s="25"/>
      <c r="P176" s="25"/>
      <c r="Q176" s="25"/>
      <c r="R176" s="25"/>
      <c r="S176" s="25"/>
      <c r="T176" s="25"/>
      <c r="U176" s="25"/>
      <c r="V176" s="25"/>
      <c r="W176" s="25"/>
      <c r="X176" s="25"/>
      <c r="Y176" s="25"/>
      <c r="Z176" s="25"/>
    </row>
    <row r="177" ht="15.75" customHeight="1">
      <c r="A177" s="25"/>
      <c r="B177" s="503"/>
      <c r="C177" s="503"/>
      <c r="D177" s="503"/>
      <c r="E177" s="25"/>
      <c r="F177" s="25"/>
      <c r="G177" s="25"/>
      <c r="H177" s="25"/>
      <c r="I177" s="25"/>
      <c r="J177" s="25"/>
      <c r="K177" s="25"/>
      <c r="L177" s="25"/>
      <c r="M177" s="25"/>
      <c r="N177" s="25"/>
      <c r="O177" s="25"/>
      <c r="P177" s="25"/>
      <c r="Q177" s="25"/>
      <c r="R177" s="25"/>
      <c r="S177" s="25"/>
      <c r="T177" s="25"/>
      <c r="U177" s="25"/>
      <c r="V177" s="25"/>
      <c r="W177" s="25"/>
      <c r="X177" s="25"/>
      <c r="Y177" s="25"/>
      <c r="Z177" s="25"/>
    </row>
    <row r="178" ht="15.75" customHeight="1">
      <c r="A178" s="25"/>
      <c r="B178" s="503"/>
      <c r="C178" s="503"/>
      <c r="D178" s="503"/>
      <c r="E178" s="25"/>
      <c r="F178" s="25"/>
      <c r="G178" s="25"/>
      <c r="H178" s="25"/>
      <c r="I178" s="25"/>
      <c r="J178" s="25"/>
      <c r="K178" s="25"/>
      <c r="L178" s="25"/>
      <c r="M178" s="25"/>
      <c r="N178" s="25"/>
      <c r="O178" s="25"/>
      <c r="P178" s="25"/>
      <c r="Q178" s="25"/>
      <c r="R178" s="25"/>
      <c r="S178" s="25"/>
      <c r="T178" s="25"/>
      <c r="U178" s="25"/>
      <c r="V178" s="25"/>
      <c r="W178" s="25"/>
      <c r="X178" s="25"/>
      <c r="Y178" s="25"/>
      <c r="Z178" s="25"/>
    </row>
    <row r="179" ht="15.75" customHeight="1">
      <c r="A179" s="25"/>
      <c r="B179" s="503"/>
      <c r="C179" s="503"/>
      <c r="D179" s="503"/>
      <c r="E179" s="25"/>
      <c r="F179" s="25"/>
      <c r="G179" s="25"/>
      <c r="H179" s="25"/>
      <c r="I179" s="25"/>
      <c r="J179" s="25"/>
      <c r="K179" s="25"/>
      <c r="L179" s="25"/>
      <c r="M179" s="25"/>
      <c r="N179" s="25"/>
      <c r="O179" s="25"/>
      <c r="P179" s="25"/>
      <c r="Q179" s="25"/>
      <c r="R179" s="25"/>
      <c r="S179" s="25"/>
      <c r="T179" s="25"/>
      <c r="U179" s="25"/>
      <c r="V179" s="25"/>
      <c r="W179" s="25"/>
      <c r="X179" s="25"/>
      <c r="Y179" s="25"/>
      <c r="Z179" s="25"/>
    </row>
    <row r="180" ht="15.75" customHeight="1">
      <c r="A180" s="25"/>
      <c r="B180" s="503"/>
      <c r="C180" s="503"/>
      <c r="D180" s="503"/>
      <c r="E180" s="25"/>
      <c r="F180" s="25"/>
      <c r="G180" s="25"/>
      <c r="H180" s="25"/>
      <c r="I180" s="25"/>
      <c r="J180" s="25"/>
      <c r="K180" s="25"/>
      <c r="L180" s="25"/>
      <c r="M180" s="25"/>
      <c r="N180" s="25"/>
      <c r="O180" s="25"/>
      <c r="P180" s="25"/>
      <c r="Q180" s="25"/>
      <c r="R180" s="25"/>
      <c r="S180" s="25"/>
      <c r="T180" s="25"/>
      <c r="U180" s="25"/>
      <c r="V180" s="25"/>
      <c r="W180" s="25"/>
      <c r="X180" s="25"/>
      <c r="Y180" s="25"/>
      <c r="Z180" s="25"/>
    </row>
    <row r="181" ht="15.75" customHeight="1">
      <c r="A181" s="25"/>
      <c r="B181" s="503"/>
      <c r="C181" s="503"/>
      <c r="D181" s="503"/>
      <c r="E181" s="25"/>
      <c r="F181" s="25"/>
      <c r="G181" s="25"/>
      <c r="H181" s="25"/>
      <c r="I181" s="25"/>
      <c r="J181" s="25"/>
      <c r="K181" s="25"/>
      <c r="L181" s="25"/>
      <c r="M181" s="25"/>
      <c r="N181" s="25"/>
      <c r="O181" s="25"/>
      <c r="P181" s="25"/>
      <c r="Q181" s="25"/>
      <c r="R181" s="25"/>
      <c r="S181" s="25"/>
      <c r="T181" s="25"/>
      <c r="U181" s="25"/>
      <c r="V181" s="25"/>
      <c r="W181" s="25"/>
      <c r="X181" s="25"/>
      <c r="Y181" s="25"/>
      <c r="Z181" s="25"/>
    </row>
    <row r="182" ht="15.75" customHeight="1">
      <c r="A182" s="25"/>
      <c r="B182" s="503"/>
      <c r="C182" s="503"/>
      <c r="D182" s="503"/>
      <c r="E182" s="25"/>
      <c r="F182" s="25"/>
      <c r="G182" s="25"/>
      <c r="H182" s="25"/>
      <c r="I182" s="25"/>
      <c r="J182" s="25"/>
      <c r="K182" s="25"/>
      <c r="L182" s="25"/>
      <c r="M182" s="25"/>
      <c r="N182" s="25"/>
      <c r="O182" s="25"/>
      <c r="P182" s="25"/>
      <c r="Q182" s="25"/>
      <c r="R182" s="25"/>
      <c r="S182" s="25"/>
      <c r="T182" s="25"/>
      <c r="U182" s="25"/>
      <c r="V182" s="25"/>
      <c r="W182" s="25"/>
      <c r="X182" s="25"/>
      <c r="Y182" s="25"/>
      <c r="Z182" s="25"/>
    </row>
    <row r="183" ht="15.75" customHeight="1">
      <c r="A183" s="25"/>
      <c r="B183" s="503"/>
      <c r="C183" s="503"/>
      <c r="D183" s="503"/>
      <c r="E183" s="25"/>
      <c r="F183" s="25"/>
      <c r="G183" s="25"/>
      <c r="H183" s="25"/>
      <c r="I183" s="25"/>
      <c r="J183" s="25"/>
      <c r="K183" s="25"/>
      <c r="L183" s="25"/>
      <c r="M183" s="25"/>
      <c r="N183" s="25"/>
      <c r="O183" s="25"/>
      <c r="P183" s="25"/>
      <c r="Q183" s="25"/>
      <c r="R183" s="25"/>
      <c r="S183" s="25"/>
      <c r="T183" s="25"/>
      <c r="U183" s="25"/>
      <c r="V183" s="25"/>
      <c r="W183" s="25"/>
      <c r="X183" s="25"/>
      <c r="Y183" s="25"/>
      <c r="Z183" s="25"/>
    </row>
    <row r="184" ht="15.75" customHeight="1">
      <c r="A184" s="25"/>
      <c r="B184" s="503"/>
      <c r="C184" s="503"/>
      <c r="D184" s="503"/>
      <c r="E184" s="25"/>
      <c r="F184" s="25"/>
      <c r="G184" s="25"/>
      <c r="H184" s="25"/>
      <c r="I184" s="25"/>
      <c r="J184" s="25"/>
      <c r="K184" s="25"/>
      <c r="L184" s="25"/>
      <c r="M184" s="25"/>
      <c r="N184" s="25"/>
      <c r="O184" s="25"/>
      <c r="P184" s="25"/>
      <c r="Q184" s="25"/>
      <c r="R184" s="25"/>
      <c r="S184" s="25"/>
      <c r="T184" s="25"/>
      <c r="U184" s="25"/>
      <c r="V184" s="25"/>
      <c r="W184" s="25"/>
      <c r="X184" s="25"/>
      <c r="Y184" s="25"/>
      <c r="Z184" s="25"/>
    </row>
    <row r="185" ht="15.75" customHeight="1">
      <c r="A185" s="25"/>
      <c r="B185" s="503"/>
      <c r="C185" s="503"/>
      <c r="D185" s="503"/>
      <c r="E185" s="25"/>
      <c r="F185" s="25"/>
      <c r="G185" s="25"/>
      <c r="H185" s="25"/>
      <c r="I185" s="25"/>
      <c r="J185" s="25"/>
      <c r="K185" s="25"/>
      <c r="L185" s="25"/>
      <c r="M185" s="25"/>
      <c r="N185" s="25"/>
      <c r="O185" s="25"/>
      <c r="P185" s="25"/>
      <c r="Q185" s="25"/>
      <c r="R185" s="25"/>
      <c r="S185" s="25"/>
      <c r="T185" s="25"/>
      <c r="U185" s="25"/>
      <c r="V185" s="25"/>
      <c r="W185" s="25"/>
      <c r="X185" s="25"/>
      <c r="Y185" s="25"/>
      <c r="Z185" s="25"/>
    </row>
    <row r="186" ht="15.75" customHeight="1">
      <c r="A186" s="25"/>
      <c r="B186" s="503"/>
      <c r="C186" s="503"/>
      <c r="D186" s="503"/>
      <c r="E186" s="25"/>
      <c r="F186" s="25"/>
      <c r="G186" s="25"/>
      <c r="H186" s="25"/>
      <c r="I186" s="25"/>
      <c r="J186" s="25"/>
      <c r="K186" s="25"/>
      <c r="L186" s="25"/>
      <c r="M186" s="25"/>
      <c r="N186" s="25"/>
      <c r="O186" s="25"/>
      <c r="P186" s="25"/>
      <c r="Q186" s="25"/>
      <c r="R186" s="25"/>
      <c r="S186" s="25"/>
      <c r="T186" s="25"/>
      <c r="U186" s="25"/>
      <c r="V186" s="25"/>
      <c r="W186" s="25"/>
      <c r="X186" s="25"/>
      <c r="Y186" s="25"/>
      <c r="Z186" s="25"/>
    </row>
    <row r="187" ht="15.75" customHeight="1">
      <c r="A187" s="25"/>
      <c r="B187" s="503"/>
      <c r="C187" s="503"/>
      <c r="D187" s="503"/>
      <c r="E187" s="25"/>
      <c r="F187" s="25"/>
      <c r="G187" s="25"/>
      <c r="H187" s="25"/>
      <c r="I187" s="25"/>
      <c r="J187" s="25"/>
      <c r="K187" s="25"/>
      <c r="L187" s="25"/>
      <c r="M187" s="25"/>
      <c r="N187" s="25"/>
      <c r="O187" s="25"/>
      <c r="P187" s="25"/>
      <c r="Q187" s="25"/>
      <c r="R187" s="25"/>
      <c r="S187" s="25"/>
      <c r="T187" s="25"/>
      <c r="U187" s="25"/>
      <c r="V187" s="25"/>
      <c r="W187" s="25"/>
      <c r="X187" s="25"/>
      <c r="Y187" s="25"/>
      <c r="Z187" s="25"/>
    </row>
    <row r="188" ht="15.75" customHeight="1">
      <c r="A188" s="25"/>
      <c r="B188" s="503"/>
      <c r="C188" s="503"/>
      <c r="D188" s="503"/>
      <c r="E188" s="25"/>
      <c r="F188" s="25"/>
      <c r="G188" s="25"/>
      <c r="H188" s="25"/>
      <c r="I188" s="25"/>
      <c r="J188" s="25"/>
      <c r="K188" s="25"/>
      <c r="L188" s="25"/>
      <c r="M188" s="25"/>
      <c r="N188" s="25"/>
      <c r="O188" s="25"/>
      <c r="P188" s="25"/>
      <c r="Q188" s="25"/>
      <c r="R188" s="25"/>
      <c r="S188" s="25"/>
      <c r="T188" s="25"/>
      <c r="U188" s="25"/>
      <c r="V188" s="25"/>
      <c r="W188" s="25"/>
      <c r="X188" s="25"/>
      <c r="Y188" s="25"/>
      <c r="Z188" s="25"/>
    </row>
    <row r="189" ht="15.75" customHeight="1">
      <c r="A189" s="25"/>
      <c r="B189" s="503"/>
      <c r="C189" s="503"/>
      <c r="D189" s="503"/>
      <c r="E189" s="25"/>
      <c r="F189" s="25"/>
      <c r="G189" s="25"/>
      <c r="H189" s="25"/>
      <c r="I189" s="25"/>
      <c r="J189" s="25"/>
      <c r="K189" s="25"/>
      <c r="L189" s="25"/>
      <c r="M189" s="25"/>
      <c r="N189" s="25"/>
      <c r="O189" s="25"/>
      <c r="P189" s="25"/>
      <c r="Q189" s="25"/>
      <c r="R189" s="25"/>
      <c r="S189" s="25"/>
      <c r="T189" s="25"/>
      <c r="U189" s="25"/>
      <c r="V189" s="25"/>
      <c r="W189" s="25"/>
      <c r="X189" s="25"/>
      <c r="Y189" s="25"/>
      <c r="Z189" s="25"/>
    </row>
    <row r="190" ht="15.75" customHeight="1">
      <c r="A190" s="25"/>
      <c r="B190" s="503"/>
      <c r="C190" s="503"/>
      <c r="D190" s="503"/>
      <c r="E190" s="25"/>
      <c r="F190" s="25"/>
      <c r="G190" s="25"/>
      <c r="H190" s="25"/>
      <c r="I190" s="25"/>
      <c r="J190" s="25"/>
      <c r="K190" s="25"/>
      <c r="L190" s="25"/>
      <c r="M190" s="25"/>
      <c r="N190" s="25"/>
      <c r="O190" s="25"/>
      <c r="P190" s="25"/>
      <c r="Q190" s="25"/>
      <c r="R190" s="25"/>
      <c r="S190" s="25"/>
      <c r="T190" s="25"/>
      <c r="U190" s="25"/>
      <c r="V190" s="25"/>
      <c r="W190" s="25"/>
      <c r="X190" s="25"/>
      <c r="Y190" s="25"/>
      <c r="Z190" s="25"/>
    </row>
    <row r="191" ht="15.75" customHeight="1">
      <c r="A191" s="25"/>
      <c r="B191" s="503"/>
      <c r="C191" s="503"/>
      <c r="D191" s="503"/>
      <c r="E191" s="25"/>
      <c r="F191" s="25"/>
      <c r="G191" s="25"/>
      <c r="H191" s="25"/>
      <c r="I191" s="25"/>
      <c r="J191" s="25"/>
      <c r="K191" s="25"/>
      <c r="L191" s="25"/>
      <c r="M191" s="25"/>
      <c r="N191" s="25"/>
      <c r="O191" s="25"/>
      <c r="P191" s="25"/>
      <c r="Q191" s="25"/>
      <c r="R191" s="25"/>
      <c r="S191" s="25"/>
      <c r="T191" s="25"/>
      <c r="U191" s="25"/>
      <c r="V191" s="25"/>
      <c r="W191" s="25"/>
      <c r="X191" s="25"/>
      <c r="Y191" s="25"/>
      <c r="Z191" s="25"/>
    </row>
    <row r="192" ht="15.75" customHeight="1">
      <c r="A192" s="25"/>
      <c r="B192" s="503"/>
      <c r="C192" s="503"/>
      <c r="D192" s="503"/>
      <c r="E192" s="25"/>
      <c r="F192" s="25"/>
      <c r="G192" s="25"/>
      <c r="H192" s="25"/>
      <c r="I192" s="25"/>
      <c r="J192" s="25"/>
      <c r="K192" s="25"/>
      <c r="L192" s="25"/>
      <c r="M192" s="25"/>
      <c r="N192" s="25"/>
      <c r="O192" s="25"/>
      <c r="P192" s="25"/>
      <c r="Q192" s="25"/>
      <c r="R192" s="25"/>
      <c r="S192" s="25"/>
      <c r="T192" s="25"/>
      <c r="U192" s="25"/>
      <c r="V192" s="25"/>
      <c r="W192" s="25"/>
      <c r="X192" s="25"/>
      <c r="Y192" s="25"/>
      <c r="Z192" s="25"/>
    </row>
    <row r="193" ht="15.75" customHeight="1">
      <c r="A193" s="25"/>
      <c r="B193" s="503"/>
      <c r="C193" s="503"/>
      <c r="D193" s="503"/>
      <c r="E193" s="25"/>
      <c r="F193" s="25"/>
      <c r="G193" s="25"/>
      <c r="H193" s="25"/>
      <c r="I193" s="25"/>
      <c r="J193" s="25"/>
      <c r="K193" s="25"/>
      <c r="L193" s="25"/>
      <c r="M193" s="25"/>
      <c r="N193" s="25"/>
      <c r="O193" s="25"/>
      <c r="P193" s="25"/>
      <c r="Q193" s="25"/>
      <c r="R193" s="25"/>
      <c r="S193" s="25"/>
      <c r="T193" s="25"/>
      <c r="U193" s="25"/>
      <c r="V193" s="25"/>
      <c r="W193" s="25"/>
      <c r="X193" s="25"/>
      <c r="Y193" s="25"/>
      <c r="Z193" s="25"/>
    </row>
    <row r="194" ht="15.75" customHeight="1">
      <c r="A194" s="25"/>
      <c r="B194" s="503"/>
      <c r="C194" s="503"/>
      <c r="D194" s="503"/>
      <c r="E194" s="25"/>
      <c r="F194" s="25"/>
      <c r="G194" s="25"/>
      <c r="H194" s="25"/>
      <c r="I194" s="25"/>
      <c r="J194" s="25"/>
      <c r="K194" s="25"/>
      <c r="L194" s="25"/>
      <c r="M194" s="25"/>
      <c r="N194" s="25"/>
      <c r="O194" s="25"/>
      <c r="P194" s="25"/>
      <c r="Q194" s="25"/>
      <c r="R194" s="25"/>
      <c r="S194" s="25"/>
      <c r="T194" s="25"/>
      <c r="U194" s="25"/>
      <c r="V194" s="25"/>
      <c r="W194" s="25"/>
      <c r="X194" s="25"/>
      <c r="Y194" s="25"/>
      <c r="Z194" s="25"/>
    </row>
    <row r="195" ht="15.75" customHeight="1">
      <c r="A195" s="25"/>
      <c r="B195" s="503"/>
      <c r="C195" s="503"/>
      <c r="D195" s="503"/>
      <c r="E195" s="25"/>
      <c r="F195" s="25"/>
      <c r="G195" s="25"/>
      <c r="H195" s="25"/>
      <c r="I195" s="25"/>
      <c r="J195" s="25"/>
      <c r="K195" s="25"/>
      <c r="L195" s="25"/>
      <c r="M195" s="25"/>
      <c r="N195" s="25"/>
      <c r="O195" s="25"/>
      <c r="P195" s="25"/>
      <c r="Q195" s="25"/>
      <c r="R195" s="25"/>
      <c r="S195" s="25"/>
      <c r="T195" s="25"/>
      <c r="U195" s="25"/>
      <c r="V195" s="25"/>
      <c r="W195" s="25"/>
      <c r="X195" s="25"/>
      <c r="Y195" s="25"/>
      <c r="Z195" s="25"/>
    </row>
    <row r="196" ht="15.75" customHeight="1">
      <c r="A196" s="25"/>
      <c r="B196" s="503"/>
      <c r="C196" s="503"/>
      <c r="D196" s="503"/>
      <c r="E196" s="25"/>
      <c r="F196" s="25"/>
      <c r="G196" s="25"/>
      <c r="H196" s="25"/>
      <c r="I196" s="25"/>
      <c r="J196" s="25"/>
      <c r="K196" s="25"/>
      <c r="L196" s="25"/>
      <c r="M196" s="25"/>
      <c r="N196" s="25"/>
      <c r="O196" s="25"/>
      <c r="P196" s="25"/>
      <c r="Q196" s="25"/>
      <c r="R196" s="25"/>
      <c r="S196" s="25"/>
      <c r="T196" s="25"/>
      <c r="U196" s="25"/>
      <c r="V196" s="25"/>
      <c r="W196" s="25"/>
      <c r="X196" s="25"/>
      <c r="Y196" s="25"/>
      <c r="Z196" s="25"/>
    </row>
    <row r="197" ht="15.75" customHeight="1">
      <c r="A197" s="25"/>
      <c r="B197" s="503"/>
      <c r="C197" s="503"/>
      <c r="D197" s="503"/>
      <c r="E197" s="25"/>
      <c r="F197" s="25"/>
      <c r="G197" s="25"/>
      <c r="H197" s="25"/>
      <c r="I197" s="25"/>
      <c r="J197" s="25"/>
      <c r="K197" s="25"/>
      <c r="L197" s="25"/>
      <c r="M197" s="25"/>
      <c r="N197" s="25"/>
      <c r="O197" s="25"/>
      <c r="P197" s="25"/>
      <c r="Q197" s="25"/>
      <c r="R197" s="25"/>
      <c r="S197" s="25"/>
      <c r="T197" s="25"/>
      <c r="U197" s="25"/>
      <c r="V197" s="25"/>
      <c r="W197" s="25"/>
      <c r="X197" s="25"/>
      <c r="Y197" s="25"/>
      <c r="Z197" s="25"/>
    </row>
    <row r="198" ht="15.75" customHeight="1">
      <c r="A198" s="25"/>
      <c r="B198" s="503"/>
      <c r="C198" s="503"/>
      <c r="D198" s="503"/>
      <c r="E198" s="25"/>
      <c r="F198" s="25"/>
      <c r="G198" s="25"/>
      <c r="H198" s="25"/>
      <c r="I198" s="25"/>
      <c r="J198" s="25"/>
      <c r="K198" s="25"/>
      <c r="L198" s="25"/>
      <c r="M198" s="25"/>
      <c r="N198" s="25"/>
      <c r="O198" s="25"/>
      <c r="P198" s="25"/>
      <c r="Q198" s="25"/>
      <c r="R198" s="25"/>
      <c r="S198" s="25"/>
      <c r="T198" s="25"/>
      <c r="U198" s="25"/>
      <c r="V198" s="25"/>
      <c r="W198" s="25"/>
      <c r="X198" s="25"/>
      <c r="Y198" s="25"/>
      <c r="Z198" s="25"/>
    </row>
    <row r="199" ht="15.75" customHeight="1">
      <c r="A199" s="25"/>
      <c r="B199" s="503"/>
      <c r="C199" s="503"/>
      <c r="D199" s="503"/>
      <c r="E199" s="25"/>
      <c r="F199" s="25"/>
      <c r="G199" s="25"/>
      <c r="H199" s="25"/>
      <c r="I199" s="25"/>
      <c r="J199" s="25"/>
      <c r="K199" s="25"/>
      <c r="L199" s="25"/>
      <c r="M199" s="25"/>
      <c r="N199" s="25"/>
      <c r="O199" s="25"/>
      <c r="P199" s="25"/>
      <c r="Q199" s="25"/>
      <c r="R199" s="25"/>
      <c r="S199" s="25"/>
      <c r="T199" s="25"/>
      <c r="U199" s="25"/>
      <c r="V199" s="25"/>
      <c r="W199" s="25"/>
      <c r="X199" s="25"/>
      <c r="Y199" s="25"/>
      <c r="Z199" s="25"/>
    </row>
    <row r="200" ht="15.75" customHeight="1">
      <c r="A200" s="25"/>
      <c r="B200" s="503"/>
      <c r="C200" s="503"/>
      <c r="D200" s="503"/>
      <c r="E200" s="25"/>
      <c r="F200" s="25"/>
      <c r="G200" s="25"/>
      <c r="H200" s="25"/>
      <c r="I200" s="25"/>
      <c r="J200" s="25"/>
      <c r="K200" s="25"/>
      <c r="L200" s="25"/>
      <c r="M200" s="25"/>
      <c r="N200" s="25"/>
      <c r="O200" s="25"/>
      <c r="P200" s="25"/>
      <c r="Q200" s="25"/>
      <c r="R200" s="25"/>
      <c r="S200" s="25"/>
      <c r="T200" s="25"/>
      <c r="U200" s="25"/>
      <c r="V200" s="25"/>
      <c r="W200" s="25"/>
      <c r="X200" s="25"/>
      <c r="Y200" s="25"/>
      <c r="Z200" s="25"/>
    </row>
    <row r="201" ht="15.75" customHeight="1">
      <c r="A201" s="25"/>
      <c r="B201" s="503"/>
      <c r="C201" s="503"/>
      <c r="D201" s="503"/>
      <c r="E201" s="25"/>
      <c r="F201" s="25"/>
      <c r="G201" s="25"/>
      <c r="H201" s="25"/>
      <c r="I201" s="25"/>
      <c r="J201" s="25"/>
      <c r="K201" s="25"/>
      <c r="L201" s="25"/>
      <c r="M201" s="25"/>
      <c r="N201" s="25"/>
      <c r="O201" s="25"/>
      <c r="P201" s="25"/>
      <c r="Q201" s="25"/>
      <c r="R201" s="25"/>
      <c r="S201" s="25"/>
      <c r="T201" s="25"/>
      <c r="U201" s="25"/>
      <c r="V201" s="25"/>
      <c r="W201" s="25"/>
      <c r="X201" s="25"/>
      <c r="Y201" s="25"/>
      <c r="Z201" s="25"/>
    </row>
    <row r="202" ht="15.75" customHeight="1">
      <c r="A202" s="25"/>
      <c r="B202" s="503"/>
      <c r="C202" s="503"/>
      <c r="D202" s="503"/>
      <c r="E202" s="25"/>
      <c r="F202" s="25"/>
      <c r="G202" s="25"/>
      <c r="H202" s="25"/>
      <c r="I202" s="25"/>
      <c r="J202" s="25"/>
      <c r="K202" s="25"/>
      <c r="L202" s="25"/>
      <c r="M202" s="25"/>
      <c r="N202" s="25"/>
      <c r="O202" s="25"/>
      <c r="P202" s="25"/>
      <c r="Q202" s="25"/>
      <c r="R202" s="25"/>
      <c r="S202" s="25"/>
      <c r="T202" s="25"/>
      <c r="U202" s="25"/>
      <c r="V202" s="25"/>
      <c r="W202" s="25"/>
      <c r="X202" s="25"/>
      <c r="Y202" s="25"/>
      <c r="Z202" s="25"/>
    </row>
    <row r="203" ht="15.75" customHeight="1">
      <c r="A203" s="25"/>
      <c r="B203" s="503"/>
      <c r="C203" s="503"/>
      <c r="D203" s="503"/>
      <c r="E203" s="25"/>
      <c r="F203" s="25"/>
      <c r="G203" s="25"/>
      <c r="H203" s="25"/>
      <c r="I203" s="25"/>
      <c r="J203" s="25"/>
      <c r="K203" s="25"/>
      <c r="L203" s="25"/>
      <c r="M203" s="25"/>
      <c r="N203" s="25"/>
      <c r="O203" s="25"/>
      <c r="P203" s="25"/>
      <c r="Q203" s="25"/>
      <c r="R203" s="25"/>
      <c r="S203" s="25"/>
      <c r="T203" s="25"/>
      <c r="U203" s="25"/>
      <c r="V203" s="25"/>
      <c r="W203" s="25"/>
      <c r="X203" s="25"/>
      <c r="Y203" s="25"/>
      <c r="Z203" s="25"/>
    </row>
    <row r="204" ht="15.75" customHeight="1">
      <c r="A204" s="25"/>
      <c r="B204" s="503"/>
      <c r="C204" s="503"/>
      <c r="D204" s="503"/>
      <c r="E204" s="25"/>
      <c r="F204" s="25"/>
      <c r="G204" s="25"/>
      <c r="H204" s="25"/>
      <c r="I204" s="25"/>
      <c r="J204" s="25"/>
      <c r="K204" s="25"/>
      <c r="L204" s="25"/>
      <c r="M204" s="25"/>
      <c r="N204" s="25"/>
      <c r="O204" s="25"/>
      <c r="P204" s="25"/>
      <c r="Q204" s="25"/>
      <c r="R204" s="25"/>
      <c r="S204" s="25"/>
      <c r="T204" s="25"/>
      <c r="U204" s="25"/>
      <c r="V204" s="25"/>
      <c r="W204" s="25"/>
      <c r="X204" s="25"/>
      <c r="Y204" s="25"/>
      <c r="Z204" s="25"/>
    </row>
    <row r="205" ht="15.75" customHeight="1">
      <c r="A205" s="25"/>
      <c r="B205" s="503"/>
      <c r="C205" s="503"/>
      <c r="D205" s="503"/>
      <c r="E205" s="25"/>
      <c r="F205" s="25"/>
      <c r="G205" s="25"/>
      <c r="H205" s="25"/>
      <c r="I205" s="25"/>
      <c r="J205" s="25"/>
      <c r="K205" s="25"/>
      <c r="L205" s="25"/>
      <c r="M205" s="25"/>
      <c r="N205" s="25"/>
      <c r="O205" s="25"/>
      <c r="P205" s="25"/>
      <c r="Q205" s="25"/>
      <c r="R205" s="25"/>
      <c r="S205" s="25"/>
      <c r="T205" s="25"/>
      <c r="U205" s="25"/>
      <c r="V205" s="25"/>
      <c r="W205" s="25"/>
      <c r="X205" s="25"/>
      <c r="Y205" s="25"/>
      <c r="Z205" s="25"/>
    </row>
    <row r="206" ht="15.75" customHeight="1">
      <c r="A206" s="25"/>
      <c r="B206" s="503"/>
      <c r="C206" s="503"/>
      <c r="D206" s="503"/>
      <c r="E206" s="25"/>
      <c r="F206" s="25"/>
      <c r="G206" s="25"/>
      <c r="H206" s="25"/>
      <c r="I206" s="25"/>
      <c r="J206" s="25"/>
      <c r="K206" s="25"/>
      <c r="L206" s="25"/>
      <c r="M206" s="25"/>
      <c r="N206" s="25"/>
      <c r="O206" s="25"/>
      <c r="P206" s="25"/>
      <c r="Q206" s="25"/>
      <c r="R206" s="25"/>
      <c r="S206" s="25"/>
      <c r="T206" s="25"/>
      <c r="U206" s="25"/>
      <c r="V206" s="25"/>
      <c r="W206" s="25"/>
      <c r="X206" s="25"/>
      <c r="Y206" s="25"/>
      <c r="Z206" s="25"/>
    </row>
    <row r="207" ht="15.75" customHeight="1">
      <c r="A207" s="25"/>
      <c r="B207" s="503"/>
      <c r="C207" s="503"/>
      <c r="D207" s="503"/>
      <c r="E207" s="25"/>
      <c r="F207" s="25"/>
      <c r="G207" s="25"/>
      <c r="H207" s="25"/>
      <c r="I207" s="25"/>
      <c r="J207" s="25"/>
      <c r="K207" s="25"/>
      <c r="L207" s="25"/>
      <c r="M207" s="25"/>
      <c r="N207" s="25"/>
      <c r="O207" s="25"/>
      <c r="P207" s="25"/>
      <c r="Q207" s="25"/>
      <c r="R207" s="25"/>
      <c r="S207" s="25"/>
      <c r="T207" s="25"/>
      <c r="U207" s="25"/>
      <c r="V207" s="25"/>
      <c r="W207" s="25"/>
      <c r="X207" s="25"/>
      <c r="Y207" s="25"/>
      <c r="Z207" s="25"/>
    </row>
    <row r="208" ht="15.75" customHeight="1">
      <c r="A208" s="25"/>
      <c r="B208" s="503"/>
      <c r="C208" s="503"/>
      <c r="D208" s="503"/>
      <c r="E208" s="25"/>
      <c r="F208" s="25"/>
      <c r="G208" s="25"/>
      <c r="H208" s="25"/>
      <c r="I208" s="25"/>
      <c r="J208" s="25"/>
      <c r="K208" s="25"/>
      <c r="L208" s="25"/>
      <c r="M208" s="25"/>
      <c r="N208" s="25"/>
      <c r="O208" s="25"/>
      <c r="P208" s="25"/>
      <c r="Q208" s="25"/>
      <c r="R208" s="25"/>
      <c r="S208" s="25"/>
      <c r="T208" s="25"/>
      <c r="U208" s="25"/>
      <c r="V208" s="25"/>
      <c r="W208" s="25"/>
      <c r="X208" s="25"/>
      <c r="Y208" s="25"/>
      <c r="Z208" s="25"/>
    </row>
    <row r="209" ht="15.75" customHeight="1">
      <c r="A209" s="25"/>
      <c r="B209" s="503"/>
      <c r="C209" s="503"/>
      <c r="D209" s="503"/>
      <c r="E209" s="25"/>
      <c r="F209" s="25"/>
      <c r="G209" s="25"/>
      <c r="H209" s="25"/>
      <c r="I209" s="25"/>
      <c r="J209" s="25"/>
      <c r="K209" s="25"/>
      <c r="L209" s="25"/>
      <c r="M209" s="25"/>
      <c r="N209" s="25"/>
      <c r="O209" s="25"/>
      <c r="P209" s="25"/>
      <c r="Q209" s="25"/>
      <c r="R209" s="25"/>
      <c r="S209" s="25"/>
      <c r="T209" s="25"/>
      <c r="U209" s="25"/>
      <c r="V209" s="25"/>
      <c r="W209" s="25"/>
      <c r="X209" s="25"/>
      <c r="Y209" s="25"/>
      <c r="Z209" s="25"/>
    </row>
    <row r="210" ht="15.75" customHeight="1">
      <c r="A210" s="25"/>
      <c r="B210" s="503"/>
      <c r="C210" s="503"/>
      <c r="D210" s="503"/>
      <c r="E210" s="25"/>
      <c r="F210" s="25"/>
      <c r="G210" s="25"/>
      <c r="H210" s="25"/>
      <c r="I210" s="25"/>
      <c r="J210" s="25"/>
      <c r="K210" s="25"/>
      <c r="L210" s="25"/>
      <c r="M210" s="25"/>
      <c r="N210" s="25"/>
      <c r="O210" s="25"/>
      <c r="P210" s="25"/>
      <c r="Q210" s="25"/>
      <c r="R210" s="25"/>
      <c r="S210" s="25"/>
      <c r="T210" s="25"/>
      <c r="U210" s="25"/>
      <c r="V210" s="25"/>
      <c r="W210" s="25"/>
      <c r="X210" s="25"/>
      <c r="Y210" s="25"/>
      <c r="Z210" s="25"/>
    </row>
    <row r="211" ht="15.75" customHeight="1">
      <c r="A211" s="25"/>
      <c r="B211" s="503"/>
      <c r="C211" s="503"/>
      <c r="D211" s="503"/>
      <c r="E211" s="25"/>
      <c r="F211" s="25"/>
      <c r="G211" s="25"/>
      <c r="H211" s="25"/>
      <c r="I211" s="25"/>
      <c r="J211" s="25"/>
      <c r="K211" s="25"/>
      <c r="L211" s="25"/>
      <c r="M211" s="25"/>
      <c r="N211" s="25"/>
      <c r="O211" s="25"/>
      <c r="P211" s="25"/>
      <c r="Q211" s="25"/>
      <c r="R211" s="25"/>
      <c r="S211" s="25"/>
      <c r="T211" s="25"/>
      <c r="U211" s="25"/>
      <c r="V211" s="25"/>
      <c r="W211" s="25"/>
      <c r="X211" s="25"/>
      <c r="Y211" s="25"/>
      <c r="Z211" s="25"/>
    </row>
    <row r="212" ht="15.75" customHeight="1">
      <c r="A212" s="25"/>
      <c r="B212" s="503"/>
      <c r="C212" s="503"/>
      <c r="D212" s="503"/>
      <c r="E212" s="25"/>
      <c r="F212" s="25"/>
      <c r="G212" s="25"/>
      <c r="H212" s="25"/>
      <c r="I212" s="25"/>
      <c r="J212" s="25"/>
      <c r="K212" s="25"/>
      <c r="L212" s="25"/>
      <c r="M212" s="25"/>
      <c r="N212" s="25"/>
      <c r="O212" s="25"/>
      <c r="P212" s="25"/>
      <c r="Q212" s="25"/>
      <c r="R212" s="25"/>
      <c r="S212" s="25"/>
      <c r="T212" s="25"/>
      <c r="U212" s="25"/>
      <c r="V212" s="25"/>
      <c r="W212" s="25"/>
      <c r="X212" s="25"/>
      <c r="Y212" s="25"/>
      <c r="Z212" s="25"/>
    </row>
    <row r="213" ht="15.75" customHeight="1">
      <c r="A213" s="25"/>
      <c r="B213" s="503"/>
      <c r="C213" s="503"/>
      <c r="D213" s="503"/>
      <c r="E213" s="25"/>
      <c r="F213" s="25"/>
      <c r="G213" s="25"/>
      <c r="H213" s="25"/>
      <c r="I213" s="25"/>
      <c r="J213" s="25"/>
      <c r="K213" s="25"/>
      <c r="L213" s="25"/>
      <c r="M213" s="25"/>
      <c r="N213" s="25"/>
      <c r="O213" s="25"/>
      <c r="P213" s="25"/>
      <c r="Q213" s="25"/>
      <c r="R213" s="25"/>
      <c r="S213" s="25"/>
      <c r="T213" s="25"/>
      <c r="U213" s="25"/>
      <c r="V213" s="25"/>
      <c r="W213" s="25"/>
      <c r="X213" s="25"/>
      <c r="Y213" s="25"/>
      <c r="Z213" s="25"/>
    </row>
    <row r="214" ht="15.75" customHeight="1">
      <c r="A214" s="25"/>
      <c r="B214" s="503"/>
      <c r="C214" s="503"/>
      <c r="D214" s="503"/>
      <c r="E214" s="25"/>
      <c r="F214" s="25"/>
      <c r="G214" s="25"/>
      <c r="H214" s="25"/>
      <c r="I214" s="25"/>
      <c r="J214" s="25"/>
      <c r="K214" s="25"/>
      <c r="L214" s="25"/>
      <c r="M214" s="25"/>
      <c r="N214" s="25"/>
      <c r="O214" s="25"/>
      <c r="P214" s="25"/>
      <c r="Q214" s="25"/>
      <c r="R214" s="25"/>
      <c r="S214" s="25"/>
      <c r="T214" s="25"/>
      <c r="U214" s="25"/>
      <c r="V214" s="25"/>
      <c r="W214" s="25"/>
      <c r="X214" s="25"/>
      <c r="Y214" s="25"/>
      <c r="Z214" s="25"/>
    </row>
    <row r="215" ht="15.75" customHeight="1">
      <c r="A215" s="25"/>
      <c r="B215" s="503"/>
      <c r="C215" s="503"/>
      <c r="D215" s="503"/>
      <c r="E215" s="25"/>
      <c r="F215" s="25"/>
      <c r="G215" s="25"/>
      <c r="H215" s="25"/>
      <c r="I215" s="25"/>
      <c r="J215" s="25"/>
      <c r="K215" s="25"/>
      <c r="L215" s="25"/>
      <c r="M215" s="25"/>
      <c r="N215" s="25"/>
      <c r="O215" s="25"/>
      <c r="P215" s="25"/>
      <c r="Q215" s="25"/>
      <c r="R215" s="25"/>
      <c r="S215" s="25"/>
      <c r="T215" s="25"/>
      <c r="U215" s="25"/>
      <c r="V215" s="25"/>
      <c r="W215" s="25"/>
      <c r="X215" s="25"/>
      <c r="Y215" s="25"/>
      <c r="Z215" s="25"/>
    </row>
    <row r="216" ht="15.75" customHeight="1">
      <c r="A216" s="25"/>
      <c r="B216" s="503"/>
      <c r="C216" s="503"/>
      <c r="D216" s="503"/>
      <c r="E216" s="25"/>
      <c r="F216" s="25"/>
      <c r="G216" s="25"/>
      <c r="H216" s="25"/>
      <c r="I216" s="25"/>
      <c r="J216" s="25"/>
      <c r="K216" s="25"/>
      <c r="L216" s="25"/>
      <c r="M216" s="25"/>
      <c r="N216" s="25"/>
      <c r="O216" s="25"/>
      <c r="P216" s="25"/>
      <c r="Q216" s="25"/>
      <c r="R216" s="25"/>
      <c r="S216" s="25"/>
      <c r="T216" s="25"/>
      <c r="U216" s="25"/>
      <c r="V216" s="25"/>
      <c r="W216" s="25"/>
      <c r="X216" s="25"/>
      <c r="Y216" s="25"/>
      <c r="Z216" s="25"/>
    </row>
    <row r="217" ht="15.75" customHeight="1">
      <c r="A217" s="25"/>
      <c r="B217" s="503"/>
      <c r="C217" s="503"/>
      <c r="D217" s="503"/>
      <c r="E217" s="25"/>
      <c r="F217" s="25"/>
      <c r="G217" s="25"/>
      <c r="H217" s="25"/>
      <c r="I217" s="25"/>
      <c r="J217" s="25"/>
      <c r="K217" s="25"/>
      <c r="L217" s="25"/>
      <c r="M217" s="25"/>
      <c r="N217" s="25"/>
      <c r="O217" s="25"/>
      <c r="P217" s="25"/>
      <c r="Q217" s="25"/>
      <c r="R217" s="25"/>
      <c r="S217" s="25"/>
      <c r="T217" s="25"/>
      <c r="U217" s="25"/>
      <c r="V217" s="25"/>
      <c r="W217" s="25"/>
      <c r="X217" s="25"/>
      <c r="Y217" s="25"/>
      <c r="Z217" s="25"/>
    </row>
    <row r="218" ht="15.75" customHeight="1">
      <c r="A218" s="25"/>
      <c r="B218" s="503"/>
      <c r="C218" s="503"/>
      <c r="D218" s="503"/>
      <c r="E218" s="25"/>
      <c r="F218" s="25"/>
      <c r="G218" s="25"/>
      <c r="H218" s="25"/>
      <c r="I218" s="25"/>
      <c r="J218" s="25"/>
      <c r="K218" s="25"/>
      <c r="L218" s="25"/>
      <c r="M218" s="25"/>
      <c r="N218" s="25"/>
      <c r="O218" s="25"/>
      <c r="P218" s="25"/>
      <c r="Q218" s="25"/>
      <c r="R218" s="25"/>
      <c r="S218" s="25"/>
      <c r="T218" s="25"/>
      <c r="U218" s="25"/>
      <c r="V218" s="25"/>
      <c r="W218" s="25"/>
      <c r="X218" s="25"/>
      <c r="Y218" s="25"/>
      <c r="Z218" s="25"/>
    </row>
    <row r="219" ht="15.75" customHeight="1">
      <c r="A219" s="25"/>
      <c r="B219" s="503"/>
      <c r="C219" s="503"/>
      <c r="D219" s="503"/>
      <c r="E219" s="25"/>
      <c r="F219" s="25"/>
      <c r="G219" s="25"/>
      <c r="H219" s="25"/>
      <c r="I219" s="25"/>
      <c r="J219" s="25"/>
      <c r="K219" s="25"/>
      <c r="L219" s="25"/>
      <c r="M219" s="25"/>
      <c r="N219" s="25"/>
      <c r="O219" s="25"/>
      <c r="P219" s="25"/>
      <c r="Q219" s="25"/>
      <c r="R219" s="25"/>
      <c r="S219" s="25"/>
      <c r="T219" s="25"/>
      <c r="U219" s="25"/>
      <c r="V219" s="25"/>
      <c r="W219" s="25"/>
      <c r="X219" s="25"/>
      <c r="Y219" s="25"/>
      <c r="Z219" s="25"/>
    </row>
    <row r="220" ht="15.75" customHeight="1">
      <c r="A220" s="25"/>
      <c r="B220" s="503"/>
      <c r="C220" s="503"/>
      <c r="D220" s="503"/>
      <c r="E220" s="25"/>
      <c r="F220" s="25"/>
      <c r="G220" s="25"/>
      <c r="H220" s="25"/>
      <c r="I220" s="25"/>
      <c r="J220" s="25"/>
      <c r="K220" s="25"/>
      <c r="L220" s="25"/>
      <c r="M220" s="25"/>
      <c r="N220" s="25"/>
      <c r="O220" s="25"/>
      <c r="P220" s="25"/>
      <c r="Q220" s="25"/>
      <c r="R220" s="25"/>
      <c r="S220" s="25"/>
      <c r="T220" s="25"/>
      <c r="U220" s="25"/>
      <c r="V220" s="25"/>
      <c r="W220" s="25"/>
      <c r="X220" s="25"/>
      <c r="Y220" s="25"/>
      <c r="Z220" s="25"/>
    </row>
    <row r="221" ht="15.75" customHeight="1">
      <c r="A221" s="25"/>
      <c r="B221" s="503"/>
      <c r="C221" s="503"/>
      <c r="D221" s="503"/>
      <c r="E221" s="25"/>
      <c r="F221" s="25"/>
      <c r="G221" s="25"/>
      <c r="H221" s="25"/>
      <c r="I221" s="25"/>
      <c r="J221" s="25"/>
      <c r="K221" s="25"/>
      <c r="L221" s="25"/>
      <c r="M221" s="25"/>
      <c r="N221" s="25"/>
      <c r="O221" s="25"/>
      <c r="P221" s="25"/>
      <c r="Q221" s="25"/>
      <c r="R221" s="25"/>
      <c r="S221" s="25"/>
      <c r="T221" s="25"/>
      <c r="U221" s="25"/>
      <c r="V221" s="25"/>
      <c r="W221" s="25"/>
      <c r="X221" s="25"/>
      <c r="Y221" s="25"/>
      <c r="Z221" s="25"/>
    </row>
    <row r="222" ht="15.75" customHeight="1">
      <c r="A222" s="25"/>
      <c r="B222" s="503"/>
      <c r="C222" s="503"/>
      <c r="D222" s="503"/>
      <c r="E222" s="25"/>
      <c r="F222" s="25"/>
      <c r="G222" s="25"/>
      <c r="H222" s="25"/>
      <c r="I222" s="25"/>
      <c r="J222" s="25"/>
      <c r="K222" s="25"/>
      <c r="L222" s="25"/>
      <c r="M222" s="25"/>
      <c r="N222" s="25"/>
      <c r="O222" s="25"/>
      <c r="P222" s="25"/>
      <c r="Q222" s="25"/>
      <c r="R222" s="25"/>
      <c r="S222" s="25"/>
      <c r="T222" s="25"/>
      <c r="U222" s="25"/>
      <c r="V222" s="25"/>
      <c r="W222" s="25"/>
      <c r="X222" s="25"/>
      <c r="Y222" s="25"/>
      <c r="Z222" s="25"/>
    </row>
    <row r="223" ht="15.75" customHeight="1">
      <c r="A223" s="25"/>
      <c r="B223" s="503"/>
      <c r="C223" s="503"/>
      <c r="D223" s="503"/>
      <c r="E223" s="25"/>
      <c r="F223" s="25"/>
      <c r="G223" s="25"/>
      <c r="H223" s="25"/>
      <c r="I223" s="25"/>
      <c r="J223" s="25"/>
      <c r="K223" s="25"/>
      <c r="L223" s="25"/>
      <c r="M223" s="25"/>
      <c r="N223" s="25"/>
      <c r="O223" s="25"/>
      <c r="P223" s="25"/>
      <c r="Q223" s="25"/>
      <c r="R223" s="25"/>
      <c r="S223" s="25"/>
      <c r="T223" s="25"/>
      <c r="U223" s="25"/>
      <c r="V223" s="25"/>
      <c r="W223" s="25"/>
      <c r="X223" s="25"/>
      <c r="Y223" s="25"/>
      <c r="Z223" s="25"/>
    </row>
    <row r="224" ht="15.75" customHeight="1">
      <c r="A224" s="25"/>
      <c r="B224" s="503"/>
      <c r="C224" s="503"/>
      <c r="D224" s="503"/>
      <c r="E224" s="25"/>
      <c r="F224" s="25"/>
      <c r="G224" s="25"/>
      <c r="H224" s="25"/>
      <c r="I224" s="25"/>
      <c r="J224" s="25"/>
      <c r="K224" s="25"/>
      <c r="L224" s="25"/>
      <c r="M224" s="25"/>
      <c r="N224" s="25"/>
      <c r="O224" s="25"/>
      <c r="P224" s="25"/>
      <c r="Q224" s="25"/>
      <c r="R224" s="25"/>
      <c r="S224" s="25"/>
      <c r="T224" s="25"/>
      <c r="U224" s="25"/>
      <c r="V224" s="25"/>
      <c r="W224" s="25"/>
      <c r="X224" s="25"/>
      <c r="Y224" s="25"/>
      <c r="Z224" s="25"/>
    </row>
    <row r="225" ht="15.75" customHeight="1">
      <c r="A225" s="25"/>
      <c r="B225" s="503"/>
      <c r="C225" s="503"/>
      <c r="D225" s="503"/>
      <c r="E225" s="25"/>
      <c r="F225" s="25"/>
      <c r="G225" s="25"/>
      <c r="H225" s="25"/>
      <c r="I225" s="25"/>
      <c r="J225" s="25"/>
      <c r="K225" s="25"/>
      <c r="L225" s="25"/>
      <c r="M225" s="25"/>
      <c r="N225" s="25"/>
      <c r="O225" s="25"/>
      <c r="P225" s="25"/>
      <c r="Q225" s="25"/>
      <c r="R225" s="25"/>
      <c r="S225" s="25"/>
      <c r="T225" s="25"/>
      <c r="U225" s="25"/>
      <c r="V225" s="25"/>
      <c r="W225" s="25"/>
      <c r="X225" s="25"/>
      <c r="Y225" s="25"/>
      <c r="Z225" s="25"/>
    </row>
    <row r="226" ht="15.75" customHeight="1">
      <c r="A226" s="25"/>
      <c r="B226" s="503"/>
      <c r="C226" s="503"/>
      <c r="D226" s="503"/>
      <c r="E226" s="25"/>
      <c r="F226" s="25"/>
      <c r="G226" s="25"/>
      <c r="H226" s="25"/>
      <c r="I226" s="25"/>
      <c r="J226" s="25"/>
      <c r="K226" s="25"/>
      <c r="L226" s="25"/>
      <c r="M226" s="25"/>
      <c r="N226" s="25"/>
      <c r="O226" s="25"/>
      <c r="P226" s="25"/>
      <c r="Q226" s="25"/>
      <c r="R226" s="25"/>
      <c r="S226" s="25"/>
      <c r="T226" s="25"/>
      <c r="U226" s="25"/>
      <c r="V226" s="25"/>
      <c r="W226" s="25"/>
      <c r="X226" s="25"/>
      <c r="Y226" s="25"/>
      <c r="Z226" s="25"/>
    </row>
    <row r="227" ht="15.75" customHeight="1">
      <c r="A227" s="25"/>
      <c r="B227" s="503"/>
      <c r="C227" s="503"/>
      <c r="D227" s="503"/>
      <c r="E227" s="25"/>
      <c r="F227" s="25"/>
      <c r="G227" s="25"/>
      <c r="H227" s="25"/>
      <c r="I227" s="25"/>
      <c r="J227" s="25"/>
      <c r="K227" s="25"/>
      <c r="L227" s="25"/>
      <c r="M227" s="25"/>
      <c r="N227" s="25"/>
      <c r="O227" s="25"/>
      <c r="P227" s="25"/>
      <c r="Q227" s="25"/>
      <c r="R227" s="25"/>
      <c r="S227" s="25"/>
      <c r="T227" s="25"/>
      <c r="U227" s="25"/>
      <c r="V227" s="25"/>
      <c r="W227" s="25"/>
      <c r="X227" s="25"/>
      <c r="Y227" s="25"/>
      <c r="Z227" s="25"/>
    </row>
    <row r="228" ht="15.75" customHeight="1">
      <c r="A228" s="25"/>
      <c r="B228" s="503"/>
      <c r="C228" s="503"/>
      <c r="D228" s="503"/>
      <c r="E228" s="25"/>
      <c r="F228" s="25"/>
      <c r="G228" s="25"/>
      <c r="H228" s="25"/>
      <c r="I228" s="25"/>
      <c r="J228" s="25"/>
      <c r="K228" s="25"/>
      <c r="L228" s="25"/>
      <c r="M228" s="25"/>
      <c r="N228" s="25"/>
      <c r="O228" s="25"/>
      <c r="P228" s="25"/>
      <c r="Q228" s="25"/>
      <c r="R228" s="25"/>
      <c r="S228" s="25"/>
      <c r="T228" s="25"/>
      <c r="U228" s="25"/>
      <c r="V228" s="25"/>
      <c r="W228" s="25"/>
      <c r="X228" s="25"/>
      <c r="Y228" s="25"/>
      <c r="Z228" s="25"/>
    </row>
    <row r="229" ht="15.75" customHeight="1">
      <c r="A229" s="25"/>
      <c r="B229" s="503"/>
      <c r="C229" s="503"/>
      <c r="D229" s="503"/>
      <c r="E229" s="25"/>
      <c r="F229" s="25"/>
      <c r="G229" s="25"/>
      <c r="H229" s="25"/>
      <c r="I229" s="25"/>
      <c r="J229" s="25"/>
      <c r="K229" s="25"/>
      <c r="L229" s="25"/>
      <c r="M229" s="25"/>
      <c r="N229" s="25"/>
      <c r="O229" s="25"/>
      <c r="P229" s="25"/>
      <c r="Q229" s="25"/>
      <c r="R229" s="25"/>
      <c r="S229" s="25"/>
      <c r="T229" s="25"/>
      <c r="U229" s="25"/>
      <c r="V229" s="25"/>
      <c r="W229" s="25"/>
      <c r="X229" s="25"/>
      <c r="Y229" s="25"/>
      <c r="Z229" s="25"/>
    </row>
    <row r="230" ht="15.75" customHeight="1">
      <c r="A230" s="25"/>
      <c r="B230" s="503"/>
      <c r="C230" s="503"/>
      <c r="D230" s="503"/>
      <c r="E230" s="25"/>
      <c r="F230" s="25"/>
      <c r="G230" s="25"/>
      <c r="H230" s="25"/>
      <c r="I230" s="25"/>
      <c r="J230" s="25"/>
      <c r="K230" s="25"/>
      <c r="L230" s="25"/>
      <c r="M230" s="25"/>
      <c r="N230" s="25"/>
      <c r="O230" s="25"/>
      <c r="P230" s="25"/>
      <c r="Q230" s="25"/>
      <c r="R230" s="25"/>
      <c r="S230" s="25"/>
      <c r="T230" s="25"/>
      <c r="U230" s="25"/>
      <c r="V230" s="25"/>
      <c r="W230" s="25"/>
      <c r="X230" s="25"/>
      <c r="Y230" s="25"/>
      <c r="Z230" s="25"/>
    </row>
    <row r="231" ht="15.75" customHeight="1">
      <c r="A231" s="25"/>
      <c r="B231" s="503"/>
      <c r="C231" s="503"/>
      <c r="D231" s="503"/>
      <c r="E231" s="25"/>
      <c r="F231" s="25"/>
      <c r="G231" s="25"/>
      <c r="H231" s="25"/>
      <c r="I231" s="25"/>
      <c r="J231" s="25"/>
      <c r="K231" s="25"/>
      <c r="L231" s="25"/>
      <c r="M231" s="25"/>
      <c r="N231" s="25"/>
      <c r="O231" s="25"/>
      <c r="P231" s="25"/>
      <c r="Q231" s="25"/>
      <c r="R231" s="25"/>
      <c r="S231" s="25"/>
      <c r="T231" s="25"/>
      <c r="U231" s="25"/>
      <c r="V231" s="25"/>
      <c r="W231" s="25"/>
      <c r="X231" s="25"/>
      <c r="Y231" s="25"/>
      <c r="Z231" s="25"/>
    </row>
    <row r="232" ht="15.75" customHeight="1">
      <c r="A232" s="25"/>
      <c r="B232" s="503"/>
      <c r="C232" s="503"/>
      <c r="D232" s="503"/>
      <c r="E232" s="25"/>
      <c r="F232" s="25"/>
      <c r="G232" s="25"/>
      <c r="H232" s="25"/>
      <c r="I232" s="25"/>
      <c r="J232" s="25"/>
      <c r="K232" s="25"/>
      <c r="L232" s="25"/>
      <c r="M232" s="25"/>
      <c r="N232" s="25"/>
      <c r="O232" s="25"/>
      <c r="P232" s="25"/>
      <c r="Q232" s="25"/>
      <c r="R232" s="25"/>
      <c r="S232" s="25"/>
      <c r="T232" s="25"/>
      <c r="U232" s="25"/>
      <c r="V232" s="25"/>
      <c r="W232" s="25"/>
      <c r="X232" s="25"/>
      <c r="Y232" s="25"/>
      <c r="Z232" s="25"/>
    </row>
    <row r="233" ht="15.75" customHeight="1">
      <c r="A233" s="25"/>
      <c r="B233" s="503"/>
      <c r="C233" s="503"/>
      <c r="D233" s="503"/>
      <c r="E233" s="25"/>
      <c r="F233" s="25"/>
      <c r="G233" s="25"/>
      <c r="H233" s="25"/>
      <c r="I233" s="25"/>
      <c r="J233" s="25"/>
      <c r="K233" s="25"/>
      <c r="L233" s="25"/>
      <c r="M233" s="25"/>
      <c r="N233" s="25"/>
      <c r="O233" s="25"/>
      <c r="P233" s="25"/>
      <c r="Q233" s="25"/>
      <c r="R233" s="25"/>
      <c r="S233" s="25"/>
      <c r="T233" s="25"/>
      <c r="U233" s="25"/>
      <c r="V233" s="25"/>
      <c r="W233" s="25"/>
      <c r="X233" s="25"/>
      <c r="Y233" s="25"/>
      <c r="Z233" s="25"/>
    </row>
    <row r="234" ht="15.75" customHeight="1">
      <c r="A234" s="25"/>
      <c r="B234" s="503"/>
      <c r="C234" s="503"/>
      <c r="D234" s="503"/>
      <c r="E234" s="25"/>
      <c r="F234" s="25"/>
      <c r="G234" s="25"/>
      <c r="H234" s="25"/>
      <c r="I234" s="25"/>
      <c r="J234" s="25"/>
      <c r="K234" s="25"/>
      <c r="L234" s="25"/>
      <c r="M234" s="25"/>
      <c r="N234" s="25"/>
      <c r="O234" s="25"/>
      <c r="P234" s="25"/>
      <c r="Q234" s="25"/>
      <c r="R234" s="25"/>
      <c r="S234" s="25"/>
      <c r="T234" s="25"/>
      <c r="U234" s="25"/>
      <c r="V234" s="25"/>
      <c r="W234" s="25"/>
      <c r="X234" s="25"/>
      <c r="Y234" s="25"/>
      <c r="Z234" s="25"/>
    </row>
    <row r="235" ht="15.75" customHeight="1">
      <c r="A235" s="25"/>
      <c r="B235" s="503"/>
      <c r="C235" s="503"/>
      <c r="D235" s="503"/>
      <c r="E235" s="25"/>
      <c r="F235" s="25"/>
      <c r="G235" s="25"/>
      <c r="H235" s="25"/>
      <c r="I235" s="25"/>
      <c r="J235" s="25"/>
      <c r="K235" s="25"/>
      <c r="L235" s="25"/>
      <c r="M235" s="25"/>
      <c r="N235" s="25"/>
      <c r="O235" s="25"/>
      <c r="P235" s="25"/>
      <c r="Q235" s="25"/>
      <c r="R235" s="25"/>
      <c r="S235" s="25"/>
      <c r="T235" s="25"/>
      <c r="U235" s="25"/>
      <c r="V235" s="25"/>
      <c r="W235" s="25"/>
      <c r="X235" s="25"/>
      <c r="Y235" s="25"/>
      <c r="Z235" s="25"/>
    </row>
    <row r="236" ht="15.75" customHeight="1">
      <c r="A236" s="25"/>
      <c r="B236" s="503"/>
      <c r="C236" s="503"/>
      <c r="D236" s="503"/>
      <c r="E236" s="25"/>
      <c r="F236" s="25"/>
      <c r="G236" s="25"/>
      <c r="H236" s="25"/>
      <c r="I236" s="25"/>
      <c r="J236" s="25"/>
      <c r="K236" s="25"/>
      <c r="L236" s="25"/>
      <c r="M236" s="25"/>
      <c r="N236" s="25"/>
      <c r="O236" s="25"/>
      <c r="P236" s="25"/>
      <c r="Q236" s="25"/>
      <c r="R236" s="25"/>
      <c r="S236" s="25"/>
      <c r="T236" s="25"/>
      <c r="U236" s="25"/>
      <c r="V236" s="25"/>
      <c r="W236" s="25"/>
      <c r="X236" s="25"/>
      <c r="Y236" s="25"/>
      <c r="Z236" s="25"/>
    </row>
    <row r="237" ht="15.75" customHeight="1">
      <c r="A237" s="25"/>
      <c r="B237" s="503"/>
      <c r="C237" s="503"/>
      <c r="D237" s="503"/>
      <c r="E237" s="25"/>
      <c r="F237" s="25"/>
      <c r="G237" s="25"/>
      <c r="H237" s="25"/>
      <c r="I237" s="25"/>
      <c r="J237" s="25"/>
      <c r="K237" s="25"/>
      <c r="L237" s="25"/>
      <c r="M237" s="25"/>
      <c r="N237" s="25"/>
      <c r="O237" s="25"/>
      <c r="P237" s="25"/>
      <c r="Q237" s="25"/>
      <c r="R237" s="25"/>
      <c r="S237" s="25"/>
      <c r="T237" s="25"/>
      <c r="U237" s="25"/>
      <c r="V237" s="25"/>
      <c r="W237" s="25"/>
      <c r="X237" s="25"/>
      <c r="Y237" s="25"/>
      <c r="Z237" s="25"/>
    </row>
    <row r="238" ht="15.75" customHeight="1">
      <c r="A238" s="25"/>
      <c r="B238" s="503"/>
      <c r="C238" s="503"/>
      <c r="D238" s="503"/>
      <c r="E238" s="25"/>
      <c r="F238" s="25"/>
      <c r="G238" s="25"/>
      <c r="H238" s="25"/>
      <c r="I238" s="25"/>
      <c r="J238" s="25"/>
      <c r="K238" s="25"/>
      <c r="L238" s="25"/>
      <c r="M238" s="25"/>
      <c r="N238" s="25"/>
      <c r="O238" s="25"/>
      <c r="P238" s="25"/>
      <c r="Q238" s="25"/>
      <c r="R238" s="25"/>
      <c r="S238" s="25"/>
      <c r="T238" s="25"/>
      <c r="U238" s="25"/>
      <c r="V238" s="25"/>
      <c r="W238" s="25"/>
      <c r="X238" s="25"/>
      <c r="Y238" s="25"/>
      <c r="Z238" s="25"/>
    </row>
    <row r="239" ht="15.75" customHeight="1">
      <c r="A239" s="25"/>
      <c r="B239" s="503"/>
      <c r="C239" s="503"/>
      <c r="D239" s="503"/>
      <c r="E239" s="25"/>
      <c r="F239" s="25"/>
      <c r="G239" s="25"/>
      <c r="H239" s="25"/>
      <c r="I239" s="25"/>
      <c r="J239" s="25"/>
      <c r="K239" s="25"/>
      <c r="L239" s="25"/>
      <c r="M239" s="25"/>
      <c r="N239" s="25"/>
      <c r="O239" s="25"/>
      <c r="P239" s="25"/>
      <c r="Q239" s="25"/>
      <c r="R239" s="25"/>
      <c r="S239" s="25"/>
      <c r="T239" s="25"/>
      <c r="U239" s="25"/>
      <c r="V239" s="25"/>
      <c r="W239" s="25"/>
      <c r="X239" s="25"/>
      <c r="Y239" s="25"/>
      <c r="Z239" s="25"/>
    </row>
    <row r="240" ht="15.75" customHeight="1">
      <c r="A240" s="25"/>
      <c r="B240" s="503"/>
      <c r="C240" s="503"/>
      <c r="D240" s="503"/>
      <c r="E240" s="25"/>
      <c r="F240" s="25"/>
      <c r="G240" s="25"/>
      <c r="H240" s="25"/>
      <c r="I240" s="25"/>
      <c r="J240" s="25"/>
      <c r="K240" s="25"/>
      <c r="L240" s="25"/>
      <c r="M240" s="25"/>
      <c r="N240" s="25"/>
      <c r="O240" s="25"/>
      <c r="P240" s="25"/>
      <c r="Q240" s="25"/>
      <c r="R240" s="25"/>
      <c r="S240" s="25"/>
      <c r="T240" s="25"/>
      <c r="U240" s="25"/>
      <c r="V240" s="25"/>
      <c r="W240" s="25"/>
      <c r="X240" s="25"/>
      <c r="Y240" s="25"/>
      <c r="Z240" s="25"/>
    </row>
    <row r="241" ht="15.75" customHeight="1">
      <c r="A241" s="25"/>
      <c r="B241" s="503"/>
      <c r="C241" s="503"/>
      <c r="D241" s="503"/>
      <c r="E241" s="25"/>
      <c r="F241" s="25"/>
      <c r="G241" s="25"/>
      <c r="H241" s="25"/>
      <c r="I241" s="25"/>
      <c r="J241" s="25"/>
      <c r="K241" s="25"/>
      <c r="L241" s="25"/>
      <c r="M241" s="25"/>
      <c r="N241" s="25"/>
      <c r="O241" s="25"/>
      <c r="P241" s="25"/>
      <c r="Q241" s="25"/>
      <c r="R241" s="25"/>
      <c r="S241" s="25"/>
      <c r="T241" s="25"/>
      <c r="U241" s="25"/>
      <c r="V241" s="25"/>
      <c r="W241" s="25"/>
      <c r="X241" s="25"/>
      <c r="Y241" s="25"/>
      <c r="Z241" s="25"/>
    </row>
    <row r="242" ht="15.75" customHeight="1">
      <c r="A242" s="25"/>
      <c r="B242" s="503"/>
      <c r="C242" s="503"/>
      <c r="D242" s="503"/>
      <c r="E242" s="25"/>
      <c r="F242" s="25"/>
      <c r="G242" s="25"/>
      <c r="H242" s="25"/>
      <c r="I242" s="25"/>
      <c r="J242" s="25"/>
      <c r="K242" s="25"/>
      <c r="L242" s="25"/>
      <c r="M242" s="25"/>
      <c r="N242" s="25"/>
      <c r="O242" s="25"/>
      <c r="P242" s="25"/>
      <c r="Q242" s="25"/>
      <c r="R242" s="25"/>
      <c r="S242" s="25"/>
      <c r="T242" s="25"/>
      <c r="U242" s="25"/>
      <c r="V242" s="25"/>
      <c r="W242" s="25"/>
      <c r="X242" s="25"/>
      <c r="Y242" s="25"/>
      <c r="Z242" s="25"/>
    </row>
    <row r="243" ht="15.75" customHeight="1">
      <c r="A243" s="25"/>
      <c r="B243" s="503"/>
      <c r="C243" s="503"/>
      <c r="D243" s="503"/>
      <c r="E243" s="25"/>
      <c r="F243" s="25"/>
      <c r="G243" s="25"/>
      <c r="H243" s="25"/>
      <c r="I243" s="25"/>
      <c r="J243" s="25"/>
      <c r="K243" s="25"/>
      <c r="L243" s="25"/>
      <c r="M243" s="25"/>
      <c r="N243" s="25"/>
      <c r="O243" s="25"/>
      <c r="P243" s="25"/>
      <c r="Q243" s="25"/>
      <c r="R243" s="25"/>
      <c r="S243" s="25"/>
      <c r="T243" s="25"/>
      <c r="U243" s="25"/>
      <c r="V243" s="25"/>
      <c r="W243" s="25"/>
      <c r="X243" s="25"/>
      <c r="Y243" s="25"/>
      <c r="Z243" s="25"/>
    </row>
    <row r="244" ht="15.75" customHeight="1">
      <c r="A244" s="25"/>
      <c r="B244" s="503"/>
      <c r="C244" s="503"/>
      <c r="D244" s="503"/>
      <c r="E244" s="25"/>
      <c r="F244" s="25"/>
      <c r="G244" s="25"/>
      <c r="H244" s="25"/>
      <c r="I244" s="25"/>
      <c r="J244" s="25"/>
      <c r="K244" s="25"/>
      <c r="L244" s="25"/>
      <c r="M244" s="25"/>
      <c r="N244" s="25"/>
      <c r="O244" s="25"/>
      <c r="P244" s="25"/>
      <c r="Q244" s="25"/>
      <c r="R244" s="25"/>
      <c r="S244" s="25"/>
      <c r="T244" s="25"/>
      <c r="U244" s="25"/>
      <c r="V244" s="25"/>
      <c r="W244" s="25"/>
      <c r="X244" s="25"/>
      <c r="Y244" s="25"/>
      <c r="Z244" s="25"/>
    </row>
    <row r="245" ht="15.75" customHeight="1">
      <c r="A245" s="25"/>
      <c r="B245" s="503"/>
      <c r="C245" s="503"/>
      <c r="D245" s="503"/>
      <c r="E245" s="25"/>
      <c r="F245" s="25"/>
      <c r="G245" s="25"/>
      <c r="H245" s="25"/>
      <c r="I245" s="25"/>
      <c r="J245" s="25"/>
      <c r="K245" s="25"/>
      <c r="L245" s="25"/>
      <c r="M245" s="25"/>
      <c r="N245" s="25"/>
      <c r="O245" s="25"/>
      <c r="P245" s="25"/>
      <c r="Q245" s="25"/>
      <c r="R245" s="25"/>
      <c r="S245" s="25"/>
      <c r="T245" s="25"/>
      <c r="U245" s="25"/>
      <c r="V245" s="25"/>
      <c r="W245" s="25"/>
      <c r="X245" s="25"/>
      <c r="Y245" s="25"/>
      <c r="Z245" s="25"/>
    </row>
    <row r="246" ht="15.75" customHeight="1">
      <c r="A246" s="25"/>
      <c r="B246" s="503"/>
      <c r="C246" s="503"/>
      <c r="D246" s="503"/>
      <c r="E246" s="25"/>
      <c r="F246" s="25"/>
      <c r="G246" s="25"/>
      <c r="H246" s="25"/>
      <c r="I246" s="25"/>
      <c r="J246" s="25"/>
      <c r="K246" s="25"/>
      <c r="L246" s="25"/>
      <c r="M246" s="25"/>
      <c r="N246" s="25"/>
      <c r="O246" s="25"/>
      <c r="P246" s="25"/>
      <c r="Q246" s="25"/>
      <c r="R246" s="25"/>
      <c r="S246" s="25"/>
      <c r="T246" s="25"/>
      <c r="U246" s="25"/>
      <c r="V246" s="25"/>
      <c r="W246" s="25"/>
      <c r="X246" s="25"/>
      <c r="Y246" s="25"/>
      <c r="Z246" s="25"/>
    </row>
    <row r="247" ht="15.75" customHeight="1">
      <c r="A247" s="25"/>
      <c r="B247" s="503"/>
      <c r="C247" s="503"/>
      <c r="D247" s="503"/>
      <c r="E247" s="25"/>
      <c r="F247" s="25"/>
      <c r="G247" s="25"/>
      <c r="H247" s="25"/>
      <c r="I247" s="25"/>
      <c r="J247" s="25"/>
      <c r="K247" s="25"/>
      <c r="L247" s="25"/>
      <c r="M247" s="25"/>
      <c r="N247" s="25"/>
      <c r="O247" s="25"/>
      <c r="P247" s="25"/>
      <c r="Q247" s="25"/>
      <c r="R247" s="25"/>
      <c r="S247" s="25"/>
      <c r="T247" s="25"/>
      <c r="U247" s="25"/>
      <c r="V247" s="25"/>
      <c r="W247" s="25"/>
      <c r="X247" s="25"/>
      <c r="Y247" s="25"/>
      <c r="Z247" s="25"/>
    </row>
    <row r="248" ht="15.75" customHeight="1">
      <c r="A248" s="25"/>
      <c r="B248" s="503"/>
      <c r="C248" s="503"/>
      <c r="D248" s="503"/>
      <c r="E248" s="25"/>
      <c r="F248" s="25"/>
      <c r="G248" s="25"/>
      <c r="H248" s="25"/>
      <c r="I248" s="25"/>
      <c r="J248" s="25"/>
      <c r="K248" s="25"/>
      <c r="L248" s="25"/>
      <c r="M248" s="25"/>
      <c r="N248" s="25"/>
      <c r="O248" s="25"/>
      <c r="P248" s="25"/>
      <c r="Q248" s="25"/>
      <c r="R248" s="25"/>
      <c r="S248" s="25"/>
      <c r="T248" s="25"/>
      <c r="U248" s="25"/>
      <c r="V248" s="25"/>
      <c r="W248" s="25"/>
      <c r="X248" s="25"/>
      <c r="Y248" s="25"/>
      <c r="Z248" s="25"/>
    </row>
    <row r="249" ht="15.75" customHeight="1">
      <c r="A249" s="25"/>
      <c r="B249" s="503"/>
      <c r="C249" s="503"/>
      <c r="D249" s="503"/>
      <c r="E249" s="25"/>
      <c r="F249" s="25"/>
      <c r="G249" s="25"/>
      <c r="H249" s="25"/>
      <c r="I249" s="25"/>
      <c r="J249" s="25"/>
      <c r="K249" s="25"/>
      <c r="L249" s="25"/>
      <c r="M249" s="25"/>
      <c r="N249" s="25"/>
      <c r="O249" s="25"/>
      <c r="P249" s="25"/>
      <c r="Q249" s="25"/>
      <c r="R249" s="25"/>
      <c r="S249" s="25"/>
      <c r="T249" s="25"/>
      <c r="U249" s="25"/>
      <c r="V249" s="25"/>
      <c r="W249" s="25"/>
      <c r="X249" s="25"/>
      <c r="Y249" s="25"/>
      <c r="Z249" s="25"/>
    </row>
    <row r="250" ht="15.75" customHeight="1">
      <c r="A250" s="25"/>
      <c r="B250" s="503"/>
      <c r="C250" s="503"/>
      <c r="D250" s="503"/>
      <c r="E250" s="25"/>
      <c r="F250" s="25"/>
      <c r="G250" s="25"/>
      <c r="H250" s="25"/>
      <c r="I250" s="25"/>
      <c r="J250" s="25"/>
      <c r="K250" s="25"/>
      <c r="L250" s="25"/>
      <c r="M250" s="25"/>
      <c r="N250" s="25"/>
      <c r="O250" s="25"/>
      <c r="P250" s="25"/>
      <c r="Q250" s="25"/>
      <c r="R250" s="25"/>
      <c r="S250" s="25"/>
      <c r="T250" s="25"/>
      <c r="U250" s="25"/>
      <c r="V250" s="25"/>
      <c r="W250" s="25"/>
      <c r="X250" s="25"/>
      <c r="Y250" s="25"/>
      <c r="Z250" s="25"/>
    </row>
    <row r="251" ht="15.75" customHeight="1">
      <c r="A251" s="25"/>
      <c r="B251" s="503"/>
      <c r="C251" s="503"/>
      <c r="D251" s="503"/>
      <c r="E251" s="25"/>
      <c r="F251" s="25"/>
      <c r="G251" s="25"/>
      <c r="H251" s="25"/>
      <c r="I251" s="25"/>
      <c r="J251" s="25"/>
      <c r="K251" s="25"/>
      <c r="L251" s="25"/>
      <c r="M251" s="25"/>
      <c r="N251" s="25"/>
      <c r="O251" s="25"/>
      <c r="P251" s="25"/>
      <c r="Q251" s="25"/>
      <c r="R251" s="25"/>
      <c r="S251" s="25"/>
      <c r="T251" s="25"/>
      <c r="U251" s="25"/>
      <c r="V251" s="25"/>
      <c r="W251" s="25"/>
      <c r="X251" s="25"/>
      <c r="Y251" s="25"/>
      <c r="Z251" s="25"/>
    </row>
    <row r="252" ht="15.75" customHeight="1">
      <c r="A252" s="25"/>
      <c r="B252" s="503"/>
      <c r="C252" s="503"/>
      <c r="D252" s="503"/>
      <c r="E252" s="25"/>
      <c r="F252" s="25"/>
      <c r="G252" s="25"/>
      <c r="H252" s="25"/>
      <c r="I252" s="25"/>
      <c r="J252" s="25"/>
      <c r="K252" s="25"/>
      <c r="L252" s="25"/>
      <c r="M252" s="25"/>
      <c r="N252" s="25"/>
      <c r="O252" s="25"/>
      <c r="P252" s="25"/>
      <c r="Q252" s="25"/>
      <c r="R252" s="25"/>
      <c r="S252" s="25"/>
      <c r="T252" s="25"/>
      <c r="U252" s="25"/>
      <c r="V252" s="25"/>
      <c r="W252" s="25"/>
      <c r="X252" s="25"/>
      <c r="Y252" s="25"/>
      <c r="Z252" s="25"/>
    </row>
    <row r="253" ht="15.75" customHeight="1">
      <c r="A253" s="25"/>
      <c r="B253" s="503"/>
      <c r="C253" s="503"/>
      <c r="D253" s="503"/>
      <c r="E253" s="25"/>
      <c r="F253" s="25"/>
      <c r="G253" s="25"/>
      <c r="H253" s="25"/>
      <c r="I253" s="25"/>
      <c r="J253" s="25"/>
      <c r="K253" s="25"/>
      <c r="L253" s="25"/>
      <c r="M253" s="25"/>
      <c r="N253" s="25"/>
      <c r="O253" s="25"/>
      <c r="P253" s="25"/>
      <c r="Q253" s="25"/>
      <c r="R253" s="25"/>
      <c r="S253" s="25"/>
      <c r="T253" s="25"/>
      <c r="U253" s="25"/>
      <c r="V253" s="25"/>
      <c r="W253" s="25"/>
      <c r="X253" s="25"/>
      <c r="Y253" s="25"/>
      <c r="Z253" s="25"/>
    </row>
    <row r="254" ht="15.75" customHeight="1">
      <c r="A254" s="25"/>
      <c r="B254" s="503"/>
      <c r="C254" s="503"/>
      <c r="D254" s="503"/>
      <c r="E254" s="25"/>
      <c r="F254" s="25"/>
      <c r="G254" s="25"/>
      <c r="H254" s="25"/>
      <c r="I254" s="25"/>
      <c r="J254" s="25"/>
      <c r="K254" s="25"/>
      <c r="L254" s="25"/>
      <c r="M254" s="25"/>
      <c r="N254" s="25"/>
      <c r="O254" s="25"/>
      <c r="P254" s="25"/>
      <c r="Q254" s="25"/>
      <c r="R254" s="25"/>
      <c r="S254" s="25"/>
      <c r="T254" s="25"/>
      <c r="U254" s="25"/>
      <c r="V254" s="25"/>
      <c r="W254" s="25"/>
      <c r="X254" s="25"/>
      <c r="Y254" s="25"/>
      <c r="Z254" s="25"/>
    </row>
    <row r="255" ht="15.75" customHeight="1">
      <c r="A255" s="25"/>
      <c r="B255" s="503"/>
      <c r="C255" s="503"/>
      <c r="D255" s="503"/>
      <c r="E255" s="25"/>
      <c r="F255" s="25"/>
      <c r="G255" s="25"/>
      <c r="H255" s="25"/>
      <c r="I255" s="25"/>
      <c r="J255" s="25"/>
      <c r="K255" s="25"/>
      <c r="L255" s="25"/>
      <c r="M255" s="25"/>
      <c r="N255" s="25"/>
      <c r="O255" s="25"/>
      <c r="P255" s="25"/>
      <c r="Q255" s="25"/>
      <c r="R255" s="25"/>
      <c r="S255" s="25"/>
      <c r="T255" s="25"/>
      <c r="U255" s="25"/>
      <c r="V255" s="25"/>
      <c r="W255" s="25"/>
      <c r="X255" s="25"/>
      <c r="Y255" s="25"/>
      <c r="Z255" s="25"/>
    </row>
    <row r="256" ht="15.75" customHeight="1">
      <c r="A256" s="25"/>
      <c r="B256" s="503"/>
      <c r="C256" s="503"/>
      <c r="D256" s="503"/>
      <c r="E256" s="25"/>
      <c r="F256" s="25"/>
      <c r="G256" s="25"/>
      <c r="H256" s="25"/>
      <c r="I256" s="25"/>
      <c r="J256" s="25"/>
      <c r="K256" s="25"/>
      <c r="L256" s="25"/>
      <c r="M256" s="25"/>
      <c r="N256" s="25"/>
      <c r="O256" s="25"/>
      <c r="P256" s="25"/>
      <c r="Q256" s="25"/>
      <c r="R256" s="25"/>
      <c r="S256" s="25"/>
      <c r="T256" s="25"/>
      <c r="U256" s="25"/>
      <c r="V256" s="25"/>
      <c r="W256" s="25"/>
      <c r="X256" s="25"/>
      <c r="Y256" s="25"/>
      <c r="Z256" s="25"/>
    </row>
    <row r="257" ht="15.75" customHeight="1">
      <c r="A257" s="25"/>
      <c r="B257" s="503"/>
      <c r="C257" s="503"/>
      <c r="D257" s="503"/>
      <c r="E257" s="25"/>
      <c r="F257" s="25"/>
      <c r="G257" s="25"/>
      <c r="H257" s="25"/>
      <c r="I257" s="25"/>
      <c r="J257" s="25"/>
      <c r="K257" s="25"/>
      <c r="L257" s="25"/>
      <c r="M257" s="25"/>
      <c r="N257" s="25"/>
      <c r="O257" s="25"/>
      <c r="P257" s="25"/>
      <c r="Q257" s="25"/>
      <c r="R257" s="25"/>
      <c r="S257" s="25"/>
      <c r="T257" s="25"/>
      <c r="U257" s="25"/>
      <c r="V257" s="25"/>
      <c r="W257" s="25"/>
      <c r="X257" s="25"/>
      <c r="Y257" s="25"/>
      <c r="Z257" s="25"/>
    </row>
    <row r="258" ht="15.75" customHeight="1">
      <c r="A258" s="25"/>
      <c r="B258" s="503"/>
      <c r="C258" s="503"/>
      <c r="D258" s="503"/>
      <c r="E258" s="25"/>
      <c r="F258" s="25"/>
      <c r="G258" s="25"/>
      <c r="H258" s="25"/>
      <c r="I258" s="25"/>
      <c r="J258" s="25"/>
      <c r="K258" s="25"/>
      <c r="L258" s="25"/>
      <c r="M258" s="25"/>
      <c r="N258" s="25"/>
      <c r="O258" s="25"/>
      <c r="P258" s="25"/>
      <c r="Q258" s="25"/>
      <c r="R258" s="25"/>
      <c r="S258" s="25"/>
      <c r="T258" s="25"/>
      <c r="U258" s="25"/>
      <c r="V258" s="25"/>
      <c r="W258" s="25"/>
      <c r="X258" s="25"/>
      <c r="Y258" s="25"/>
      <c r="Z258" s="25"/>
    </row>
    <row r="259" ht="15.75" customHeight="1">
      <c r="A259" s="25"/>
      <c r="B259" s="503"/>
      <c r="C259" s="503"/>
      <c r="D259" s="503"/>
      <c r="E259" s="25"/>
      <c r="F259" s="25"/>
      <c r="G259" s="25"/>
      <c r="H259" s="25"/>
      <c r="I259" s="25"/>
      <c r="J259" s="25"/>
      <c r="K259" s="25"/>
      <c r="L259" s="25"/>
      <c r="M259" s="25"/>
      <c r="N259" s="25"/>
      <c r="O259" s="25"/>
      <c r="P259" s="25"/>
      <c r="Q259" s="25"/>
      <c r="R259" s="25"/>
      <c r="S259" s="25"/>
      <c r="T259" s="25"/>
      <c r="U259" s="25"/>
      <c r="V259" s="25"/>
      <c r="W259" s="25"/>
      <c r="X259" s="25"/>
      <c r="Y259" s="25"/>
      <c r="Z259" s="25"/>
    </row>
    <row r="260" ht="15.75" customHeight="1">
      <c r="A260" s="25"/>
      <c r="B260" s="503"/>
      <c r="C260" s="503"/>
      <c r="D260" s="503"/>
      <c r="E260" s="25"/>
      <c r="F260" s="25"/>
      <c r="G260" s="25"/>
      <c r="H260" s="25"/>
      <c r="I260" s="25"/>
      <c r="J260" s="25"/>
      <c r="K260" s="25"/>
      <c r="L260" s="25"/>
      <c r="M260" s="25"/>
      <c r="N260" s="25"/>
      <c r="O260" s="25"/>
      <c r="P260" s="25"/>
      <c r="Q260" s="25"/>
      <c r="R260" s="25"/>
      <c r="S260" s="25"/>
      <c r="T260" s="25"/>
      <c r="U260" s="25"/>
      <c r="V260" s="25"/>
      <c r="W260" s="25"/>
      <c r="X260" s="25"/>
      <c r="Y260" s="25"/>
      <c r="Z260" s="25"/>
    </row>
    <row r="261" ht="15.75" customHeight="1">
      <c r="A261" s="25"/>
      <c r="B261" s="503"/>
      <c r="C261" s="503"/>
      <c r="D261" s="503"/>
      <c r="E261" s="25"/>
      <c r="F261" s="25"/>
      <c r="G261" s="25"/>
      <c r="H261" s="25"/>
      <c r="I261" s="25"/>
      <c r="J261" s="25"/>
      <c r="K261" s="25"/>
      <c r="L261" s="25"/>
      <c r="M261" s="25"/>
      <c r="N261" s="25"/>
      <c r="O261" s="25"/>
      <c r="P261" s="25"/>
      <c r="Q261" s="25"/>
      <c r="R261" s="25"/>
      <c r="S261" s="25"/>
      <c r="T261" s="25"/>
      <c r="U261" s="25"/>
      <c r="V261" s="25"/>
      <c r="W261" s="25"/>
      <c r="X261" s="25"/>
      <c r="Y261" s="25"/>
      <c r="Z261" s="25"/>
    </row>
    <row r="262" ht="15.75" customHeight="1">
      <c r="A262" s="25"/>
      <c r="B262" s="503"/>
      <c r="C262" s="503"/>
      <c r="D262" s="503"/>
      <c r="E262" s="25"/>
      <c r="F262" s="25"/>
      <c r="G262" s="25"/>
      <c r="H262" s="25"/>
      <c r="I262" s="25"/>
      <c r="J262" s="25"/>
      <c r="K262" s="25"/>
      <c r="L262" s="25"/>
      <c r="M262" s="25"/>
      <c r="N262" s="25"/>
      <c r="O262" s="25"/>
      <c r="P262" s="25"/>
      <c r="Q262" s="25"/>
      <c r="R262" s="25"/>
      <c r="S262" s="25"/>
      <c r="T262" s="25"/>
      <c r="U262" s="25"/>
      <c r="V262" s="25"/>
      <c r="W262" s="25"/>
      <c r="X262" s="25"/>
      <c r="Y262" s="25"/>
      <c r="Z262" s="25"/>
    </row>
    <row r="263" ht="15.75" customHeight="1">
      <c r="A263" s="25"/>
      <c r="B263" s="503"/>
      <c r="C263" s="503"/>
      <c r="D263" s="503"/>
      <c r="E263" s="25"/>
      <c r="F263" s="25"/>
      <c r="G263" s="25"/>
      <c r="H263" s="25"/>
      <c r="I263" s="25"/>
      <c r="J263" s="25"/>
      <c r="K263" s="25"/>
      <c r="L263" s="25"/>
      <c r="M263" s="25"/>
      <c r="N263" s="25"/>
      <c r="O263" s="25"/>
      <c r="P263" s="25"/>
      <c r="Q263" s="25"/>
      <c r="R263" s="25"/>
      <c r="S263" s="25"/>
      <c r="T263" s="25"/>
      <c r="U263" s="25"/>
      <c r="V263" s="25"/>
      <c r="W263" s="25"/>
      <c r="X263" s="25"/>
      <c r="Y263" s="25"/>
      <c r="Z263" s="25"/>
    </row>
    <row r="264" ht="15.75" customHeight="1">
      <c r="A264" s="25"/>
      <c r="B264" s="503"/>
      <c r="C264" s="503"/>
      <c r="D264" s="503"/>
      <c r="E264" s="25"/>
      <c r="F264" s="25"/>
      <c r="G264" s="25"/>
      <c r="H264" s="25"/>
      <c r="I264" s="25"/>
      <c r="J264" s="25"/>
      <c r="K264" s="25"/>
      <c r="L264" s="25"/>
      <c r="M264" s="25"/>
      <c r="N264" s="25"/>
      <c r="O264" s="25"/>
      <c r="P264" s="25"/>
      <c r="Q264" s="25"/>
      <c r="R264" s="25"/>
      <c r="S264" s="25"/>
      <c r="T264" s="25"/>
      <c r="U264" s="25"/>
      <c r="V264" s="25"/>
      <c r="W264" s="25"/>
      <c r="X264" s="25"/>
      <c r="Y264" s="25"/>
      <c r="Z264" s="25"/>
    </row>
    <row r="265" ht="15.75" customHeight="1">
      <c r="A265" s="25"/>
      <c r="B265" s="503"/>
      <c r="C265" s="503"/>
      <c r="D265" s="503"/>
      <c r="E265" s="25"/>
      <c r="F265" s="25"/>
      <c r="G265" s="25"/>
      <c r="H265" s="25"/>
      <c r="I265" s="25"/>
      <c r="J265" s="25"/>
      <c r="K265" s="25"/>
      <c r="L265" s="25"/>
      <c r="M265" s="25"/>
      <c r="N265" s="25"/>
      <c r="O265" s="25"/>
      <c r="P265" s="25"/>
      <c r="Q265" s="25"/>
      <c r="R265" s="25"/>
      <c r="S265" s="25"/>
      <c r="T265" s="25"/>
      <c r="U265" s="25"/>
      <c r="V265" s="25"/>
      <c r="W265" s="25"/>
      <c r="X265" s="25"/>
      <c r="Y265" s="25"/>
      <c r="Z265" s="25"/>
    </row>
    <row r="266" ht="15.75" customHeight="1">
      <c r="A266" s="25"/>
      <c r="B266" s="503"/>
      <c r="C266" s="503"/>
      <c r="D266" s="503"/>
      <c r="E266" s="25"/>
      <c r="F266" s="25"/>
      <c r="G266" s="25"/>
      <c r="H266" s="25"/>
      <c r="I266" s="25"/>
      <c r="J266" s="25"/>
      <c r="K266" s="25"/>
      <c r="L266" s="25"/>
      <c r="M266" s="25"/>
      <c r="N266" s="25"/>
      <c r="O266" s="25"/>
      <c r="P266" s="25"/>
      <c r="Q266" s="25"/>
      <c r="R266" s="25"/>
      <c r="S266" s="25"/>
      <c r="T266" s="25"/>
      <c r="U266" s="25"/>
      <c r="V266" s="25"/>
      <c r="W266" s="25"/>
      <c r="X266" s="25"/>
      <c r="Y266" s="25"/>
      <c r="Z266" s="25"/>
    </row>
    <row r="267" ht="15.75" customHeight="1">
      <c r="A267" s="25"/>
      <c r="B267" s="503"/>
      <c r="C267" s="503"/>
      <c r="D267" s="503"/>
      <c r="E267" s="25"/>
      <c r="F267" s="25"/>
      <c r="G267" s="25"/>
      <c r="H267" s="25"/>
      <c r="I267" s="25"/>
      <c r="J267" s="25"/>
      <c r="K267" s="25"/>
      <c r="L267" s="25"/>
      <c r="M267" s="25"/>
      <c r="N267" s="25"/>
      <c r="O267" s="25"/>
      <c r="P267" s="25"/>
      <c r="Q267" s="25"/>
      <c r="R267" s="25"/>
      <c r="S267" s="25"/>
      <c r="T267" s="25"/>
      <c r="U267" s="25"/>
      <c r="V267" s="25"/>
      <c r="W267" s="25"/>
      <c r="X267" s="25"/>
      <c r="Y267" s="25"/>
      <c r="Z267" s="25"/>
    </row>
    <row r="268" ht="15.75" customHeight="1">
      <c r="A268" s="25"/>
      <c r="B268" s="503"/>
      <c r="C268" s="503"/>
      <c r="D268" s="503"/>
      <c r="E268" s="25"/>
      <c r="F268" s="25"/>
      <c r="G268" s="25"/>
      <c r="H268" s="25"/>
      <c r="I268" s="25"/>
      <c r="J268" s="25"/>
      <c r="K268" s="25"/>
      <c r="L268" s="25"/>
      <c r="M268" s="25"/>
      <c r="N268" s="25"/>
      <c r="O268" s="25"/>
      <c r="P268" s="25"/>
      <c r="Q268" s="25"/>
      <c r="R268" s="25"/>
      <c r="S268" s="25"/>
      <c r="T268" s="25"/>
      <c r="U268" s="25"/>
      <c r="V268" s="25"/>
      <c r="W268" s="25"/>
      <c r="X268" s="25"/>
      <c r="Y268" s="25"/>
      <c r="Z268" s="25"/>
    </row>
    <row r="269" ht="15.75" customHeight="1">
      <c r="A269" s="25"/>
      <c r="B269" s="503"/>
      <c r="C269" s="503"/>
      <c r="D269" s="503"/>
      <c r="E269" s="25"/>
      <c r="F269" s="25"/>
      <c r="G269" s="25"/>
      <c r="H269" s="25"/>
      <c r="I269" s="25"/>
      <c r="J269" s="25"/>
      <c r="K269" s="25"/>
      <c r="L269" s="25"/>
      <c r="M269" s="25"/>
      <c r="N269" s="25"/>
      <c r="O269" s="25"/>
      <c r="P269" s="25"/>
      <c r="Q269" s="25"/>
      <c r="R269" s="25"/>
      <c r="S269" s="25"/>
      <c r="T269" s="25"/>
      <c r="U269" s="25"/>
      <c r="V269" s="25"/>
      <c r="W269" s="25"/>
      <c r="X269" s="25"/>
      <c r="Y269" s="25"/>
      <c r="Z269" s="25"/>
    </row>
    <row r="270" ht="15.75" customHeight="1">
      <c r="A270" s="25"/>
      <c r="B270" s="503"/>
      <c r="C270" s="503"/>
      <c r="D270" s="503"/>
      <c r="E270" s="25"/>
      <c r="F270" s="25"/>
      <c r="G270" s="25"/>
      <c r="H270" s="25"/>
      <c r="I270" s="25"/>
      <c r="J270" s="25"/>
      <c r="K270" s="25"/>
      <c r="L270" s="25"/>
      <c r="M270" s="25"/>
      <c r="N270" s="25"/>
      <c r="O270" s="25"/>
      <c r="P270" s="25"/>
      <c r="Q270" s="25"/>
      <c r="R270" s="25"/>
      <c r="S270" s="25"/>
      <c r="T270" s="25"/>
      <c r="U270" s="25"/>
      <c r="V270" s="25"/>
      <c r="W270" s="25"/>
      <c r="X270" s="25"/>
      <c r="Y270" s="25"/>
      <c r="Z270" s="25"/>
    </row>
    <row r="271" ht="15.75" customHeight="1">
      <c r="A271" s="25"/>
      <c r="B271" s="503"/>
      <c r="C271" s="503"/>
      <c r="D271" s="503"/>
      <c r="E271" s="25"/>
      <c r="F271" s="25"/>
      <c r="G271" s="25"/>
      <c r="H271" s="25"/>
      <c r="I271" s="25"/>
      <c r="J271" s="25"/>
      <c r="K271" s="25"/>
      <c r="L271" s="25"/>
      <c r="M271" s="25"/>
      <c r="N271" s="25"/>
      <c r="O271" s="25"/>
      <c r="P271" s="25"/>
      <c r="Q271" s="25"/>
      <c r="R271" s="25"/>
      <c r="S271" s="25"/>
      <c r="T271" s="25"/>
      <c r="U271" s="25"/>
      <c r="V271" s="25"/>
      <c r="W271" s="25"/>
      <c r="X271" s="25"/>
      <c r="Y271" s="25"/>
      <c r="Z271" s="25"/>
    </row>
    <row r="272" ht="15.75" customHeight="1">
      <c r="A272" s="25"/>
      <c r="B272" s="503"/>
      <c r="C272" s="503"/>
      <c r="D272" s="503"/>
      <c r="E272" s="25"/>
      <c r="F272" s="25"/>
      <c r="G272" s="25"/>
      <c r="H272" s="25"/>
      <c r="I272" s="25"/>
      <c r="J272" s="25"/>
      <c r="K272" s="25"/>
      <c r="L272" s="25"/>
      <c r="M272" s="25"/>
      <c r="N272" s="25"/>
      <c r="O272" s="25"/>
      <c r="P272" s="25"/>
      <c r="Q272" s="25"/>
      <c r="R272" s="25"/>
      <c r="S272" s="25"/>
      <c r="T272" s="25"/>
      <c r="U272" s="25"/>
      <c r="V272" s="25"/>
      <c r="W272" s="25"/>
      <c r="X272" s="25"/>
      <c r="Y272" s="25"/>
      <c r="Z272" s="25"/>
    </row>
    <row r="273" ht="15.75" customHeight="1">
      <c r="A273" s="25"/>
      <c r="B273" s="503"/>
      <c r="C273" s="503"/>
      <c r="D273" s="503"/>
      <c r="E273" s="25"/>
      <c r="F273" s="25"/>
      <c r="G273" s="25"/>
      <c r="H273" s="25"/>
      <c r="I273" s="25"/>
      <c r="J273" s="25"/>
      <c r="K273" s="25"/>
      <c r="L273" s="25"/>
      <c r="M273" s="25"/>
      <c r="N273" s="25"/>
      <c r="O273" s="25"/>
      <c r="P273" s="25"/>
      <c r="Q273" s="25"/>
      <c r="R273" s="25"/>
      <c r="S273" s="25"/>
      <c r="T273" s="25"/>
      <c r="U273" s="25"/>
      <c r="V273" s="25"/>
      <c r="W273" s="25"/>
      <c r="X273" s="25"/>
      <c r="Y273" s="25"/>
      <c r="Z273" s="25"/>
    </row>
    <row r="274" ht="15.75" customHeight="1">
      <c r="A274" s="25"/>
      <c r="B274" s="503"/>
      <c r="C274" s="503"/>
      <c r="D274" s="503"/>
      <c r="E274" s="25"/>
      <c r="F274" s="25"/>
      <c r="G274" s="25"/>
      <c r="H274" s="25"/>
      <c r="I274" s="25"/>
      <c r="J274" s="25"/>
      <c r="K274" s="25"/>
      <c r="L274" s="25"/>
      <c r="M274" s="25"/>
      <c r="N274" s="25"/>
      <c r="O274" s="25"/>
      <c r="P274" s="25"/>
      <c r="Q274" s="25"/>
      <c r="R274" s="25"/>
      <c r="S274" s="25"/>
      <c r="T274" s="25"/>
      <c r="U274" s="25"/>
      <c r="V274" s="25"/>
      <c r="W274" s="25"/>
      <c r="X274" s="25"/>
      <c r="Y274" s="25"/>
      <c r="Z274" s="25"/>
    </row>
    <row r="275" ht="15.75" customHeight="1">
      <c r="A275" s="25"/>
      <c r="B275" s="503"/>
      <c r="C275" s="503"/>
      <c r="D275" s="503"/>
      <c r="E275" s="25"/>
      <c r="F275" s="25"/>
      <c r="G275" s="25"/>
      <c r="H275" s="25"/>
      <c r="I275" s="25"/>
      <c r="J275" s="25"/>
      <c r="K275" s="25"/>
      <c r="L275" s="25"/>
      <c r="M275" s="25"/>
      <c r="N275" s="25"/>
      <c r="O275" s="25"/>
      <c r="P275" s="25"/>
      <c r="Q275" s="25"/>
      <c r="R275" s="25"/>
      <c r="S275" s="25"/>
      <c r="T275" s="25"/>
      <c r="U275" s="25"/>
      <c r="V275" s="25"/>
      <c r="W275" s="25"/>
      <c r="X275" s="25"/>
      <c r="Y275" s="25"/>
      <c r="Z275" s="25"/>
    </row>
    <row r="276" ht="15.75" customHeight="1">
      <c r="A276" s="25"/>
      <c r="B276" s="503"/>
      <c r="C276" s="503"/>
      <c r="D276" s="503"/>
      <c r="E276" s="25"/>
      <c r="F276" s="25"/>
      <c r="G276" s="25"/>
      <c r="H276" s="25"/>
      <c r="I276" s="25"/>
      <c r="J276" s="25"/>
      <c r="K276" s="25"/>
      <c r="L276" s="25"/>
      <c r="M276" s="25"/>
      <c r="N276" s="25"/>
      <c r="O276" s="25"/>
      <c r="P276" s="25"/>
      <c r="Q276" s="25"/>
      <c r="R276" s="25"/>
      <c r="S276" s="25"/>
      <c r="T276" s="25"/>
      <c r="U276" s="25"/>
      <c r="V276" s="25"/>
      <c r="W276" s="25"/>
      <c r="X276" s="25"/>
      <c r="Y276" s="25"/>
      <c r="Z276" s="25"/>
    </row>
    <row r="277" ht="15.75" customHeight="1">
      <c r="A277" s="25"/>
      <c r="B277" s="503"/>
      <c r="C277" s="503"/>
      <c r="D277" s="503"/>
      <c r="E277" s="25"/>
      <c r="F277" s="25"/>
      <c r="G277" s="25"/>
      <c r="H277" s="25"/>
      <c r="I277" s="25"/>
      <c r="J277" s="25"/>
      <c r="K277" s="25"/>
      <c r="L277" s="25"/>
      <c r="M277" s="25"/>
      <c r="N277" s="25"/>
      <c r="O277" s="25"/>
      <c r="P277" s="25"/>
      <c r="Q277" s="25"/>
      <c r="R277" s="25"/>
      <c r="S277" s="25"/>
      <c r="T277" s="25"/>
      <c r="U277" s="25"/>
      <c r="V277" s="25"/>
      <c r="W277" s="25"/>
      <c r="X277" s="25"/>
      <c r="Y277" s="25"/>
      <c r="Z277" s="25"/>
    </row>
    <row r="278" ht="15.75" customHeight="1">
      <c r="A278" s="25"/>
      <c r="B278" s="503"/>
      <c r="C278" s="503"/>
      <c r="D278" s="503"/>
      <c r="E278" s="25"/>
      <c r="F278" s="25"/>
      <c r="G278" s="25"/>
      <c r="H278" s="25"/>
      <c r="I278" s="25"/>
      <c r="J278" s="25"/>
      <c r="K278" s="25"/>
      <c r="L278" s="25"/>
      <c r="M278" s="25"/>
      <c r="N278" s="25"/>
      <c r="O278" s="25"/>
      <c r="P278" s="25"/>
      <c r="Q278" s="25"/>
      <c r="R278" s="25"/>
      <c r="S278" s="25"/>
      <c r="T278" s="25"/>
      <c r="U278" s="25"/>
      <c r="V278" s="25"/>
      <c r="W278" s="25"/>
      <c r="X278" s="25"/>
      <c r="Y278" s="25"/>
      <c r="Z278" s="25"/>
    </row>
    <row r="279" ht="15.75" customHeight="1">
      <c r="A279" s="25"/>
      <c r="B279" s="503"/>
      <c r="C279" s="503"/>
      <c r="D279" s="503"/>
      <c r="E279" s="25"/>
      <c r="F279" s="25"/>
      <c r="G279" s="25"/>
      <c r="H279" s="25"/>
      <c r="I279" s="25"/>
      <c r="J279" s="25"/>
      <c r="K279" s="25"/>
      <c r="L279" s="25"/>
      <c r="M279" s="25"/>
      <c r="N279" s="25"/>
      <c r="O279" s="25"/>
      <c r="P279" s="25"/>
      <c r="Q279" s="25"/>
      <c r="R279" s="25"/>
      <c r="S279" s="25"/>
      <c r="T279" s="25"/>
      <c r="U279" s="25"/>
      <c r="V279" s="25"/>
      <c r="W279" s="25"/>
      <c r="X279" s="25"/>
      <c r="Y279" s="25"/>
      <c r="Z279" s="25"/>
    </row>
    <row r="280" ht="15.75" customHeight="1">
      <c r="A280" s="25"/>
      <c r="B280" s="503"/>
      <c r="C280" s="503"/>
      <c r="D280" s="503"/>
      <c r="E280" s="25"/>
      <c r="F280" s="25"/>
      <c r="G280" s="25"/>
      <c r="H280" s="25"/>
      <c r="I280" s="25"/>
      <c r="J280" s="25"/>
      <c r="K280" s="25"/>
      <c r="L280" s="25"/>
      <c r="M280" s="25"/>
      <c r="N280" s="25"/>
      <c r="O280" s="25"/>
      <c r="P280" s="25"/>
      <c r="Q280" s="25"/>
      <c r="R280" s="25"/>
      <c r="S280" s="25"/>
      <c r="T280" s="25"/>
      <c r="U280" s="25"/>
      <c r="V280" s="25"/>
      <c r="W280" s="25"/>
      <c r="X280" s="25"/>
      <c r="Y280" s="25"/>
      <c r="Z280" s="25"/>
    </row>
    <row r="281" ht="15.75" customHeight="1">
      <c r="A281" s="25"/>
      <c r="B281" s="503"/>
      <c r="C281" s="503"/>
      <c r="D281" s="503"/>
      <c r="E281" s="25"/>
      <c r="F281" s="25"/>
      <c r="G281" s="25"/>
      <c r="H281" s="25"/>
      <c r="I281" s="25"/>
      <c r="J281" s="25"/>
      <c r="K281" s="25"/>
      <c r="L281" s="25"/>
      <c r="M281" s="25"/>
      <c r="N281" s="25"/>
      <c r="O281" s="25"/>
      <c r="P281" s="25"/>
      <c r="Q281" s="25"/>
      <c r="R281" s="25"/>
      <c r="S281" s="25"/>
      <c r="T281" s="25"/>
      <c r="U281" s="25"/>
      <c r="V281" s="25"/>
      <c r="W281" s="25"/>
      <c r="X281" s="25"/>
      <c r="Y281" s="25"/>
      <c r="Z281" s="25"/>
    </row>
    <row r="282" ht="15.75" customHeight="1">
      <c r="A282" s="25"/>
      <c r="B282" s="503"/>
      <c r="C282" s="503"/>
      <c r="D282" s="503"/>
      <c r="E282" s="25"/>
      <c r="F282" s="25"/>
      <c r="G282" s="25"/>
      <c r="H282" s="25"/>
      <c r="I282" s="25"/>
      <c r="J282" s="25"/>
      <c r="K282" s="25"/>
      <c r="L282" s="25"/>
      <c r="M282" s="25"/>
      <c r="N282" s="25"/>
      <c r="O282" s="25"/>
      <c r="P282" s="25"/>
      <c r="Q282" s="25"/>
      <c r="R282" s="25"/>
      <c r="S282" s="25"/>
      <c r="T282" s="25"/>
      <c r="U282" s="25"/>
      <c r="V282" s="25"/>
      <c r="W282" s="25"/>
      <c r="X282" s="25"/>
      <c r="Y282" s="25"/>
      <c r="Z282" s="25"/>
    </row>
    <row r="283" ht="15.75" customHeight="1">
      <c r="A283" s="25"/>
      <c r="B283" s="503"/>
      <c r="C283" s="503"/>
      <c r="D283" s="503"/>
      <c r="E283" s="25"/>
      <c r="F283" s="25"/>
      <c r="G283" s="25"/>
      <c r="H283" s="25"/>
      <c r="I283" s="25"/>
      <c r="J283" s="25"/>
      <c r="K283" s="25"/>
      <c r="L283" s="25"/>
      <c r="M283" s="25"/>
      <c r="N283" s="25"/>
      <c r="O283" s="25"/>
      <c r="P283" s="25"/>
      <c r="Q283" s="25"/>
      <c r="R283" s="25"/>
      <c r="S283" s="25"/>
      <c r="T283" s="25"/>
      <c r="U283" s="25"/>
      <c r="V283" s="25"/>
      <c r="W283" s="25"/>
      <c r="X283" s="25"/>
      <c r="Y283" s="25"/>
      <c r="Z283" s="25"/>
    </row>
    <row r="284" ht="15.75" customHeight="1">
      <c r="A284" s="25"/>
      <c r="B284" s="503"/>
      <c r="C284" s="503"/>
      <c r="D284" s="503"/>
      <c r="E284" s="25"/>
      <c r="F284" s="25"/>
      <c r="G284" s="25"/>
      <c r="H284" s="25"/>
      <c r="I284" s="25"/>
      <c r="J284" s="25"/>
      <c r="K284" s="25"/>
      <c r="L284" s="25"/>
      <c r="M284" s="25"/>
      <c r="N284" s="25"/>
      <c r="O284" s="25"/>
      <c r="P284" s="25"/>
      <c r="Q284" s="25"/>
      <c r="R284" s="25"/>
      <c r="S284" s="25"/>
      <c r="T284" s="25"/>
      <c r="U284" s="25"/>
      <c r="V284" s="25"/>
      <c r="W284" s="25"/>
      <c r="X284" s="25"/>
      <c r="Y284" s="25"/>
      <c r="Z284" s="25"/>
    </row>
    <row r="285" ht="15.75" customHeight="1">
      <c r="A285" s="25"/>
      <c r="B285" s="503"/>
      <c r="C285" s="503"/>
      <c r="D285" s="503"/>
      <c r="E285" s="25"/>
      <c r="F285" s="25"/>
      <c r="G285" s="25"/>
      <c r="H285" s="25"/>
      <c r="I285" s="25"/>
      <c r="J285" s="25"/>
      <c r="K285" s="25"/>
      <c r="L285" s="25"/>
      <c r="M285" s="25"/>
      <c r="N285" s="25"/>
      <c r="O285" s="25"/>
      <c r="P285" s="25"/>
      <c r="Q285" s="25"/>
      <c r="R285" s="25"/>
      <c r="S285" s="25"/>
      <c r="T285" s="25"/>
      <c r="U285" s="25"/>
      <c r="V285" s="25"/>
      <c r="W285" s="25"/>
      <c r="X285" s="25"/>
      <c r="Y285" s="25"/>
      <c r="Z285" s="25"/>
    </row>
    <row r="286" ht="15.75" customHeight="1">
      <c r="A286" s="25"/>
      <c r="B286" s="503"/>
      <c r="C286" s="503"/>
      <c r="D286" s="503"/>
      <c r="E286" s="25"/>
      <c r="F286" s="25"/>
      <c r="G286" s="25"/>
      <c r="H286" s="25"/>
      <c r="I286" s="25"/>
      <c r="J286" s="25"/>
      <c r="K286" s="25"/>
      <c r="L286" s="25"/>
      <c r="M286" s="25"/>
      <c r="N286" s="25"/>
      <c r="O286" s="25"/>
      <c r="P286" s="25"/>
      <c r="Q286" s="25"/>
      <c r="R286" s="25"/>
      <c r="S286" s="25"/>
      <c r="T286" s="25"/>
      <c r="U286" s="25"/>
      <c r="V286" s="25"/>
      <c r="W286" s="25"/>
      <c r="X286" s="25"/>
      <c r="Y286" s="25"/>
      <c r="Z286" s="25"/>
    </row>
    <row r="287" ht="15.75" customHeight="1">
      <c r="A287" s="25"/>
      <c r="B287" s="503"/>
      <c r="C287" s="503"/>
      <c r="D287" s="503"/>
      <c r="E287" s="25"/>
      <c r="F287" s="25"/>
      <c r="G287" s="25"/>
      <c r="H287" s="25"/>
      <c r="I287" s="25"/>
      <c r="J287" s="25"/>
      <c r="K287" s="25"/>
      <c r="L287" s="25"/>
      <c r="M287" s="25"/>
      <c r="N287" s="25"/>
      <c r="O287" s="25"/>
      <c r="P287" s="25"/>
      <c r="Q287" s="25"/>
      <c r="R287" s="25"/>
      <c r="S287" s="25"/>
      <c r="T287" s="25"/>
      <c r="U287" s="25"/>
      <c r="V287" s="25"/>
      <c r="W287" s="25"/>
      <c r="X287" s="25"/>
      <c r="Y287" s="25"/>
      <c r="Z287" s="25"/>
    </row>
    <row r="288" ht="15.75" customHeight="1">
      <c r="A288" s="25"/>
      <c r="B288" s="503"/>
      <c r="C288" s="503"/>
      <c r="D288" s="503"/>
      <c r="E288" s="25"/>
      <c r="F288" s="25"/>
      <c r="G288" s="25"/>
      <c r="H288" s="25"/>
      <c r="I288" s="25"/>
      <c r="J288" s="25"/>
      <c r="K288" s="25"/>
      <c r="L288" s="25"/>
      <c r="M288" s="25"/>
      <c r="N288" s="25"/>
      <c r="O288" s="25"/>
      <c r="P288" s="25"/>
      <c r="Q288" s="25"/>
      <c r="R288" s="25"/>
      <c r="S288" s="25"/>
      <c r="T288" s="25"/>
      <c r="U288" s="25"/>
      <c r="V288" s="25"/>
      <c r="W288" s="25"/>
      <c r="X288" s="25"/>
      <c r="Y288" s="25"/>
      <c r="Z288" s="25"/>
    </row>
    <row r="289" ht="15.75" customHeight="1">
      <c r="A289" s="25"/>
      <c r="B289" s="503"/>
      <c r="C289" s="503"/>
      <c r="D289" s="503"/>
      <c r="E289" s="25"/>
      <c r="F289" s="25"/>
      <c r="G289" s="25"/>
      <c r="H289" s="25"/>
      <c r="I289" s="25"/>
      <c r="J289" s="25"/>
      <c r="K289" s="25"/>
      <c r="L289" s="25"/>
      <c r="M289" s="25"/>
      <c r="N289" s="25"/>
      <c r="O289" s="25"/>
      <c r="P289" s="25"/>
      <c r="Q289" s="25"/>
      <c r="R289" s="25"/>
      <c r="S289" s="25"/>
      <c r="T289" s="25"/>
      <c r="U289" s="25"/>
      <c r="V289" s="25"/>
      <c r="W289" s="25"/>
      <c r="X289" s="25"/>
      <c r="Y289" s="25"/>
      <c r="Z289" s="25"/>
    </row>
    <row r="290" ht="15.75" customHeight="1">
      <c r="A290" s="25"/>
      <c r="B290" s="503"/>
      <c r="C290" s="503"/>
      <c r="D290" s="503"/>
      <c r="E290" s="25"/>
      <c r="F290" s="25"/>
      <c r="G290" s="25"/>
      <c r="H290" s="25"/>
      <c r="I290" s="25"/>
      <c r="J290" s="25"/>
      <c r="K290" s="25"/>
      <c r="L290" s="25"/>
      <c r="M290" s="25"/>
      <c r="N290" s="25"/>
      <c r="O290" s="25"/>
      <c r="P290" s="25"/>
      <c r="Q290" s="25"/>
      <c r="R290" s="25"/>
      <c r="S290" s="25"/>
      <c r="T290" s="25"/>
      <c r="U290" s="25"/>
      <c r="V290" s="25"/>
      <c r="W290" s="25"/>
      <c r="X290" s="25"/>
      <c r="Y290" s="25"/>
      <c r="Z290" s="25"/>
    </row>
    <row r="291" ht="15.75" customHeight="1">
      <c r="A291" s="25"/>
      <c r="B291" s="503"/>
      <c r="C291" s="503"/>
      <c r="D291" s="503"/>
      <c r="E291" s="25"/>
      <c r="F291" s="25"/>
      <c r="G291" s="25"/>
      <c r="H291" s="25"/>
      <c r="I291" s="25"/>
      <c r="J291" s="25"/>
      <c r="K291" s="25"/>
      <c r="L291" s="25"/>
      <c r="M291" s="25"/>
      <c r="N291" s="25"/>
      <c r="O291" s="25"/>
      <c r="P291" s="25"/>
      <c r="Q291" s="25"/>
      <c r="R291" s="25"/>
      <c r="S291" s="25"/>
      <c r="T291" s="25"/>
      <c r="U291" s="25"/>
      <c r="V291" s="25"/>
      <c r="W291" s="25"/>
      <c r="X291" s="25"/>
      <c r="Y291" s="25"/>
      <c r="Z291" s="25"/>
    </row>
    <row r="292" ht="15.75" customHeight="1">
      <c r="A292" s="25"/>
      <c r="B292" s="503"/>
      <c r="C292" s="503"/>
      <c r="D292" s="503"/>
      <c r="E292" s="25"/>
      <c r="F292" s="25"/>
      <c r="G292" s="25"/>
      <c r="H292" s="25"/>
      <c r="I292" s="25"/>
      <c r="J292" s="25"/>
      <c r="K292" s="25"/>
      <c r="L292" s="25"/>
      <c r="M292" s="25"/>
      <c r="N292" s="25"/>
      <c r="O292" s="25"/>
      <c r="P292" s="25"/>
      <c r="Q292" s="25"/>
      <c r="R292" s="25"/>
      <c r="S292" s="25"/>
      <c r="T292" s="25"/>
      <c r="U292" s="25"/>
      <c r="V292" s="25"/>
      <c r="W292" s="25"/>
      <c r="X292" s="25"/>
      <c r="Y292" s="25"/>
      <c r="Z292" s="25"/>
    </row>
    <row r="293" ht="15.75" customHeight="1">
      <c r="A293" s="25"/>
      <c r="B293" s="503"/>
      <c r="C293" s="503"/>
      <c r="D293" s="503"/>
      <c r="E293" s="25"/>
      <c r="F293" s="25"/>
      <c r="G293" s="25"/>
      <c r="H293" s="25"/>
      <c r="I293" s="25"/>
      <c r="J293" s="25"/>
      <c r="K293" s="25"/>
      <c r="L293" s="25"/>
      <c r="M293" s="25"/>
      <c r="N293" s="25"/>
      <c r="O293" s="25"/>
      <c r="P293" s="25"/>
      <c r="Q293" s="25"/>
      <c r="R293" s="25"/>
      <c r="S293" s="25"/>
      <c r="T293" s="25"/>
      <c r="U293" s="25"/>
      <c r="V293" s="25"/>
      <c r="W293" s="25"/>
      <c r="X293" s="25"/>
      <c r="Y293" s="25"/>
      <c r="Z293" s="25"/>
    </row>
    <row r="294" ht="15.75" customHeight="1">
      <c r="A294" s="25"/>
      <c r="B294" s="503"/>
      <c r="C294" s="503"/>
      <c r="D294" s="503"/>
      <c r="E294" s="25"/>
      <c r="F294" s="25"/>
      <c r="G294" s="25"/>
      <c r="H294" s="25"/>
      <c r="I294" s="25"/>
      <c r="J294" s="25"/>
      <c r="K294" s="25"/>
      <c r="L294" s="25"/>
      <c r="M294" s="25"/>
      <c r="N294" s="25"/>
      <c r="O294" s="25"/>
      <c r="P294" s="25"/>
      <c r="Q294" s="25"/>
      <c r="R294" s="25"/>
      <c r="S294" s="25"/>
      <c r="T294" s="25"/>
      <c r="U294" s="25"/>
      <c r="V294" s="25"/>
      <c r="W294" s="25"/>
      <c r="X294" s="25"/>
      <c r="Y294" s="25"/>
      <c r="Z294" s="25"/>
    </row>
    <row r="295" ht="15.75" customHeight="1">
      <c r="A295" s="25"/>
      <c r="B295" s="503"/>
      <c r="C295" s="503"/>
      <c r="D295" s="503"/>
      <c r="E295" s="25"/>
      <c r="F295" s="25"/>
      <c r="G295" s="25"/>
      <c r="H295" s="25"/>
      <c r="I295" s="25"/>
      <c r="J295" s="25"/>
      <c r="K295" s="25"/>
      <c r="L295" s="25"/>
      <c r="M295" s="25"/>
      <c r="N295" s="25"/>
      <c r="O295" s="25"/>
      <c r="P295" s="25"/>
      <c r="Q295" s="25"/>
      <c r="R295" s="25"/>
      <c r="S295" s="25"/>
      <c r="T295" s="25"/>
      <c r="U295" s="25"/>
      <c r="V295" s="25"/>
      <c r="W295" s="25"/>
      <c r="X295" s="25"/>
      <c r="Y295" s="25"/>
      <c r="Z295" s="25"/>
    </row>
    <row r="296" ht="15.75" customHeight="1">
      <c r="A296" s="25"/>
      <c r="B296" s="503"/>
      <c r="C296" s="503"/>
      <c r="D296" s="503"/>
      <c r="E296" s="25"/>
      <c r="F296" s="25"/>
      <c r="G296" s="25"/>
      <c r="H296" s="25"/>
      <c r="I296" s="25"/>
      <c r="J296" s="25"/>
      <c r="K296" s="25"/>
      <c r="L296" s="25"/>
      <c r="M296" s="25"/>
      <c r="N296" s="25"/>
      <c r="O296" s="25"/>
      <c r="P296" s="25"/>
      <c r="Q296" s="25"/>
      <c r="R296" s="25"/>
      <c r="S296" s="25"/>
      <c r="T296" s="25"/>
      <c r="U296" s="25"/>
      <c r="V296" s="25"/>
      <c r="W296" s="25"/>
      <c r="X296" s="25"/>
      <c r="Y296" s="25"/>
      <c r="Z296" s="25"/>
    </row>
    <row r="297" ht="15.75" customHeight="1">
      <c r="A297" s="25"/>
      <c r="B297" s="503"/>
      <c r="C297" s="503"/>
      <c r="D297" s="503"/>
      <c r="E297" s="25"/>
      <c r="F297" s="25"/>
      <c r="G297" s="25"/>
      <c r="H297" s="25"/>
      <c r="I297" s="25"/>
      <c r="J297" s="25"/>
      <c r="K297" s="25"/>
      <c r="L297" s="25"/>
      <c r="M297" s="25"/>
      <c r="N297" s="25"/>
      <c r="O297" s="25"/>
      <c r="P297" s="25"/>
      <c r="Q297" s="25"/>
      <c r="R297" s="25"/>
      <c r="S297" s="25"/>
      <c r="T297" s="25"/>
      <c r="U297" s="25"/>
      <c r="V297" s="25"/>
      <c r="W297" s="25"/>
      <c r="X297" s="25"/>
      <c r="Y297" s="25"/>
      <c r="Z297" s="25"/>
    </row>
    <row r="298" ht="15.75" customHeight="1">
      <c r="A298" s="25"/>
      <c r="B298" s="503"/>
      <c r="C298" s="503"/>
      <c r="D298" s="503"/>
      <c r="E298" s="25"/>
      <c r="F298" s="25"/>
      <c r="G298" s="25"/>
      <c r="H298" s="25"/>
      <c r="I298" s="25"/>
      <c r="J298" s="25"/>
      <c r="K298" s="25"/>
      <c r="L298" s="25"/>
      <c r="M298" s="25"/>
      <c r="N298" s="25"/>
      <c r="O298" s="25"/>
      <c r="P298" s="25"/>
      <c r="Q298" s="25"/>
      <c r="R298" s="25"/>
      <c r="S298" s="25"/>
      <c r="T298" s="25"/>
      <c r="U298" s="25"/>
      <c r="V298" s="25"/>
      <c r="W298" s="25"/>
      <c r="X298" s="25"/>
      <c r="Y298" s="25"/>
      <c r="Z298" s="25"/>
    </row>
    <row r="299" ht="15.75" customHeight="1">
      <c r="A299" s="25"/>
      <c r="B299" s="503"/>
      <c r="C299" s="503"/>
      <c r="D299" s="503"/>
      <c r="E299" s="25"/>
      <c r="F299" s="25"/>
      <c r="G299" s="25"/>
      <c r="H299" s="25"/>
      <c r="I299" s="25"/>
      <c r="J299" s="25"/>
      <c r="K299" s="25"/>
      <c r="L299" s="25"/>
      <c r="M299" s="25"/>
      <c r="N299" s="25"/>
      <c r="O299" s="25"/>
      <c r="P299" s="25"/>
      <c r="Q299" s="25"/>
      <c r="R299" s="25"/>
      <c r="S299" s="25"/>
      <c r="T299" s="25"/>
      <c r="U299" s="25"/>
      <c r="V299" s="25"/>
      <c r="W299" s="25"/>
      <c r="X299" s="25"/>
      <c r="Y299" s="25"/>
      <c r="Z299" s="25"/>
    </row>
    <row r="300" ht="15.75" customHeight="1">
      <c r="A300" s="25"/>
      <c r="B300" s="503"/>
      <c r="C300" s="503"/>
      <c r="D300" s="503"/>
      <c r="E300" s="25"/>
      <c r="F300" s="25"/>
      <c r="G300" s="25"/>
      <c r="H300" s="25"/>
      <c r="I300" s="25"/>
      <c r="J300" s="25"/>
      <c r="K300" s="25"/>
      <c r="L300" s="25"/>
      <c r="M300" s="25"/>
      <c r="N300" s="25"/>
      <c r="O300" s="25"/>
      <c r="P300" s="25"/>
      <c r="Q300" s="25"/>
      <c r="R300" s="25"/>
      <c r="S300" s="25"/>
      <c r="T300" s="25"/>
      <c r="U300" s="25"/>
      <c r="V300" s="25"/>
      <c r="W300" s="25"/>
      <c r="X300" s="25"/>
      <c r="Y300" s="25"/>
      <c r="Z300" s="25"/>
    </row>
    <row r="301" ht="15.75" customHeight="1">
      <c r="A301" s="25"/>
      <c r="B301" s="503"/>
      <c r="C301" s="503"/>
      <c r="D301" s="503"/>
      <c r="E301" s="25"/>
      <c r="F301" s="25"/>
      <c r="G301" s="25"/>
      <c r="H301" s="25"/>
      <c r="I301" s="25"/>
      <c r="J301" s="25"/>
      <c r="K301" s="25"/>
      <c r="L301" s="25"/>
      <c r="M301" s="25"/>
      <c r="N301" s="25"/>
      <c r="O301" s="25"/>
      <c r="P301" s="25"/>
      <c r="Q301" s="25"/>
      <c r="R301" s="25"/>
      <c r="S301" s="25"/>
      <c r="T301" s="25"/>
      <c r="U301" s="25"/>
      <c r="V301" s="25"/>
      <c r="W301" s="25"/>
      <c r="X301" s="25"/>
      <c r="Y301" s="25"/>
      <c r="Z301" s="25"/>
    </row>
    <row r="302" ht="15.75" customHeight="1">
      <c r="A302" s="25"/>
      <c r="B302" s="503"/>
      <c r="C302" s="503"/>
      <c r="D302" s="503"/>
      <c r="E302" s="25"/>
      <c r="F302" s="25"/>
      <c r="G302" s="25"/>
      <c r="H302" s="25"/>
      <c r="I302" s="25"/>
      <c r="J302" s="25"/>
      <c r="K302" s="25"/>
      <c r="L302" s="25"/>
      <c r="M302" s="25"/>
      <c r="N302" s="25"/>
      <c r="O302" s="25"/>
      <c r="P302" s="25"/>
      <c r="Q302" s="25"/>
      <c r="R302" s="25"/>
      <c r="S302" s="25"/>
      <c r="T302" s="25"/>
      <c r="U302" s="25"/>
      <c r="V302" s="25"/>
      <c r="W302" s="25"/>
      <c r="X302" s="25"/>
      <c r="Y302" s="25"/>
      <c r="Z302" s="25"/>
    </row>
    <row r="303" ht="15.75" customHeight="1">
      <c r="A303" s="25"/>
      <c r="B303" s="503"/>
      <c r="C303" s="503"/>
      <c r="D303" s="503"/>
      <c r="E303" s="25"/>
      <c r="F303" s="25"/>
      <c r="G303" s="25"/>
      <c r="H303" s="25"/>
      <c r="I303" s="25"/>
      <c r="J303" s="25"/>
      <c r="K303" s="25"/>
      <c r="L303" s="25"/>
      <c r="M303" s="25"/>
      <c r="N303" s="25"/>
      <c r="O303" s="25"/>
      <c r="P303" s="25"/>
      <c r="Q303" s="25"/>
      <c r="R303" s="25"/>
      <c r="S303" s="25"/>
      <c r="T303" s="25"/>
      <c r="U303" s="25"/>
      <c r="V303" s="25"/>
      <c r="W303" s="25"/>
      <c r="X303" s="25"/>
      <c r="Y303" s="25"/>
      <c r="Z303" s="25"/>
    </row>
    <row r="304" ht="15.75" customHeight="1">
      <c r="A304" s="25"/>
      <c r="B304" s="503"/>
      <c r="C304" s="503"/>
      <c r="D304" s="503"/>
      <c r="E304" s="25"/>
      <c r="F304" s="25"/>
      <c r="G304" s="25"/>
      <c r="H304" s="25"/>
      <c r="I304" s="25"/>
      <c r="J304" s="25"/>
      <c r="K304" s="25"/>
      <c r="L304" s="25"/>
      <c r="M304" s="25"/>
      <c r="N304" s="25"/>
      <c r="O304" s="25"/>
      <c r="P304" s="25"/>
      <c r="Q304" s="25"/>
      <c r="R304" s="25"/>
      <c r="S304" s="25"/>
      <c r="T304" s="25"/>
      <c r="U304" s="25"/>
      <c r="V304" s="25"/>
      <c r="W304" s="25"/>
      <c r="X304" s="25"/>
      <c r="Y304" s="25"/>
      <c r="Z304" s="25"/>
    </row>
    <row r="305" ht="15.75" customHeight="1">
      <c r="A305" s="25"/>
      <c r="B305" s="503"/>
      <c r="C305" s="503"/>
      <c r="D305" s="503"/>
      <c r="E305" s="25"/>
      <c r="F305" s="25"/>
      <c r="G305" s="25"/>
      <c r="H305" s="25"/>
      <c r="I305" s="25"/>
      <c r="J305" s="25"/>
      <c r="K305" s="25"/>
      <c r="L305" s="25"/>
      <c r="M305" s="25"/>
      <c r="N305" s="25"/>
      <c r="O305" s="25"/>
      <c r="P305" s="25"/>
      <c r="Q305" s="25"/>
      <c r="R305" s="25"/>
      <c r="S305" s="25"/>
      <c r="T305" s="25"/>
      <c r="U305" s="25"/>
      <c r="V305" s="25"/>
      <c r="W305" s="25"/>
      <c r="X305" s="25"/>
      <c r="Y305" s="25"/>
      <c r="Z305" s="25"/>
    </row>
    <row r="306" ht="15.75" customHeight="1">
      <c r="A306" s="25"/>
      <c r="B306" s="503"/>
      <c r="C306" s="503"/>
      <c r="D306" s="503"/>
      <c r="E306" s="25"/>
      <c r="F306" s="25"/>
      <c r="G306" s="25"/>
      <c r="H306" s="25"/>
      <c r="I306" s="25"/>
      <c r="J306" s="25"/>
      <c r="K306" s="25"/>
      <c r="L306" s="25"/>
      <c r="M306" s="25"/>
      <c r="N306" s="25"/>
      <c r="O306" s="25"/>
      <c r="P306" s="25"/>
      <c r="Q306" s="25"/>
      <c r="R306" s="25"/>
      <c r="S306" s="25"/>
      <c r="T306" s="25"/>
      <c r="U306" s="25"/>
      <c r="V306" s="25"/>
      <c r="W306" s="25"/>
      <c r="X306" s="25"/>
      <c r="Y306" s="25"/>
      <c r="Z306" s="25"/>
    </row>
    <row r="307" ht="15.75" customHeight="1">
      <c r="A307" s="25"/>
      <c r="B307" s="503"/>
      <c r="C307" s="503"/>
      <c r="D307" s="503"/>
      <c r="E307" s="25"/>
      <c r="F307" s="25"/>
      <c r="G307" s="25"/>
      <c r="H307" s="25"/>
      <c r="I307" s="25"/>
      <c r="J307" s="25"/>
      <c r="K307" s="25"/>
      <c r="L307" s="25"/>
      <c r="M307" s="25"/>
      <c r="N307" s="25"/>
      <c r="O307" s="25"/>
      <c r="P307" s="25"/>
      <c r="Q307" s="25"/>
      <c r="R307" s="25"/>
      <c r="S307" s="25"/>
      <c r="T307" s="25"/>
      <c r="U307" s="25"/>
      <c r="V307" s="25"/>
      <c r="W307" s="25"/>
      <c r="X307" s="25"/>
      <c r="Y307" s="25"/>
      <c r="Z307" s="25"/>
    </row>
    <row r="308" ht="15.75" customHeight="1">
      <c r="A308" s="25"/>
      <c r="B308" s="503"/>
      <c r="C308" s="503"/>
      <c r="D308" s="503"/>
      <c r="E308" s="25"/>
      <c r="F308" s="25"/>
      <c r="G308" s="25"/>
      <c r="H308" s="25"/>
      <c r="I308" s="25"/>
      <c r="J308" s="25"/>
      <c r="K308" s="25"/>
      <c r="L308" s="25"/>
      <c r="M308" s="25"/>
      <c r="N308" s="25"/>
      <c r="O308" s="25"/>
      <c r="P308" s="25"/>
      <c r="Q308" s="25"/>
      <c r="R308" s="25"/>
      <c r="S308" s="25"/>
      <c r="T308" s="25"/>
      <c r="U308" s="25"/>
      <c r="V308" s="25"/>
      <c r="W308" s="25"/>
      <c r="X308" s="25"/>
      <c r="Y308" s="25"/>
      <c r="Z308" s="25"/>
    </row>
    <row r="309" ht="15.75" customHeight="1">
      <c r="A309" s="25"/>
      <c r="B309" s="503"/>
      <c r="C309" s="503"/>
      <c r="D309" s="503"/>
      <c r="E309" s="25"/>
      <c r="F309" s="25"/>
      <c r="G309" s="25"/>
      <c r="H309" s="25"/>
      <c r="I309" s="25"/>
      <c r="J309" s="25"/>
      <c r="K309" s="25"/>
      <c r="L309" s="25"/>
      <c r="M309" s="25"/>
      <c r="N309" s="25"/>
      <c r="O309" s="25"/>
      <c r="P309" s="25"/>
      <c r="Q309" s="25"/>
      <c r="R309" s="25"/>
      <c r="S309" s="25"/>
      <c r="T309" s="25"/>
      <c r="U309" s="25"/>
      <c r="V309" s="25"/>
      <c r="W309" s="25"/>
      <c r="X309" s="25"/>
      <c r="Y309" s="25"/>
      <c r="Z309" s="25"/>
    </row>
    <row r="310" ht="15.75" customHeight="1">
      <c r="A310" s="25"/>
      <c r="B310" s="503"/>
      <c r="C310" s="503"/>
      <c r="D310" s="503"/>
      <c r="E310" s="25"/>
      <c r="F310" s="25"/>
      <c r="G310" s="25"/>
      <c r="H310" s="25"/>
      <c r="I310" s="25"/>
      <c r="J310" s="25"/>
      <c r="K310" s="25"/>
      <c r="L310" s="25"/>
      <c r="M310" s="25"/>
      <c r="N310" s="25"/>
      <c r="O310" s="25"/>
      <c r="P310" s="25"/>
      <c r="Q310" s="25"/>
      <c r="R310" s="25"/>
      <c r="S310" s="25"/>
      <c r="T310" s="25"/>
      <c r="U310" s="25"/>
      <c r="V310" s="25"/>
      <c r="W310" s="25"/>
      <c r="X310" s="25"/>
      <c r="Y310" s="25"/>
      <c r="Z310" s="25"/>
    </row>
    <row r="311" ht="15.75" customHeight="1">
      <c r="A311" s="25"/>
      <c r="B311" s="503"/>
      <c r="C311" s="503"/>
      <c r="D311" s="503"/>
      <c r="E311" s="25"/>
      <c r="F311" s="25"/>
      <c r="G311" s="25"/>
      <c r="H311" s="25"/>
      <c r="I311" s="25"/>
      <c r="J311" s="25"/>
      <c r="K311" s="25"/>
      <c r="L311" s="25"/>
      <c r="M311" s="25"/>
      <c r="N311" s="25"/>
      <c r="O311" s="25"/>
      <c r="P311" s="25"/>
      <c r="Q311" s="25"/>
      <c r="R311" s="25"/>
      <c r="S311" s="25"/>
      <c r="T311" s="25"/>
      <c r="U311" s="25"/>
      <c r="V311" s="25"/>
      <c r="W311" s="25"/>
      <c r="X311" s="25"/>
      <c r="Y311" s="25"/>
      <c r="Z311" s="25"/>
    </row>
    <row r="312" ht="15.75" customHeight="1">
      <c r="A312" s="25"/>
      <c r="B312" s="503"/>
      <c r="C312" s="503"/>
      <c r="D312" s="503"/>
      <c r="E312" s="25"/>
      <c r="F312" s="25"/>
      <c r="G312" s="25"/>
      <c r="H312" s="25"/>
      <c r="I312" s="25"/>
      <c r="J312" s="25"/>
      <c r="K312" s="25"/>
      <c r="L312" s="25"/>
      <c r="M312" s="25"/>
      <c r="N312" s="25"/>
      <c r="O312" s="25"/>
      <c r="P312" s="25"/>
      <c r="Q312" s="25"/>
      <c r="R312" s="25"/>
      <c r="S312" s="25"/>
      <c r="T312" s="25"/>
      <c r="U312" s="25"/>
      <c r="V312" s="25"/>
      <c r="W312" s="25"/>
      <c r="X312" s="25"/>
      <c r="Y312" s="25"/>
      <c r="Z312" s="25"/>
    </row>
    <row r="313" ht="15.75" customHeight="1">
      <c r="A313" s="25"/>
      <c r="B313" s="503"/>
      <c r="C313" s="503"/>
      <c r="D313" s="503"/>
      <c r="E313" s="25"/>
      <c r="F313" s="25"/>
      <c r="G313" s="25"/>
      <c r="H313" s="25"/>
      <c r="I313" s="25"/>
      <c r="J313" s="25"/>
      <c r="K313" s="25"/>
      <c r="L313" s="25"/>
      <c r="M313" s="25"/>
      <c r="N313" s="25"/>
      <c r="O313" s="25"/>
      <c r="P313" s="25"/>
      <c r="Q313" s="25"/>
      <c r="R313" s="25"/>
      <c r="S313" s="25"/>
      <c r="T313" s="25"/>
      <c r="U313" s="25"/>
      <c r="V313" s="25"/>
      <c r="W313" s="25"/>
      <c r="X313" s="25"/>
      <c r="Y313" s="25"/>
      <c r="Z313" s="25"/>
    </row>
    <row r="314" ht="15.75" customHeight="1">
      <c r="A314" s="25"/>
      <c r="B314" s="503"/>
      <c r="C314" s="503"/>
      <c r="D314" s="503"/>
      <c r="E314" s="25"/>
      <c r="F314" s="25"/>
      <c r="G314" s="25"/>
      <c r="H314" s="25"/>
      <c r="I314" s="25"/>
      <c r="J314" s="25"/>
      <c r="K314" s="25"/>
      <c r="L314" s="25"/>
      <c r="M314" s="25"/>
      <c r="N314" s="25"/>
      <c r="O314" s="25"/>
      <c r="P314" s="25"/>
      <c r="Q314" s="25"/>
      <c r="R314" s="25"/>
      <c r="S314" s="25"/>
      <c r="T314" s="25"/>
      <c r="U314" s="25"/>
      <c r="V314" s="25"/>
      <c r="W314" s="25"/>
      <c r="X314" s="25"/>
      <c r="Y314" s="25"/>
      <c r="Z314" s="25"/>
    </row>
    <row r="315" ht="15.75" customHeight="1">
      <c r="A315" s="25"/>
      <c r="B315" s="503"/>
      <c r="C315" s="503"/>
      <c r="D315" s="503"/>
      <c r="E315" s="25"/>
      <c r="F315" s="25"/>
      <c r="G315" s="25"/>
      <c r="H315" s="25"/>
      <c r="I315" s="25"/>
      <c r="J315" s="25"/>
      <c r="K315" s="25"/>
      <c r="L315" s="25"/>
      <c r="M315" s="25"/>
      <c r="N315" s="25"/>
      <c r="O315" s="25"/>
      <c r="P315" s="25"/>
      <c r="Q315" s="25"/>
      <c r="R315" s="25"/>
      <c r="S315" s="25"/>
      <c r="T315" s="25"/>
      <c r="U315" s="25"/>
      <c r="V315" s="25"/>
      <c r="W315" s="25"/>
      <c r="X315" s="25"/>
      <c r="Y315" s="25"/>
      <c r="Z315" s="25"/>
    </row>
    <row r="316" ht="15.75" customHeight="1">
      <c r="A316" s="25"/>
      <c r="B316" s="503"/>
      <c r="C316" s="503"/>
      <c r="D316" s="503"/>
      <c r="E316" s="25"/>
      <c r="F316" s="25"/>
      <c r="G316" s="25"/>
      <c r="H316" s="25"/>
      <c r="I316" s="25"/>
      <c r="J316" s="25"/>
      <c r="K316" s="25"/>
      <c r="L316" s="25"/>
      <c r="M316" s="25"/>
      <c r="N316" s="25"/>
      <c r="O316" s="25"/>
      <c r="P316" s="25"/>
      <c r="Q316" s="25"/>
      <c r="R316" s="25"/>
      <c r="S316" s="25"/>
      <c r="T316" s="25"/>
      <c r="U316" s="25"/>
      <c r="V316" s="25"/>
      <c r="W316" s="25"/>
      <c r="X316" s="25"/>
      <c r="Y316" s="25"/>
      <c r="Z316" s="25"/>
    </row>
    <row r="317" ht="15.75" customHeight="1">
      <c r="A317" s="25"/>
      <c r="B317" s="503"/>
      <c r="C317" s="503"/>
      <c r="D317" s="503"/>
      <c r="E317" s="25"/>
      <c r="F317" s="25"/>
      <c r="G317" s="25"/>
      <c r="H317" s="25"/>
      <c r="I317" s="25"/>
      <c r="J317" s="25"/>
      <c r="K317" s="25"/>
      <c r="L317" s="25"/>
      <c r="M317" s="25"/>
      <c r="N317" s="25"/>
      <c r="O317" s="25"/>
      <c r="P317" s="25"/>
      <c r="Q317" s="25"/>
      <c r="R317" s="25"/>
      <c r="S317" s="25"/>
      <c r="T317" s="25"/>
      <c r="U317" s="25"/>
      <c r="V317" s="25"/>
      <c r="W317" s="25"/>
      <c r="X317" s="25"/>
      <c r="Y317" s="25"/>
      <c r="Z317" s="25"/>
    </row>
    <row r="318" ht="15.75" customHeight="1">
      <c r="A318" s="25"/>
      <c r="B318" s="503"/>
      <c r="C318" s="503"/>
      <c r="D318" s="503"/>
      <c r="E318" s="25"/>
      <c r="F318" s="25"/>
      <c r="G318" s="25"/>
      <c r="H318" s="25"/>
      <c r="I318" s="25"/>
      <c r="J318" s="25"/>
      <c r="K318" s="25"/>
      <c r="L318" s="25"/>
      <c r="M318" s="25"/>
      <c r="N318" s="25"/>
      <c r="O318" s="25"/>
      <c r="P318" s="25"/>
      <c r="Q318" s="25"/>
      <c r="R318" s="25"/>
      <c r="S318" s="25"/>
      <c r="T318" s="25"/>
      <c r="U318" s="25"/>
      <c r="V318" s="25"/>
      <c r="W318" s="25"/>
      <c r="X318" s="25"/>
      <c r="Y318" s="25"/>
      <c r="Z318" s="25"/>
    </row>
    <row r="319" ht="15.75" customHeight="1">
      <c r="A319" s="25"/>
      <c r="B319" s="503"/>
      <c r="C319" s="503"/>
      <c r="D319" s="503"/>
      <c r="E319" s="25"/>
      <c r="F319" s="25"/>
      <c r="G319" s="25"/>
      <c r="H319" s="25"/>
      <c r="I319" s="25"/>
      <c r="J319" s="25"/>
      <c r="K319" s="25"/>
      <c r="L319" s="25"/>
      <c r="M319" s="25"/>
      <c r="N319" s="25"/>
      <c r="O319" s="25"/>
      <c r="P319" s="25"/>
      <c r="Q319" s="25"/>
      <c r="R319" s="25"/>
      <c r="S319" s="25"/>
      <c r="T319" s="25"/>
      <c r="U319" s="25"/>
      <c r="V319" s="25"/>
      <c r="W319" s="25"/>
      <c r="X319" s="25"/>
      <c r="Y319" s="25"/>
      <c r="Z319" s="25"/>
    </row>
    <row r="320" ht="15.75" customHeight="1">
      <c r="A320" s="25"/>
      <c r="B320" s="503"/>
      <c r="C320" s="503"/>
      <c r="D320" s="503"/>
      <c r="E320" s="25"/>
      <c r="F320" s="25"/>
      <c r="G320" s="25"/>
      <c r="H320" s="25"/>
      <c r="I320" s="25"/>
      <c r="J320" s="25"/>
      <c r="K320" s="25"/>
      <c r="L320" s="25"/>
      <c r="M320" s="25"/>
      <c r="N320" s="25"/>
      <c r="O320" s="25"/>
      <c r="P320" s="25"/>
      <c r="Q320" s="25"/>
      <c r="R320" s="25"/>
      <c r="S320" s="25"/>
      <c r="T320" s="25"/>
      <c r="U320" s="25"/>
      <c r="V320" s="25"/>
      <c r="W320" s="25"/>
      <c r="X320" s="25"/>
      <c r="Y320" s="25"/>
      <c r="Z320" s="25"/>
    </row>
    <row r="321" ht="15.75" customHeight="1">
      <c r="A321" s="25"/>
      <c r="B321" s="503"/>
      <c r="C321" s="503"/>
      <c r="D321" s="503"/>
      <c r="E321" s="25"/>
      <c r="F321" s="25"/>
      <c r="G321" s="25"/>
      <c r="H321" s="25"/>
      <c r="I321" s="25"/>
      <c r="J321" s="25"/>
      <c r="K321" s="25"/>
      <c r="L321" s="25"/>
      <c r="M321" s="25"/>
      <c r="N321" s="25"/>
      <c r="O321" s="25"/>
      <c r="P321" s="25"/>
      <c r="Q321" s="25"/>
      <c r="R321" s="25"/>
      <c r="S321" s="25"/>
      <c r="T321" s="25"/>
      <c r="U321" s="25"/>
      <c r="V321" s="25"/>
      <c r="W321" s="25"/>
      <c r="X321" s="25"/>
      <c r="Y321" s="25"/>
      <c r="Z321" s="25"/>
    </row>
    <row r="322" ht="15.75" customHeight="1">
      <c r="A322" s="25"/>
      <c r="B322" s="503"/>
      <c r="C322" s="503"/>
      <c r="D322" s="503"/>
      <c r="E322" s="25"/>
      <c r="F322" s="25"/>
      <c r="G322" s="25"/>
      <c r="H322" s="25"/>
      <c r="I322" s="25"/>
      <c r="J322" s="25"/>
      <c r="K322" s="25"/>
      <c r="L322" s="25"/>
      <c r="M322" s="25"/>
      <c r="N322" s="25"/>
      <c r="O322" s="25"/>
      <c r="P322" s="25"/>
      <c r="Q322" s="25"/>
      <c r="R322" s="25"/>
      <c r="S322" s="25"/>
      <c r="T322" s="25"/>
      <c r="U322" s="25"/>
      <c r="V322" s="25"/>
      <c r="W322" s="25"/>
      <c r="X322" s="25"/>
      <c r="Y322" s="25"/>
      <c r="Z322" s="25"/>
    </row>
    <row r="323" ht="15.75" customHeight="1">
      <c r="A323" s="25"/>
      <c r="B323" s="503"/>
      <c r="C323" s="503"/>
      <c r="D323" s="503"/>
      <c r="E323" s="25"/>
      <c r="F323" s="25"/>
      <c r="G323" s="25"/>
      <c r="H323" s="25"/>
      <c r="I323" s="25"/>
      <c r="J323" s="25"/>
      <c r="K323" s="25"/>
      <c r="L323" s="25"/>
      <c r="M323" s="25"/>
      <c r="N323" s="25"/>
      <c r="O323" s="25"/>
      <c r="P323" s="25"/>
      <c r="Q323" s="25"/>
      <c r="R323" s="25"/>
      <c r="S323" s="25"/>
      <c r="T323" s="25"/>
      <c r="U323" s="25"/>
      <c r="V323" s="25"/>
      <c r="W323" s="25"/>
      <c r="X323" s="25"/>
      <c r="Y323" s="25"/>
      <c r="Z323" s="25"/>
    </row>
    <row r="324" ht="15.75" customHeight="1">
      <c r="A324" s="25"/>
      <c r="B324" s="503"/>
      <c r="C324" s="503"/>
      <c r="D324" s="503"/>
      <c r="E324" s="25"/>
      <c r="F324" s="25"/>
      <c r="G324" s="25"/>
      <c r="H324" s="25"/>
      <c r="I324" s="25"/>
      <c r="J324" s="25"/>
      <c r="K324" s="25"/>
      <c r="L324" s="25"/>
      <c r="M324" s="25"/>
      <c r="N324" s="25"/>
      <c r="O324" s="25"/>
      <c r="P324" s="25"/>
      <c r="Q324" s="25"/>
      <c r="R324" s="25"/>
      <c r="S324" s="25"/>
      <c r="T324" s="25"/>
      <c r="U324" s="25"/>
      <c r="V324" s="25"/>
      <c r="W324" s="25"/>
      <c r="X324" s="25"/>
      <c r="Y324" s="25"/>
      <c r="Z324" s="25"/>
    </row>
    <row r="325" ht="15.75" customHeight="1">
      <c r="A325" s="25"/>
      <c r="B325" s="503"/>
      <c r="C325" s="503"/>
      <c r="D325" s="503"/>
      <c r="E325" s="25"/>
      <c r="F325" s="25"/>
      <c r="G325" s="25"/>
      <c r="H325" s="25"/>
      <c r="I325" s="25"/>
      <c r="J325" s="25"/>
      <c r="K325" s="25"/>
      <c r="L325" s="25"/>
      <c r="M325" s="25"/>
      <c r="N325" s="25"/>
      <c r="O325" s="25"/>
      <c r="P325" s="25"/>
      <c r="Q325" s="25"/>
      <c r="R325" s="25"/>
      <c r="S325" s="25"/>
      <c r="T325" s="25"/>
      <c r="U325" s="25"/>
      <c r="V325" s="25"/>
      <c r="W325" s="25"/>
      <c r="X325" s="25"/>
      <c r="Y325" s="25"/>
      <c r="Z325" s="25"/>
    </row>
    <row r="326" ht="15.75" customHeight="1">
      <c r="A326" s="25"/>
      <c r="B326" s="503"/>
      <c r="C326" s="503"/>
      <c r="D326" s="503"/>
      <c r="E326" s="25"/>
      <c r="F326" s="25"/>
      <c r="G326" s="25"/>
      <c r="H326" s="25"/>
      <c r="I326" s="25"/>
      <c r="J326" s="25"/>
      <c r="K326" s="25"/>
      <c r="L326" s="25"/>
      <c r="M326" s="25"/>
      <c r="N326" s="25"/>
      <c r="O326" s="25"/>
      <c r="P326" s="25"/>
      <c r="Q326" s="25"/>
      <c r="R326" s="25"/>
      <c r="S326" s="25"/>
      <c r="T326" s="25"/>
      <c r="U326" s="25"/>
      <c r="V326" s="25"/>
      <c r="W326" s="25"/>
      <c r="X326" s="25"/>
      <c r="Y326" s="25"/>
      <c r="Z326" s="25"/>
    </row>
    <row r="327" ht="15.75" customHeight="1">
      <c r="A327" s="25"/>
      <c r="B327" s="503"/>
      <c r="C327" s="503"/>
      <c r="D327" s="503"/>
      <c r="E327" s="25"/>
      <c r="F327" s="25"/>
      <c r="G327" s="25"/>
      <c r="H327" s="25"/>
      <c r="I327" s="25"/>
      <c r="J327" s="25"/>
      <c r="K327" s="25"/>
      <c r="L327" s="25"/>
      <c r="M327" s="25"/>
      <c r="N327" s="25"/>
      <c r="O327" s="25"/>
      <c r="P327" s="25"/>
      <c r="Q327" s="25"/>
      <c r="R327" s="25"/>
      <c r="S327" s="25"/>
      <c r="T327" s="25"/>
      <c r="U327" s="25"/>
      <c r="V327" s="25"/>
      <c r="W327" s="25"/>
      <c r="X327" s="25"/>
      <c r="Y327" s="25"/>
      <c r="Z327" s="25"/>
    </row>
    <row r="328" ht="15.75" customHeight="1">
      <c r="A328" s="25"/>
      <c r="B328" s="503"/>
      <c r="C328" s="503"/>
      <c r="D328" s="503"/>
      <c r="E328" s="25"/>
      <c r="F328" s="25"/>
      <c r="G328" s="25"/>
      <c r="H328" s="25"/>
      <c r="I328" s="25"/>
      <c r="J328" s="25"/>
      <c r="K328" s="25"/>
      <c r="L328" s="25"/>
      <c r="M328" s="25"/>
      <c r="N328" s="25"/>
      <c r="O328" s="25"/>
      <c r="P328" s="25"/>
      <c r="Q328" s="25"/>
      <c r="R328" s="25"/>
      <c r="S328" s="25"/>
      <c r="T328" s="25"/>
      <c r="U328" s="25"/>
      <c r="V328" s="25"/>
      <c r="W328" s="25"/>
      <c r="X328" s="25"/>
      <c r="Y328" s="25"/>
      <c r="Z328" s="25"/>
    </row>
    <row r="329" ht="15.75" customHeight="1">
      <c r="A329" s="25"/>
      <c r="B329" s="503"/>
      <c r="C329" s="503"/>
      <c r="D329" s="503"/>
      <c r="E329" s="25"/>
      <c r="F329" s="25"/>
      <c r="G329" s="25"/>
      <c r="H329" s="25"/>
      <c r="I329" s="25"/>
      <c r="J329" s="25"/>
      <c r="K329" s="25"/>
      <c r="L329" s="25"/>
      <c r="M329" s="25"/>
      <c r="N329" s="25"/>
      <c r="O329" s="25"/>
      <c r="P329" s="25"/>
      <c r="Q329" s="25"/>
      <c r="R329" s="25"/>
      <c r="S329" s="25"/>
      <c r="T329" s="25"/>
      <c r="U329" s="25"/>
      <c r="V329" s="25"/>
      <c r="W329" s="25"/>
      <c r="X329" s="25"/>
      <c r="Y329" s="25"/>
      <c r="Z329" s="25"/>
    </row>
    <row r="330" ht="15.75" customHeight="1">
      <c r="A330" s="25"/>
      <c r="B330" s="503"/>
      <c r="C330" s="503"/>
      <c r="D330" s="503"/>
      <c r="E330" s="25"/>
      <c r="F330" s="25"/>
      <c r="G330" s="25"/>
      <c r="H330" s="25"/>
      <c r="I330" s="25"/>
      <c r="J330" s="25"/>
      <c r="K330" s="25"/>
      <c r="L330" s="25"/>
      <c r="M330" s="25"/>
      <c r="N330" s="25"/>
      <c r="O330" s="25"/>
      <c r="P330" s="25"/>
      <c r="Q330" s="25"/>
      <c r="R330" s="25"/>
      <c r="S330" s="25"/>
      <c r="T330" s="25"/>
      <c r="U330" s="25"/>
      <c r="V330" s="25"/>
      <c r="W330" s="25"/>
      <c r="X330" s="25"/>
      <c r="Y330" s="25"/>
      <c r="Z330" s="25"/>
    </row>
    <row r="331" ht="15.75" customHeight="1">
      <c r="A331" s="25"/>
      <c r="B331" s="503"/>
      <c r="C331" s="503"/>
      <c r="D331" s="503"/>
      <c r="E331" s="25"/>
      <c r="F331" s="25"/>
      <c r="G331" s="25"/>
      <c r="H331" s="25"/>
      <c r="I331" s="25"/>
      <c r="J331" s="25"/>
      <c r="K331" s="25"/>
      <c r="L331" s="25"/>
      <c r="M331" s="25"/>
      <c r="N331" s="25"/>
      <c r="O331" s="25"/>
      <c r="P331" s="25"/>
      <c r="Q331" s="25"/>
      <c r="R331" s="25"/>
      <c r="S331" s="25"/>
      <c r="T331" s="25"/>
      <c r="U331" s="25"/>
      <c r="V331" s="25"/>
      <c r="W331" s="25"/>
      <c r="X331" s="25"/>
      <c r="Y331" s="25"/>
      <c r="Z331" s="25"/>
    </row>
    <row r="332" ht="15.75" customHeight="1">
      <c r="A332" s="25"/>
      <c r="B332" s="503"/>
      <c r="C332" s="503"/>
      <c r="D332" s="503"/>
      <c r="E332" s="25"/>
      <c r="F332" s="25"/>
      <c r="G332" s="25"/>
      <c r="H332" s="25"/>
      <c r="I332" s="25"/>
      <c r="J332" s="25"/>
      <c r="K332" s="25"/>
      <c r="L332" s="25"/>
      <c r="M332" s="25"/>
      <c r="N332" s="25"/>
      <c r="O332" s="25"/>
      <c r="P332" s="25"/>
      <c r="Q332" s="25"/>
      <c r="R332" s="25"/>
      <c r="S332" s="25"/>
      <c r="T332" s="25"/>
      <c r="U332" s="25"/>
      <c r="V332" s="25"/>
      <c r="W332" s="25"/>
      <c r="X332" s="25"/>
      <c r="Y332" s="25"/>
      <c r="Z332" s="25"/>
    </row>
    <row r="333" ht="15.75" customHeight="1">
      <c r="A333" s="25"/>
      <c r="B333" s="503"/>
      <c r="C333" s="503"/>
      <c r="D333" s="503"/>
      <c r="E333" s="25"/>
      <c r="F333" s="25"/>
      <c r="G333" s="25"/>
      <c r="H333" s="25"/>
      <c r="I333" s="25"/>
      <c r="J333" s="25"/>
      <c r="K333" s="25"/>
      <c r="L333" s="25"/>
      <c r="M333" s="25"/>
      <c r="N333" s="25"/>
      <c r="O333" s="25"/>
      <c r="P333" s="25"/>
      <c r="Q333" s="25"/>
      <c r="R333" s="25"/>
      <c r="S333" s="25"/>
      <c r="T333" s="25"/>
      <c r="U333" s="25"/>
      <c r="V333" s="25"/>
      <c r="W333" s="25"/>
      <c r="X333" s="25"/>
      <c r="Y333" s="25"/>
      <c r="Z333" s="25"/>
    </row>
    <row r="334" ht="15.75" customHeight="1">
      <c r="A334" s="25"/>
      <c r="B334" s="503"/>
      <c r="C334" s="503"/>
      <c r="D334" s="503"/>
      <c r="E334" s="25"/>
      <c r="F334" s="25"/>
      <c r="G334" s="25"/>
      <c r="H334" s="25"/>
      <c r="I334" s="25"/>
      <c r="J334" s="25"/>
      <c r="K334" s="25"/>
      <c r="L334" s="25"/>
      <c r="M334" s="25"/>
      <c r="N334" s="25"/>
      <c r="O334" s="25"/>
      <c r="P334" s="25"/>
      <c r="Q334" s="25"/>
      <c r="R334" s="25"/>
      <c r="S334" s="25"/>
      <c r="T334" s="25"/>
      <c r="U334" s="25"/>
      <c r="V334" s="25"/>
      <c r="W334" s="25"/>
      <c r="X334" s="25"/>
      <c r="Y334" s="25"/>
      <c r="Z334" s="25"/>
    </row>
    <row r="335" ht="15.75" customHeight="1">
      <c r="A335" s="25"/>
      <c r="B335" s="503"/>
      <c r="C335" s="503"/>
      <c r="D335" s="503"/>
      <c r="E335" s="25"/>
      <c r="F335" s="25"/>
      <c r="G335" s="25"/>
      <c r="H335" s="25"/>
      <c r="I335" s="25"/>
      <c r="J335" s="25"/>
      <c r="K335" s="25"/>
      <c r="L335" s="25"/>
      <c r="M335" s="25"/>
      <c r="N335" s="25"/>
      <c r="O335" s="25"/>
      <c r="P335" s="25"/>
      <c r="Q335" s="25"/>
      <c r="R335" s="25"/>
      <c r="S335" s="25"/>
      <c r="T335" s="25"/>
      <c r="U335" s="25"/>
      <c r="V335" s="25"/>
      <c r="W335" s="25"/>
      <c r="X335" s="25"/>
      <c r="Y335" s="25"/>
      <c r="Z335" s="25"/>
    </row>
    <row r="336" ht="15.75" customHeight="1">
      <c r="A336" s="25"/>
      <c r="B336" s="503"/>
      <c r="C336" s="503"/>
      <c r="D336" s="503"/>
      <c r="E336" s="25"/>
      <c r="F336" s="25"/>
      <c r="G336" s="25"/>
      <c r="H336" s="25"/>
      <c r="I336" s="25"/>
      <c r="J336" s="25"/>
      <c r="K336" s="25"/>
      <c r="L336" s="25"/>
      <c r="M336" s="25"/>
      <c r="N336" s="25"/>
      <c r="O336" s="25"/>
      <c r="P336" s="25"/>
      <c r="Q336" s="25"/>
      <c r="R336" s="25"/>
      <c r="S336" s="25"/>
      <c r="T336" s="25"/>
      <c r="U336" s="25"/>
      <c r="V336" s="25"/>
      <c r="W336" s="25"/>
      <c r="X336" s="25"/>
      <c r="Y336" s="25"/>
      <c r="Z336" s="25"/>
    </row>
    <row r="337" ht="15.75" customHeight="1">
      <c r="A337" s="25"/>
      <c r="B337" s="503"/>
      <c r="C337" s="503"/>
      <c r="D337" s="503"/>
      <c r="E337" s="25"/>
      <c r="F337" s="25"/>
      <c r="G337" s="25"/>
      <c r="H337" s="25"/>
      <c r="I337" s="25"/>
      <c r="J337" s="25"/>
      <c r="K337" s="25"/>
      <c r="L337" s="25"/>
      <c r="M337" s="25"/>
      <c r="N337" s="25"/>
      <c r="O337" s="25"/>
      <c r="P337" s="25"/>
      <c r="Q337" s="25"/>
      <c r="R337" s="25"/>
      <c r="S337" s="25"/>
      <c r="T337" s="25"/>
      <c r="U337" s="25"/>
      <c r="V337" s="25"/>
      <c r="W337" s="25"/>
      <c r="X337" s="25"/>
      <c r="Y337" s="25"/>
      <c r="Z337" s="25"/>
    </row>
    <row r="338" ht="15.75" customHeight="1">
      <c r="A338" s="25"/>
      <c r="B338" s="503"/>
      <c r="C338" s="503"/>
      <c r="D338" s="503"/>
      <c r="E338" s="25"/>
      <c r="F338" s="25"/>
      <c r="G338" s="25"/>
      <c r="H338" s="25"/>
      <c r="I338" s="25"/>
      <c r="J338" s="25"/>
      <c r="K338" s="25"/>
      <c r="L338" s="25"/>
      <c r="M338" s="25"/>
      <c r="N338" s="25"/>
      <c r="O338" s="25"/>
      <c r="P338" s="25"/>
      <c r="Q338" s="25"/>
      <c r="R338" s="25"/>
      <c r="S338" s="25"/>
      <c r="T338" s="25"/>
      <c r="U338" s="25"/>
      <c r="V338" s="25"/>
      <c r="W338" s="25"/>
      <c r="X338" s="25"/>
      <c r="Y338" s="25"/>
      <c r="Z338" s="25"/>
    </row>
    <row r="339" ht="15.75" customHeight="1">
      <c r="A339" s="25"/>
      <c r="B339" s="503"/>
      <c r="C339" s="503"/>
      <c r="D339" s="503"/>
      <c r="E339" s="25"/>
      <c r="F339" s="25"/>
      <c r="G339" s="25"/>
      <c r="H339" s="25"/>
      <c r="I339" s="25"/>
      <c r="J339" s="25"/>
      <c r="K339" s="25"/>
      <c r="L339" s="25"/>
      <c r="M339" s="25"/>
      <c r="N339" s="25"/>
      <c r="O339" s="25"/>
      <c r="P339" s="25"/>
      <c r="Q339" s="25"/>
      <c r="R339" s="25"/>
      <c r="S339" s="25"/>
      <c r="T339" s="25"/>
      <c r="U339" s="25"/>
      <c r="V339" s="25"/>
      <c r="W339" s="25"/>
      <c r="X339" s="25"/>
      <c r="Y339" s="25"/>
      <c r="Z339" s="25"/>
    </row>
    <row r="340" ht="15.75" customHeight="1">
      <c r="A340" s="25"/>
      <c r="B340" s="503"/>
      <c r="C340" s="503"/>
      <c r="D340" s="503"/>
      <c r="E340" s="25"/>
      <c r="F340" s="25"/>
      <c r="G340" s="25"/>
      <c r="H340" s="25"/>
      <c r="I340" s="25"/>
      <c r="J340" s="25"/>
      <c r="K340" s="25"/>
      <c r="L340" s="25"/>
      <c r="M340" s="25"/>
      <c r="N340" s="25"/>
      <c r="O340" s="25"/>
      <c r="P340" s="25"/>
      <c r="Q340" s="25"/>
      <c r="R340" s="25"/>
      <c r="S340" s="25"/>
      <c r="T340" s="25"/>
      <c r="U340" s="25"/>
      <c r="V340" s="25"/>
      <c r="W340" s="25"/>
      <c r="X340" s="25"/>
      <c r="Y340" s="25"/>
      <c r="Z340" s="25"/>
    </row>
    <row r="341" ht="15.75" customHeight="1">
      <c r="A341" s="25"/>
      <c r="B341" s="503"/>
      <c r="C341" s="503"/>
      <c r="D341" s="503"/>
      <c r="E341" s="25"/>
      <c r="F341" s="25"/>
      <c r="G341" s="25"/>
      <c r="H341" s="25"/>
      <c r="I341" s="25"/>
      <c r="J341" s="25"/>
      <c r="K341" s="25"/>
      <c r="L341" s="25"/>
      <c r="M341" s="25"/>
      <c r="N341" s="25"/>
      <c r="O341" s="25"/>
      <c r="P341" s="25"/>
      <c r="Q341" s="25"/>
      <c r="R341" s="25"/>
      <c r="S341" s="25"/>
      <c r="T341" s="25"/>
      <c r="U341" s="25"/>
      <c r="V341" s="25"/>
      <c r="W341" s="25"/>
      <c r="X341" s="25"/>
      <c r="Y341" s="25"/>
      <c r="Z341" s="25"/>
    </row>
    <row r="342" ht="15.75" customHeight="1">
      <c r="A342" s="25"/>
      <c r="B342" s="503"/>
      <c r="C342" s="503"/>
      <c r="D342" s="503"/>
      <c r="E342" s="25"/>
      <c r="F342" s="25"/>
      <c r="G342" s="25"/>
      <c r="H342" s="25"/>
      <c r="I342" s="25"/>
      <c r="J342" s="25"/>
      <c r="K342" s="25"/>
      <c r="L342" s="25"/>
      <c r="M342" s="25"/>
      <c r="N342" s="25"/>
      <c r="O342" s="25"/>
      <c r="P342" s="25"/>
      <c r="Q342" s="25"/>
      <c r="R342" s="25"/>
      <c r="S342" s="25"/>
      <c r="T342" s="25"/>
      <c r="U342" s="25"/>
      <c r="V342" s="25"/>
      <c r="W342" s="25"/>
      <c r="X342" s="25"/>
      <c r="Y342" s="25"/>
      <c r="Z342" s="25"/>
    </row>
    <row r="343" ht="15.75" customHeight="1">
      <c r="A343" s="25"/>
      <c r="B343" s="503"/>
      <c r="C343" s="503"/>
      <c r="D343" s="503"/>
      <c r="E343" s="25"/>
      <c r="F343" s="25"/>
      <c r="G343" s="25"/>
      <c r="H343" s="25"/>
      <c r="I343" s="25"/>
      <c r="J343" s="25"/>
      <c r="K343" s="25"/>
      <c r="L343" s="25"/>
      <c r="M343" s="25"/>
      <c r="N343" s="25"/>
      <c r="O343" s="25"/>
      <c r="P343" s="25"/>
      <c r="Q343" s="25"/>
      <c r="R343" s="25"/>
      <c r="S343" s="25"/>
      <c r="T343" s="25"/>
      <c r="U343" s="25"/>
      <c r="V343" s="25"/>
      <c r="W343" s="25"/>
      <c r="X343" s="25"/>
      <c r="Y343" s="25"/>
      <c r="Z343" s="25"/>
    </row>
    <row r="344" ht="15.75" customHeight="1">
      <c r="A344" s="25"/>
      <c r="B344" s="503"/>
      <c r="C344" s="503"/>
      <c r="D344" s="503"/>
      <c r="E344" s="25"/>
      <c r="F344" s="25"/>
      <c r="G344" s="25"/>
      <c r="H344" s="25"/>
      <c r="I344" s="25"/>
      <c r="J344" s="25"/>
      <c r="K344" s="25"/>
      <c r="L344" s="25"/>
      <c r="M344" s="25"/>
      <c r="N344" s="25"/>
      <c r="O344" s="25"/>
      <c r="P344" s="25"/>
      <c r="Q344" s="25"/>
      <c r="R344" s="25"/>
      <c r="S344" s="25"/>
      <c r="T344" s="25"/>
      <c r="U344" s="25"/>
      <c r="V344" s="25"/>
      <c r="W344" s="25"/>
      <c r="X344" s="25"/>
      <c r="Y344" s="25"/>
      <c r="Z344" s="25"/>
    </row>
    <row r="345" ht="15.75" customHeight="1">
      <c r="A345" s="25"/>
      <c r="B345" s="503"/>
      <c r="C345" s="503"/>
      <c r="D345" s="503"/>
      <c r="E345" s="25"/>
      <c r="F345" s="25"/>
      <c r="G345" s="25"/>
      <c r="H345" s="25"/>
      <c r="I345" s="25"/>
      <c r="J345" s="25"/>
      <c r="K345" s="25"/>
      <c r="L345" s="25"/>
      <c r="M345" s="25"/>
      <c r="N345" s="25"/>
      <c r="O345" s="25"/>
      <c r="P345" s="25"/>
      <c r="Q345" s="25"/>
      <c r="R345" s="25"/>
      <c r="S345" s="25"/>
      <c r="T345" s="25"/>
      <c r="U345" s="25"/>
      <c r="V345" s="25"/>
      <c r="W345" s="25"/>
      <c r="X345" s="25"/>
      <c r="Y345" s="25"/>
      <c r="Z345" s="25"/>
    </row>
    <row r="346" ht="15.75" customHeight="1">
      <c r="A346" s="25"/>
      <c r="B346" s="503"/>
      <c r="C346" s="503"/>
      <c r="D346" s="503"/>
      <c r="E346" s="25"/>
      <c r="F346" s="25"/>
      <c r="G346" s="25"/>
      <c r="H346" s="25"/>
      <c r="I346" s="25"/>
      <c r="J346" s="25"/>
      <c r="K346" s="25"/>
      <c r="L346" s="25"/>
      <c r="M346" s="25"/>
      <c r="N346" s="25"/>
      <c r="O346" s="25"/>
      <c r="P346" s="25"/>
      <c r="Q346" s="25"/>
      <c r="R346" s="25"/>
      <c r="S346" s="25"/>
      <c r="T346" s="25"/>
      <c r="U346" s="25"/>
      <c r="V346" s="25"/>
      <c r="W346" s="25"/>
      <c r="X346" s="25"/>
      <c r="Y346" s="25"/>
      <c r="Z346" s="25"/>
    </row>
    <row r="347" ht="15.75" customHeight="1">
      <c r="A347" s="25"/>
      <c r="B347" s="503"/>
      <c r="C347" s="503"/>
      <c r="D347" s="503"/>
      <c r="E347" s="25"/>
      <c r="F347" s="25"/>
      <c r="G347" s="25"/>
      <c r="H347" s="25"/>
      <c r="I347" s="25"/>
      <c r="J347" s="25"/>
      <c r="K347" s="25"/>
      <c r="L347" s="25"/>
      <c r="M347" s="25"/>
      <c r="N347" s="25"/>
      <c r="O347" s="25"/>
      <c r="P347" s="25"/>
      <c r="Q347" s="25"/>
      <c r="R347" s="25"/>
      <c r="S347" s="25"/>
      <c r="T347" s="25"/>
      <c r="U347" s="25"/>
      <c r="V347" s="25"/>
      <c r="W347" s="25"/>
      <c r="X347" s="25"/>
      <c r="Y347" s="25"/>
      <c r="Z347" s="25"/>
    </row>
    <row r="348" ht="15.75" customHeight="1">
      <c r="A348" s="25"/>
      <c r="B348" s="503"/>
      <c r="C348" s="503"/>
      <c r="D348" s="503"/>
      <c r="E348" s="25"/>
      <c r="F348" s="25"/>
      <c r="G348" s="25"/>
      <c r="H348" s="25"/>
      <c r="I348" s="25"/>
      <c r="J348" s="25"/>
      <c r="K348" s="25"/>
      <c r="L348" s="25"/>
      <c r="M348" s="25"/>
      <c r="N348" s="25"/>
      <c r="O348" s="25"/>
      <c r="P348" s="25"/>
      <c r="Q348" s="25"/>
      <c r="R348" s="25"/>
      <c r="S348" s="25"/>
      <c r="T348" s="25"/>
      <c r="U348" s="25"/>
      <c r="V348" s="25"/>
      <c r="W348" s="25"/>
      <c r="X348" s="25"/>
      <c r="Y348" s="25"/>
      <c r="Z348" s="25"/>
    </row>
    <row r="349" ht="15.75" customHeight="1">
      <c r="A349" s="25"/>
      <c r="B349" s="503"/>
      <c r="C349" s="503"/>
      <c r="D349" s="503"/>
      <c r="E349" s="25"/>
      <c r="F349" s="25"/>
      <c r="G349" s="25"/>
      <c r="H349" s="25"/>
      <c r="I349" s="25"/>
      <c r="J349" s="25"/>
      <c r="K349" s="25"/>
      <c r="L349" s="25"/>
      <c r="M349" s="25"/>
      <c r="N349" s="25"/>
      <c r="O349" s="25"/>
      <c r="P349" s="25"/>
      <c r="Q349" s="25"/>
      <c r="R349" s="25"/>
      <c r="S349" s="25"/>
      <c r="T349" s="25"/>
      <c r="U349" s="25"/>
      <c r="V349" s="25"/>
      <c r="W349" s="25"/>
      <c r="X349" s="25"/>
      <c r="Y349" s="25"/>
      <c r="Z349" s="25"/>
    </row>
    <row r="350" ht="15.75" customHeight="1">
      <c r="A350" s="25"/>
      <c r="B350" s="503"/>
      <c r="C350" s="503"/>
      <c r="D350" s="503"/>
      <c r="E350" s="25"/>
      <c r="F350" s="25"/>
      <c r="G350" s="25"/>
      <c r="H350" s="25"/>
      <c r="I350" s="25"/>
      <c r="J350" s="25"/>
      <c r="K350" s="25"/>
      <c r="L350" s="25"/>
      <c r="M350" s="25"/>
      <c r="N350" s="25"/>
      <c r="O350" s="25"/>
      <c r="P350" s="25"/>
      <c r="Q350" s="25"/>
      <c r="R350" s="25"/>
      <c r="S350" s="25"/>
      <c r="T350" s="25"/>
      <c r="U350" s="25"/>
      <c r="V350" s="25"/>
      <c r="W350" s="25"/>
      <c r="X350" s="25"/>
      <c r="Y350" s="25"/>
      <c r="Z350" s="25"/>
    </row>
    <row r="351" ht="15.75" customHeight="1">
      <c r="A351" s="25"/>
      <c r="B351" s="503"/>
      <c r="C351" s="503"/>
      <c r="D351" s="503"/>
      <c r="E351" s="25"/>
      <c r="F351" s="25"/>
      <c r="G351" s="25"/>
      <c r="H351" s="25"/>
      <c r="I351" s="25"/>
      <c r="J351" s="25"/>
      <c r="K351" s="25"/>
      <c r="L351" s="25"/>
      <c r="M351" s="25"/>
      <c r="N351" s="25"/>
      <c r="O351" s="25"/>
      <c r="P351" s="25"/>
      <c r="Q351" s="25"/>
      <c r="R351" s="25"/>
      <c r="S351" s="25"/>
      <c r="T351" s="25"/>
      <c r="U351" s="25"/>
      <c r="V351" s="25"/>
      <c r="W351" s="25"/>
      <c r="X351" s="25"/>
      <c r="Y351" s="25"/>
      <c r="Z351" s="25"/>
    </row>
    <row r="352" ht="15.75" customHeight="1">
      <c r="A352" s="25"/>
      <c r="B352" s="503"/>
      <c r="C352" s="503"/>
      <c r="D352" s="503"/>
      <c r="E352" s="25"/>
      <c r="F352" s="25"/>
      <c r="G352" s="25"/>
      <c r="H352" s="25"/>
      <c r="I352" s="25"/>
      <c r="J352" s="25"/>
      <c r="K352" s="25"/>
      <c r="L352" s="25"/>
      <c r="M352" s="25"/>
      <c r="N352" s="25"/>
      <c r="O352" s="25"/>
      <c r="P352" s="25"/>
      <c r="Q352" s="25"/>
      <c r="R352" s="25"/>
      <c r="S352" s="25"/>
      <c r="T352" s="25"/>
      <c r="U352" s="25"/>
      <c r="V352" s="25"/>
      <c r="W352" s="25"/>
      <c r="X352" s="25"/>
      <c r="Y352" s="25"/>
      <c r="Z352" s="25"/>
    </row>
    <row r="353" ht="15.75" customHeight="1">
      <c r="A353" s="25"/>
      <c r="B353" s="503"/>
      <c r="C353" s="503"/>
      <c r="D353" s="503"/>
      <c r="E353" s="25"/>
      <c r="F353" s="25"/>
      <c r="G353" s="25"/>
      <c r="H353" s="25"/>
      <c r="I353" s="25"/>
      <c r="J353" s="25"/>
      <c r="K353" s="25"/>
      <c r="L353" s="25"/>
      <c r="M353" s="25"/>
      <c r="N353" s="25"/>
      <c r="O353" s="25"/>
      <c r="P353" s="25"/>
      <c r="Q353" s="25"/>
      <c r="R353" s="25"/>
      <c r="S353" s="25"/>
      <c r="T353" s="25"/>
      <c r="U353" s="25"/>
      <c r="V353" s="25"/>
      <c r="W353" s="25"/>
      <c r="X353" s="25"/>
      <c r="Y353" s="25"/>
      <c r="Z353" s="25"/>
    </row>
    <row r="354" ht="15.75" customHeight="1">
      <c r="A354" s="25"/>
      <c r="B354" s="503"/>
      <c r="C354" s="503"/>
      <c r="D354" s="503"/>
      <c r="E354" s="25"/>
      <c r="F354" s="25"/>
      <c r="G354" s="25"/>
      <c r="H354" s="25"/>
      <c r="I354" s="25"/>
      <c r="J354" s="25"/>
      <c r="K354" s="25"/>
      <c r="L354" s="25"/>
      <c r="M354" s="25"/>
      <c r="N354" s="25"/>
      <c r="O354" s="25"/>
      <c r="P354" s="25"/>
      <c r="Q354" s="25"/>
      <c r="R354" s="25"/>
      <c r="S354" s="25"/>
      <c r="T354" s="25"/>
      <c r="U354" s="25"/>
      <c r="V354" s="25"/>
      <c r="W354" s="25"/>
      <c r="X354" s="25"/>
      <c r="Y354" s="25"/>
      <c r="Z354" s="25"/>
    </row>
    <row r="355" ht="15.75" customHeight="1">
      <c r="A355" s="25"/>
      <c r="B355" s="503"/>
      <c r="C355" s="503"/>
      <c r="D355" s="503"/>
      <c r="E355" s="25"/>
      <c r="F355" s="25"/>
      <c r="G355" s="25"/>
      <c r="H355" s="25"/>
      <c r="I355" s="25"/>
      <c r="J355" s="25"/>
      <c r="K355" s="25"/>
      <c r="L355" s="25"/>
      <c r="M355" s="25"/>
      <c r="N355" s="25"/>
      <c r="O355" s="25"/>
      <c r="P355" s="25"/>
      <c r="Q355" s="25"/>
      <c r="R355" s="25"/>
      <c r="S355" s="25"/>
      <c r="T355" s="25"/>
      <c r="U355" s="25"/>
      <c r="V355" s="25"/>
      <c r="W355" s="25"/>
      <c r="X355" s="25"/>
      <c r="Y355" s="25"/>
      <c r="Z355" s="25"/>
    </row>
    <row r="356" ht="15.75" customHeight="1">
      <c r="A356" s="25"/>
      <c r="B356" s="503"/>
      <c r="C356" s="503"/>
      <c r="D356" s="503"/>
      <c r="E356" s="25"/>
      <c r="F356" s="25"/>
      <c r="G356" s="25"/>
      <c r="H356" s="25"/>
      <c r="I356" s="25"/>
      <c r="J356" s="25"/>
      <c r="K356" s="25"/>
      <c r="L356" s="25"/>
      <c r="M356" s="25"/>
      <c r="N356" s="25"/>
      <c r="O356" s="25"/>
      <c r="P356" s="25"/>
      <c r="Q356" s="25"/>
      <c r="R356" s="25"/>
      <c r="S356" s="25"/>
      <c r="T356" s="25"/>
      <c r="U356" s="25"/>
      <c r="V356" s="25"/>
      <c r="W356" s="25"/>
      <c r="X356" s="25"/>
      <c r="Y356" s="25"/>
      <c r="Z356" s="25"/>
    </row>
    <row r="357" ht="15.75" customHeight="1">
      <c r="A357" s="25"/>
      <c r="B357" s="503"/>
      <c r="C357" s="503"/>
      <c r="D357" s="503"/>
      <c r="E357" s="25"/>
      <c r="F357" s="25"/>
      <c r="G357" s="25"/>
      <c r="H357" s="25"/>
      <c r="I357" s="25"/>
      <c r="J357" s="25"/>
      <c r="K357" s="25"/>
      <c r="L357" s="25"/>
      <c r="M357" s="25"/>
      <c r="N357" s="25"/>
      <c r="O357" s="25"/>
      <c r="P357" s="25"/>
      <c r="Q357" s="25"/>
      <c r="R357" s="25"/>
      <c r="S357" s="25"/>
      <c r="T357" s="25"/>
      <c r="U357" s="25"/>
      <c r="V357" s="25"/>
      <c r="W357" s="25"/>
      <c r="X357" s="25"/>
      <c r="Y357" s="25"/>
      <c r="Z357" s="25"/>
    </row>
    <row r="358" ht="15.75" customHeight="1">
      <c r="A358" s="25"/>
      <c r="B358" s="503"/>
      <c r="C358" s="503"/>
      <c r="D358" s="503"/>
      <c r="E358" s="25"/>
      <c r="F358" s="25"/>
      <c r="G358" s="25"/>
      <c r="H358" s="25"/>
      <c r="I358" s="25"/>
      <c r="J358" s="25"/>
      <c r="K358" s="25"/>
      <c r="L358" s="25"/>
      <c r="M358" s="25"/>
      <c r="N358" s="25"/>
      <c r="O358" s="25"/>
      <c r="P358" s="25"/>
      <c r="Q358" s="25"/>
      <c r="R358" s="25"/>
      <c r="S358" s="25"/>
      <c r="T358" s="25"/>
      <c r="U358" s="25"/>
      <c r="V358" s="25"/>
      <c r="W358" s="25"/>
      <c r="X358" s="25"/>
      <c r="Y358" s="25"/>
      <c r="Z358" s="25"/>
    </row>
    <row r="359" ht="15.75" customHeight="1">
      <c r="A359" s="25"/>
      <c r="B359" s="503"/>
      <c r="C359" s="503"/>
      <c r="D359" s="503"/>
      <c r="E359" s="25"/>
      <c r="F359" s="25"/>
      <c r="G359" s="25"/>
      <c r="H359" s="25"/>
      <c r="I359" s="25"/>
      <c r="J359" s="25"/>
      <c r="K359" s="25"/>
      <c r="L359" s="25"/>
      <c r="M359" s="25"/>
      <c r="N359" s="25"/>
      <c r="O359" s="25"/>
      <c r="P359" s="25"/>
      <c r="Q359" s="25"/>
      <c r="R359" s="25"/>
      <c r="S359" s="25"/>
      <c r="T359" s="25"/>
      <c r="U359" s="25"/>
      <c r="V359" s="25"/>
      <c r="W359" s="25"/>
      <c r="X359" s="25"/>
      <c r="Y359" s="25"/>
      <c r="Z359" s="25"/>
    </row>
    <row r="360" ht="15.75" customHeight="1">
      <c r="A360" s="25"/>
      <c r="B360" s="503"/>
      <c r="C360" s="503"/>
      <c r="D360" s="503"/>
      <c r="E360" s="25"/>
      <c r="F360" s="25"/>
      <c r="G360" s="25"/>
      <c r="H360" s="25"/>
      <c r="I360" s="25"/>
      <c r="J360" s="25"/>
      <c r="K360" s="25"/>
      <c r="L360" s="25"/>
      <c r="M360" s="25"/>
      <c r="N360" s="25"/>
      <c r="O360" s="25"/>
      <c r="P360" s="25"/>
      <c r="Q360" s="25"/>
      <c r="R360" s="25"/>
      <c r="S360" s="25"/>
      <c r="T360" s="25"/>
      <c r="U360" s="25"/>
      <c r="V360" s="25"/>
      <c r="W360" s="25"/>
      <c r="X360" s="25"/>
      <c r="Y360" s="25"/>
      <c r="Z360" s="25"/>
    </row>
    <row r="361" ht="15.75" customHeight="1">
      <c r="A361" s="25"/>
      <c r="B361" s="503"/>
      <c r="C361" s="503"/>
      <c r="D361" s="503"/>
      <c r="E361" s="25"/>
      <c r="F361" s="25"/>
      <c r="G361" s="25"/>
      <c r="H361" s="25"/>
      <c r="I361" s="25"/>
      <c r="J361" s="25"/>
      <c r="K361" s="25"/>
      <c r="L361" s="25"/>
      <c r="M361" s="25"/>
      <c r="N361" s="25"/>
      <c r="O361" s="25"/>
      <c r="P361" s="25"/>
      <c r="Q361" s="25"/>
      <c r="R361" s="25"/>
      <c r="S361" s="25"/>
      <c r="T361" s="25"/>
      <c r="U361" s="25"/>
      <c r="V361" s="25"/>
      <c r="W361" s="25"/>
      <c r="X361" s="25"/>
      <c r="Y361" s="25"/>
      <c r="Z361" s="25"/>
    </row>
    <row r="362" ht="15.75" customHeight="1">
      <c r="A362" s="25"/>
      <c r="B362" s="503"/>
      <c r="C362" s="503"/>
      <c r="D362" s="503"/>
      <c r="E362" s="25"/>
      <c r="F362" s="25"/>
      <c r="G362" s="25"/>
      <c r="H362" s="25"/>
      <c r="I362" s="25"/>
      <c r="J362" s="25"/>
      <c r="K362" s="25"/>
      <c r="L362" s="25"/>
      <c r="M362" s="25"/>
      <c r="N362" s="25"/>
      <c r="O362" s="25"/>
      <c r="P362" s="25"/>
      <c r="Q362" s="25"/>
      <c r="R362" s="25"/>
      <c r="S362" s="25"/>
      <c r="T362" s="25"/>
      <c r="U362" s="25"/>
      <c r="V362" s="25"/>
      <c r="W362" s="25"/>
      <c r="X362" s="25"/>
      <c r="Y362" s="25"/>
      <c r="Z362" s="25"/>
    </row>
    <row r="363" ht="15.75" customHeight="1">
      <c r="A363" s="25"/>
      <c r="B363" s="503"/>
      <c r="C363" s="503"/>
      <c r="D363" s="503"/>
      <c r="E363" s="25"/>
      <c r="F363" s="25"/>
      <c r="G363" s="25"/>
      <c r="H363" s="25"/>
      <c r="I363" s="25"/>
      <c r="J363" s="25"/>
      <c r="K363" s="25"/>
      <c r="L363" s="25"/>
      <c r="M363" s="25"/>
      <c r="N363" s="25"/>
      <c r="O363" s="25"/>
      <c r="P363" s="25"/>
      <c r="Q363" s="25"/>
      <c r="R363" s="25"/>
      <c r="S363" s="25"/>
      <c r="T363" s="25"/>
      <c r="U363" s="25"/>
      <c r="V363" s="25"/>
      <c r="W363" s="25"/>
      <c r="X363" s="25"/>
      <c r="Y363" s="25"/>
      <c r="Z363" s="25"/>
    </row>
    <row r="364" ht="15.75" customHeight="1">
      <c r="A364" s="25"/>
      <c r="B364" s="503"/>
      <c r="C364" s="503"/>
      <c r="D364" s="503"/>
      <c r="E364" s="25"/>
      <c r="F364" s="25"/>
      <c r="G364" s="25"/>
      <c r="H364" s="25"/>
      <c r="I364" s="25"/>
      <c r="J364" s="25"/>
      <c r="K364" s="25"/>
      <c r="L364" s="25"/>
      <c r="M364" s="25"/>
      <c r="N364" s="25"/>
      <c r="O364" s="25"/>
      <c r="P364" s="25"/>
      <c r="Q364" s="25"/>
      <c r="R364" s="25"/>
      <c r="S364" s="25"/>
      <c r="T364" s="25"/>
      <c r="U364" s="25"/>
      <c r="V364" s="25"/>
      <c r="W364" s="25"/>
      <c r="X364" s="25"/>
      <c r="Y364" s="25"/>
      <c r="Z364" s="25"/>
    </row>
    <row r="365" ht="15.75" customHeight="1">
      <c r="A365" s="25"/>
      <c r="B365" s="503"/>
      <c r="C365" s="503"/>
      <c r="D365" s="503"/>
      <c r="E365" s="25"/>
      <c r="F365" s="25"/>
      <c r="G365" s="25"/>
      <c r="H365" s="25"/>
      <c r="I365" s="25"/>
      <c r="J365" s="25"/>
      <c r="K365" s="25"/>
      <c r="L365" s="25"/>
      <c r="M365" s="25"/>
      <c r="N365" s="25"/>
      <c r="O365" s="25"/>
      <c r="P365" s="25"/>
      <c r="Q365" s="25"/>
      <c r="R365" s="25"/>
      <c r="S365" s="25"/>
      <c r="T365" s="25"/>
      <c r="U365" s="25"/>
      <c r="V365" s="25"/>
      <c r="W365" s="25"/>
      <c r="X365" s="25"/>
      <c r="Y365" s="25"/>
      <c r="Z365" s="25"/>
    </row>
    <row r="366" ht="15.75" customHeight="1">
      <c r="A366" s="25"/>
      <c r="B366" s="503"/>
      <c r="C366" s="503"/>
      <c r="D366" s="503"/>
      <c r="E366" s="25"/>
      <c r="F366" s="25"/>
      <c r="G366" s="25"/>
      <c r="H366" s="25"/>
      <c r="I366" s="25"/>
      <c r="J366" s="25"/>
      <c r="K366" s="25"/>
      <c r="L366" s="25"/>
      <c r="M366" s="25"/>
      <c r="N366" s="25"/>
      <c r="O366" s="25"/>
      <c r="P366" s="25"/>
      <c r="Q366" s="25"/>
      <c r="R366" s="25"/>
      <c r="S366" s="25"/>
      <c r="T366" s="25"/>
      <c r="U366" s="25"/>
      <c r="V366" s="25"/>
      <c r="W366" s="25"/>
      <c r="X366" s="25"/>
      <c r="Y366" s="25"/>
      <c r="Z366" s="25"/>
    </row>
    <row r="367" ht="15.75" customHeight="1">
      <c r="A367" s="25"/>
      <c r="B367" s="503"/>
      <c r="C367" s="503"/>
      <c r="D367" s="503"/>
      <c r="E367" s="25"/>
      <c r="F367" s="25"/>
      <c r="G367" s="25"/>
      <c r="H367" s="25"/>
      <c r="I367" s="25"/>
      <c r="J367" s="25"/>
      <c r="K367" s="25"/>
      <c r="L367" s="25"/>
      <c r="M367" s="25"/>
      <c r="N367" s="25"/>
      <c r="O367" s="25"/>
      <c r="P367" s="25"/>
      <c r="Q367" s="25"/>
      <c r="R367" s="25"/>
      <c r="S367" s="25"/>
      <c r="T367" s="25"/>
      <c r="U367" s="25"/>
      <c r="V367" s="25"/>
      <c r="W367" s="25"/>
      <c r="X367" s="25"/>
      <c r="Y367" s="25"/>
      <c r="Z367" s="25"/>
    </row>
    <row r="368" ht="15.75" customHeight="1">
      <c r="A368" s="25"/>
      <c r="B368" s="503"/>
      <c r="C368" s="503"/>
      <c r="D368" s="503"/>
      <c r="E368" s="25"/>
      <c r="F368" s="25"/>
      <c r="G368" s="25"/>
      <c r="H368" s="25"/>
      <c r="I368" s="25"/>
      <c r="J368" s="25"/>
      <c r="K368" s="25"/>
      <c r="L368" s="25"/>
      <c r="M368" s="25"/>
      <c r="N368" s="25"/>
      <c r="O368" s="25"/>
      <c r="P368" s="25"/>
      <c r="Q368" s="25"/>
      <c r="R368" s="25"/>
      <c r="S368" s="25"/>
      <c r="T368" s="25"/>
      <c r="U368" s="25"/>
      <c r="V368" s="25"/>
      <c r="W368" s="25"/>
      <c r="X368" s="25"/>
      <c r="Y368" s="25"/>
      <c r="Z368" s="25"/>
    </row>
    <row r="369" ht="15.75" customHeight="1">
      <c r="A369" s="25"/>
      <c r="B369" s="503"/>
      <c r="C369" s="503"/>
      <c r="D369" s="503"/>
      <c r="E369" s="25"/>
      <c r="F369" s="25"/>
      <c r="G369" s="25"/>
      <c r="H369" s="25"/>
      <c r="I369" s="25"/>
      <c r="J369" s="25"/>
      <c r="K369" s="25"/>
      <c r="L369" s="25"/>
      <c r="M369" s="25"/>
      <c r="N369" s="25"/>
      <c r="O369" s="25"/>
      <c r="P369" s="25"/>
      <c r="Q369" s="25"/>
      <c r="R369" s="25"/>
      <c r="S369" s="25"/>
      <c r="T369" s="25"/>
      <c r="U369" s="25"/>
      <c r="V369" s="25"/>
      <c r="W369" s="25"/>
      <c r="X369" s="25"/>
      <c r="Y369" s="25"/>
      <c r="Z369" s="25"/>
    </row>
    <row r="370" ht="15.75" customHeight="1">
      <c r="A370" s="25"/>
      <c r="B370" s="503"/>
      <c r="C370" s="503"/>
      <c r="D370" s="503"/>
      <c r="E370" s="25"/>
      <c r="F370" s="25"/>
      <c r="G370" s="25"/>
      <c r="H370" s="25"/>
      <c r="I370" s="25"/>
      <c r="J370" s="25"/>
      <c r="K370" s="25"/>
      <c r="L370" s="25"/>
      <c r="M370" s="25"/>
      <c r="N370" s="25"/>
      <c r="O370" s="25"/>
      <c r="P370" s="25"/>
      <c r="Q370" s="25"/>
      <c r="R370" s="25"/>
      <c r="S370" s="25"/>
      <c r="T370" s="25"/>
      <c r="U370" s="25"/>
      <c r="V370" s="25"/>
      <c r="W370" s="25"/>
      <c r="X370" s="25"/>
      <c r="Y370" s="25"/>
      <c r="Z370" s="25"/>
    </row>
    <row r="371" ht="15.75" customHeight="1">
      <c r="A371" s="25"/>
      <c r="B371" s="503"/>
      <c r="C371" s="503"/>
      <c r="D371" s="503"/>
      <c r="E371" s="25"/>
      <c r="F371" s="25"/>
      <c r="G371" s="25"/>
      <c r="H371" s="25"/>
      <c r="I371" s="25"/>
      <c r="J371" s="25"/>
      <c r="K371" s="25"/>
      <c r="L371" s="25"/>
      <c r="M371" s="25"/>
      <c r="N371" s="25"/>
      <c r="O371" s="25"/>
      <c r="P371" s="25"/>
      <c r="Q371" s="25"/>
      <c r="R371" s="25"/>
      <c r="S371" s="25"/>
      <c r="T371" s="25"/>
      <c r="U371" s="25"/>
      <c r="V371" s="25"/>
      <c r="W371" s="25"/>
      <c r="X371" s="25"/>
      <c r="Y371" s="25"/>
      <c r="Z371" s="25"/>
    </row>
    <row r="372" ht="15.75" customHeight="1">
      <c r="A372" s="25"/>
      <c r="B372" s="503"/>
      <c r="C372" s="503"/>
      <c r="D372" s="503"/>
      <c r="E372" s="25"/>
      <c r="F372" s="25"/>
      <c r="G372" s="25"/>
      <c r="H372" s="25"/>
      <c r="I372" s="25"/>
      <c r="J372" s="25"/>
      <c r="K372" s="25"/>
      <c r="L372" s="25"/>
      <c r="M372" s="25"/>
      <c r="N372" s="25"/>
      <c r="O372" s="25"/>
      <c r="P372" s="25"/>
      <c r="Q372" s="25"/>
      <c r="R372" s="25"/>
      <c r="S372" s="25"/>
      <c r="T372" s="25"/>
      <c r="U372" s="25"/>
      <c r="V372" s="25"/>
      <c r="W372" s="25"/>
      <c r="X372" s="25"/>
      <c r="Y372" s="25"/>
      <c r="Z372" s="25"/>
    </row>
    <row r="373" ht="15.75" customHeight="1">
      <c r="A373" s="25"/>
      <c r="B373" s="503"/>
      <c r="C373" s="503"/>
      <c r="D373" s="503"/>
      <c r="E373" s="25"/>
      <c r="F373" s="25"/>
      <c r="G373" s="25"/>
      <c r="H373" s="25"/>
      <c r="I373" s="25"/>
      <c r="J373" s="25"/>
      <c r="K373" s="25"/>
      <c r="L373" s="25"/>
      <c r="M373" s="25"/>
      <c r="N373" s="25"/>
      <c r="O373" s="25"/>
      <c r="P373" s="25"/>
      <c r="Q373" s="25"/>
      <c r="R373" s="25"/>
      <c r="S373" s="25"/>
      <c r="T373" s="25"/>
      <c r="U373" s="25"/>
      <c r="V373" s="25"/>
      <c r="W373" s="25"/>
      <c r="X373" s="25"/>
      <c r="Y373" s="25"/>
      <c r="Z373" s="25"/>
    </row>
    <row r="374" ht="15.75" customHeight="1">
      <c r="A374" s="25"/>
      <c r="B374" s="503"/>
      <c r="C374" s="503"/>
      <c r="D374" s="503"/>
      <c r="E374" s="25"/>
      <c r="F374" s="25"/>
      <c r="G374" s="25"/>
      <c r="H374" s="25"/>
      <c r="I374" s="25"/>
      <c r="J374" s="25"/>
      <c r="K374" s="25"/>
      <c r="L374" s="25"/>
      <c r="M374" s="25"/>
      <c r="N374" s="25"/>
      <c r="O374" s="25"/>
      <c r="P374" s="25"/>
      <c r="Q374" s="25"/>
      <c r="R374" s="25"/>
      <c r="S374" s="25"/>
      <c r="T374" s="25"/>
      <c r="U374" s="25"/>
      <c r="V374" s="25"/>
      <c r="W374" s="25"/>
      <c r="X374" s="25"/>
      <c r="Y374" s="25"/>
      <c r="Z374" s="25"/>
    </row>
    <row r="375" ht="15.75" customHeight="1">
      <c r="A375" s="25"/>
      <c r="B375" s="503"/>
      <c r="C375" s="503"/>
      <c r="D375" s="503"/>
      <c r="E375" s="25"/>
      <c r="F375" s="25"/>
      <c r="G375" s="25"/>
      <c r="H375" s="25"/>
      <c r="I375" s="25"/>
      <c r="J375" s="25"/>
      <c r="K375" s="25"/>
      <c r="L375" s="25"/>
      <c r="M375" s="25"/>
      <c r="N375" s="25"/>
      <c r="O375" s="25"/>
      <c r="P375" s="25"/>
      <c r="Q375" s="25"/>
      <c r="R375" s="25"/>
      <c r="S375" s="25"/>
      <c r="T375" s="25"/>
      <c r="U375" s="25"/>
      <c r="V375" s="25"/>
      <c r="W375" s="25"/>
      <c r="X375" s="25"/>
      <c r="Y375" s="25"/>
      <c r="Z375" s="25"/>
    </row>
    <row r="376" ht="15.75" customHeight="1">
      <c r="A376" s="25"/>
      <c r="B376" s="503"/>
      <c r="C376" s="503"/>
      <c r="D376" s="503"/>
      <c r="E376" s="25"/>
      <c r="F376" s="25"/>
      <c r="G376" s="25"/>
      <c r="H376" s="25"/>
      <c r="I376" s="25"/>
      <c r="J376" s="25"/>
      <c r="K376" s="25"/>
      <c r="L376" s="25"/>
      <c r="M376" s="25"/>
      <c r="N376" s="25"/>
      <c r="O376" s="25"/>
      <c r="P376" s="25"/>
      <c r="Q376" s="25"/>
      <c r="R376" s="25"/>
      <c r="S376" s="25"/>
      <c r="T376" s="25"/>
      <c r="U376" s="25"/>
      <c r="V376" s="25"/>
      <c r="W376" s="25"/>
      <c r="X376" s="25"/>
      <c r="Y376" s="25"/>
      <c r="Z376" s="25"/>
    </row>
    <row r="377" ht="15.75" customHeight="1">
      <c r="A377" s="25"/>
      <c r="B377" s="503"/>
      <c r="C377" s="503"/>
      <c r="D377" s="503"/>
      <c r="E377" s="25"/>
      <c r="F377" s="25"/>
      <c r="G377" s="25"/>
      <c r="H377" s="25"/>
      <c r="I377" s="25"/>
      <c r="J377" s="25"/>
      <c r="K377" s="25"/>
      <c r="L377" s="25"/>
      <c r="M377" s="25"/>
      <c r="N377" s="25"/>
      <c r="O377" s="25"/>
      <c r="P377" s="25"/>
      <c r="Q377" s="25"/>
      <c r="R377" s="25"/>
      <c r="S377" s="25"/>
      <c r="T377" s="25"/>
      <c r="U377" s="25"/>
      <c r="V377" s="25"/>
      <c r="W377" s="25"/>
      <c r="X377" s="25"/>
      <c r="Y377" s="25"/>
      <c r="Z377" s="25"/>
    </row>
    <row r="378" ht="15.75" customHeight="1">
      <c r="A378" s="25"/>
      <c r="B378" s="503"/>
      <c r="C378" s="503"/>
      <c r="D378" s="503"/>
      <c r="E378" s="25"/>
      <c r="F378" s="25"/>
      <c r="G378" s="25"/>
      <c r="H378" s="25"/>
      <c r="I378" s="25"/>
      <c r="J378" s="25"/>
      <c r="K378" s="25"/>
      <c r="L378" s="25"/>
      <c r="M378" s="25"/>
      <c r="N378" s="25"/>
      <c r="O378" s="25"/>
      <c r="P378" s="25"/>
      <c r="Q378" s="25"/>
      <c r="R378" s="25"/>
      <c r="S378" s="25"/>
      <c r="T378" s="25"/>
      <c r="U378" s="25"/>
      <c r="V378" s="25"/>
      <c r="W378" s="25"/>
      <c r="X378" s="25"/>
      <c r="Y378" s="25"/>
      <c r="Z378" s="25"/>
    </row>
    <row r="379" ht="15.75" customHeight="1">
      <c r="A379" s="25"/>
      <c r="B379" s="503"/>
      <c r="C379" s="503"/>
      <c r="D379" s="503"/>
      <c r="E379" s="25"/>
      <c r="F379" s="25"/>
      <c r="G379" s="25"/>
      <c r="H379" s="25"/>
      <c r="I379" s="25"/>
      <c r="J379" s="25"/>
      <c r="K379" s="25"/>
      <c r="L379" s="25"/>
      <c r="M379" s="25"/>
      <c r="N379" s="25"/>
      <c r="O379" s="25"/>
      <c r="P379" s="25"/>
      <c r="Q379" s="25"/>
      <c r="R379" s="25"/>
      <c r="S379" s="25"/>
      <c r="T379" s="25"/>
      <c r="U379" s="25"/>
      <c r="V379" s="25"/>
      <c r="W379" s="25"/>
      <c r="X379" s="25"/>
      <c r="Y379" s="25"/>
      <c r="Z379" s="25"/>
    </row>
    <row r="380" ht="15.75" customHeight="1">
      <c r="A380" s="25"/>
      <c r="B380" s="503"/>
      <c r="C380" s="503"/>
      <c r="D380" s="503"/>
      <c r="E380" s="25"/>
      <c r="F380" s="25"/>
      <c r="G380" s="25"/>
      <c r="H380" s="25"/>
      <c r="I380" s="25"/>
      <c r="J380" s="25"/>
      <c r="K380" s="25"/>
      <c r="L380" s="25"/>
      <c r="M380" s="25"/>
      <c r="N380" s="25"/>
      <c r="O380" s="25"/>
      <c r="P380" s="25"/>
      <c r="Q380" s="25"/>
      <c r="R380" s="25"/>
      <c r="S380" s="25"/>
      <c r="T380" s="25"/>
      <c r="U380" s="25"/>
      <c r="V380" s="25"/>
      <c r="W380" s="25"/>
      <c r="X380" s="25"/>
      <c r="Y380" s="25"/>
      <c r="Z380" s="25"/>
    </row>
    <row r="381" ht="15.75" customHeight="1">
      <c r="A381" s="25"/>
      <c r="B381" s="503"/>
      <c r="C381" s="503"/>
      <c r="D381" s="503"/>
      <c r="E381" s="25"/>
      <c r="F381" s="25"/>
      <c r="G381" s="25"/>
      <c r="H381" s="25"/>
      <c r="I381" s="25"/>
      <c r="J381" s="25"/>
      <c r="K381" s="25"/>
      <c r="L381" s="25"/>
      <c r="M381" s="25"/>
      <c r="N381" s="25"/>
      <c r="O381" s="25"/>
      <c r="P381" s="25"/>
      <c r="Q381" s="25"/>
      <c r="R381" s="25"/>
      <c r="S381" s="25"/>
      <c r="T381" s="25"/>
      <c r="U381" s="25"/>
      <c r="V381" s="25"/>
      <c r="W381" s="25"/>
      <c r="X381" s="25"/>
      <c r="Y381" s="25"/>
      <c r="Z381" s="25"/>
    </row>
    <row r="382" ht="15.75" customHeight="1">
      <c r="A382" s="25"/>
      <c r="B382" s="503"/>
      <c r="C382" s="503"/>
      <c r="D382" s="503"/>
      <c r="E382" s="25"/>
      <c r="F382" s="25"/>
      <c r="G382" s="25"/>
      <c r="H382" s="25"/>
      <c r="I382" s="25"/>
      <c r="J382" s="25"/>
      <c r="K382" s="25"/>
      <c r="L382" s="25"/>
      <c r="M382" s="25"/>
      <c r="N382" s="25"/>
      <c r="O382" s="25"/>
      <c r="P382" s="25"/>
      <c r="Q382" s="25"/>
      <c r="R382" s="25"/>
      <c r="S382" s="25"/>
      <c r="T382" s="25"/>
      <c r="U382" s="25"/>
      <c r="V382" s="25"/>
      <c r="W382" s="25"/>
      <c r="X382" s="25"/>
      <c r="Y382" s="25"/>
      <c r="Z382" s="25"/>
    </row>
    <row r="383" ht="15.75" customHeight="1">
      <c r="A383" s="25"/>
      <c r="B383" s="503"/>
      <c r="C383" s="503"/>
      <c r="D383" s="503"/>
      <c r="E383" s="25"/>
      <c r="F383" s="25"/>
      <c r="G383" s="25"/>
      <c r="H383" s="25"/>
      <c r="I383" s="25"/>
      <c r="J383" s="25"/>
      <c r="K383" s="25"/>
      <c r="L383" s="25"/>
      <c r="M383" s="25"/>
      <c r="N383" s="25"/>
      <c r="O383" s="25"/>
      <c r="P383" s="25"/>
      <c r="Q383" s="25"/>
      <c r="R383" s="25"/>
      <c r="S383" s="25"/>
      <c r="T383" s="25"/>
      <c r="U383" s="25"/>
      <c r="V383" s="25"/>
      <c r="W383" s="25"/>
      <c r="X383" s="25"/>
      <c r="Y383" s="25"/>
      <c r="Z383" s="25"/>
    </row>
    <row r="384" ht="15.75" customHeight="1">
      <c r="A384" s="25"/>
      <c r="B384" s="503"/>
      <c r="C384" s="503"/>
      <c r="D384" s="503"/>
      <c r="E384" s="25"/>
      <c r="F384" s="25"/>
      <c r="G384" s="25"/>
      <c r="H384" s="25"/>
      <c r="I384" s="25"/>
      <c r="J384" s="25"/>
      <c r="K384" s="25"/>
      <c r="L384" s="25"/>
      <c r="M384" s="25"/>
      <c r="N384" s="25"/>
      <c r="O384" s="25"/>
      <c r="P384" s="25"/>
      <c r="Q384" s="25"/>
      <c r="R384" s="25"/>
      <c r="S384" s="25"/>
      <c r="T384" s="25"/>
      <c r="U384" s="25"/>
      <c r="V384" s="25"/>
      <c r="W384" s="25"/>
      <c r="X384" s="25"/>
      <c r="Y384" s="25"/>
      <c r="Z384" s="25"/>
    </row>
    <row r="385" ht="15.75" customHeight="1">
      <c r="A385" s="25"/>
      <c r="B385" s="503"/>
      <c r="C385" s="503"/>
      <c r="D385" s="503"/>
      <c r="E385" s="25"/>
      <c r="F385" s="25"/>
      <c r="G385" s="25"/>
      <c r="H385" s="25"/>
      <c r="I385" s="25"/>
      <c r="J385" s="25"/>
      <c r="K385" s="25"/>
      <c r="L385" s="25"/>
      <c r="M385" s="25"/>
      <c r="N385" s="25"/>
      <c r="O385" s="25"/>
      <c r="P385" s="25"/>
      <c r="Q385" s="25"/>
      <c r="R385" s="25"/>
      <c r="S385" s="25"/>
      <c r="T385" s="25"/>
      <c r="U385" s="25"/>
      <c r="V385" s="25"/>
      <c r="W385" s="25"/>
      <c r="X385" s="25"/>
      <c r="Y385" s="25"/>
      <c r="Z385" s="25"/>
    </row>
    <row r="386" ht="15.75" customHeight="1">
      <c r="A386" s="25"/>
      <c r="B386" s="503"/>
      <c r="C386" s="503"/>
      <c r="D386" s="503"/>
      <c r="E386" s="25"/>
      <c r="F386" s="25"/>
      <c r="G386" s="25"/>
      <c r="H386" s="25"/>
      <c r="I386" s="25"/>
      <c r="J386" s="25"/>
      <c r="K386" s="25"/>
      <c r="L386" s="25"/>
      <c r="M386" s="25"/>
      <c r="N386" s="25"/>
      <c r="O386" s="25"/>
      <c r="P386" s="25"/>
      <c r="Q386" s="25"/>
      <c r="R386" s="25"/>
      <c r="S386" s="25"/>
      <c r="T386" s="25"/>
      <c r="U386" s="25"/>
      <c r="V386" s="25"/>
      <c r="W386" s="25"/>
      <c r="X386" s="25"/>
      <c r="Y386" s="25"/>
      <c r="Z386" s="25"/>
    </row>
    <row r="387" ht="15.75" customHeight="1">
      <c r="A387" s="25"/>
      <c r="B387" s="503"/>
      <c r="C387" s="503"/>
      <c r="D387" s="503"/>
      <c r="E387" s="25"/>
      <c r="F387" s="25"/>
      <c r="G387" s="25"/>
      <c r="H387" s="25"/>
      <c r="I387" s="25"/>
      <c r="J387" s="25"/>
      <c r="K387" s="25"/>
      <c r="L387" s="25"/>
      <c r="M387" s="25"/>
      <c r="N387" s="25"/>
      <c r="O387" s="25"/>
      <c r="P387" s="25"/>
      <c r="Q387" s="25"/>
      <c r="R387" s="25"/>
      <c r="S387" s="25"/>
      <c r="T387" s="25"/>
      <c r="U387" s="25"/>
      <c r="V387" s="25"/>
      <c r="W387" s="25"/>
      <c r="X387" s="25"/>
      <c r="Y387" s="25"/>
      <c r="Z387" s="25"/>
    </row>
    <row r="388" ht="15.75" customHeight="1">
      <c r="A388" s="25"/>
      <c r="B388" s="503"/>
      <c r="C388" s="503"/>
      <c r="D388" s="503"/>
      <c r="E388" s="25"/>
      <c r="F388" s="25"/>
      <c r="G388" s="25"/>
      <c r="H388" s="25"/>
      <c r="I388" s="25"/>
      <c r="J388" s="25"/>
      <c r="K388" s="25"/>
      <c r="L388" s="25"/>
      <c r="M388" s="25"/>
      <c r="N388" s="25"/>
      <c r="O388" s="25"/>
      <c r="P388" s="25"/>
      <c r="Q388" s="25"/>
      <c r="R388" s="25"/>
      <c r="S388" s="25"/>
      <c r="T388" s="25"/>
      <c r="U388" s="25"/>
      <c r="V388" s="25"/>
      <c r="W388" s="25"/>
      <c r="X388" s="25"/>
      <c r="Y388" s="25"/>
      <c r="Z388" s="25"/>
    </row>
    <row r="389" ht="15.75" customHeight="1">
      <c r="A389" s="25"/>
      <c r="B389" s="503"/>
      <c r="C389" s="503"/>
      <c r="D389" s="503"/>
      <c r="E389" s="25"/>
      <c r="F389" s="25"/>
      <c r="G389" s="25"/>
      <c r="H389" s="25"/>
      <c r="I389" s="25"/>
      <c r="J389" s="25"/>
      <c r="K389" s="25"/>
      <c r="L389" s="25"/>
      <c r="M389" s="25"/>
      <c r="N389" s="25"/>
      <c r="O389" s="25"/>
      <c r="P389" s="25"/>
      <c r="Q389" s="25"/>
      <c r="R389" s="25"/>
      <c r="S389" s="25"/>
      <c r="T389" s="25"/>
      <c r="U389" s="25"/>
      <c r="V389" s="25"/>
      <c r="W389" s="25"/>
      <c r="X389" s="25"/>
      <c r="Y389" s="25"/>
      <c r="Z389" s="25"/>
    </row>
    <row r="390" ht="15.75" customHeight="1">
      <c r="A390" s="25"/>
      <c r="B390" s="503"/>
      <c r="C390" s="503"/>
      <c r="D390" s="503"/>
      <c r="E390" s="25"/>
      <c r="F390" s="25"/>
      <c r="G390" s="25"/>
      <c r="H390" s="25"/>
      <c r="I390" s="25"/>
      <c r="J390" s="25"/>
      <c r="K390" s="25"/>
      <c r="L390" s="25"/>
      <c r="M390" s="25"/>
      <c r="N390" s="25"/>
      <c r="O390" s="25"/>
      <c r="P390" s="25"/>
      <c r="Q390" s="25"/>
      <c r="R390" s="25"/>
      <c r="S390" s="25"/>
      <c r="T390" s="25"/>
      <c r="U390" s="25"/>
      <c r="V390" s="25"/>
      <c r="W390" s="25"/>
      <c r="X390" s="25"/>
      <c r="Y390" s="25"/>
      <c r="Z390" s="25"/>
    </row>
    <row r="391" ht="15.75" customHeight="1">
      <c r="A391" s="25"/>
      <c r="B391" s="503"/>
      <c r="C391" s="503"/>
      <c r="D391" s="503"/>
      <c r="E391" s="25"/>
      <c r="F391" s="25"/>
      <c r="G391" s="25"/>
      <c r="H391" s="25"/>
      <c r="I391" s="25"/>
      <c r="J391" s="25"/>
      <c r="K391" s="25"/>
      <c r="L391" s="25"/>
      <c r="M391" s="25"/>
      <c r="N391" s="25"/>
      <c r="O391" s="25"/>
      <c r="P391" s="25"/>
      <c r="Q391" s="25"/>
      <c r="R391" s="25"/>
      <c r="S391" s="25"/>
      <c r="T391" s="25"/>
      <c r="U391" s="25"/>
      <c r="V391" s="25"/>
      <c r="W391" s="25"/>
      <c r="X391" s="25"/>
      <c r="Y391" s="25"/>
      <c r="Z391" s="25"/>
    </row>
    <row r="392" ht="15.75" customHeight="1">
      <c r="A392" s="25"/>
      <c r="B392" s="503"/>
      <c r="C392" s="503"/>
      <c r="D392" s="503"/>
      <c r="E392" s="25"/>
      <c r="F392" s="25"/>
      <c r="G392" s="25"/>
      <c r="H392" s="25"/>
      <c r="I392" s="25"/>
      <c r="J392" s="25"/>
      <c r="K392" s="25"/>
      <c r="L392" s="25"/>
      <c r="M392" s="25"/>
      <c r="N392" s="25"/>
      <c r="O392" s="25"/>
      <c r="P392" s="25"/>
      <c r="Q392" s="25"/>
      <c r="R392" s="25"/>
      <c r="S392" s="25"/>
      <c r="T392" s="25"/>
      <c r="U392" s="25"/>
      <c r="V392" s="25"/>
      <c r="W392" s="25"/>
      <c r="X392" s="25"/>
      <c r="Y392" s="25"/>
      <c r="Z392" s="25"/>
    </row>
    <row r="393" ht="15.75" customHeight="1">
      <c r="A393" s="25"/>
      <c r="B393" s="503"/>
      <c r="C393" s="503"/>
      <c r="D393" s="503"/>
      <c r="E393" s="25"/>
      <c r="F393" s="25"/>
      <c r="G393" s="25"/>
      <c r="H393" s="25"/>
      <c r="I393" s="25"/>
      <c r="J393" s="25"/>
      <c r="K393" s="25"/>
      <c r="L393" s="25"/>
      <c r="M393" s="25"/>
      <c r="N393" s="25"/>
      <c r="O393" s="25"/>
      <c r="P393" s="25"/>
      <c r="Q393" s="25"/>
      <c r="R393" s="25"/>
      <c r="S393" s="25"/>
      <c r="T393" s="25"/>
      <c r="U393" s="25"/>
      <c r="V393" s="25"/>
      <c r="W393" s="25"/>
      <c r="X393" s="25"/>
      <c r="Y393" s="25"/>
      <c r="Z393" s="25"/>
    </row>
    <row r="394" ht="15.75" customHeight="1">
      <c r="A394" s="25"/>
      <c r="B394" s="503"/>
      <c r="C394" s="503"/>
      <c r="D394" s="503"/>
      <c r="E394" s="25"/>
      <c r="F394" s="25"/>
      <c r="G394" s="25"/>
      <c r="H394" s="25"/>
      <c r="I394" s="25"/>
      <c r="J394" s="25"/>
      <c r="K394" s="25"/>
      <c r="L394" s="25"/>
      <c r="M394" s="25"/>
      <c r="N394" s="25"/>
      <c r="O394" s="25"/>
      <c r="P394" s="25"/>
      <c r="Q394" s="25"/>
      <c r="R394" s="25"/>
      <c r="S394" s="25"/>
      <c r="T394" s="25"/>
      <c r="U394" s="25"/>
      <c r="V394" s="25"/>
      <c r="W394" s="25"/>
      <c r="X394" s="25"/>
      <c r="Y394" s="25"/>
      <c r="Z394" s="25"/>
    </row>
    <row r="395" ht="15.75" customHeight="1">
      <c r="A395" s="25"/>
      <c r="B395" s="503"/>
      <c r="C395" s="503"/>
      <c r="D395" s="503"/>
      <c r="E395" s="25"/>
      <c r="F395" s="25"/>
      <c r="G395" s="25"/>
      <c r="H395" s="25"/>
      <c r="I395" s="25"/>
      <c r="J395" s="25"/>
      <c r="K395" s="25"/>
      <c r="L395" s="25"/>
      <c r="M395" s="25"/>
      <c r="N395" s="25"/>
      <c r="O395" s="25"/>
      <c r="P395" s="25"/>
      <c r="Q395" s="25"/>
      <c r="R395" s="25"/>
      <c r="S395" s="25"/>
      <c r="T395" s="25"/>
      <c r="U395" s="25"/>
      <c r="V395" s="25"/>
      <c r="W395" s="25"/>
      <c r="X395" s="25"/>
      <c r="Y395" s="25"/>
      <c r="Z395" s="25"/>
    </row>
    <row r="396" ht="15.75" customHeight="1">
      <c r="A396" s="25"/>
      <c r="B396" s="503"/>
      <c r="C396" s="503"/>
      <c r="D396" s="503"/>
      <c r="E396" s="25"/>
      <c r="F396" s="25"/>
      <c r="G396" s="25"/>
      <c r="H396" s="25"/>
      <c r="I396" s="25"/>
      <c r="J396" s="25"/>
      <c r="K396" s="25"/>
      <c r="L396" s="25"/>
      <c r="M396" s="25"/>
      <c r="N396" s="25"/>
      <c r="O396" s="25"/>
      <c r="P396" s="25"/>
      <c r="Q396" s="25"/>
      <c r="R396" s="25"/>
      <c r="S396" s="25"/>
      <c r="T396" s="25"/>
      <c r="U396" s="25"/>
      <c r="V396" s="25"/>
      <c r="W396" s="25"/>
      <c r="X396" s="25"/>
      <c r="Y396" s="25"/>
      <c r="Z396" s="25"/>
    </row>
    <row r="397" ht="15.75" customHeight="1">
      <c r="A397" s="25"/>
      <c r="B397" s="503"/>
      <c r="C397" s="503"/>
      <c r="D397" s="503"/>
      <c r="E397" s="25"/>
      <c r="F397" s="25"/>
      <c r="G397" s="25"/>
      <c r="H397" s="25"/>
      <c r="I397" s="25"/>
      <c r="J397" s="25"/>
      <c r="K397" s="25"/>
      <c r="L397" s="25"/>
      <c r="M397" s="25"/>
      <c r="N397" s="25"/>
      <c r="O397" s="25"/>
      <c r="P397" s="25"/>
      <c r="Q397" s="25"/>
      <c r="R397" s="25"/>
      <c r="S397" s="25"/>
      <c r="T397" s="25"/>
      <c r="U397" s="25"/>
      <c r="V397" s="25"/>
      <c r="W397" s="25"/>
      <c r="X397" s="25"/>
      <c r="Y397" s="25"/>
      <c r="Z397" s="25"/>
    </row>
    <row r="398" ht="15.75" customHeight="1">
      <c r="A398" s="25"/>
      <c r="B398" s="503"/>
      <c r="C398" s="503"/>
      <c r="D398" s="503"/>
      <c r="E398" s="25"/>
      <c r="F398" s="25"/>
      <c r="G398" s="25"/>
      <c r="H398" s="25"/>
      <c r="I398" s="25"/>
      <c r="J398" s="25"/>
      <c r="K398" s="25"/>
      <c r="L398" s="25"/>
      <c r="M398" s="25"/>
      <c r="N398" s="25"/>
      <c r="O398" s="25"/>
      <c r="P398" s="25"/>
      <c r="Q398" s="25"/>
      <c r="R398" s="25"/>
      <c r="S398" s="25"/>
      <c r="T398" s="25"/>
      <c r="U398" s="25"/>
      <c r="V398" s="25"/>
      <c r="W398" s="25"/>
      <c r="X398" s="25"/>
      <c r="Y398" s="25"/>
      <c r="Z398" s="25"/>
    </row>
    <row r="399" ht="15.75" customHeight="1">
      <c r="A399" s="25"/>
      <c r="B399" s="503"/>
      <c r="C399" s="503"/>
      <c r="D399" s="503"/>
      <c r="E399" s="25"/>
      <c r="F399" s="25"/>
      <c r="G399" s="25"/>
      <c r="H399" s="25"/>
      <c r="I399" s="25"/>
      <c r="J399" s="25"/>
      <c r="K399" s="25"/>
      <c r="L399" s="25"/>
      <c r="M399" s="25"/>
      <c r="N399" s="25"/>
      <c r="O399" s="25"/>
      <c r="P399" s="25"/>
      <c r="Q399" s="25"/>
      <c r="R399" s="25"/>
      <c r="S399" s="25"/>
      <c r="T399" s="25"/>
      <c r="U399" s="25"/>
      <c r="V399" s="25"/>
      <c r="W399" s="25"/>
      <c r="X399" s="25"/>
      <c r="Y399" s="25"/>
      <c r="Z399" s="25"/>
    </row>
    <row r="400" ht="15.75" customHeight="1">
      <c r="A400" s="25"/>
      <c r="B400" s="503"/>
      <c r="C400" s="503"/>
      <c r="D400" s="503"/>
      <c r="E400" s="25"/>
      <c r="F400" s="25"/>
      <c r="G400" s="25"/>
      <c r="H400" s="25"/>
      <c r="I400" s="25"/>
      <c r="J400" s="25"/>
      <c r="K400" s="25"/>
      <c r="L400" s="25"/>
      <c r="M400" s="25"/>
      <c r="N400" s="25"/>
      <c r="O400" s="25"/>
      <c r="P400" s="25"/>
      <c r="Q400" s="25"/>
      <c r="R400" s="25"/>
      <c r="S400" s="25"/>
      <c r="T400" s="25"/>
      <c r="U400" s="25"/>
      <c r="V400" s="25"/>
      <c r="W400" s="25"/>
      <c r="X400" s="25"/>
      <c r="Y400" s="25"/>
      <c r="Z400" s="25"/>
    </row>
    <row r="401" ht="15.75" customHeight="1">
      <c r="A401" s="25"/>
      <c r="B401" s="503"/>
      <c r="C401" s="503"/>
      <c r="D401" s="503"/>
      <c r="E401" s="25"/>
      <c r="F401" s="25"/>
      <c r="G401" s="25"/>
      <c r="H401" s="25"/>
      <c r="I401" s="25"/>
      <c r="J401" s="25"/>
      <c r="K401" s="25"/>
      <c r="L401" s="25"/>
      <c r="M401" s="25"/>
      <c r="N401" s="25"/>
      <c r="O401" s="25"/>
      <c r="P401" s="25"/>
      <c r="Q401" s="25"/>
      <c r="R401" s="25"/>
      <c r="S401" s="25"/>
      <c r="T401" s="25"/>
      <c r="U401" s="25"/>
      <c r="V401" s="25"/>
      <c r="W401" s="25"/>
      <c r="X401" s="25"/>
      <c r="Y401" s="25"/>
      <c r="Z401" s="25"/>
    </row>
    <row r="402" ht="15.75" customHeight="1">
      <c r="A402" s="25"/>
      <c r="B402" s="503"/>
      <c r="C402" s="503"/>
      <c r="D402" s="503"/>
      <c r="E402" s="25"/>
      <c r="F402" s="25"/>
      <c r="G402" s="25"/>
      <c r="H402" s="25"/>
      <c r="I402" s="25"/>
      <c r="J402" s="25"/>
      <c r="K402" s="25"/>
      <c r="L402" s="25"/>
      <c r="M402" s="25"/>
      <c r="N402" s="25"/>
      <c r="O402" s="25"/>
      <c r="P402" s="25"/>
      <c r="Q402" s="25"/>
      <c r="R402" s="25"/>
      <c r="S402" s="25"/>
      <c r="T402" s="25"/>
      <c r="U402" s="25"/>
      <c r="V402" s="25"/>
      <c r="W402" s="25"/>
      <c r="X402" s="25"/>
      <c r="Y402" s="25"/>
      <c r="Z402" s="25"/>
    </row>
    <row r="403" ht="15.75" customHeight="1">
      <c r="A403" s="25"/>
      <c r="B403" s="503"/>
      <c r="C403" s="503"/>
      <c r="D403" s="503"/>
      <c r="E403" s="25"/>
      <c r="F403" s="25"/>
      <c r="G403" s="25"/>
      <c r="H403" s="25"/>
      <c r="I403" s="25"/>
      <c r="J403" s="25"/>
      <c r="K403" s="25"/>
      <c r="L403" s="25"/>
      <c r="M403" s="25"/>
      <c r="N403" s="25"/>
      <c r="O403" s="25"/>
      <c r="P403" s="25"/>
      <c r="Q403" s="25"/>
      <c r="R403" s="25"/>
      <c r="S403" s="25"/>
      <c r="T403" s="25"/>
      <c r="U403" s="25"/>
      <c r="V403" s="25"/>
      <c r="W403" s="25"/>
      <c r="X403" s="25"/>
      <c r="Y403" s="25"/>
      <c r="Z403" s="25"/>
    </row>
    <row r="404" ht="15.75" customHeight="1">
      <c r="A404" s="25"/>
      <c r="B404" s="503"/>
      <c r="C404" s="503"/>
      <c r="D404" s="503"/>
      <c r="E404" s="25"/>
      <c r="F404" s="25"/>
      <c r="G404" s="25"/>
      <c r="H404" s="25"/>
      <c r="I404" s="25"/>
      <c r="J404" s="25"/>
      <c r="K404" s="25"/>
      <c r="L404" s="25"/>
      <c r="M404" s="25"/>
      <c r="N404" s="25"/>
      <c r="O404" s="25"/>
      <c r="P404" s="25"/>
      <c r="Q404" s="25"/>
      <c r="R404" s="25"/>
      <c r="S404" s="25"/>
      <c r="T404" s="25"/>
      <c r="U404" s="25"/>
      <c r="V404" s="25"/>
      <c r="W404" s="25"/>
      <c r="X404" s="25"/>
      <c r="Y404" s="25"/>
      <c r="Z404" s="25"/>
    </row>
    <row r="405" ht="15.75" customHeight="1">
      <c r="A405" s="25"/>
      <c r="B405" s="503"/>
      <c r="C405" s="503"/>
      <c r="D405" s="503"/>
      <c r="E405" s="25"/>
      <c r="F405" s="25"/>
      <c r="G405" s="25"/>
      <c r="H405" s="25"/>
      <c r="I405" s="25"/>
      <c r="J405" s="25"/>
      <c r="K405" s="25"/>
      <c r="L405" s="25"/>
      <c r="M405" s="25"/>
      <c r="N405" s="25"/>
      <c r="O405" s="25"/>
      <c r="P405" s="25"/>
      <c r="Q405" s="25"/>
      <c r="R405" s="25"/>
      <c r="S405" s="25"/>
      <c r="T405" s="25"/>
      <c r="U405" s="25"/>
      <c r="V405" s="25"/>
      <c r="W405" s="25"/>
      <c r="X405" s="25"/>
      <c r="Y405" s="25"/>
      <c r="Z405" s="25"/>
    </row>
    <row r="406" ht="15.75" customHeight="1">
      <c r="A406" s="25"/>
      <c r="B406" s="503"/>
      <c r="C406" s="503"/>
      <c r="D406" s="503"/>
      <c r="E406" s="25"/>
      <c r="F406" s="25"/>
      <c r="G406" s="25"/>
      <c r="H406" s="25"/>
      <c r="I406" s="25"/>
      <c r="J406" s="25"/>
      <c r="K406" s="25"/>
      <c r="L406" s="25"/>
      <c r="M406" s="25"/>
      <c r="N406" s="25"/>
      <c r="O406" s="25"/>
      <c r="P406" s="25"/>
      <c r="Q406" s="25"/>
      <c r="R406" s="25"/>
      <c r="S406" s="25"/>
      <c r="T406" s="25"/>
      <c r="U406" s="25"/>
      <c r="V406" s="25"/>
      <c r="W406" s="25"/>
      <c r="X406" s="25"/>
      <c r="Y406" s="25"/>
      <c r="Z406" s="25"/>
    </row>
    <row r="407" ht="15.75" customHeight="1">
      <c r="A407" s="25"/>
      <c r="B407" s="503"/>
      <c r="C407" s="503"/>
      <c r="D407" s="503"/>
      <c r="E407" s="25"/>
      <c r="F407" s="25"/>
      <c r="G407" s="25"/>
      <c r="H407" s="25"/>
      <c r="I407" s="25"/>
      <c r="J407" s="25"/>
      <c r="K407" s="25"/>
      <c r="L407" s="25"/>
      <c r="M407" s="25"/>
      <c r="N407" s="25"/>
      <c r="O407" s="25"/>
      <c r="P407" s="25"/>
      <c r="Q407" s="25"/>
      <c r="R407" s="25"/>
      <c r="S407" s="25"/>
      <c r="T407" s="25"/>
      <c r="U407" s="25"/>
      <c r="V407" s="25"/>
      <c r="W407" s="25"/>
      <c r="X407" s="25"/>
      <c r="Y407" s="25"/>
      <c r="Z407" s="25"/>
    </row>
    <row r="408" ht="15.75" customHeight="1">
      <c r="A408" s="25"/>
      <c r="B408" s="503"/>
      <c r="C408" s="503"/>
      <c r="D408" s="503"/>
      <c r="E408" s="25"/>
      <c r="F408" s="25"/>
      <c r="G408" s="25"/>
      <c r="H408" s="25"/>
      <c r="I408" s="25"/>
      <c r="J408" s="25"/>
      <c r="K408" s="25"/>
      <c r="L408" s="25"/>
      <c r="M408" s="25"/>
      <c r="N408" s="25"/>
      <c r="O408" s="25"/>
      <c r="P408" s="25"/>
      <c r="Q408" s="25"/>
      <c r="R408" s="25"/>
      <c r="S408" s="25"/>
      <c r="T408" s="25"/>
      <c r="U408" s="25"/>
      <c r="V408" s="25"/>
      <c r="W408" s="25"/>
      <c r="X408" s="25"/>
      <c r="Y408" s="25"/>
      <c r="Z408" s="25"/>
    </row>
    <row r="409" ht="15.75" customHeight="1">
      <c r="A409" s="25"/>
      <c r="B409" s="503"/>
      <c r="C409" s="503"/>
      <c r="D409" s="503"/>
      <c r="E409" s="25"/>
      <c r="F409" s="25"/>
      <c r="G409" s="25"/>
      <c r="H409" s="25"/>
      <c r="I409" s="25"/>
      <c r="J409" s="25"/>
      <c r="K409" s="25"/>
      <c r="L409" s="25"/>
      <c r="M409" s="25"/>
      <c r="N409" s="25"/>
      <c r="O409" s="25"/>
      <c r="P409" s="25"/>
      <c r="Q409" s="25"/>
      <c r="R409" s="25"/>
      <c r="S409" s="25"/>
      <c r="T409" s="25"/>
      <c r="U409" s="25"/>
      <c r="V409" s="25"/>
      <c r="W409" s="25"/>
      <c r="X409" s="25"/>
      <c r="Y409" s="25"/>
      <c r="Z409" s="25"/>
    </row>
    <row r="410" ht="15.75" customHeight="1">
      <c r="A410" s="25"/>
      <c r="B410" s="503"/>
      <c r="C410" s="503"/>
      <c r="D410" s="503"/>
      <c r="E410" s="25"/>
      <c r="F410" s="25"/>
      <c r="G410" s="25"/>
      <c r="H410" s="25"/>
      <c r="I410" s="25"/>
      <c r="J410" s="25"/>
      <c r="K410" s="25"/>
      <c r="L410" s="25"/>
      <c r="M410" s="25"/>
      <c r="N410" s="25"/>
      <c r="O410" s="25"/>
      <c r="P410" s="25"/>
      <c r="Q410" s="25"/>
      <c r="R410" s="25"/>
      <c r="S410" s="25"/>
      <c r="T410" s="25"/>
      <c r="U410" s="25"/>
      <c r="V410" s="25"/>
      <c r="W410" s="25"/>
      <c r="X410" s="25"/>
      <c r="Y410" s="25"/>
      <c r="Z410" s="25"/>
    </row>
    <row r="411" ht="15.75" customHeight="1">
      <c r="A411" s="25"/>
      <c r="B411" s="503"/>
      <c r="C411" s="503"/>
      <c r="D411" s="503"/>
      <c r="E411" s="25"/>
      <c r="F411" s="25"/>
      <c r="G411" s="25"/>
      <c r="H411" s="25"/>
      <c r="I411" s="25"/>
      <c r="J411" s="25"/>
      <c r="K411" s="25"/>
      <c r="L411" s="25"/>
      <c r="M411" s="25"/>
      <c r="N411" s="25"/>
      <c r="O411" s="25"/>
      <c r="P411" s="25"/>
      <c r="Q411" s="25"/>
      <c r="R411" s="25"/>
      <c r="S411" s="25"/>
      <c r="T411" s="25"/>
      <c r="U411" s="25"/>
      <c r="V411" s="25"/>
      <c r="W411" s="25"/>
      <c r="X411" s="25"/>
      <c r="Y411" s="25"/>
      <c r="Z411" s="25"/>
    </row>
    <row r="412" ht="15.75" customHeight="1">
      <c r="A412" s="25"/>
      <c r="B412" s="503"/>
      <c r="C412" s="503"/>
      <c r="D412" s="503"/>
      <c r="E412" s="25"/>
      <c r="F412" s="25"/>
      <c r="G412" s="25"/>
      <c r="H412" s="25"/>
      <c r="I412" s="25"/>
      <c r="J412" s="25"/>
      <c r="K412" s="25"/>
      <c r="L412" s="25"/>
      <c r="M412" s="25"/>
      <c r="N412" s="25"/>
      <c r="O412" s="25"/>
      <c r="P412" s="25"/>
      <c r="Q412" s="25"/>
      <c r="R412" s="25"/>
      <c r="S412" s="25"/>
      <c r="T412" s="25"/>
      <c r="U412" s="25"/>
      <c r="V412" s="25"/>
      <c r="W412" s="25"/>
      <c r="X412" s="25"/>
      <c r="Y412" s="25"/>
      <c r="Z412" s="25"/>
    </row>
    <row r="413" ht="15.75" customHeight="1">
      <c r="A413" s="25"/>
      <c r="B413" s="503"/>
      <c r="C413" s="503"/>
      <c r="D413" s="503"/>
      <c r="E413" s="25"/>
      <c r="F413" s="25"/>
      <c r="G413" s="25"/>
      <c r="H413" s="25"/>
      <c r="I413" s="25"/>
      <c r="J413" s="25"/>
      <c r="K413" s="25"/>
      <c r="L413" s="25"/>
      <c r="M413" s="25"/>
      <c r="N413" s="25"/>
      <c r="O413" s="25"/>
      <c r="P413" s="25"/>
      <c r="Q413" s="25"/>
      <c r="R413" s="25"/>
      <c r="S413" s="25"/>
      <c r="T413" s="25"/>
      <c r="U413" s="25"/>
      <c r="V413" s="25"/>
      <c r="W413" s="25"/>
      <c r="X413" s="25"/>
      <c r="Y413" s="25"/>
      <c r="Z413" s="25"/>
    </row>
    <row r="414" ht="15.75" customHeight="1">
      <c r="A414" s="25"/>
      <c r="B414" s="503"/>
      <c r="C414" s="503"/>
      <c r="D414" s="503"/>
      <c r="E414" s="25"/>
      <c r="F414" s="25"/>
      <c r="G414" s="25"/>
      <c r="H414" s="25"/>
      <c r="I414" s="25"/>
      <c r="J414" s="25"/>
      <c r="K414" s="25"/>
      <c r="L414" s="25"/>
      <c r="M414" s="25"/>
      <c r="N414" s="25"/>
      <c r="O414" s="25"/>
      <c r="P414" s="25"/>
      <c r="Q414" s="25"/>
      <c r="R414" s="25"/>
      <c r="S414" s="25"/>
      <c r="T414" s="25"/>
      <c r="U414" s="25"/>
      <c r="V414" s="25"/>
      <c r="W414" s="25"/>
      <c r="X414" s="25"/>
      <c r="Y414" s="25"/>
      <c r="Z414" s="25"/>
    </row>
    <row r="415" ht="15.75" customHeight="1">
      <c r="A415" s="25"/>
      <c r="B415" s="503"/>
      <c r="C415" s="503"/>
      <c r="D415" s="503"/>
      <c r="E415" s="25"/>
      <c r="F415" s="25"/>
      <c r="G415" s="25"/>
      <c r="H415" s="25"/>
      <c r="I415" s="25"/>
      <c r="J415" s="25"/>
      <c r="K415" s="25"/>
      <c r="L415" s="25"/>
      <c r="M415" s="25"/>
      <c r="N415" s="25"/>
      <c r="O415" s="25"/>
      <c r="P415" s="25"/>
      <c r="Q415" s="25"/>
      <c r="R415" s="25"/>
      <c r="S415" s="25"/>
      <c r="T415" s="25"/>
      <c r="U415" s="25"/>
      <c r="V415" s="25"/>
      <c r="W415" s="25"/>
      <c r="X415" s="25"/>
      <c r="Y415" s="25"/>
      <c r="Z415" s="25"/>
    </row>
    <row r="416" ht="15.75" customHeight="1">
      <c r="A416" s="25"/>
      <c r="B416" s="503"/>
      <c r="C416" s="503"/>
      <c r="D416" s="503"/>
      <c r="E416" s="25"/>
      <c r="F416" s="25"/>
      <c r="G416" s="25"/>
      <c r="H416" s="25"/>
      <c r="I416" s="25"/>
      <c r="J416" s="25"/>
      <c r="K416" s="25"/>
      <c r="L416" s="25"/>
      <c r="M416" s="25"/>
      <c r="N416" s="25"/>
      <c r="O416" s="25"/>
      <c r="P416" s="25"/>
      <c r="Q416" s="25"/>
      <c r="R416" s="25"/>
      <c r="S416" s="25"/>
      <c r="T416" s="25"/>
      <c r="U416" s="25"/>
      <c r="V416" s="25"/>
      <c r="W416" s="25"/>
      <c r="X416" s="25"/>
      <c r="Y416" s="25"/>
      <c r="Z416" s="25"/>
    </row>
    <row r="417" ht="15.75" customHeight="1">
      <c r="A417" s="25"/>
      <c r="B417" s="503"/>
      <c r="C417" s="503"/>
      <c r="D417" s="503"/>
      <c r="E417" s="25"/>
      <c r="F417" s="25"/>
      <c r="G417" s="25"/>
      <c r="H417" s="25"/>
      <c r="I417" s="25"/>
      <c r="J417" s="25"/>
      <c r="K417" s="25"/>
      <c r="L417" s="25"/>
      <c r="M417" s="25"/>
      <c r="N417" s="25"/>
      <c r="O417" s="25"/>
      <c r="P417" s="25"/>
      <c r="Q417" s="25"/>
      <c r="R417" s="25"/>
      <c r="S417" s="25"/>
      <c r="T417" s="25"/>
      <c r="U417" s="25"/>
      <c r="V417" s="25"/>
      <c r="W417" s="25"/>
      <c r="X417" s="25"/>
      <c r="Y417" s="25"/>
      <c r="Z417" s="25"/>
    </row>
    <row r="418" ht="15.75" customHeight="1">
      <c r="A418" s="25"/>
      <c r="B418" s="503"/>
      <c r="C418" s="503"/>
      <c r="D418" s="503"/>
      <c r="E418" s="25"/>
      <c r="F418" s="25"/>
      <c r="G418" s="25"/>
      <c r="H418" s="25"/>
      <c r="I418" s="25"/>
      <c r="J418" s="25"/>
      <c r="K418" s="25"/>
      <c r="L418" s="25"/>
      <c r="M418" s="25"/>
      <c r="N418" s="25"/>
      <c r="O418" s="25"/>
      <c r="P418" s="25"/>
      <c r="Q418" s="25"/>
      <c r="R418" s="25"/>
      <c r="S418" s="25"/>
      <c r="T418" s="25"/>
      <c r="U418" s="25"/>
      <c r="V418" s="25"/>
      <c r="W418" s="25"/>
      <c r="X418" s="25"/>
      <c r="Y418" s="25"/>
      <c r="Z418" s="25"/>
    </row>
    <row r="419" ht="15.75" customHeight="1">
      <c r="A419" s="25"/>
      <c r="B419" s="503"/>
      <c r="C419" s="503"/>
      <c r="D419" s="503"/>
      <c r="E419" s="25"/>
      <c r="F419" s="25"/>
      <c r="G419" s="25"/>
      <c r="H419" s="25"/>
      <c r="I419" s="25"/>
      <c r="J419" s="25"/>
      <c r="K419" s="25"/>
      <c r="L419" s="25"/>
      <c r="M419" s="25"/>
      <c r="N419" s="25"/>
      <c r="O419" s="25"/>
      <c r="P419" s="25"/>
      <c r="Q419" s="25"/>
      <c r="R419" s="25"/>
      <c r="S419" s="25"/>
      <c r="T419" s="25"/>
      <c r="U419" s="25"/>
      <c r="V419" s="25"/>
      <c r="W419" s="25"/>
      <c r="X419" s="25"/>
      <c r="Y419" s="25"/>
      <c r="Z419" s="25"/>
    </row>
    <row r="420" ht="15.75" customHeight="1">
      <c r="A420" s="25"/>
      <c r="B420" s="503"/>
      <c r="C420" s="503"/>
      <c r="D420" s="503"/>
      <c r="E420" s="25"/>
      <c r="F420" s="25"/>
      <c r="G420" s="25"/>
      <c r="H420" s="25"/>
      <c r="I420" s="25"/>
      <c r="J420" s="25"/>
      <c r="K420" s="25"/>
      <c r="L420" s="25"/>
      <c r="M420" s="25"/>
      <c r="N420" s="25"/>
      <c r="O420" s="25"/>
      <c r="P420" s="25"/>
      <c r="Q420" s="25"/>
      <c r="R420" s="25"/>
      <c r="S420" s="25"/>
      <c r="T420" s="25"/>
      <c r="U420" s="25"/>
      <c r="V420" s="25"/>
      <c r="W420" s="25"/>
      <c r="X420" s="25"/>
      <c r="Y420" s="25"/>
      <c r="Z420" s="25"/>
    </row>
    <row r="421" ht="15.75" customHeight="1">
      <c r="A421" s="25"/>
      <c r="B421" s="503"/>
      <c r="C421" s="503"/>
      <c r="D421" s="503"/>
      <c r="E421" s="25"/>
      <c r="F421" s="25"/>
      <c r="G421" s="25"/>
      <c r="H421" s="25"/>
      <c r="I421" s="25"/>
      <c r="J421" s="25"/>
      <c r="K421" s="25"/>
      <c r="L421" s="25"/>
      <c r="M421" s="25"/>
      <c r="N421" s="25"/>
      <c r="O421" s="25"/>
      <c r="P421" s="25"/>
      <c r="Q421" s="25"/>
      <c r="R421" s="25"/>
      <c r="S421" s="25"/>
      <c r="T421" s="25"/>
      <c r="U421" s="25"/>
      <c r="V421" s="25"/>
      <c r="W421" s="25"/>
      <c r="X421" s="25"/>
      <c r="Y421" s="25"/>
      <c r="Z421" s="25"/>
    </row>
    <row r="422" ht="15.75" customHeight="1">
      <c r="A422" s="25"/>
      <c r="B422" s="503"/>
      <c r="C422" s="503"/>
      <c r="D422" s="503"/>
      <c r="E422" s="25"/>
      <c r="F422" s="25"/>
      <c r="G422" s="25"/>
      <c r="H422" s="25"/>
      <c r="I422" s="25"/>
      <c r="J422" s="25"/>
      <c r="K422" s="25"/>
      <c r="L422" s="25"/>
      <c r="M422" s="25"/>
      <c r="N422" s="25"/>
      <c r="O422" s="25"/>
      <c r="P422" s="25"/>
      <c r="Q422" s="25"/>
      <c r="R422" s="25"/>
      <c r="S422" s="25"/>
      <c r="T422" s="25"/>
      <c r="U422" s="25"/>
      <c r="V422" s="25"/>
      <c r="W422" s="25"/>
      <c r="X422" s="25"/>
      <c r="Y422" s="25"/>
      <c r="Z422" s="25"/>
    </row>
    <row r="423" ht="15.75" customHeight="1">
      <c r="A423" s="25"/>
      <c r="B423" s="503"/>
      <c r="C423" s="503"/>
      <c r="D423" s="503"/>
      <c r="E423" s="25"/>
      <c r="F423" s="25"/>
      <c r="G423" s="25"/>
      <c r="H423" s="25"/>
      <c r="I423" s="25"/>
      <c r="J423" s="25"/>
      <c r="K423" s="25"/>
      <c r="L423" s="25"/>
      <c r="M423" s="25"/>
      <c r="N423" s="25"/>
      <c r="O423" s="25"/>
      <c r="P423" s="25"/>
      <c r="Q423" s="25"/>
      <c r="R423" s="25"/>
      <c r="S423" s="25"/>
      <c r="T423" s="25"/>
      <c r="U423" s="25"/>
      <c r="V423" s="25"/>
      <c r="W423" s="25"/>
      <c r="X423" s="25"/>
      <c r="Y423" s="25"/>
      <c r="Z423" s="25"/>
    </row>
    <row r="424" ht="15.75" customHeight="1">
      <c r="A424" s="25"/>
      <c r="B424" s="503"/>
      <c r="C424" s="503"/>
      <c r="D424" s="503"/>
      <c r="E424" s="25"/>
      <c r="F424" s="25"/>
      <c r="G424" s="25"/>
      <c r="H424" s="25"/>
      <c r="I424" s="25"/>
      <c r="J424" s="25"/>
      <c r="K424" s="25"/>
      <c r="L424" s="25"/>
      <c r="M424" s="25"/>
      <c r="N424" s="25"/>
      <c r="O424" s="25"/>
      <c r="P424" s="25"/>
      <c r="Q424" s="25"/>
      <c r="R424" s="25"/>
      <c r="S424" s="25"/>
      <c r="T424" s="25"/>
      <c r="U424" s="25"/>
      <c r="V424" s="25"/>
      <c r="W424" s="25"/>
      <c r="X424" s="25"/>
      <c r="Y424" s="25"/>
      <c r="Z424" s="25"/>
    </row>
    <row r="425" ht="15.75" customHeight="1">
      <c r="A425" s="25"/>
      <c r="B425" s="503"/>
      <c r="C425" s="503"/>
      <c r="D425" s="503"/>
      <c r="E425" s="25"/>
      <c r="F425" s="25"/>
      <c r="G425" s="25"/>
      <c r="H425" s="25"/>
      <c r="I425" s="25"/>
      <c r="J425" s="25"/>
      <c r="K425" s="25"/>
      <c r="L425" s="25"/>
      <c r="M425" s="25"/>
      <c r="N425" s="25"/>
      <c r="O425" s="25"/>
      <c r="P425" s="25"/>
      <c r="Q425" s="25"/>
      <c r="R425" s="25"/>
      <c r="S425" s="25"/>
      <c r="T425" s="25"/>
      <c r="U425" s="25"/>
      <c r="V425" s="25"/>
      <c r="W425" s="25"/>
      <c r="X425" s="25"/>
      <c r="Y425" s="25"/>
      <c r="Z425" s="25"/>
    </row>
    <row r="426" ht="15.75" customHeight="1">
      <c r="A426" s="25"/>
      <c r="B426" s="503"/>
      <c r="C426" s="503"/>
      <c r="D426" s="503"/>
      <c r="E426" s="25"/>
      <c r="F426" s="25"/>
      <c r="G426" s="25"/>
      <c r="H426" s="25"/>
      <c r="I426" s="25"/>
      <c r="J426" s="25"/>
      <c r="K426" s="25"/>
      <c r="L426" s="25"/>
      <c r="M426" s="25"/>
      <c r="N426" s="25"/>
      <c r="O426" s="25"/>
      <c r="P426" s="25"/>
      <c r="Q426" s="25"/>
      <c r="R426" s="25"/>
      <c r="S426" s="25"/>
      <c r="T426" s="25"/>
      <c r="U426" s="25"/>
      <c r="V426" s="25"/>
      <c r="W426" s="25"/>
      <c r="X426" s="25"/>
      <c r="Y426" s="25"/>
      <c r="Z426" s="25"/>
    </row>
    <row r="427" ht="15.75" customHeight="1">
      <c r="A427" s="25"/>
      <c r="B427" s="503"/>
      <c r="C427" s="503"/>
      <c r="D427" s="503"/>
      <c r="E427" s="25"/>
      <c r="F427" s="25"/>
      <c r="G427" s="25"/>
      <c r="H427" s="25"/>
      <c r="I427" s="25"/>
      <c r="J427" s="25"/>
      <c r="K427" s="25"/>
      <c r="L427" s="25"/>
      <c r="M427" s="25"/>
      <c r="N427" s="25"/>
      <c r="O427" s="25"/>
      <c r="P427" s="25"/>
      <c r="Q427" s="25"/>
      <c r="R427" s="25"/>
      <c r="S427" s="25"/>
      <c r="T427" s="25"/>
      <c r="U427" s="25"/>
      <c r="V427" s="25"/>
      <c r="W427" s="25"/>
      <c r="X427" s="25"/>
      <c r="Y427" s="25"/>
      <c r="Z427" s="25"/>
    </row>
    <row r="428" ht="15.75" customHeight="1">
      <c r="A428" s="25"/>
      <c r="B428" s="503"/>
      <c r="C428" s="503"/>
      <c r="D428" s="503"/>
      <c r="E428" s="25"/>
      <c r="F428" s="25"/>
      <c r="G428" s="25"/>
      <c r="H428" s="25"/>
      <c r="I428" s="25"/>
      <c r="J428" s="25"/>
      <c r="K428" s="25"/>
      <c r="L428" s="25"/>
      <c r="M428" s="25"/>
      <c r="N428" s="25"/>
      <c r="O428" s="25"/>
      <c r="P428" s="25"/>
      <c r="Q428" s="25"/>
      <c r="R428" s="25"/>
      <c r="S428" s="25"/>
      <c r="T428" s="25"/>
      <c r="U428" s="25"/>
      <c r="V428" s="25"/>
      <c r="W428" s="25"/>
      <c r="X428" s="25"/>
      <c r="Y428" s="25"/>
      <c r="Z428" s="25"/>
    </row>
    <row r="429" ht="15.75" customHeight="1">
      <c r="A429" s="25"/>
      <c r="B429" s="503"/>
      <c r="C429" s="503"/>
      <c r="D429" s="503"/>
      <c r="E429" s="25"/>
      <c r="F429" s="25"/>
      <c r="G429" s="25"/>
      <c r="H429" s="25"/>
      <c r="I429" s="25"/>
      <c r="J429" s="25"/>
      <c r="K429" s="25"/>
      <c r="L429" s="25"/>
      <c r="M429" s="25"/>
      <c r="N429" s="25"/>
      <c r="O429" s="25"/>
      <c r="P429" s="25"/>
      <c r="Q429" s="25"/>
      <c r="R429" s="25"/>
      <c r="S429" s="25"/>
      <c r="T429" s="25"/>
      <c r="U429" s="25"/>
      <c r="V429" s="25"/>
      <c r="W429" s="25"/>
      <c r="X429" s="25"/>
      <c r="Y429" s="25"/>
      <c r="Z429" s="25"/>
    </row>
    <row r="430" ht="15.75" customHeight="1">
      <c r="A430" s="25"/>
      <c r="B430" s="503"/>
      <c r="C430" s="503"/>
      <c r="D430" s="503"/>
      <c r="E430" s="25"/>
      <c r="F430" s="25"/>
      <c r="G430" s="25"/>
      <c r="H430" s="25"/>
      <c r="I430" s="25"/>
      <c r="J430" s="25"/>
      <c r="K430" s="25"/>
      <c r="L430" s="25"/>
      <c r="M430" s="25"/>
      <c r="N430" s="25"/>
      <c r="O430" s="25"/>
      <c r="P430" s="25"/>
      <c r="Q430" s="25"/>
      <c r="R430" s="25"/>
      <c r="S430" s="25"/>
      <c r="T430" s="25"/>
      <c r="U430" s="25"/>
      <c r="V430" s="25"/>
      <c r="W430" s="25"/>
      <c r="X430" s="25"/>
      <c r="Y430" s="25"/>
      <c r="Z430" s="25"/>
    </row>
    <row r="431" ht="15.75" customHeight="1">
      <c r="A431" s="25"/>
      <c r="B431" s="503"/>
      <c r="C431" s="503"/>
      <c r="D431" s="503"/>
      <c r="E431" s="25"/>
      <c r="F431" s="25"/>
      <c r="G431" s="25"/>
      <c r="H431" s="25"/>
      <c r="I431" s="25"/>
      <c r="J431" s="25"/>
      <c r="K431" s="25"/>
      <c r="L431" s="25"/>
      <c r="M431" s="25"/>
      <c r="N431" s="25"/>
      <c r="O431" s="25"/>
      <c r="P431" s="25"/>
      <c r="Q431" s="25"/>
      <c r="R431" s="25"/>
      <c r="S431" s="25"/>
      <c r="T431" s="25"/>
      <c r="U431" s="25"/>
      <c r="V431" s="25"/>
      <c r="W431" s="25"/>
      <c r="X431" s="25"/>
      <c r="Y431" s="25"/>
      <c r="Z431" s="25"/>
    </row>
    <row r="432" ht="15.75" customHeight="1">
      <c r="A432" s="25"/>
      <c r="B432" s="503"/>
      <c r="C432" s="503"/>
      <c r="D432" s="503"/>
      <c r="E432" s="25"/>
      <c r="F432" s="25"/>
      <c r="G432" s="25"/>
      <c r="H432" s="25"/>
      <c r="I432" s="25"/>
      <c r="J432" s="25"/>
      <c r="K432" s="25"/>
      <c r="L432" s="25"/>
      <c r="M432" s="25"/>
      <c r="N432" s="25"/>
      <c r="O432" s="25"/>
      <c r="P432" s="25"/>
      <c r="Q432" s="25"/>
      <c r="R432" s="25"/>
      <c r="S432" s="25"/>
      <c r="T432" s="25"/>
      <c r="U432" s="25"/>
      <c r="V432" s="25"/>
      <c r="W432" s="25"/>
      <c r="X432" s="25"/>
      <c r="Y432" s="25"/>
      <c r="Z432" s="25"/>
    </row>
    <row r="433" ht="15.75" customHeight="1">
      <c r="A433" s="25"/>
      <c r="B433" s="503"/>
      <c r="C433" s="503"/>
      <c r="D433" s="503"/>
      <c r="E433" s="25"/>
      <c r="F433" s="25"/>
      <c r="G433" s="25"/>
      <c r="H433" s="25"/>
      <c r="I433" s="25"/>
      <c r="J433" s="25"/>
      <c r="K433" s="25"/>
      <c r="L433" s="25"/>
      <c r="M433" s="25"/>
      <c r="N433" s="25"/>
      <c r="O433" s="25"/>
      <c r="P433" s="25"/>
      <c r="Q433" s="25"/>
      <c r="R433" s="25"/>
      <c r="S433" s="25"/>
      <c r="T433" s="25"/>
      <c r="U433" s="25"/>
      <c r="V433" s="25"/>
      <c r="W433" s="25"/>
      <c r="X433" s="25"/>
      <c r="Y433" s="25"/>
      <c r="Z433" s="25"/>
    </row>
    <row r="434" ht="15.75" customHeight="1">
      <c r="A434" s="25"/>
      <c r="B434" s="503"/>
      <c r="C434" s="503"/>
      <c r="D434" s="503"/>
      <c r="E434" s="25"/>
      <c r="F434" s="25"/>
      <c r="G434" s="25"/>
      <c r="H434" s="25"/>
      <c r="I434" s="25"/>
      <c r="J434" s="25"/>
      <c r="K434" s="25"/>
      <c r="L434" s="25"/>
      <c r="M434" s="25"/>
      <c r="N434" s="25"/>
      <c r="O434" s="25"/>
      <c r="P434" s="25"/>
      <c r="Q434" s="25"/>
      <c r="R434" s="25"/>
      <c r="S434" s="25"/>
      <c r="T434" s="25"/>
      <c r="U434" s="25"/>
      <c r="V434" s="25"/>
      <c r="W434" s="25"/>
      <c r="X434" s="25"/>
      <c r="Y434" s="25"/>
      <c r="Z434" s="25"/>
    </row>
    <row r="435" ht="15.75" customHeight="1">
      <c r="A435" s="25"/>
      <c r="B435" s="503"/>
      <c r="C435" s="503"/>
      <c r="D435" s="503"/>
      <c r="E435" s="25"/>
      <c r="F435" s="25"/>
      <c r="G435" s="25"/>
      <c r="H435" s="25"/>
      <c r="I435" s="25"/>
      <c r="J435" s="25"/>
      <c r="K435" s="25"/>
      <c r="L435" s="25"/>
      <c r="M435" s="25"/>
      <c r="N435" s="25"/>
      <c r="O435" s="25"/>
      <c r="P435" s="25"/>
      <c r="Q435" s="25"/>
      <c r="R435" s="25"/>
      <c r="S435" s="25"/>
      <c r="T435" s="25"/>
      <c r="U435" s="25"/>
      <c r="V435" s="25"/>
      <c r="W435" s="25"/>
      <c r="X435" s="25"/>
      <c r="Y435" s="25"/>
      <c r="Z435" s="25"/>
    </row>
    <row r="436" ht="15.75" customHeight="1">
      <c r="A436" s="25"/>
      <c r="B436" s="503"/>
      <c r="C436" s="503"/>
      <c r="D436" s="503"/>
      <c r="E436" s="25"/>
      <c r="F436" s="25"/>
      <c r="G436" s="25"/>
      <c r="H436" s="25"/>
      <c r="I436" s="25"/>
      <c r="J436" s="25"/>
      <c r="K436" s="25"/>
      <c r="L436" s="25"/>
      <c r="M436" s="25"/>
      <c r="N436" s="25"/>
      <c r="O436" s="25"/>
      <c r="P436" s="25"/>
      <c r="Q436" s="25"/>
      <c r="R436" s="25"/>
      <c r="S436" s="25"/>
      <c r="T436" s="25"/>
      <c r="U436" s="25"/>
      <c r="V436" s="25"/>
      <c r="W436" s="25"/>
      <c r="X436" s="25"/>
      <c r="Y436" s="25"/>
      <c r="Z436" s="25"/>
    </row>
    <row r="437" ht="15.75" customHeight="1">
      <c r="A437" s="25"/>
      <c r="B437" s="503"/>
      <c r="C437" s="503"/>
      <c r="D437" s="503"/>
      <c r="E437" s="25"/>
      <c r="F437" s="25"/>
      <c r="G437" s="25"/>
      <c r="H437" s="25"/>
      <c r="I437" s="25"/>
      <c r="J437" s="25"/>
      <c r="K437" s="25"/>
      <c r="L437" s="25"/>
      <c r="M437" s="25"/>
      <c r="N437" s="25"/>
      <c r="O437" s="25"/>
      <c r="P437" s="25"/>
      <c r="Q437" s="25"/>
      <c r="R437" s="25"/>
      <c r="S437" s="25"/>
      <c r="T437" s="25"/>
      <c r="U437" s="25"/>
      <c r="V437" s="25"/>
      <c r="W437" s="25"/>
      <c r="X437" s="25"/>
      <c r="Y437" s="25"/>
      <c r="Z437" s="25"/>
    </row>
    <row r="438" ht="15.75" customHeight="1">
      <c r="A438" s="25"/>
      <c r="B438" s="503"/>
      <c r="C438" s="503"/>
      <c r="D438" s="503"/>
      <c r="E438" s="25"/>
      <c r="F438" s="25"/>
      <c r="G438" s="25"/>
      <c r="H438" s="25"/>
      <c r="I438" s="25"/>
      <c r="J438" s="25"/>
      <c r="K438" s="25"/>
      <c r="L438" s="25"/>
      <c r="M438" s="25"/>
      <c r="N438" s="25"/>
      <c r="O438" s="25"/>
      <c r="P438" s="25"/>
      <c r="Q438" s="25"/>
      <c r="R438" s="25"/>
      <c r="S438" s="25"/>
      <c r="T438" s="25"/>
      <c r="U438" s="25"/>
      <c r="V438" s="25"/>
      <c r="W438" s="25"/>
      <c r="X438" s="25"/>
      <c r="Y438" s="25"/>
      <c r="Z438" s="25"/>
    </row>
    <row r="439" ht="15.75" customHeight="1">
      <c r="A439" s="25"/>
      <c r="B439" s="503"/>
      <c r="C439" s="503"/>
      <c r="D439" s="503"/>
      <c r="E439" s="25"/>
      <c r="F439" s="25"/>
      <c r="G439" s="25"/>
      <c r="H439" s="25"/>
      <c r="I439" s="25"/>
      <c r="J439" s="25"/>
      <c r="K439" s="25"/>
      <c r="L439" s="25"/>
      <c r="M439" s="25"/>
      <c r="N439" s="25"/>
      <c r="O439" s="25"/>
      <c r="P439" s="25"/>
      <c r="Q439" s="25"/>
      <c r="R439" s="25"/>
      <c r="S439" s="25"/>
      <c r="T439" s="25"/>
      <c r="U439" s="25"/>
      <c r="V439" s="25"/>
      <c r="W439" s="25"/>
      <c r="X439" s="25"/>
      <c r="Y439" s="25"/>
      <c r="Z439" s="25"/>
    </row>
    <row r="440" ht="15.75" customHeight="1">
      <c r="A440" s="25"/>
      <c r="B440" s="503"/>
      <c r="C440" s="503"/>
      <c r="D440" s="503"/>
      <c r="E440" s="25"/>
      <c r="F440" s="25"/>
      <c r="G440" s="25"/>
      <c r="H440" s="25"/>
      <c r="I440" s="25"/>
      <c r="J440" s="25"/>
      <c r="K440" s="25"/>
      <c r="L440" s="25"/>
      <c r="M440" s="25"/>
      <c r="N440" s="25"/>
      <c r="O440" s="25"/>
      <c r="P440" s="25"/>
      <c r="Q440" s="25"/>
      <c r="R440" s="25"/>
      <c r="S440" s="25"/>
      <c r="T440" s="25"/>
      <c r="U440" s="25"/>
      <c r="V440" s="25"/>
      <c r="W440" s="25"/>
      <c r="X440" s="25"/>
      <c r="Y440" s="25"/>
      <c r="Z440" s="25"/>
    </row>
    <row r="441" ht="15.75" customHeight="1">
      <c r="A441" s="25"/>
      <c r="B441" s="503"/>
      <c r="C441" s="503"/>
      <c r="D441" s="503"/>
      <c r="E441" s="25"/>
      <c r="F441" s="25"/>
      <c r="G441" s="25"/>
      <c r="H441" s="25"/>
      <c r="I441" s="25"/>
      <c r="J441" s="25"/>
      <c r="K441" s="25"/>
      <c r="L441" s="25"/>
      <c r="M441" s="25"/>
      <c r="N441" s="25"/>
      <c r="O441" s="25"/>
      <c r="P441" s="25"/>
      <c r="Q441" s="25"/>
      <c r="R441" s="25"/>
      <c r="S441" s="25"/>
      <c r="T441" s="25"/>
      <c r="U441" s="25"/>
      <c r="V441" s="25"/>
      <c r="W441" s="25"/>
      <c r="X441" s="25"/>
      <c r="Y441" s="25"/>
      <c r="Z441" s="25"/>
    </row>
    <row r="442" ht="15.75" customHeight="1">
      <c r="A442" s="25"/>
      <c r="B442" s="503"/>
      <c r="C442" s="503"/>
      <c r="D442" s="503"/>
      <c r="E442" s="25"/>
      <c r="F442" s="25"/>
      <c r="G442" s="25"/>
      <c r="H442" s="25"/>
      <c r="I442" s="25"/>
      <c r="J442" s="25"/>
      <c r="K442" s="25"/>
      <c r="L442" s="25"/>
      <c r="M442" s="25"/>
      <c r="N442" s="25"/>
      <c r="O442" s="25"/>
      <c r="P442" s="25"/>
      <c r="Q442" s="25"/>
      <c r="R442" s="25"/>
      <c r="S442" s="25"/>
      <c r="T442" s="25"/>
      <c r="U442" s="25"/>
      <c r="V442" s="25"/>
      <c r="W442" s="25"/>
      <c r="X442" s="25"/>
      <c r="Y442" s="25"/>
      <c r="Z442" s="25"/>
    </row>
    <row r="443" ht="15.75" customHeight="1">
      <c r="A443" s="25"/>
      <c r="B443" s="503"/>
      <c r="C443" s="503"/>
      <c r="D443" s="503"/>
      <c r="E443" s="25"/>
      <c r="F443" s="25"/>
      <c r="G443" s="25"/>
      <c r="H443" s="25"/>
      <c r="I443" s="25"/>
      <c r="J443" s="25"/>
      <c r="K443" s="25"/>
      <c r="L443" s="25"/>
      <c r="M443" s="25"/>
      <c r="N443" s="25"/>
      <c r="O443" s="25"/>
      <c r="P443" s="25"/>
      <c r="Q443" s="25"/>
      <c r="R443" s="25"/>
      <c r="S443" s="25"/>
      <c r="T443" s="25"/>
      <c r="U443" s="25"/>
      <c r="V443" s="25"/>
      <c r="W443" s="25"/>
      <c r="X443" s="25"/>
      <c r="Y443" s="25"/>
      <c r="Z443" s="25"/>
    </row>
    <row r="444" ht="15.75" customHeight="1">
      <c r="A444" s="25"/>
      <c r="B444" s="503"/>
      <c r="C444" s="503"/>
      <c r="D444" s="503"/>
      <c r="E444" s="25"/>
      <c r="F444" s="25"/>
      <c r="G444" s="25"/>
      <c r="H444" s="25"/>
      <c r="I444" s="25"/>
      <c r="J444" s="25"/>
      <c r="K444" s="25"/>
      <c r="L444" s="25"/>
      <c r="M444" s="25"/>
      <c r="N444" s="25"/>
      <c r="O444" s="25"/>
      <c r="P444" s="25"/>
      <c r="Q444" s="25"/>
      <c r="R444" s="25"/>
      <c r="S444" s="25"/>
      <c r="T444" s="25"/>
      <c r="U444" s="25"/>
      <c r="V444" s="25"/>
      <c r="W444" s="25"/>
      <c r="X444" s="25"/>
      <c r="Y444" s="25"/>
      <c r="Z444" s="25"/>
    </row>
    <row r="445" ht="15.75" customHeight="1">
      <c r="A445" s="25"/>
      <c r="B445" s="503"/>
      <c r="C445" s="503"/>
      <c r="D445" s="503"/>
      <c r="E445" s="25"/>
      <c r="F445" s="25"/>
      <c r="G445" s="25"/>
      <c r="H445" s="25"/>
      <c r="I445" s="25"/>
      <c r="J445" s="25"/>
      <c r="K445" s="25"/>
      <c r="L445" s="25"/>
      <c r="M445" s="25"/>
      <c r="N445" s="25"/>
      <c r="O445" s="25"/>
      <c r="P445" s="25"/>
      <c r="Q445" s="25"/>
      <c r="R445" s="25"/>
      <c r="S445" s="25"/>
      <c r="T445" s="25"/>
      <c r="U445" s="25"/>
      <c r="V445" s="25"/>
      <c r="W445" s="25"/>
      <c r="X445" s="25"/>
      <c r="Y445" s="25"/>
      <c r="Z445" s="25"/>
    </row>
    <row r="446" ht="15.75" customHeight="1">
      <c r="A446" s="25"/>
      <c r="B446" s="503"/>
      <c r="C446" s="503"/>
      <c r="D446" s="503"/>
      <c r="E446" s="25"/>
      <c r="F446" s="25"/>
      <c r="G446" s="25"/>
      <c r="H446" s="25"/>
      <c r="I446" s="25"/>
      <c r="J446" s="25"/>
      <c r="K446" s="25"/>
      <c r="L446" s="25"/>
      <c r="M446" s="25"/>
      <c r="N446" s="25"/>
      <c r="O446" s="25"/>
      <c r="P446" s="25"/>
      <c r="Q446" s="25"/>
      <c r="R446" s="25"/>
      <c r="S446" s="25"/>
      <c r="T446" s="25"/>
      <c r="U446" s="25"/>
      <c r="V446" s="25"/>
      <c r="W446" s="25"/>
      <c r="X446" s="25"/>
      <c r="Y446" s="25"/>
      <c r="Z446" s="25"/>
    </row>
    <row r="447" ht="15.75" customHeight="1">
      <c r="A447" s="25"/>
      <c r="B447" s="503"/>
      <c r="C447" s="503"/>
      <c r="D447" s="503"/>
      <c r="E447" s="25"/>
      <c r="F447" s="25"/>
      <c r="G447" s="25"/>
      <c r="H447" s="25"/>
      <c r="I447" s="25"/>
      <c r="J447" s="25"/>
      <c r="K447" s="25"/>
      <c r="L447" s="25"/>
      <c r="M447" s="25"/>
      <c r="N447" s="25"/>
      <c r="O447" s="25"/>
      <c r="P447" s="25"/>
      <c r="Q447" s="25"/>
      <c r="R447" s="25"/>
      <c r="S447" s="25"/>
      <c r="T447" s="25"/>
      <c r="U447" s="25"/>
      <c r="V447" s="25"/>
      <c r="W447" s="25"/>
      <c r="X447" s="25"/>
      <c r="Y447" s="25"/>
      <c r="Z447" s="25"/>
    </row>
    <row r="448" ht="15.75" customHeight="1">
      <c r="A448" s="25"/>
      <c r="B448" s="503"/>
      <c r="C448" s="503"/>
      <c r="D448" s="503"/>
      <c r="E448" s="25"/>
      <c r="F448" s="25"/>
      <c r="G448" s="25"/>
      <c r="H448" s="25"/>
      <c r="I448" s="25"/>
      <c r="J448" s="25"/>
      <c r="K448" s="25"/>
      <c r="L448" s="25"/>
      <c r="M448" s="25"/>
      <c r="N448" s="25"/>
      <c r="O448" s="25"/>
      <c r="P448" s="25"/>
      <c r="Q448" s="25"/>
      <c r="R448" s="25"/>
      <c r="S448" s="25"/>
      <c r="T448" s="25"/>
      <c r="U448" s="25"/>
      <c r="V448" s="25"/>
      <c r="W448" s="25"/>
      <c r="X448" s="25"/>
      <c r="Y448" s="25"/>
      <c r="Z448" s="25"/>
    </row>
    <row r="449" ht="15.75" customHeight="1">
      <c r="A449" s="25"/>
      <c r="B449" s="503"/>
      <c r="C449" s="503"/>
      <c r="D449" s="503"/>
      <c r="E449" s="25"/>
      <c r="F449" s="25"/>
      <c r="G449" s="25"/>
      <c r="H449" s="25"/>
      <c r="I449" s="25"/>
      <c r="J449" s="25"/>
      <c r="K449" s="25"/>
      <c r="L449" s="25"/>
      <c r="M449" s="25"/>
      <c r="N449" s="25"/>
      <c r="O449" s="25"/>
      <c r="P449" s="25"/>
      <c r="Q449" s="25"/>
      <c r="R449" s="25"/>
      <c r="S449" s="25"/>
      <c r="T449" s="25"/>
      <c r="U449" s="25"/>
      <c r="V449" s="25"/>
      <c r="W449" s="25"/>
      <c r="X449" s="25"/>
      <c r="Y449" s="25"/>
      <c r="Z449" s="25"/>
    </row>
    <row r="450" ht="15.75" customHeight="1">
      <c r="A450" s="25"/>
      <c r="B450" s="503"/>
      <c r="C450" s="503"/>
      <c r="D450" s="503"/>
      <c r="E450" s="25"/>
      <c r="F450" s="25"/>
      <c r="G450" s="25"/>
      <c r="H450" s="25"/>
      <c r="I450" s="25"/>
      <c r="J450" s="25"/>
      <c r="K450" s="25"/>
      <c r="L450" s="25"/>
      <c r="M450" s="25"/>
      <c r="N450" s="25"/>
      <c r="O450" s="25"/>
      <c r="P450" s="25"/>
      <c r="Q450" s="25"/>
      <c r="R450" s="25"/>
      <c r="S450" s="25"/>
      <c r="T450" s="25"/>
      <c r="U450" s="25"/>
      <c r="V450" s="25"/>
      <c r="W450" s="25"/>
      <c r="X450" s="25"/>
      <c r="Y450" s="25"/>
      <c r="Z450" s="25"/>
    </row>
    <row r="451" ht="15.75" customHeight="1">
      <c r="A451" s="25"/>
      <c r="B451" s="503"/>
      <c r="C451" s="503"/>
      <c r="D451" s="503"/>
      <c r="E451" s="25"/>
      <c r="F451" s="25"/>
      <c r="G451" s="25"/>
      <c r="H451" s="25"/>
      <c r="I451" s="25"/>
      <c r="J451" s="25"/>
      <c r="K451" s="25"/>
      <c r="L451" s="25"/>
      <c r="M451" s="25"/>
      <c r="N451" s="25"/>
      <c r="O451" s="25"/>
      <c r="P451" s="25"/>
      <c r="Q451" s="25"/>
      <c r="R451" s="25"/>
      <c r="S451" s="25"/>
      <c r="T451" s="25"/>
      <c r="U451" s="25"/>
      <c r="V451" s="25"/>
      <c r="W451" s="25"/>
      <c r="X451" s="25"/>
      <c r="Y451" s="25"/>
      <c r="Z451" s="25"/>
    </row>
    <row r="452" ht="15.75" customHeight="1">
      <c r="A452" s="25"/>
      <c r="B452" s="503"/>
      <c r="C452" s="503"/>
      <c r="D452" s="503"/>
      <c r="E452" s="25"/>
      <c r="F452" s="25"/>
      <c r="G452" s="25"/>
      <c r="H452" s="25"/>
      <c r="I452" s="25"/>
      <c r="J452" s="25"/>
      <c r="K452" s="25"/>
      <c r="L452" s="25"/>
      <c r="M452" s="25"/>
      <c r="N452" s="25"/>
      <c r="O452" s="25"/>
      <c r="P452" s="25"/>
      <c r="Q452" s="25"/>
      <c r="R452" s="25"/>
      <c r="S452" s="25"/>
      <c r="T452" s="25"/>
      <c r="U452" s="25"/>
      <c r="V452" s="25"/>
      <c r="W452" s="25"/>
      <c r="X452" s="25"/>
      <c r="Y452" s="25"/>
      <c r="Z452" s="25"/>
    </row>
    <row r="453" ht="15.75" customHeight="1">
      <c r="A453" s="25"/>
      <c r="B453" s="503"/>
      <c r="C453" s="503"/>
      <c r="D453" s="503"/>
      <c r="E453" s="25"/>
      <c r="F453" s="25"/>
      <c r="G453" s="25"/>
      <c r="H453" s="25"/>
      <c r="I453" s="25"/>
      <c r="J453" s="25"/>
      <c r="K453" s="25"/>
      <c r="L453" s="25"/>
      <c r="M453" s="25"/>
      <c r="N453" s="25"/>
      <c r="O453" s="25"/>
      <c r="P453" s="25"/>
      <c r="Q453" s="25"/>
      <c r="R453" s="25"/>
      <c r="S453" s="25"/>
      <c r="T453" s="25"/>
      <c r="U453" s="25"/>
      <c r="V453" s="25"/>
      <c r="W453" s="25"/>
      <c r="X453" s="25"/>
      <c r="Y453" s="25"/>
      <c r="Z453" s="25"/>
    </row>
    <row r="454" ht="15.75" customHeight="1">
      <c r="A454" s="25"/>
      <c r="B454" s="503"/>
      <c r="C454" s="503"/>
      <c r="D454" s="503"/>
      <c r="E454" s="25"/>
      <c r="F454" s="25"/>
      <c r="G454" s="25"/>
      <c r="H454" s="25"/>
      <c r="I454" s="25"/>
      <c r="J454" s="25"/>
      <c r="K454" s="25"/>
      <c r="L454" s="25"/>
      <c r="M454" s="25"/>
      <c r="N454" s="25"/>
      <c r="O454" s="25"/>
      <c r="P454" s="25"/>
      <c r="Q454" s="25"/>
      <c r="R454" s="25"/>
      <c r="S454" s="25"/>
      <c r="T454" s="25"/>
      <c r="U454" s="25"/>
      <c r="V454" s="25"/>
      <c r="W454" s="25"/>
      <c r="X454" s="25"/>
      <c r="Y454" s="25"/>
      <c r="Z454" s="25"/>
    </row>
    <row r="455" ht="15.75" customHeight="1">
      <c r="A455" s="25"/>
      <c r="B455" s="503"/>
      <c r="C455" s="503"/>
      <c r="D455" s="503"/>
      <c r="E455" s="25"/>
      <c r="F455" s="25"/>
      <c r="G455" s="25"/>
      <c r="H455" s="25"/>
      <c r="I455" s="25"/>
      <c r="J455" s="25"/>
      <c r="K455" s="25"/>
      <c r="L455" s="25"/>
      <c r="M455" s="25"/>
      <c r="N455" s="25"/>
      <c r="O455" s="25"/>
      <c r="P455" s="25"/>
      <c r="Q455" s="25"/>
      <c r="R455" s="25"/>
      <c r="S455" s="25"/>
      <c r="T455" s="25"/>
      <c r="U455" s="25"/>
      <c r="V455" s="25"/>
      <c r="W455" s="25"/>
      <c r="X455" s="25"/>
      <c r="Y455" s="25"/>
      <c r="Z455" s="25"/>
    </row>
    <row r="456" ht="15.75" customHeight="1">
      <c r="A456" s="25"/>
      <c r="B456" s="503"/>
      <c r="C456" s="503"/>
      <c r="D456" s="503"/>
      <c r="E456" s="25"/>
      <c r="F456" s="25"/>
      <c r="G456" s="25"/>
      <c r="H456" s="25"/>
      <c r="I456" s="25"/>
      <c r="J456" s="25"/>
      <c r="K456" s="25"/>
      <c r="L456" s="25"/>
      <c r="M456" s="25"/>
      <c r="N456" s="25"/>
      <c r="O456" s="25"/>
      <c r="P456" s="25"/>
      <c r="Q456" s="25"/>
      <c r="R456" s="25"/>
      <c r="S456" s="25"/>
      <c r="T456" s="25"/>
      <c r="U456" s="25"/>
      <c r="V456" s="25"/>
      <c r="W456" s="25"/>
      <c r="X456" s="25"/>
      <c r="Y456" s="25"/>
      <c r="Z456" s="25"/>
    </row>
    <row r="457" ht="15.75" customHeight="1">
      <c r="A457" s="25"/>
      <c r="B457" s="503"/>
      <c r="C457" s="503"/>
      <c r="D457" s="503"/>
      <c r="E457" s="25"/>
      <c r="F457" s="25"/>
      <c r="G457" s="25"/>
      <c r="H457" s="25"/>
      <c r="I457" s="25"/>
      <c r="J457" s="25"/>
      <c r="K457" s="25"/>
      <c r="L457" s="25"/>
      <c r="M457" s="25"/>
      <c r="N457" s="25"/>
      <c r="O457" s="25"/>
      <c r="P457" s="25"/>
      <c r="Q457" s="25"/>
      <c r="R457" s="25"/>
      <c r="S457" s="25"/>
      <c r="T457" s="25"/>
      <c r="U457" s="25"/>
      <c r="V457" s="25"/>
      <c r="W457" s="25"/>
      <c r="X457" s="25"/>
      <c r="Y457" s="25"/>
      <c r="Z457" s="25"/>
    </row>
    <row r="458" ht="15.75" customHeight="1">
      <c r="A458" s="25"/>
      <c r="B458" s="503"/>
      <c r="C458" s="503"/>
      <c r="D458" s="503"/>
      <c r="E458" s="25"/>
      <c r="F458" s="25"/>
      <c r="G458" s="25"/>
      <c r="H458" s="25"/>
      <c r="I458" s="25"/>
      <c r="J458" s="25"/>
      <c r="K458" s="25"/>
      <c r="L458" s="25"/>
      <c r="M458" s="25"/>
      <c r="N458" s="25"/>
      <c r="O458" s="25"/>
      <c r="P458" s="25"/>
      <c r="Q458" s="25"/>
      <c r="R458" s="25"/>
      <c r="S458" s="25"/>
      <c r="T458" s="25"/>
      <c r="U458" s="25"/>
      <c r="V458" s="25"/>
      <c r="W458" s="25"/>
      <c r="X458" s="25"/>
      <c r="Y458" s="25"/>
      <c r="Z458" s="25"/>
    </row>
    <row r="459" ht="15.75" customHeight="1">
      <c r="A459" s="25"/>
      <c r="B459" s="503"/>
      <c r="C459" s="503"/>
      <c r="D459" s="503"/>
      <c r="E459" s="25"/>
      <c r="F459" s="25"/>
      <c r="G459" s="25"/>
      <c r="H459" s="25"/>
      <c r="I459" s="25"/>
      <c r="J459" s="25"/>
      <c r="K459" s="25"/>
      <c r="L459" s="25"/>
      <c r="M459" s="25"/>
      <c r="N459" s="25"/>
      <c r="O459" s="25"/>
      <c r="P459" s="25"/>
      <c r="Q459" s="25"/>
      <c r="R459" s="25"/>
      <c r="S459" s="25"/>
      <c r="T459" s="25"/>
      <c r="U459" s="25"/>
      <c r="V459" s="25"/>
      <c r="W459" s="25"/>
      <c r="X459" s="25"/>
      <c r="Y459" s="25"/>
      <c r="Z459" s="25"/>
    </row>
    <row r="460" ht="15.75" customHeight="1">
      <c r="A460" s="25"/>
      <c r="B460" s="503"/>
      <c r="C460" s="503"/>
      <c r="D460" s="503"/>
      <c r="E460" s="25"/>
      <c r="F460" s="25"/>
      <c r="G460" s="25"/>
      <c r="H460" s="25"/>
      <c r="I460" s="25"/>
      <c r="J460" s="25"/>
      <c r="K460" s="25"/>
      <c r="L460" s="25"/>
      <c r="M460" s="25"/>
      <c r="N460" s="25"/>
      <c r="O460" s="25"/>
      <c r="P460" s="25"/>
      <c r="Q460" s="25"/>
      <c r="R460" s="25"/>
      <c r="S460" s="25"/>
      <c r="T460" s="25"/>
      <c r="U460" s="25"/>
      <c r="V460" s="25"/>
      <c r="W460" s="25"/>
      <c r="X460" s="25"/>
      <c r="Y460" s="25"/>
      <c r="Z460" s="25"/>
    </row>
    <row r="461" ht="15.75" customHeight="1">
      <c r="A461" s="25"/>
      <c r="B461" s="503"/>
      <c r="C461" s="503"/>
      <c r="D461" s="503"/>
      <c r="E461" s="25"/>
      <c r="F461" s="25"/>
      <c r="G461" s="25"/>
      <c r="H461" s="25"/>
      <c r="I461" s="25"/>
      <c r="J461" s="25"/>
      <c r="K461" s="25"/>
      <c r="L461" s="25"/>
      <c r="M461" s="25"/>
      <c r="N461" s="25"/>
      <c r="O461" s="25"/>
      <c r="P461" s="25"/>
      <c r="Q461" s="25"/>
      <c r="R461" s="25"/>
      <c r="S461" s="25"/>
      <c r="T461" s="25"/>
      <c r="U461" s="25"/>
      <c r="V461" s="25"/>
      <c r="W461" s="25"/>
      <c r="X461" s="25"/>
      <c r="Y461" s="25"/>
      <c r="Z461" s="25"/>
    </row>
    <row r="462" ht="15.75" customHeight="1">
      <c r="A462" s="25"/>
      <c r="B462" s="503"/>
      <c r="C462" s="503"/>
      <c r="D462" s="503"/>
      <c r="E462" s="25"/>
      <c r="F462" s="25"/>
      <c r="G462" s="25"/>
      <c r="H462" s="25"/>
      <c r="I462" s="25"/>
      <c r="J462" s="25"/>
      <c r="K462" s="25"/>
      <c r="L462" s="25"/>
      <c r="M462" s="25"/>
      <c r="N462" s="25"/>
      <c r="O462" s="25"/>
      <c r="P462" s="25"/>
      <c r="Q462" s="25"/>
      <c r="R462" s="25"/>
      <c r="S462" s="25"/>
      <c r="T462" s="25"/>
      <c r="U462" s="25"/>
      <c r="V462" s="25"/>
      <c r="W462" s="25"/>
      <c r="X462" s="25"/>
      <c r="Y462" s="25"/>
      <c r="Z462" s="25"/>
    </row>
    <row r="463" ht="15.75" customHeight="1">
      <c r="A463" s="25"/>
      <c r="B463" s="503"/>
      <c r="C463" s="503"/>
      <c r="D463" s="503"/>
      <c r="E463" s="25"/>
      <c r="F463" s="25"/>
      <c r="G463" s="25"/>
      <c r="H463" s="25"/>
      <c r="I463" s="25"/>
      <c r="J463" s="25"/>
      <c r="K463" s="25"/>
      <c r="L463" s="25"/>
      <c r="M463" s="25"/>
      <c r="N463" s="25"/>
      <c r="O463" s="25"/>
      <c r="P463" s="25"/>
      <c r="Q463" s="25"/>
      <c r="R463" s="25"/>
      <c r="S463" s="25"/>
      <c r="T463" s="25"/>
      <c r="U463" s="25"/>
      <c r="V463" s="25"/>
      <c r="W463" s="25"/>
      <c r="X463" s="25"/>
      <c r="Y463" s="25"/>
      <c r="Z463" s="25"/>
    </row>
    <row r="464" ht="15.75" customHeight="1">
      <c r="A464" s="25"/>
      <c r="B464" s="503"/>
      <c r="C464" s="503"/>
      <c r="D464" s="503"/>
      <c r="E464" s="25"/>
      <c r="F464" s="25"/>
      <c r="G464" s="25"/>
      <c r="H464" s="25"/>
      <c r="I464" s="25"/>
      <c r="J464" s="25"/>
      <c r="K464" s="25"/>
      <c r="L464" s="25"/>
      <c r="M464" s="25"/>
      <c r="N464" s="25"/>
      <c r="O464" s="25"/>
      <c r="P464" s="25"/>
      <c r="Q464" s="25"/>
      <c r="R464" s="25"/>
      <c r="S464" s="25"/>
      <c r="T464" s="25"/>
      <c r="U464" s="25"/>
      <c r="V464" s="25"/>
      <c r="W464" s="25"/>
      <c r="X464" s="25"/>
      <c r="Y464" s="25"/>
      <c r="Z464" s="25"/>
    </row>
    <row r="465" ht="15.75" customHeight="1">
      <c r="A465" s="25"/>
      <c r="B465" s="503"/>
      <c r="C465" s="503"/>
      <c r="D465" s="503"/>
      <c r="E465" s="25"/>
      <c r="F465" s="25"/>
      <c r="G465" s="25"/>
      <c r="H465" s="25"/>
      <c r="I465" s="25"/>
      <c r="J465" s="25"/>
      <c r="K465" s="25"/>
      <c r="L465" s="25"/>
      <c r="M465" s="25"/>
      <c r="N465" s="25"/>
      <c r="O465" s="25"/>
      <c r="P465" s="25"/>
      <c r="Q465" s="25"/>
      <c r="R465" s="25"/>
      <c r="S465" s="25"/>
      <c r="T465" s="25"/>
      <c r="U465" s="25"/>
      <c r="V465" s="25"/>
      <c r="W465" s="25"/>
      <c r="X465" s="25"/>
      <c r="Y465" s="25"/>
      <c r="Z465" s="25"/>
    </row>
    <row r="466" ht="15.75" customHeight="1">
      <c r="A466" s="25"/>
      <c r="B466" s="503"/>
      <c r="C466" s="503"/>
      <c r="D466" s="503"/>
      <c r="E466" s="25"/>
      <c r="F466" s="25"/>
      <c r="G466" s="25"/>
      <c r="H466" s="25"/>
      <c r="I466" s="25"/>
      <c r="J466" s="25"/>
      <c r="K466" s="25"/>
      <c r="L466" s="25"/>
      <c r="M466" s="25"/>
      <c r="N466" s="25"/>
      <c r="O466" s="25"/>
      <c r="P466" s="25"/>
      <c r="Q466" s="25"/>
      <c r="R466" s="25"/>
      <c r="S466" s="25"/>
      <c r="T466" s="25"/>
      <c r="U466" s="25"/>
      <c r="V466" s="25"/>
      <c r="W466" s="25"/>
      <c r="X466" s="25"/>
      <c r="Y466" s="25"/>
      <c r="Z466" s="25"/>
    </row>
    <row r="467" ht="15.75" customHeight="1">
      <c r="A467" s="25"/>
      <c r="B467" s="503"/>
      <c r="C467" s="503"/>
      <c r="D467" s="503"/>
      <c r="E467" s="25"/>
      <c r="F467" s="25"/>
      <c r="G467" s="25"/>
      <c r="H467" s="25"/>
      <c r="I467" s="25"/>
      <c r="J467" s="25"/>
      <c r="K467" s="25"/>
      <c r="L467" s="25"/>
      <c r="M467" s="25"/>
      <c r="N467" s="25"/>
      <c r="O467" s="25"/>
      <c r="P467" s="25"/>
      <c r="Q467" s="25"/>
      <c r="R467" s="25"/>
      <c r="S467" s="25"/>
      <c r="T467" s="25"/>
      <c r="U467" s="25"/>
      <c r="V467" s="25"/>
      <c r="W467" s="25"/>
      <c r="X467" s="25"/>
      <c r="Y467" s="25"/>
      <c r="Z467" s="25"/>
    </row>
    <row r="468" ht="15.75" customHeight="1">
      <c r="A468" s="25"/>
      <c r="B468" s="503"/>
      <c r="C468" s="503"/>
      <c r="D468" s="503"/>
      <c r="E468" s="25"/>
      <c r="F468" s="25"/>
      <c r="G468" s="25"/>
      <c r="H468" s="25"/>
      <c r="I468" s="25"/>
      <c r="J468" s="25"/>
      <c r="K468" s="25"/>
      <c r="L468" s="25"/>
      <c r="M468" s="25"/>
      <c r="N468" s="25"/>
      <c r="O468" s="25"/>
      <c r="P468" s="25"/>
      <c r="Q468" s="25"/>
      <c r="R468" s="25"/>
      <c r="S468" s="25"/>
      <c r="T468" s="25"/>
      <c r="U468" s="25"/>
      <c r="V468" s="25"/>
      <c r="W468" s="25"/>
      <c r="X468" s="25"/>
      <c r="Y468" s="25"/>
      <c r="Z468" s="25"/>
    </row>
    <row r="469" ht="15.75" customHeight="1">
      <c r="A469" s="25"/>
      <c r="B469" s="503"/>
      <c r="C469" s="503"/>
      <c r="D469" s="503"/>
      <c r="E469" s="25"/>
      <c r="F469" s="25"/>
      <c r="G469" s="25"/>
      <c r="H469" s="25"/>
      <c r="I469" s="25"/>
      <c r="J469" s="25"/>
      <c r="K469" s="25"/>
      <c r="L469" s="25"/>
      <c r="M469" s="25"/>
      <c r="N469" s="25"/>
      <c r="O469" s="25"/>
      <c r="P469" s="25"/>
      <c r="Q469" s="25"/>
      <c r="R469" s="25"/>
      <c r="S469" s="25"/>
      <c r="T469" s="25"/>
      <c r="U469" s="25"/>
      <c r="V469" s="25"/>
      <c r="W469" s="25"/>
      <c r="X469" s="25"/>
      <c r="Y469" s="25"/>
      <c r="Z469" s="25"/>
    </row>
    <row r="470" ht="15.75" customHeight="1">
      <c r="A470" s="25"/>
      <c r="B470" s="503"/>
      <c r="C470" s="503"/>
      <c r="D470" s="503"/>
      <c r="E470" s="25"/>
      <c r="F470" s="25"/>
      <c r="G470" s="25"/>
      <c r="H470" s="25"/>
      <c r="I470" s="25"/>
      <c r="J470" s="25"/>
      <c r="K470" s="25"/>
      <c r="L470" s="25"/>
      <c r="M470" s="25"/>
      <c r="N470" s="25"/>
      <c r="O470" s="25"/>
      <c r="P470" s="25"/>
      <c r="Q470" s="25"/>
      <c r="R470" s="25"/>
      <c r="S470" s="25"/>
      <c r="T470" s="25"/>
      <c r="U470" s="25"/>
      <c r="V470" s="25"/>
      <c r="W470" s="25"/>
      <c r="X470" s="25"/>
      <c r="Y470" s="25"/>
      <c r="Z470" s="25"/>
    </row>
    <row r="471" ht="15.75" customHeight="1">
      <c r="A471" s="25"/>
      <c r="B471" s="503"/>
      <c r="C471" s="503"/>
      <c r="D471" s="503"/>
      <c r="E471" s="25"/>
      <c r="F471" s="25"/>
      <c r="G471" s="25"/>
      <c r="H471" s="25"/>
      <c r="I471" s="25"/>
      <c r="J471" s="25"/>
      <c r="K471" s="25"/>
      <c r="L471" s="25"/>
      <c r="M471" s="25"/>
      <c r="N471" s="25"/>
      <c r="O471" s="25"/>
      <c r="P471" s="25"/>
      <c r="Q471" s="25"/>
      <c r="R471" s="25"/>
      <c r="S471" s="25"/>
      <c r="T471" s="25"/>
      <c r="U471" s="25"/>
      <c r="V471" s="25"/>
      <c r="W471" s="25"/>
      <c r="X471" s="25"/>
      <c r="Y471" s="25"/>
      <c r="Z471" s="25"/>
    </row>
    <row r="472" ht="15.75" customHeight="1">
      <c r="A472" s="25"/>
      <c r="B472" s="503"/>
      <c r="C472" s="503"/>
      <c r="D472" s="503"/>
      <c r="E472" s="25"/>
      <c r="F472" s="25"/>
      <c r="G472" s="25"/>
      <c r="H472" s="25"/>
      <c r="I472" s="25"/>
      <c r="J472" s="25"/>
      <c r="K472" s="25"/>
      <c r="L472" s="25"/>
      <c r="M472" s="25"/>
      <c r="N472" s="25"/>
      <c r="O472" s="25"/>
      <c r="P472" s="25"/>
      <c r="Q472" s="25"/>
      <c r="R472" s="25"/>
      <c r="S472" s="25"/>
      <c r="T472" s="25"/>
      <c r="U472" s="25"/>
      <c r="V472" s="25"/>
      <c r="W472" s="25"/>
      <c r="X472" s="25"/>
      <c r="Y472" s="25"/>
      <c r="Z472" s="25"/>
    </row>
    <row r="473" ht="15.75" customHeight="1">
      <c r="A473" s="25"/>
      <c r="B473" s="503"/>
      <c r="C473" s="503"/>
      <c r="D473" s="503"/>
      <c r="E473" s="25"/>
      <c r="F473" s="25"/>
      <c r="G473" s="25"/>
      <c r="H473" s="25"/>
      <c r="I473" s="25"/>
      <c r="J473" s="25"/>
      <c r="K473" s="25"/>
      <c r="L473" s="25"/>
      <c r="M473" s="25"/>
      <c r="N473" s="25"/>
      <c r="O473" s="25"/>
      <c r="P473" s="25"/>
      <c r="Q473" s="25"/>
      <c r="R473" s="25"/>
      <c r="S473" s="25"/>
      <c r="T473" s="25"/>
      <c r="U473" s="25"/>
      <c r="V473" s="25"/>
      <c r="W473" s="25"/>
      <c r="X473" s="25"/>
      <c r="Y473" s="25"/>
      <c r="Z473" s="25"/>
    </row>
    <row r="474" ht="15.75" customHeight="1">
      <c r="A474" s="25"/>
      <c r="B474" s="503"/>
      <c r="C474" s="503"/>
      <c r="D474" s="503"/>
      <c r="E474" s="25"/>
      <c r="F474" s="25"/>
      <c r="G474" s="25"/>
      <c r="H474" s="25"/>
      <c r="I474" s="25"/>
      <c r="J474" s="25"/>
      <c r="K474" s="25"/>
      <c r="L474" s="25"/>
      <c r="M474" s="25"/>
      <c r="N474" s="25"/>
      <c r="O474" s="25"/>
      <c r="P474" s="25"/>
      <c r="Q474" s="25"/>
      <c r="R474" s="25"/>
      <c r="S474" s="25"/>
      <c r="T474" s="25"/>
      <c r="U474" s="25"/>
      <c r="V474" s="25"/>
      <c r="W474" s="25"/>
      <c r="X474" s="25"/>
      <c r="Y474" s="25"/>
      <c r="Z474" s="25"/>
    </row>
    <row r="475" ht="15.75" customHeight="1">
      <c r="A475" s="25"/>
      <c r="B475" s="503"/>
      <c r="C475" s="503"/>
      <c r="D475" s="503"/>
      <c r="E475" s="25"/>
      <c r="F475" s="25"/>
      <c r="G475" s="25"/>
      <c r="H475" s="25"/>
      <c r="I475" s="25"/>
      <c r="J475" s="25"/>
      <c r="K475" s="25"/>
      <c r="L475" s="25"/>
      <c r="M475" s="25"/>
      <c r="N475" s="25"/>
      <c r="O475" s="25"/>
      <c r="P475" s="25"/>
      <c r="Q475" s="25"/>
      <c r="R475" s="25"/>
      <c r="S475" s="25"/>
      <c r="T475" s="25"/>
      <c r="U475" s="25"/>
      <c r="V475" s="25"/>
      <c r="W475" s="25"/>
      <c r="X475" s="25"/>
      <c r="Y475" s="25"/>
      <c r="Z475" s="25"/>
    </row>
    <row r="476" ht="15.75" customHeight="1">
      <c r="A476" s="25"/>
      <c r="B476" s="503"/>
      <c r="C476" s="503"/>
      <c r="D476" s="503"/>
      <c r="E476" s="25"/>
      <c r="F476" s="25"/>
      <c r="G476" s="25"/>
      <c r="H476" s="25"/>
      <c r="I476" s="25"/>
      <c r="J476" s="25"/>
      <c r="K476" s="25"/>
      <c r="L476" s="25"/>
      <c r="M476" s="25"/>
      <c r="N476" s="25"/>
      <c r="O476" s="25"/>
      <c r="P476" s="25"/>
      <c r="Q476" s="25"/>
      <c r="R476" s="25"/>
      <c r="S476" s="25"/>
      <c r="T476" s="25"/>
      <c r="U476" s="25"/>
      <c r="V476" s="25"/>
      <c r="W476" s="25"/>
      <c r="X476" s="25"/>
      <c r="Y476" s="25"/>
      <c r="Z476" s="25"/>
    </row>
    <row r="477" ht="15.75" customHeight="1">
      <c r="A477" s="25"/>
      <c r="B477" s="503"/>
      <c r="C477" s="503"/>
      <c r="D477" s="503"/>
      <c r="E477" s="25"/>
      <c r="F477" s="25"/>
      <c r="G477" s="25"/>
      <c r="H477" s="25"/>
      <c r="I477" s="25"/>
      <c r="J477" s="25"/>
      <c r="K477" s="25"/>
      <c r="L477" s="25"/>
      <c r="M477" s="25"/>
      <c r="N477" s="25"/>
      <c r="O477" s="25"/>
      <c r="P477" s="25"/>
      <c r="Q477" s="25"/>
      <c r="R477" s="25"/>
      <c r="S477" s="25"/>
      <c r="T477" s="25"/>
      <c r="U477" s="25"/>
      <c r="V477" s="25"/>
      <c r="W477" s="25"/>
      <c r="X477" s="25"/>
      <c r="Y477" s="25"/>
      <c r="Z477" s="25"/>
    </row>
    <row r="478" ht="15.75" customHeight="1">
      <c r="A478" s="25"/>
      <c r="B478" s="503"/>
      <c r="C478" s="503"/>
      <c r="D478" s="503"/>
      <c r="E478" s="25"/>
      <c r="F478" s="25"/>
      <c r="G478" s="25"/>
      <c r="H478" s="25"/>
      <c r="I478" s="25"/>
      <c r="J478" s="25"/>
      <c r="K478" s="25"/>
      <c r="L478" s="25"/>
      <c r="M478" s="25"/>
      <c r="N478" s="25"/>
      <c r="O478" s="25"/>
      <c r="P478" s="25"/>
      <c r="Q478" s="25"/>
      <c r="R478" s="25"/>
      <c r="S478" s="25"/>
      <c r="T478" s="25"/>
      <c r="U478" s="25"/>
      <c r="V478" s="25"/>
      <c r="W478" s="25"/>
      <c r="X478" s="25"/>
      <c r="Y478" s="25"/>
      <c r="Z478" s="25"/>
    </row>
    <row r="479" ht="15.75" customHeight="1">
      <c r="A479" s="25"/>
      <c r="B479" s="503"/>
      <c r="C479" s="503"/>
      <c r="D479" s="503"/>
      <c r="E479" s="25"/>
      <c r="F479" s="25"/>
      <c r="G479" s="25"/>
      <c r="H479" s="25"/>
      <c r="I479" s="25"/>
      <c r="J479" s="25"/>
      <c r="K479" s="25"/>
      <c r="L479" s="25"/>
      <c r="M479" s="25"/>
      <c r="N479" s="25"/>
      <c r="O479" s="25"/>
      <c r="P479" s="25"/>
      <c r="Q479" s="25"/>
      <c r="R479" s="25"/>
      <c r="S479" s="25"/>
      <c r="T479" s="25"/>
      <c r="U479" s="25"/>
      <c r="V479" s="25"/>
      <c r="W479" s="25"/>
      <c r="X479" s="25"/>
      <c r="Y479" s="25"/>
      <c r="Z479" s="25"/>
    </row>
    <row r="480" ht="15.75" customHeight="1">
      <c r="A480" s="25"/>
      <c r="B480" s="503"/>
      <c r="C480" s="503"/>
      <c r="D480" s="503"/>
      <c r="E480" s="25"/>
      <c r="F480" s="25"/>
      <c r="G480" s="25"/>
      <c r="H480" s="25"/>
      <c r="I480" s="25"/>
      <c r="J480" s="25"/>
      <c r="K480" s="25"/>
      <c r="L480" s="25"/>
      <c r="M480" s="25"/>
      <c r="N480" s="25"/>
      <c r="O480" s="25"/>
      <c r="P480" s="25"/>
      <c r="Q480" s="25"/>
      <c r="R480" s="25"/>
      <c r="S480" s="25"/>
      <c r="T480" s="25"/>
      <c r="U480" s="25"/>
      <c r="V480" s="25"/>
      <c r="W480" s="25"/>
      <c r="X480" s="25"/>
      <c r="Y480" s="25"/>
      <c r="Z480" s="25"/>
    </row>
    <row r="481" ht="15.75" customHeight="1">
      <c r="A481" s="25"/>
      <c r="B481" s="503"/>
      <c r="C481" s="503"/>
      <c r="D481" s="503"/>
      <c r="E481" s="25"/>
      <c r="F481" s="25"/>
      <c r="G481" s="25"/>
      <c r="H481" s="25"/>
      <c r="I481" s="25"/>
      <c r="J481" s="25"/>
      <c r="K481" s="25"/>
      <c r="L481" s="25"/>
      <c r="M481" s="25"/>
      <c r="N481" s="25"/>
      <c r="O481" s="25"/>
      <c r="P481" s="25"/>
      <c r="Q481" s="25"/>
      <c r="R481" s="25"/>
      <c r="S481" s="25"/>
      <c r="T481" s="25"/>
      <c r="U481" s="25"/>
      <c r="V481" s="25"/>
      <c r="W481" s="25"/>
      <c r="X481" s="25"/>
      <c r="Y481" s="25"/>
      <c r="Z481" s="25"/>
    </row>
    <row r="482" ht="15.75" customHeight="1">
      <c r="A482" s="25"/>
      <c r="B482" s="503"/>
      <c r="C482" s="503"/>
      <c r="D482" s="503"/>
      <c r="E482" s="25"/>
      <c r="F482" s="25"/>
      <c r="G482" s="25"/>
      <c r="H482" s="25"/>
      <c r="I482" s="25"/>
      <c r="J482" s="25"/>
      <c r="K482" s="25"/>
      <c r="L482" s="25"/>
      <c r="M482" s="25"/>
      <c r="N482" s="25"/>
      <c r="O482" s="25"/>
      <c r="P482" s="25"/>
      <c r="Q482" s="25"/>
      <c r="R482" s="25"/>
      <c r="S482" s="25"/>
      <c r="T482" s="25"/>
      <c r="U482" s="25"/>
      <c r="V482" s="25"/>
      <c r="W482" s="25"/>
      <c r="X482" s="25"/>
      <c r="Y482" s="25"/>
      <c r="Z482" s="25"/>
    </row>
    <row r="483" ht="15.75" customHeight="1">
      <c r="A483" s="25"/>
      <c r="B483" s="503"/>
      <c r="C483" s="503"/>
      <c r="D483" s="503"/>
      <c r="E483" s="25"/>
      <c r="F483" s="25"/>
      <c r="G483" s="25"/>
      <c r="H483" s="25"/>
      <c r="I483" s="25"/>
      <c r="J483" s="25"/>
      <c r="K483" s="25"/>
      <c r="L483" s="25"/>
      <c r="M483" s="25"/>
      <c r="N483" s="25"/>
      <c r="O483" s="25"/>
      <c r="P483" s="25"/>
      <c r="Q483" s="25"/>
      <c r="R483" s="25"/>
      <c r="S483" s="25"/>
      <c r="T483" s="25"/>
      <c r="U483" s="25"/>
      <c r="V483" s="25"/>
      <c r="W483" s="25"/>
      <c r="X483" s="25"/>
      <c r="Y483" s="25"/>
      <c r="Z483" s="25"/>
    </row>
    <row r="484" ht="15.75" customHeight="1">
      <c r="A484" s="25"/>
      <c r="B484" s="503"/>
      <c r="C484" s="503"/>
      <c r="D484" s="503"/>
      <c r="E484" s="25"/>
      <c r="F484" s="25"/>
      <c r="G484" s="25"/>
      <c r="H484" s="25"/>
      <c r="I484" s="25"/>
      <c r="J484" s="25"/>
      <c r="K484" s="25"/>
      <c r="L484" s="25"/>
      <c r="M484" s="25"/>
      <c r="N484" s="25"/>
      <c r="O484" s="25"/>
      <c r="P484" s="25"/>
      <c r="Q484" s="25"/>
      <c r="R484" s="25"/>
      <c r="S484" s="25"/>
      <c r="T484" s="25"/>
      <c r="U484" s="25"/>
      <c r="V484" s="25"/>
      <c r="W484" s="25"/>
      <c r="X484" s="25"/>
      <c r="Y484" s="25"/>
      <c r="Z484" s="25"/>
    </row>
    <row r="485" ht="15.75" customHeight="1">
      <c r="A485" s="25"/>
      <c r="B485" s="503"/>
      <c r="C485" s="503"/>
      <c r="D485" s="503"/>
      <c r="E485" s="25"/>
      <c r="F485" s="25"/>
      <c r="G485" s="25"/>
      <c r="H485" s="25"/>
      <c r="I485" s="25"/>
      <c r="J485" s="25"/>
      <c r="K485" s="25"/>
      <c r="L485" s="25"/>
      <c r="M485" s="25"/>
      <c r="N485" s="25"/>
      <c r="O485" s="25"/>
      <c r="P485" s="25"/>
      <c r="Q485" s="25"/>
      <c r="R485" s="25"/>
      <c r="S485" s="25"/>
      <c r="T485" s="25"/>
      <c r="U485" s="25"/>
      <c r="V485" s="25"/>
      <c r="W485" s="25"/>
      <c r="X485" s="25"/>
      <c r="Y485" s="25"/>
      <c r="Z485" s="25"/>
    </row>
    <row r="486" ht="15.75" customHeight="1">
      <c r="A486" s="25"/>
      <c r="B486" s="503"/>
      <c r="C486" s="503"/>
      <c r="D486" s="503"/>
      <c r="E486" s="25"/>
      <c r="F486" s="25"/>
      <c r="G486" s="25"/>
      <c r="H486" s="25"/>
      <c r="I486" s="25"/>
      <c r="J486" s="25"/>
      <c r="K486" s="25"/>
      <c r="L486" s="25"/>
      <c r="M486" s="25"/>
      <c r="N486" s="25"/>
      <c r="O486" s="25"/>
      <c r="P486" s="25"/>
      <c r="Q486" s="25"/>
      <c r="R486" s="25"/>
      <c r="S486" s="25"/>
      <c r="T486" s="25"/>
      <c r="U486" s="25"/>
      <c r="V486" s="25"/>
      <c r="W486" s="25"/>
      <c r="X486" s="25"/>
      <c r="Y486" s="25"/>
      <c r="Z486" s="25"/>
    </row>
    <row r="487" ht="15.75" customHeight="1">
      <c r="A487" s="25"/>
      <c r="B487" s="503"/>
      <c r="C487" s="503"/>
      <c r="D487" s="503"/>
      <c r="E487" s="25"/>
      <c r="F487" s="25"/>
      <c r="G487" s="25"/>
      <c r="H487" s="25"/>
      <c r="I487" s="25"/>
      <c r="J487" s="25"/>
      <c r="K487" s="25"/>
      <c r="L487" s="25"/>
      <c r="M487" s="25"/>
      <c r="N487" s="25"/>
      <c r="O487" s="25"/>
      <c r="P487" s="25"/>
      <c r="Q487" s="25"/>
      <c r="R487" s="25"/>
      <c r="S487" s="25"/>
      <c r="T487" s="25"/>
      <c r="U487" s="25"/>
      <c r="V487" s="25"/>
      <c r="W487" s="25"/>
      <c r="X487" s="25"/>
      <c r="Y487" s="25"/>
      <c r="Z487" s="25"/>
    </row>
    <row r="488" ht="15.75" customHeight="1">
      <c r="A488" s="25"/>
      <c r="B488" s="503"/>
      <c r="C488" s="503"/>
      <c r="D488" s="503"/>
      <c r="E488" s="25"/>
      <c r="F488" s="25"/>
      <c r="G488" s="25"/>
      <c r="H488" s="25"/>
      <c r="I488" s="25"/>
      <c r="J488" s="25"/>
      <c r="K488" s="25"/>
      <c r="L488" s="25"/>
      <c r="M488" s="25"/>
      <c r="N488" s="25"/>
      <c r="O488" s="25"/>
      <c r="P488" s="25"/>
      <c r="Q488" s="25"/>
      <c r="R488" s="25"/>
      <c r="S488" s="25"/>
      <c r="T488" s="25"/>
      <c r="U488" s="25"/>
      <c r="V488" s="25"/>
      <c r="W488" s="25"/>
      <c r="X488" s="25"/>
      <c r="Y488" s="25"/>
      <c r="Z488" s="25"/>
    </row>
    <row r="489" ht="15.75" customHeight="1">
      <c r="A489" s="25"/>
      <c r="B489" s="503"/>
      <c r="C489" s="503"/>
      <c r="D489" s="503"/>
      <c r="E489" s="25"/>
      <c r="F489" s="25"/>
      <c r="G489" s="25"/>
      <c r="H489" s="25"/>
      <c r="I489" s="25"/>
      <c r="J489" s="25"/>
      <c r="K489" s="25"/>
      <c r="L489" s="25"/>
      <c r="M489" s="25"/>
      <c r="N489" s="25"/>
      <c r="O489" s="25"/>
      <c r="P489" s="25"/>
      <c r="Q489" s="25"/>
      <c r="R489" s="25"/>
      <c r="S489" s="25"/>
      <c r="T489" s="25"/>
      <c r="U489" s="25"/>
      <c r="V489" s="25"/>
      <c r="W489" s="25"/>
      <c r="X489" s="25"/>
      <c r="Y489" s="25"/>
      <c r="Z489" s="25"/>
    </row>
    <row r="490" ht="15.75" customHeight="1">
      <c r="A490" s="25"/>
      <c r="B490" s="503"/>
      <c r="C490" s="503"/>
      <c r="D490" s="503"/>
      <c r="E490" s="25"/>
      <c r="F490" s="25"/>
      <c r="G490" s="25"/>
      <c r="H490" s="25"/>
      <c r="I490" s="25"/>
      <c r="J490" s="25"/>
      <c r="K490" s="25"/>
      <c r="L490" s="25"/>
      <c r="M490" s="25"/>
      <c r="N490" s="25"/>
      <c r="O490" s="25"/>
      <c r="P490" s="25"/>
      <c r="Q490" s="25"/>
      <c r="R490" s="25"/>
      <c r="S490" s="25"/>
      <c r="T490" s="25"/>
      <c r="U490" s="25"/>
      <c r="V490" s="25"/>
      <c r="W490" s="25"/>
      <c r="X490" s="25"/>
      <c r="Y490" s="25"/>
      <c r="Z490" s="25"/>
    </row>
    <row r="491" ht="15.75" customHeight="1">
      <c r="A491" s="25"/>
      <c r="B491" s="503"/>
      <c r="C491" s="503"/>
      <c r="D491" s="503"/>
      <c r="E491" s="25"/>
      <c r="F491" s="25"/>
      <c r="G491" s="25"/>
      <c r="H491" s="25"/>
      <c r="I491" s="25"/>
      <c r="J491" s="25"/>
      <c r="K491" s="25"/>
      <c r="L491" s="25"/>
      <c r="M491" s="25"/>
      <c r="N491" s="25"/>
      <c r="O491" s="25"/>
      <c r="P491" s="25"/>
      <c r="Q491" s="25"/>
      <c r="R491" s="25"/>
      <c r="S491" s="25"/>
      <c r="T491" s="25"/>
      <c r="U491" s="25"/>
      <c r="V491" s="25"/>
      <c r="W491" s="25"/>
      <c r="X491" s="25"/>
      <c r="Y491" s="25"/>
      <c r="Z491" s="25"/>
    </row>
    <row r="492" ht="15.75" customHeight="1">
      <c r="A492" s="25"/>
      <c r="B492" s="503"/>
      <c r="C492" s="503"/>
      <c r="D492" s="503"/>
      <c r="E492" s="25"/>
      <c r="F492" s="25"/>
      <c r="G492" s="25"/>
      <c r="H492" s="25"/>
      <c r="I492" s="25"/>
      <c r="J492" s="25"/>
      <c r="K492" s="25"/>
      <c r="L492" s="25"/>
      <c r="M492" s="25"/>
      <c r="N492" s="25"/>
      <c r="O492" s="25"/>
      <c r="P492" s="25"/>
      <c r="Q492" s="25"/>
      <c r="R492" s="25"/>
      <c r="S492" s="25"/>
      <c r="T492" s="25"/>
      <c r="U492" s="25"/>
      <c r="V492" s="25"/>
      <c r="W492" s="25"/>
      <c r="X492" s="25"/>
      <c r="Y492" s="25"/>
      <c r="Z492" s="25"/>
    </row>
    <row r="493" ht="15.75" customHeight="1">
      <c r="A493" s="25"/>
      <c r="B493" s="503"/>
      <c r="C493" s="503"/>
      <c r="D493" s="503"/>
      <c r="E493" s="25"/>
      <c r="F493" s="25"/>
      <c r="G493" s="25"/>
      <c r="H493" s="25"/>
      <c r="I493" s="25"/>
      <c r="J493" s="25"/>
      <c r="K493" s="25"/>
      <c r="L493" s="25"/>
      <c r="M493" s="25"/>
      <c r="N493" s="25"/>
      <c r="O493" s="25"/>
      <c r="P493" s="25"/>
      <c r="Q493" s="25"/>
      <c r="R493" s="25"/>
      <c r="S493" s="25"/>
      <c r="T493" s="25"/>
      <c r="U493" s="25"/>
      <c r="V493" s="25"/>
      <c r="W493" s="25"/>
      <c r="X493" s="25"/>
      <c r="Y493" s="25"/>
      <c r="Z493" s="25"/>
    </row>
    <row r="494" ht="15.75" customHeight="1">
      <c r="A494" s="25"/>
      <c r="B494" s="503"/>
      <c r="C494" s="503"/>
      <c r="D494" s="503"/>
      <c r="E494" s="25"/>
      <c r="F494" s="25"/>
      <c r="G494" s="25"/>
      <c r="H494" s="25"/>
      <c r="I494" s="25"/>
      <c r="J494" s="25"/>
      <c r="K494" s="25"/>
      <c r="L494" s="25"/>
      <c r="M494" s="25"/>
      <c r="N494" s="25"/>
      <c r="O494" s="25"/>
      <c r="P494" s="25"/>
      <c r="Q494" s="25"/>
      <c r="R494" s="25"/>
      <c r="S494" s="25"/>
      <c r="T494" s="25"/>
      <c r="U494" s="25"/>
      <c r="V494" s="25"/>
      <c r="W494" s="25"/>
      <c r="X494" s="25"/>
      <c r="Y494" s="25"/>
      <c r="Z494" s="25"/>
    </row>
    <row r="495" ht="15.75" customHeight="1">
      <c r="A495" s="25"/>
      <c r="B495" s="503"/>
      <c r="C495" s="503"/>
      <c r="D495" s="503"/>
      <c r="E495" s="25"/>
      <c r="F495" s="25"/>
      <c r="G495" s="25"/>
      <c r="H495" s="25"/>
      <c r="I495" s="25"/>
      <c r="J495" s="25"/>
      <c r="K495" s="25"/>
      <c r="L495" s="25"/>
      <c r="M495" s="25"/>
      <c r="N495" s="25"/>
      <c r="O495" s="25"/>
      <c r="P495" s="25"/>
      <c r="Q495" s="25"/>
      <c r="R495" s="25"/>
      <c r="S495" s="25"/>
      <c r="T495" s="25"/>
      <c r="U495" s="25"/>
      <c r="V495" s="25"/>
      <c r="W495" s="25"/>
      <c r="X495" s="25"/>
      <c r="Y495" s="25"/>
      <c r="Z495" s="25"/>
    </row>
    <row r="496" ht="15.75" customHeight="1">
      <c r="A496" s="25"/>
      <c r="B496" s="503"/>
      <c r="C496" s="503"/>
      <c r="D496" s="503"/>
      <c r="E496" s="25"/>
      <c r="F496" s="25"/>
      <c r="G496" s="25"/>
      <c r="H496" s="25"/>
      <c r="I496" s="25"/>
      <c r="J496" s="25"/>
      <c r="K496" s="25"/>
      <c r="L496" s="25"/>
      <c r="M496" s="25"/>
      <c r="N496" s="25"/>
      <c r="O496" s="25"/>
      <c r="P496" s="25"/>
      <c r="Q496" s="25"/>
      <c r="R496" s="25"/>
      <c r="S496" s="25"/>
      <c r="T496" s="25"/>
      <c r="U496" s="25"/>
      <c r="V496" s="25"/>
      <c r="W496" s="25"/>
      <c r="X496" s="25"/>
      <c r="Y496" s="25"/>
      <c r="Z496" s="25"/>
    </row>
    <row r="497" ht="15.75" customHeight="1">
      <c r="A497" s="25"/>
      <c r="B497" s="503"/>
      <c r="C497" s="503"/>
      <c r="D497" s="503"/>
      <c r="E497" s="25"/>
      <c r="F497" s="25"/>
      <c r="G497" s="25"/>
      <c r="H497" s="25"/>
      <c r="I497" s="25"/>
      <c r="J497" s="25"/>
      <c r="K497" s="25"/>
      <c r="L497" s="25"/>
      <c r="M497" s="25"/>
      <c r="N497" s="25"/>
      <c r="O497" s="25"/>
      <c r="P497" s="25"/>
      <c r="Q497" s="25"/>
      <c r="R497" s="25"/>
      <c r="S497" s="25"/>
      <c r="T497" s="25"/>
      <c r="U497" s="25"/>
      <c r="V497" s="25"/>
      <c r="W497" s="25"/>
      <c r="X497" s="25"/>
      <c r="Y497" s="25"/>
      <c r="Z497" s="25"/>
    </row>
    <row r="498" ht="15.75" customHeight="1">
      <c r="A498" s="25"/>
      <c r="B498" s="503"/>
      <c r="C498" s="503"/>
      <c r="D498" s="503"/>
      <c r="E498" s="25"/>
      <c r="F498" s="25"/>
      <c r="G498" s="25"/>
      <c r="H498" s="25"/>
      <c r="I498" s="25"/>
      <c r="J498" s="25"/>
      <c r="K498" s="25"/>
      <c r="L498" s="25"/>
      <c r="M498" s="25"/>
      <c r="N498" s="25"/>
      <c r="O498" s="25"/>
      <c r="P498" s="25"/>
      <c r="Q498" s="25"/>
      <c r="R498" s="25"/>
      <c r="S498" s="25"/>
      <c r="T498" s="25"/>
      <c r="U498" s="25"/>
      <c r="V498" s="25"/>
      <c r="W498" s="25"/>
      <c r="X498" s="25"/>
      <c r="Y498" s="25"/>
      <c r="Z498" s="25"/>
    </row>
    <row r="499" ht="15.75" customHeight="1">
      <c r="A499" s="25"/>
      <c r="B499" s="503"/>
      <c r="C499" s="503"/>
      <c r="D499" s="503"/>
      <c r="E499" s="25"/>
      <c r="F499" s="25"/>
      <c r="G499" s="25"/>
      <c r="H499" s="25"/>
      <c r="I499" s="25"/>
      <c r="J499" s="25"/>
      <c r="K499" s="25"/>
      <c r="L499" s="25"/>
      <c r="M499" s="25"/>
      <c r="N499" s="25"/>
      <c r="O499" s="25"/>
      <c r="P499" s="25"/>
      <c r="Q499" s="25"/>
      <c r="R499" s="25"/>
      <c r="S499" s="25"/>
      <c r="T499" s="25"/>
      <c r="U499" s="25"/>
      <c r="V499" s="25"/>
      <c r="W499" s="25"/>
      <c r="X499" s="25"/>
      <c r="Y499" s="25"/>
      <c r="Z499" s="25"/>
    </row>
    <row r="500" ht="15.75" customHeight="1">
      <c r="A500" s="25"/>
      <c r="B500" s="503"/>
      <c r="C500" s="503"/>
      <c r="D500" s="503"/>
      <c r="E500" s="25"/>
      <c r="F500" s="25"/>
      <c r="G500" s="25"/>
      <c r="H500" s="25"/>
      <c r="I500" s="25"/>
      <c r="J500" s="25"/>
      <c r="K500" s="25"/>
      <c r="L500" s="25"/>
      <c r="M500" s="25"/>
      <c r="N500" s="25"/>
      <c r="O500" s="25"/>
      <c r="P500" s="25"/>
      <c r="Q500" s="25"/>
      <c r="R500" s="25"/>
      <c r="S500" s="25"/>
      <c r="T500" s="25"/>
      <c r="U500" s="25"/>
      <c r="V500" s="25"/>
      <c r="W500" s="25"/>
      <c r="X500" s="25"/>
      <c r="Y500" s="25"/>
      <c r="Z500" s="25"/>
    </row>
    <row r="501" ht="15.75" customHeight="1">
      <c r="A501" s="25"/>
      <c r="B501" s="503"/>
      <c r="C501" s="503"/>
      <c r="D501" s="503"/>
      <c r="E501" s="25"/>
      <c r="F501" s="25"/>
      <c r="G501" s="25"/>
      <c r="H501" s="25"/>
      <c r="I501" s="25"/>
      <c r="J501" s="25"/>
      <c r="K501" s="25"/>
      <c r="L501" s="25"/>
      <c r="M501" s="25"/>
      <c r="N501" s="25"/>
      <c r="O501" s="25"/>
      <c r="P501" s="25"/>
      <c r="Q501" s="25"/>
      <c r="R501" s="25"/>
      <c r="S501" s="25"/>
      <c r="T501" s="25"/>
      <c r="U501" s="25"/>
      <c r="V501" s="25"/>
      <c r="W501" s="25"/>
      <c r="X501" s="25"/>
      <c r="Y501" s="25"/>
      <c r="Z501" s="25"/>
    </row>
    <row r="502" ht="15.75" customHeight="1">
      <c r="A502" s="25"/>
      <c r="B502" s="503"/>
      <c r="C502" s="503"/>
      <c r="D502" s="503"/>
      <c r="E502" s="25"/>
      <c r="F502" s="25"/>
      <c r="G502" s="25"/>
      <c r="H502" s="25"/>
      <c r="I502" s="25"/>
      <c r="J502" s="25"/>
      <c r="K502" s="25"/>
      <c r="L502" s="25"/>
      <c r="M502" s="25"/>
      <c r="N502" s="25"/>
      <c r="O502" s="25"/>
      <c r="P502" s="25"/>
      <c r="Q502" s="25"/>
      <c r="R502" s="25"/>
      <c r="S502" s="25"/>
      <c r="T502" s="25"/>
      <c r="U502" s="25"/>
      <c r="V502" s="25"/>
      <c r="W502" s="25"/>
      <c r="X502" s="25"/>
      <c r="Y502" s="25"/>
      <c r="Z502" s="25"/>
    </row>
    <row r="503" ht="15.75" customHeight="1">
      <c r="A503" s="25"/>
      <c r="B503" s="503"/>
      <c r="C503" s="503"/>
      <c r="D503" s="503"/>
      <c r="E503" s="25"/>
      <c r="F503" s="25"/>
      <c r="G503" s="25"/>
      <c r="H503" s="25"/>
      <c r="I503" s="25"/>
      <c r="J503" s="25"/>
      <c r="K503" s="25"/>
      <c r="L503" s="25"/>
      <c r="M503" s="25"/>
      <c r="N503" s="25"/>
      <c r="O503" s="25"/>
      <c r="P503" s="25"/>
      <c r="Q503" s="25"/>
      <c r="R503" s="25"/>
      <c r="S503" s="25"/>
      <c r="T503" s="25"/>
      <c r="U503" s="25"/>
      <c r="V503" s="25"/>
      <c r="W503" s="25"/>
      <c r="X503" s="25"/>
      <c r="Y503" s="25"/>
      <c r="Z503" s="25"/>
    </row>
    <row r="504" ht="15.75" customHeight="1">
      <c r="A504" s="25"/>
      <c r="B504" s="503"/>
      <c r="C504" s="503"/>
      <c r="D504" s="503"/>
      <c r="E504" s="25"/>
      <c r="F504" s="25"/>
      <c r="G504" s="25"/>
      <c r="H504" s="25"/>
      <c r="I504" s="25"/>
      <c r="J504" s="25"/>
      <c r="K504" s="25"/>
      <c r="L504" s="25"/>
      <c r="M504" s="25"/>
      <c r="N504" s="25"/>
      <c r="O504" s="25"/>
      <c r="P504" s="25"/>
      <c r="Q504" s="25"/>
      <c r="R504" s="25"/>
      <c r="S504" s="25"/>
      <c r="T504" s="25"/>
      <c r="U504" s="25"/>
      <c r="V504" s="25"/>
      <c r="W504" s="25"/>
      <c r="X504" s="25"/>
      <c r="Y504" s="25"/>
      <c r="Z504" s="25"/>
    </row>
    <row r="505" ht="15.75" customHeight="1">
      <c r="A505" s="25"/>
      <c r="B505" s="503"/>
      <c r="C505" s="503"/>
      <c r="D505" s="503"/>
      <c r="E505" s="25"/>
      <c r="F505" s="25"/>
      <c r="G505" s="25"/>
      <c r="H505" s="25"/>
      <c r="I505" s="25"/>
      <c r="J505" s="25"/>
      <c r="K505" s="25"/>
      <c r="L505" s="25"/>
      <c r="M505" s="25"/>
      <c r="N505" s="25"/>
      <c r="O505" s="25"/>
      <c r="P505" s="25"/>
      <c r="Q505" s="25"/>
      <c r="R505" s="25"/>
      <c r="S505" s="25"/>
      <c r="T505" s="25"/>
      <c r="U505" s="25"/>
      <c r="V505" s="25"/>
      <c r="W505" s="25"/>
      <c r="X505" s="25"/>
      <c r="Y505" s="25"/>
      <c r="Z505" s="25"/>
    </row>
    <row r="506" ht="15.75" customHeight="1">
      <c r="A506" s="25"/>
      <c r="B506" s="503"/>
      <c r="C506" s="503"/>
      <c r="D506" s="503"/>
      <c r="E506" s="25"/>
      <c r="F506" s="25"/>
      <c r="G506" s="25"/>
      <c r="H506" s="25"/>
      <c r="I506" s="25"/>
      <c r="J506" s="25"/>
      <c r="K506" s="25"/>
      <c r="L506" s="25"/>
      <c r="M506" s="25"/>
      <c r="N506" s="25"/>
      <c r="O506" s="25"/>
      <c r="P506" s="25"/>
      <c r="Q506" s="25"/>
      <c r="R506" s="25"/>
      <c r="S506" s="25"/>
      <c r="T506" s="25"/>
      <c r="U506" s="25"/>
      <c r="V506" s="25"/>
      <c r="W506" s="25"/>
      <c r="X506" s="25"/>
      <c r="Y506" s="25"/>
      <c r="Z506" s="25"/>
    </row>
    <row r="507" ht="15.75" customHeight="1">
      <c r="A507" s="25"/>
      <c r="B507" s="503"/>
      <c r="C507" s="503"/>
      <c r="D507" s="503"/>
      <c r="E507" s="25"/>
      <c r="F507" s="25"/>
      <c r="G507" s="25"/>
      <c r="H507" s="25"/>
      <c r="I507" s="25"/>
      <c r="J507" s="25"/>
      <c r="K507" s="25"/>
      <c r="L507" s="25"/>
      <c r="M507" s="25"/>
      <c r="N507" s="25"/>
      <c r="O507" s="25"/>
      <c r="P507" s="25"/>
      <c r="Q507" s="25"/>
      <c r="R507" s="25"/>
      <c r="S507" s="25"/>
      <c r="T507" s="25"/>
      <c r="U507" s="25"/>
      <c r="V507" s="25"/>
      <c r="W507" s="25"/>
      <c r="X507" s="25"/>
      <c r="Y507" s="25"/>
      <c r="Z507" s="25"/>
    </row>
    <row r="508" ht="15.75" customHeight="1">
      <c r="A508" s="25"/>
      <c r="B508" s="503"/>
      <c r="C508" s="503"/>
      <c r="D508" s="503"/>
      <c r="E508" s="25"/>
      <c r="F508" s="25"/>
      <c r="G508" s="25"/>
      <c r="H508" s="25"/>
      <c r="I508" s="25"/>
      <c r="J508" s="25"/>
      <c r="K508" s="25"/>
      <c r="L508" s="25"/>
      <c r="M508" s="25"/>
      <c r="N508" s="25"/>
      <c r="O508" s="25"/>
      <c r="P508" s="25"/>
      <c r="Q508" s="25"/>
      <c r="R508" s="25"/>
      <c r="S508" s="25"/>
      <c r="T508" s="25"/>
      <c r="U508" s="25"/>
      <c r="V508" s="25"/>
      <c r="W508" s="25"/>
      <c r="X508" s="25"/>
      <c r="Y508" s="25"/>
      <c r="Z508" s="25"/>
    </row>
    <row r="509" ht="15.75" customHeight="1">
      <c r="A509" s="25"/>
      <c r="B509" s="503"/>
      <c r="C509" s="503"/>
      <c r="D509" s="503"/>
      <c r="E509" s="25"/>
      <c r="F509" s="25"/>
      <c r="G509" s="25"/>
      <c r="H509" s="25"/>
      <c r="I509" s="25"/>
      <c r="J509" s="25"/>
      <c r="K509" s="25"/>
      <c r="L509" s="25"/>
      <c r="M509" s="25"/>
      <c r="N509" s="25"/>
      <c r="O509" s="25"/>
      <c r="P509" s="25"/>
      <c r="Q509" s="25"/>
      <c r="R509" s="25"/>
      <c r="S509" s="25"/>
      <c r="T509" s="25"/>
      <c r="U509" s="25"/>
      <c r="V509" s="25"/>
      <c r="W509" s="25"/>
      <c r="X509" s="25"/>
      <c r="Y509" s="25"/>
      <c r="Z509" s="25"/>
    </row>
    <row r="510" ht="15.75" customHeight="1">
      <c r="A510" s="25"/>
      <c r="B510" s="503"/>
      <c r="C510" s="503"/>
      <c r="D510" s="503"/>
      <c r="E510" s="25"/>
      <c r="F510" s="25"/>
      <c r="G510" s="25"/>
      <c r="H510" s="25"/>
      <c r="I510" s="25"/>
      <c r="J510" s="25"/>
      <c r="K510" s="25"/>
      <c r="L510" s="25"/>
      <c r="M510" s="25"/>
      <c r="N510" s="25"/>
      <c r="O510" s="25"/>
      <c r="P510" s="25"/>
      <c r="Q510" s="25"/>
      <c r="R510" s="25"/>
      <c r="S510" s="25"/>
      <c r="T510" s="25"/>
      <c r="U510" s="25"/>
      <c r="V510" s="25"/>
      <c r="W510" s="25"/>
      <c r="X510" s="25"/>
      <c r="Y510" s="25"/>
      <c r="Z510" s="25"/>
    </row>
    <row r="511" ht="15.75" customHeight="1">
      <c r="A511" s="25"/>
      <c r="B511" s="503"/>
      <c r="C511" s="503"/>
      <c r="D511" s="503"/>
      <c r="E511" s="25"/>
      <c r="F511" s="25"/>
      <c r="G511" s="25"/>
      <c r="H511" s="25"/>
      <c r="I511" s="25"/>
      <c r="J511" s="25"/>
      <c r="K511" s="25"/>
      <c r="L511" s="25"/>
      <c r="M511" s="25"/>
      <c r="N511" s="25"/>
      <c r="O511" s="25"/>
      <c r="P511" s="25"/>
      <c r="Q511" s="25"/>
      <c r="R511" s="25"/>
      <c r="S511" s="25"/>
      <c r="T511" s="25"/>
      <c r="U511" s="25"/>
      <c r="V511" s="25"/>
      <c r="W511" s="25"/>
      <c r="X511" s="25"/>
      <c r="Y511" s="25"/>
      <c r="Z511" s="25"/>
    </row>
    <row r="512" ht="15.75" customHeight="1">
      <c r="A512" s="25"/>
      <c r="B512" s="503"/>
      <c r="C512" s="503"/>
      <c r="D512" s="503"/>
      <c r="E512" s="25"/>
      <c r="F512" s="25"/>
      <c r="G512" s="25"/>
      <c r="H512" s="25"/>
      <c r="I512" s="25"/>
      <c r="J512" s="25"/>
      <c r="K512" s="25"/>
      <c r="L512" s="25"/>
      <c r="M512" s="25"/>
      <c r="N512" s="25"/>
      <c r="O512" s="25"/>
      <c r="P512" s="25"/>
      <c r="Q512" s="25"/>
      <c r="R512" s="25"/>
      <c r="S512" s="25"/>
      <c r="T512" s="25"/>
      <c r="U512" s="25"/>
      <c r="V512" s="25"/>
      <c r="W512" s="25"/>
      <c r="X512" s="25"/>
      <c r="Y512" s="25"/>
      <c r="Z512" s="25"/>
    </row>
    <row r="513" ht="15.75" customHeight="1">
      <c r="A513" s="25"/>
      <c r="B513" s="503"/>
      <c r="C513" s="503"/>
      <c r="D513" s="503"/>
      <c r="E513" s="25"/>
      <c r="F513" s="25"/>
      <c r="G513" s="25"/>
      <c r="H513" s="25"/>
      <c r="I513" s="25"/>
      <c r="J513" s="25"/>
      <c r="K513" s="25"/>
      <c r="L513" s="25"/>
      <c r="M513" s="25"/>
      <c r="N513" s="25"/>
      <c r="O513" s="25"/>
      <c r="P513" s="25"/>
      <c r="Q513" s="25"/>
      <c r="R513" s="25"/>
      <c r="S513" s="25"/>
      <c r="T513" s="25"/>
      <c r="U513" s="25"/>
      <c r="V513" s="25"/>
      <c r="W513" s="25"/>
      <c r="X513" s="25"/>
      <c r="Y513" s="25"/>
      <c r="Z513" s="25"/>
    </row>
    <row r="514" ht="15.75" customHeight="1">
      <c r="A514" s="25"/>
      <c r="B514" s="503"/>
      <c r="C514" s="503"/>
      <c r="D514" s="503"/>
      <c r="E514" s="25"/>
      <c r="F514" s="25"/>
      <c r="G514" s="25"/>
      <c r="H514" s="25"/>
      <c r="I514" s="25"/>
      <c r="J514" s="25"/>
      <c r="K514" s="25"/>
      <c r="L514" s="25"/>
      <c r="M514" s="25"/>
      <c r="N514" s="25"/>
      <c r="O514" s="25"/>
      <c r="P514" s="25"/>
      <c r="Q514" s="25"/>
      <c r="R514" s="25"/>
      <c r="S514" s="25"/>
      <c r="T514" s="25"/>
      <c r="U514" s="25"/>
      <c r="V514" s="25"/>
      <c r="W514" s="25"/>
      <c r="X514" s="25"/>
      <c r="Y514" s="25"/>
      <c r="Z514" s="25"/>
    </row>
    <row r="515" ht="15.75" customHeight="1">
      <c r="A515" s="25"/>
      <c r="B515" s="503"/>
      <c r="C515" s="503"/>
      <c r="D515" s="503"/>
      <c r="E515" s="25"/>
      <c r="F515" s="25"/>
      <c r="G515" s="25"/>
      <c r="H515" s="25"/>
      <c r="I515" s="25"/>
      <c r="J515" s="25"/>
      <c r="K515" s="25"/>
      <c r="L515" s="25"/>
      <c r="M515" s="25"/>
      <c r="N515" s="25"/>
      <c r="O515" s="25"/>
      <c r="P515" s="25"/>
      <c r="Q515" s="25"/>
      <c r="R515" s="25"/>
      <c r="S515" s="25"/>
      <c r="T515" s="25"/>
      <c r="U515" s="25"/>
      <c r="V515" s="25"/>
      <c r="W515" s="25"/>
      <c r="X515" s="25"/>
      <c r="Y515" s="25"/>
      <c r="Z515" s="25"/>
    </row>
    <row r="516" ht="15.75" customHeight="1">
      <c r="A516" s="25"/>
      <c r="B516" s="503"/>
      <c r="C516" s="503"/>
      <c r="D516" s="503"/>
      <c r="E516" s="25"/>
      <c r="F516" s="25"/>
      <c r="G516" s="25"/>
      <c r="H516" s="25"/>
      <c r="I516" s="25"/>
      <c r="J516" s="25"/>
      <c r="K516" s="25"/>
      <c r="L516" s="25"/>
      <c r="M516" s="25"/>
      <c r="N516" s="25"/>
      <c r="O516" s="25"/>
      <c r="P516" s="25"/>
      <c r="Q516" s="25"/>
      <c r="R516" s="25"/>
      <c r="S516" s="25"/>
      <c r="T516" s="25"/>
      <c r="U516" s="25"/>
      <c r="V516" s="25"/>
      <c r="W516" s="25"/>
      <c r="X516" s="25"/>
      <c r="Y516" s="25"/>
      <c r="Z516" s="25"/>
    </row>
    <row r="517" ht="15.75" customHeight="1">
      <c r="A517" s="25"/>
      <c r="B517" s="503"/>
      <c r="C517" s="503"/>
      <c r="D517" s="503"/>
      <c r="E517" s="25"/>
      <c r="F517" s="25"/>
      <c r="G517" s="25"/>
      <c r="H517" s="25"/>
      <c r="I517" s="25"/>
      <c r="J517" s="25"/>
      <c r="K517" s="25"/>
      <c r="L517" s="25"/>
      <c r="M517" s="25"/>
      <c r="N517" s="25"/>
      <c r="O517" s="25"/>
      <c r="P517" s="25"/>
      <c r="Q517" s="25"/>
      <c r="R517" s="25"/>
      <c r="S517" s="25"/>
      <c r="T517" s="25"/>
      <c r="U517" s="25"/>
      <c r="V517" s="25"/>
      <c r="W517" s="25"/>
      <c r="X517" s="25"/>
      <c r="Y517" s="25"/>
      <c r="Z517" s="25"/>
    </row>
    <row r="518" ht="15.75" customHeight="1">
      <c r="A518" s="25"/>
      <c r="B518" s="503"/>
      <c r="C518" s="503"/>
      <c r="D518" s="503"/>
      <c r="E518" s="25"/>
      <c r="F518" s="25"/>
      <c r="G518" s="25"/>
      <c r="H518" s="25"/>
      <c r="I518" s="25"/>
      <c r="J518" s="25"/>
      <c r="K518" s="25"/>
      <c r="L518" s="25"/>
      <c r="M518" s="25"/>
      <c r="N518" s="25"/>
      <c r="O518" s="25"/>
      <c r="P518" s="25"/>
      <c r="Q518" s="25"/>
      <c r="R518" s="25"/>
      <c r="S518" s="25"/>
      <c r="T518" s="25"/>
      <c r="U518" s="25"/>
      <c r="V518" s="25"/>
      <c r="W518" s="25"/>
      <c r="X518" s="25"/>
      <c r="Y518" s="25"/>
      <c r="Z518" s="25"/>
    </row>
    <row r="519" ht="15.75" customHeight="1">
      <c r="A519" s="25"/>
      <c r="B519" s="503"/>
      <c r="C519" s="503"/>
      <c r="D519" s="503"/>
      <c r="E519" s="25"/>
      <c r="F519" s="25"/>
      <c r="G519" s="25"/>
      <c r="H519" s="25"/>
      <c r="I519" s="25"/>
      <c r="J519" s="25"/>
      <c r="K519" s="25"/>
      <c r="L519" s="25"/>
      <c r="M519" s="25"/>
      <c r="N519" s="25"/>
      <c r="O519" s="25"/>
      <c r="P519" s="25"/>
      <c r="Q519" s="25"/>
      <c r="R519" s="25"/>
      <c r="S519" s="25"/>
      <c r="T519" s="25"/>
      <c r="U519" s="25"/>
      <c r="V519" s="25"/>
      <c r="W519" s="25"/>
      <c r="X519" s="25"/>
      <c r="Y519" s="25"/>
      <c r="Z519" s="25"/>
    </row>
    <row r="520" ht="15.75" customHeight="1">
      <c r="A520" s="25"/>
      <c r="B520" s="503"/>
      <c r="C520" s="503"/>
      <c r="D520" s="503"/>
      <c r="E520" s="25"/>
      <c r="F520" s="25"/>
      <c r="G520" s="25"/>
      <c r="H520" s="25"/>
      <c r="I520" s="25"/>
      <c r="J520" s="25"/>
      <c r="K520" s="25"/>
      <c r="L520" s="25"/>
      <c r="M520" s="25"/>
      <c r="N520" s="25"/>
      <c r="O520" s="25"/>
      <c r="P520" s="25"/>
      <c r="Q520" s="25"/>
      <c r="R520" s="25"/>
      <c r="S520" s="25"/>
      <c r="T520" s="25"/>
      <c r="U520" s="25"/>
      <c r="V520" s="25"/>
      <c r="W520" s="25"/>
      <c r="X520" s="25"/>
      <c r="Y520" s="25"/>
      <c r="Z520" s="25"/>
    </row>
    <row r="521" ht="15.75" customHeight="1">
      <c r="A521" s="25"/>
      <c r="B521" s="503"/>
      <c r="C521" s="503"/>
      <c r="D521" s="503"/>
      <c r="E521" s="25"/>
      <c r="F521" s="25"/>
      <c r="G521" s="25"/>
      <c r="H521" s="25"/>
      <c r="I521" s="25"/>
      <c r="J521" s="25"/>
      <c r="K521" s="25"/>
      <c r="L521" s="25"/>
      <c r="M521" s="25"/>
      <c r="N521" s="25"/>
      <c r="O521" s="25"/>
      <c r="P521" s="25"/>
      <c r="Q521" s="25"/>
      <c r="R521" s="25"/>
      <c r="S521" s="25"/>
      <c r="T521" s="25"/>
      <c r="U521" s="25"/>
      <c r="V521" s="25"/>
      <c r="W521" s="25"/>
      <c r="X521" s="25"/>
      <c r="Y521" s="25"/>
      <c r="Z521" s="25"/>
    </row>
    <row r="522" ht="15.75" customHeight="1">
      <c r="A522" s="25"/>
      <c r="B522" s="503"/>
      <c r="C522" s="503"/>
      <c r="D522" s="503"/>
      <c r="E522" s="25"/>
      <c r="F522" s="25"/>
      <c r="G522" s="25"/>
      <c r="H522" s="25"/>
      <c r="I522" s="25"/>
      <c r="J522" s="25"/>
      <c r="K522" s="25"/>
      <c r="L522" s="25"/>
      <c r="M522" s="25"/>
      <c r="N522" s="25"/>
      <c r="O522" s="25"/>
      <c r="P522" s="25"/>
      <c r="Q522" s="25"/>
      <c r="R522" s="25"/>
      <c r="S522" s="25"/>
      <c r="T522" s="25"/>
      <c r="U522" s="25"/>
      <c r="V522" s="25"/>
      <c r="W522" s="25"/>
      <c r="X522" s="25"/>
      <c r="Y522" s="25"/>
      <c r="Z522" s="25"/>
    </row>
    <row r="523" ht="15.75" customHeight="1">
      <c r="A523" s="25"/>
      <c r="B523" s="503"/>
      <c r="C523" s="503"/>
      <c r="D523" s="503"/>
      <c r="E523" s="25"/>
      <c r="F523" s="25"/>
      <c r="G523" s="25"/>
      <c r="H523" s="25"/>
      <c r="I523" s="25"/>
      <c r="J523" s="25"/>
      <c r="K523" s="25"/>
      <c r="L523" s="25"/>
      <c r="M523" s="25"/>
      <c r="N523" s="25"/>
      <c r="O523" s="25"/>
      <c r="P523" s="25"/>
      <c r="Q523" s="25"/>
      <c r="R523" s="25"/>
      <c r="S523" s="25"/>
      <c r="T523" s="25"/>
      <c r="U523" s="25"/>
      <c r="V523" s="25"/>
      <c r="W523" s="25"/>
      <c r="X523" s="25"/>
      <c r="Y523" s="25"/>
      <c r="Z523" s="25"/>
    </row>
    <row r="524" ht="15.75" customHeight="1">
      <c r="A524" s="25"/>
      <c r="B524" s="503"/>
      <c r="C524" s="503"/>
      <c r="D524" s="503"/>
      <c r="E524" s="25"/>
      <c r="F524" s="25"/>
      <c r="G524" s="25"/>
      <c r="H524" s="25"/>
      <c r="I524" s="25"/>
      <c r="J524" s="25"/>
      <c r="K524" s="25"/>
      <c r="L524" s="25"/>
      <c r="M524" s="25"/>
      <c r="N524" s="25"/>
      <c r="O524" s="25"/>
      <c r="P524" s="25"/>
      <c r="Q524" s="25"/>
      <c r="R524" s="25"/>
      <c r="S524" s="25"/>
      <c r="T524" s="25"/>
      <c r="U524" s="25"/>
      <c r="V524" s="25"/>
      <c r="W524" s="25"/>
      <c r="X524" s="25"/>
      <c r="Y524" s="25"/>
      <c r="Z524" s="25"/>
    </row>
    <row r="525" ht="15.75" customHeight="1">
      <c r="A525" s="25"/>
      <c r="B525" s="503"/>
      <c r="C525" s="503"/>
      <c r="D525" s="503"/>
      <c r="E525" s="25"/>
      <c r="F525" s="25"/>
      <c r="G525" s="25"/>
      <c r="H525" s="25"/>
      <c r="I525" s="25"/>
      <c r="J525" s="25"/>
      <c r="K525" s="25"/>
      <c r="L525" s="25"/>
      <c r="M525" s="25"/>
      <c r="N525" s="25"/>
      <c r="O525" s="25"/>
      <c r="P525" s="25"/>
      <c r="Q525" s="25"/>
      <c r="R525" s="25"/>
      <c r="S525" s="25"/>
      <c r="T525" s="25"/>
      <c r="U525" s="25"/>
      <c r="V525" s="25"/>
      <c r="W525" s="25"/>
      <c r="X525" s="25"/>
      <c r="Y525" s="25"/>
      <c r="Z525" s="25"/>
    </row>
    <row r="526" ht="15.75" customHeight="1">
      <c r="A526" s="25"/>
      <c r="B526" s="503"/>
      <c r="C526" s="503"/>
      <c r="D526" s="503"/>
      <c r="E526" s="25"/>
      <c r="F526" s="25"/>
      <c r="G526" s="25"/>
      <c r="H526" s="25"/>
      <c r="I526" s="25"/>
      <c r="J526" s="25"/>
      <c r="K526" s="25"/>
      <c r="L526" s="25"/>
      <c r="M526" s="25"/>
      <c r="N526" s="25"/>
      <c r="O526" s="25"/>
      <c r="P526" s="25"/>
      <c r="Q526" s="25"/>
      <c r="R526" s="25"/>
      <c r="S526" s="25"/>
      <c r="T526" s="25"/>
      <c r="U526" s="25"/>
      <c r="V526" s="25"/>
      <c r="W526" s="25"/>
      <c r="X526" s="25"/>
      <c r="Y526" s="25"/>
      <c r="Z526" s="25"/>
    </row>
    <row r="527" ht="15.75" customHeight="1">
      <c r="A527" s="25"/>
      <c r="B527" s="503"/>
      <c r="C527" s="503"/>
      <c r="D527" s="503"/>
      <c r="E527" s="25"/>
      <c r="F527" s="25"/>
      <c r="G527" s="25"/>
      <c r="H527" s="25"/>
      <c r="I527" s="25"/>
      <c r="J527" s="25"/>
      <c r="K527" s="25"/>
      <c r="L527" s="25"/>
      <c r="M527" s="25"/>
      <c r="N527" s="25"/>
      <c r="O527" s="25"/>
      <c r="P527" s="25"/>
      <c r="Q527" s="25"/>
      <c r="R527" s="25"/>
      <c r="S527" s="25"/>
      <c r="T527" s="25"/>
      <c r="U527" s="25"/>
      <c r="V527" s="25"/>
      <c r="W527" s="25"/>
      <c r="X527" s="25"/>
      <c r="Y527" s="25"/>
      <c r="Z527" s="25"/>
    </row>
    <row r="528" ht="15.75" customHeight="1">
      <c r="A528" s="25"/>
      <c r="B528" s="503"/>
      <c r="C528" s="503"/>
      <c r="D528" s="503"/>
      <c r="E528" s="25"/>
      <c r="F528" s="25"/>
      <c r="G528" s="25"/>
      <c r="H528" s="25"/>
      <c r="I528" s="25"/>
      <c r="J528" s="25"/>
      <c r="K528" s="25"/>
      <c r="L528" s="25"/>
      <c r="M528" s="25"/>
      <c r="N528" s="25"/>
      <c r="O528" s="25"/>
      <c r="P528" s="25"/>
      <c r="Q528" s="25"/>
      <c r="R528" s="25"/>
      <c r="S528" s="25"/>
      <c r="T528" s="25"/>
      <c r="U528" s="25"/>
      <c r="V528" s="25"/>
      <c r="W528" s="25"/>
      <c r="X528" s="25"/>
      <c r="Y528" s="25"/>
      <c r="Z528" s="25"/>
    </row>
    <row r="529" ht="15.75" customHeight="1">
      <c r="A529" s="25"/>
      <c r="B529" s="503"/>
      <c r="C529" s="503"/>
      <c r="D529" s="503"/>
      <c r="E529" s="25"/>
      <c r="F529" s="25"/>
      <c r="G529" s="25"/>
      <c r="H529" s="25"/>
      <c r="I529" s="25"/>
      <c r="J529" s="25"/>
      <c r="K529" s="25"/>
      <c r="L529" s="25"/>
      <c r="M529" s="25"/>
      <c r="N529" s="25"/>
      <c r="O529" s="25"/>
      <c r="P529" s="25"/>
      <c r="Q529" s="25"/>
      <c r="R529" s="25"/>
      <c r="S529" s="25"/>
      <c r="T529" s="25"/>
      <c r="U529" s="25"/>
      <c r="V529" s="25"/>
      <c r="W529" s="25"/>
      <c r="X529" s="25"/>
      <c r="Y529" s="25"/>
      <c r="Z529" s="25"/>
    </row>
    <row r="530" ht="15.75" customHeight="1">
      <c r="A530" s="25"/>
      <c r="B530" s="503"/>
      <c r="C530" s="503"/>
      <c r="D530" s="503"/>
      <c r="E530" s="25"/>
      <c r="F530" s="25"/>
      <c r="G530" s="25"/>
      <c r="H530" s="25"/>
      <c r="I530" s="25"/>
      <c r="J530" s="25"/>
      <c r="K530" s="25"/>
      <c r="L530" s="25"/>
      <c r="M530" s="25"/>
      <c r="N530" s="25"/>
      <c r="O530" s="25"/>
      <c r="P530" s="25"/>
      <c r="Q530" s="25"/>
      <c r="R530" s="25"/>
      <c r="S530" s="25"/>
      <c r="T530" s="25"/>
      <c r="U530" s="25"/>
      <c r="V530" s="25"/>
      <c r="W530" s="25"/>
      <c r="X530" s="25"/>
      <c r="Y530" s="25"/>
      <c r="Z530" s="25"/>
    </row>
    <row r="531" ht="15.75" customHeight="1">
      <c r="A531" s="25"/>
      <c r="B531" s="503"/>
      <c r="C531" s="503"/>
      <c r="D531" s="503"/>
      <c r="E531" s="25"/>
      <c r="F531" s="25"/>
      <c r="G531" s="25"/>
      <c r="H531" s="25"/>
      <c r="I531" s="25"/>
      <c r="J531" s="25"/>
      <c r="K531" s="25"/>
      <c r="L531" s="25"/>
      <c r="M531" s="25"/>
      <c r="N531" s="25"/>
      <c r="O531" s="25"/>
      <c r="P531" s="25"/>
      <c r="Q531" s="25"/>
      <c r="R531" s="25"/>
      <c r="S531" s="25"/>
      <c r="T531" s="25"/>
      <c r="U531" s="25"/>
      <c r="V531" s="25"/>
      <c r="W531" s="25"/>
      <c r="X531" s="25"/>
      <c r="Y531" s="25"/>
      <c r="Z531" s="25"/>
    </row>
    <row r="532" ht="15.75" customHeight="1">
      <c r="A532" s="25"/>
      <c r="B532" s="503"/>
      <c r="C532" s="503"/>
      <c r="D532" s="503"/>
      <c r="E532" s="25"/>
      <c r="F532" s="25"/>
      <c r="G532" s="25"/>
      <c r="H532" s="25"/>
      <c r="I532" s="25"/>
      <c r="J532" s="25"/>
      <c r="K532" s="25"/>
      <c r="L532" s="25"/>
      <c r="M532" s="25"/>
      <c r="N532" s="25"/>
      <c r="O532" s="25"/>
      <c r="P532" s="25"/>
      <c r="Q532" s="25"/>
      <c r="R532" s="25"/>
      <c r="S532" s="25"/>
      <c r="T532" s="25"/>
      <c r="U532" s="25"/>
      <c r="V532" s="25"/>
      <c r="W532" s="25"/>
      <c r="X532" s="25"/>
      <c r="Y532" s="25"/>
      <c r="Z532" s="25"/>
    </row>
    <row r="533" ht="15.75" customHeight="1">
      <c r="A533" s="25"/>
      <c r="B533" s="503"/>
      <c r="C533" s="503"/>
      <c r="D533" s="503"/>
      <c r="E533" s="25"/>
      <c r="F533" s="25"/>
      <c r="G533" s="25"/>
      <c r="H533" s="25"/>
      <c r="I533" s="25"/>
      <c r="J533" s="25"/>
      <c r="K533" s="25"/>
      <c r="L533" s="25"/>
      <c r="M533" s="25"/>
      <c r="N533" s="25"/>
      <c r="O533" s="25"/>
      <c r="P533" s="25"/>
      <c r="Q533" s="25"/>
      <c r="R533" s="25"/>
      <c r="S533" s="25"/>
      <c r="T533" s="25"/>
      <c r="U533" s="25"/>
      <c r="V533" s="25"/>
      <c r="W533" s="25"/>
      <c r="X533" s="25"/>
      <c r="Y533" s="25"/>
      <c r="Z533" s="25"/>
    </row>
    <row r="534" ht="15.75" customHeight="1">
      <c r="A534" s="25"/>
      <c r="B534" s="503"/>
      <c r="C534" s="503"/>
      <c r="D534" s="503"/>
      <c r="E534" s="25"/>
      <c r="F534" s="25"/>
      <c r="G534" s="25"/>
      <c r="H534" s="25"/>
      <c r="I534" s="25"/>
      <c r="J534" s="25"/>
      <c r="K534" s="25"/>
      <c r="L534" s="25"/>
      <c r="M534" s="25"/>
      <c r="N534" s="25"/>
      <c r="O534" s="25"/>
      <c r="P534" s="25"/>
      <c r="Q534" s="25"/>
      <c r="R534" s="25"/>
      <c r="S534" s="25"/>
      <c r="T534" s="25"/>
      <c r="U534" s="25"/>
      <c r="V534" s="25"/>
      <c r="W534" s="25"/>
      <c r="X534" s="25"/>
      <c r="Y534" s="25"/>
      <c r="Z534" s="25"/>
    </row>
    <row r="535" ht="15.75" customHeight="1">
      <c r="A535" s="25"/>
      <c r="B535" s="503"/>
      <c r="C535" s="503"/>
      <c r="D535" s="503"/>
      <c r="E535" s="25"/>
      <c r="F535" s="25"/>
      <c r="G535" s="25"/>
      <c r="H535" s="25"/>
      <c r="I535" s="25"/>
      <c r="J535" s="25"/>
      <c r="K535" s="25"/>
      <c r="L535" s="25"/>
      <c r="M535" s="25"/>
      <c r="N535" s="25"/>
      <c r="O535" s="25"/>
      <c r="P535" s="25"/>
      <c r="Q535" s="25"/>
      <c r="R535" s="25"/>
      <c r="S535" s="25"/>
      <c r="T535" s="25"/>
      <c r="U535" s="25"/>
      <c r="V535" s="25"/>
      <c r="W535" s="25"/>
      <c r="X535" s="25"/>
      <c r="Y535" s="25"/>
      <c r="Z535" s="25"/>
    </row>
    <row r="536" ht="15.75" customHeight="1">
      <c r="A536" s="25"/>
      <c r="B536" s="503"/>
      <c r="C536" s="503"/>
      <c r="D536" s="503"/>
      <c r="E536" s="25"/>
      <c r="F536" s="25"/>
      <c r="G536" s="25"/>
      <c r="H536" s="25"/>
      <c r="I536" s="25"/>
      <c r="J536" s="25"/>
      <c r="K536" s="25"/>
      <c r="L536" s="25"/>
      <c r="M536" s="25"/>
      <c r="N536" s="25"/>
      <c r="O536" s="25"/>
      <c r="P536" s="25"/>
      <c r="Q536" s="25"/>
      <c r="R536" s="25"/>
      <c r="S536" s="25"/>
      <c r="T536" s="25"/>
      <c r="U536" s="25"/>
      <c r="V536" s="25"/>
      <c r="W536" s="25"/>
      <c r="X536" s="25"/>
      <c r="Y536" s="25"/>
      <c r="Z536" s="25"/>
    </row>
    <row r="537" ht="15.75" customHeight="1">
      <c r="A537" s="25"/>
      <c r="B537" s="503"/>
      <c r="C537" s="503"/>
      <c r="D537" s="503"/>
      <c r="E537" s="25"/>
      <c r="F537" s="25"/>
      <c r="G537" s="25"/>
      <c r="H537" s="25"/>
      <c r="I537" s="25"/>
      <c r="J537" s="25"/>
      <c r="K537" s="25"/>
      <c r="L537" s="25"/>
      <c r="M537" s="25"/>
      <c r="N537" s="25"/>
      <c r="O537" s="25"/>
      <c r="P537" s="25"/>
      <c r="Q537" s="25"/>
      <c r="R537" s="25"/>
      <c r="S537" s="25"/>
      <c r="T537" s="25"/>
      <c r="U537" s="25"/>
      <c r="V537" s="25"/>
      <c r="W537" s="25"/>
      <c r="X537" s="25"/>
      <c r="Y537" s="25"/>
      <c r="Z537" s="25"/>
    </row>
    <row r="538" ht="15.75" customHeight="1">
      <c r="A538" s="25"/>
      <c r="B538" s="503"/>
      <c r="C538" s="503"/>
      <c r="D538" s="503"/>
      <c r="E538" s="25"/>
      <c r="F538" s="25"/>
      <c r="G538" s="25"/>
      <c r="H538" s="25"/>
      <c r="I538" s="25"/>
      <c r="J538" s="25"/>
      <c r="K538" s="25"/>
      <c r="L538" s="25"/>
      <c r="M538" s="25"/>
      <c r="N538" s="25"/>
      <c r="O538" s="25"/>
      <c r="P538" s="25"/>
      <c r="Q538" s="25"/>
      <c r="R538" s="25"/>
      <c r="S538" s="25"/>
      <c r="T538" s="25"/>
      <c r="U538" s="25"/>
      <c r="V538" s="25"/>
      <c r="W538" s="25"/>
      <c r="X538" s="25"/>
      <c r="Y538" s="25"/>
      <c r="Z538" s="25"/>
    </row>
    <row r="539" ht="15.75" customHeight="1">
      <c r="A539" s="25"/>
      <c r="B539" s="503"/>
      <c r="C539" s="503"/>
      <c r="D539" s="503"/>
      <c r="E539" s="25"/>
      <c r="F539" s="25"/>
      <c r="G539" s="25"/>
      <c r="H539" s="25"/>
      <c r="I539" s="25"/>
      <c r="J539" s="25"/>
      <c r="K539" s="25"/>
      <c r="L539" s="25"/>
      <c r="M539" s="25"/>
      <c r="N539" s="25"/>
      <c r="O539" s="25"/>
      <c r="P539" s="25"/>
      <c r="Q539" s="25"/>
      <c r="R539" s="25"/>
      <c r="S539" s="25"/>
      <c r="T539" s="25"/>
      <c r="U539" s="25"/>
      <c r="V539" s="25"/>
      <c r="W539" s="25"/>
      <c r="X539" s="25"/>
      <c r="Y539" s="25"/>
      <c r="Z539" s="25"/>
    </row>
    <row r="540" ht="15.75" customHeight="1">
      <c r="A540" s="25"/>
      <c r="B540" s="503"/>
      <c r="C540" s="503"/>
      <c r="D540" s="503"/>
      <c r="E540" s="25"/>
      <c r="F540" s="25"/>
      <c r="G540" s="25"/>
      <c r="H540" s="25"/>
      <c r="I540" s="25"/>
      <c r="J540" s="25"/>
      <c r="K540" s="25"/>
      <c r="L540" s="25"/>
      <c r="M540" s="25"/>
      <c r="N540" s="25"/>
      <c r="O540" s="25"/>
      <c r="P540" s="25"/>
      <c r="Q540" s="25"/>
      <c r="R540" s="25"/>
      <c r="S540" s="25"/>
      <c r="T540" s="25"/>
      <c r="U540" s="25"/>
      <c r="V540" s="25"/>
      <c r="W540" s="25"/>
      <c r="X540" s="25"/>
      <c r="Y540" s="25"/>
      <c r="Z540" s="25"/>
    </row>
    <row r="541" ht="15.75" customHeight="1">
      <c r="A541" s="25"/>
      <c r="B541" s="503"/>
      <c r="C541" s="503"/>
      <c r="D541" s="503"/>
      <c r="E541" s="25"/>
      <c r="F541" s="25"/>
      <c r="G541" s="25"/>
      <c r="H541" s="25"/>
      <c r="I541" s="25"/>
      <c r="J541" s="25"/>
      <c r="K541" s="25"/>
      <c r="L541" s="25"/>
      <c r="M541" s="25"/>
      <c r="N541" s="25"/>
      <c r="O541" s="25"/>
      <c r="P541" s="25"/>
      <c r="Q541" s="25"/>
      <c r="R541" s="25"/>
      <c r="S541" s="25"/>
      <c r="T541" s="25"/>
      <c r="U541" s="25"/>
      <c r="V541" s="25"/>
      <c r="W541" s="25"/>
      <c r="X541" s="25"/>
      <c r="Y541" s="25"/>
      <c r="Z541" s="25"/>
    </row>
    <row r="542" ht="15.75" customHeight="1">
      <c r="A542" s="25"/>
      <c r="B542" s="503"/>
      <c r="C542" s="503"/>
      <c r="D542" s="503"/>
      <c r="E542" s="25"/>
      <c r="F542" s="25"/>
      <c r="G542" s="25"/>
      <c r="H542" s="25"/>
      <c r="I542" s="25"/>
      <c r="J542" s="25"/>
      <c r="K542" s="25"/>
      <c r="L542" s="25"/>
      <c r="M542" s="25"/>
      <c r="N542" s="25"/>
      <c r="O542" s="25"/>
      <c r="P542" s="25"/>
      <c r="Q542" s="25"/>
      <c r="R542" s="25"/>
      <c r="S542" s="25"/>
      <c r="T542" s="25"/>
      <c r="U542" s="25"/>
      <c r="V542" s="25"/>
      <c r="W542" s="25"/>
      <c r="X542" s="25"/>
      <c r="Y542" s="25"/>
      <c r="Z542" s="25"/>
    </row>
    <row r="543" ht="15.75" customHeight="1">
      <c r="A543" s="25"/>
      <c r="B543" s="503"/>
      <c r="C543" s="503"/>
      <c r="D543" s="503"/>
      <c r="E543" s="25"/>
      <c r="F543" s="25"/>
      <c r="G543" s="25"/>
      <c r="H543" s="25"/>
      <c r="I543" s="25"/>
      <c r="J543" s="25"/>
      <c r="K543" s="25"/>
      <c r="L543" s="25"/>
      <c r="M543" s="25"/>
      <c r="N543" s="25"/>
      <c r="O543" s="25"/>
      <c r="P543" s="25"/>
      <c r="Q543" s="25"/>
      <c r="R543" s="25"/>
      <c r="S543" s="25"/>
      <c r="T543" s="25"/>
      <c r="U543" s="25"/>
      <c r="V543" s="25"/>
      <c r="W543" s="25"/>
      <c r="X543" s="25"/>
      <c r="Y543" s="25"/>
      <c r="Z543" s="25"/>
    </row>
    <row r="544" ht="15.75" customHeight="1">
      <c r="A544" s="25"/>
      <c r="B544" s="503"/>
      <c r="C544" s="503"/>
      <c r="D544" s="503"/>
      <c r="E544" s="25"/>
      <c r="F544" s="25"/>
      <c r="G544" s="25"/>
      <c r="H544" s="25"/>
      <c r="I544" s="25"/>
      <c r="J544" s="25"/>
      <c r="K544" s="25"/>
      <c r="L544" s="25"/>
      <c r="M544" s="25"/>
      <c r="N544" s="25"/>
      <c r="O544" s="25"/>
      <c r="P544" s="25"/>
      <c r="Q544" s="25"/>
      <c r="R544" s="25"/>
      <c r="S544" s="25"/>
      <c r="T544" s="25"/>
      <c r="U544" s="25"/>
      <c r="V544" s="25"/>
      <c r="W544" s="25"/>
      <c r="X544" s="25"/>
      <c r="Y544" s="25"/>
      <c r="Z544" s="25"/>
    </row>
    <row r="545" ht="15.75" customHeight="1">
      <c r="A545" s="25"/>
      <c r="B545" s="503"/>
      <c r="C545" s="503"/>
      <c r="D545" s="503"/>
      <c r="E545" s="25"/>
      <c r="F545" s="25"/>
      <c r="G545" s="25"/>
      <c r="H545" s="25"/>
      <c r="I545" s="25"/>
      <c r="J545" s="25"/>
      <c r="K545" s="25"/>
      <c r="L545" s="25"/>
      <c r="M545" s="25"/>
      <c r="N545" s="25"/>
      <c r="O545" s="25"/>
      <c r="P545" s="25"/>
      <c r="Q545" s="25"/>
      <c r="R545" s="25"/>
      <c r="S545" s="25"/>
      <c r="T545" s="25"/>
      <c r="U545" s="25"/>
      <c r="V545" s="25"/>
      <c r="W545" s="25"/>
      <c r="X545" s="25"/>
      <c r="Y545" s="25"/>
      <c r="Z545" s="25"/>
    </row>
    <row r="546" ht="15.75" customHeight="1">
      <c r="A546" s="25"/>
      <c r="B546" s="503"/>
      <c r="C546" s="503"/>
      <c r="D546" s="503"/>
      <c r="E546" s="25"/>
      <c r="F546" s="25"/>
      <c r="G546" s="25"/>
      <c r="H546" s="25"/>
      <c r="I546" s="25"/>
      <c r="J546" s="25"/>
      <c r="K546" s="25"/>
      <c r="L546" s="25"/>
      <c r="M546" s="25"/>
      <c r="N546" s="25"/>
      <c r="O546" s="25"/>
      <c r="P546" s="25"/>
      <c r="Q546" s="25"/>
      <c r="R546" s="25"/>
      <c r="S546" s="25"/>
      <c r="T546" s="25"/>
      <c r="U546" s="25"/>
      <c r="V546" s="25"/>
      <c r="W546" s="25"/>
      <c r="X546" s="25"/>
      <c r="Y546" s="25"/>
      <c r="Z546" s="25"/>
    </row>
    <row r="547" ht="15.75" customHeight="1">
      <c r="A547" s="25"/>
      <c r="B547" s="503"/>
      <c r="C547" s="503"/>
      <c r="D547" s="503"/>
      <c r="E547" s="25"/>
      <c r="F547" s="25"/>
      <c r="G547" s="25"/>
      <c r="H547" s="25"/>
      <c r="I547" s="25"/>
      <c r="J547" s="25"/>
      <c r="K547" s="25"/>
      <c r="L547" s="25"/>
      <c r="M547" s="25"/>
      <c r="N547" s="25"/>
      <c r="O547" s="25"/>
      <c r="P547" s="25"/>
      <c r="Q547" s="25"/>
      <c r="R547" s="25"/>
      <c r="S547" s="25"/>
      <c r="T547" s="25"/>
      <c r="U547" s="25"/>
      <c r="V547" s="25"/>
      <c r="W547" s="25"/>
      <c r="X547" s="25"/>
      <c r="Y547" s="25"/>
      <c r="Z547" s="25"/>
    </row>
    <row r="548" ht="15.75" customHeight="1">
      <c r="A548" s="25"/>
      <c r="B548" s="503"/>
      <c r="C548" s="503"/>
      <c r="D548" s="503"/>
      <c r="E548" s="25"/>
      <c r="F548" s="25"/>
      <c r="G548" s="25"/>
      <c r="H548" s="25"/>
      <c r="I548" s="25"/>
      <c r="J548" s="25"/>
      <c r="K548" s="25"/>
      <c r="L548" s="25"/>
      <c r="M548" s="25"/>
      <c r="N548" s="25"/>
      <c r="O548" s="25"/>
      <c r="P548" s="25"/>
      <c r="Q548" s="25"/>
      <c r="R548" s="25"/>
      <c r="S548" s="25"/>
      <c r="T548" s="25"/>
      <c r="U548" s="25"/>
      <c r="V548" s="25"/>
      <c r="W548" s="25"/>
      <c r="X548" s="25"/>
      <c r="Y548" s="25"/>
      <c r="Z548" s="25"/>
    </row>
    <row r="549" ht="15.75" customHeight="1">
      <c r="A549" s="25"/>
      <c r="B549" s="503"/>
      <c r="C549" s="503"/>
      <c r="D549" s="503"/>
      <c r="E549" s="25"/>
      <c r="F549" s="25"/>
      <c r="G549" s="25"/>
      <c r="H549" s="25"/>
      <c r="I549" s="25"/>
      <c r="J549" s="25"/>
      <c r="K549" s="25"/>
      <c r="L549" s="25"/>
      <c r="M549" s="25"/>
      <c r="N549" s="25"/>
      <c r="O549" s="25"/>
      <c r="P549" s="25"/>
      <c r="Q549" s="25"/>
      <c r="R549" s="25"/>
      <c r="S549" s="25"/>
      <c r="T549" s="25"/>
      <c r="U549" s="25"/>
      <c r="V549" s="25"/>
      <c r="W549" s="25"/>
      <c r="X549" s="25"/>
      <c r="Y549" s="25"/>
      <c r="Z549" s="25"/>
    </row>
    <row r="550" ht="15.75" customHeight="1">
      <c r="A550" s="25"/>
      <c r="B550" s="503"/>
      <c r="C550" s="503"/>
      <c r="D550" s="503"/>
      <c r="E550" s="25"/>
      <c r="F550" s="25"/>
      <c r="G550" s="25"/>
      <c r="H550" s="25"/>
      <c r="I550" s="25"/>
      <c r="J550" s="25"/>
      <c r="K550" s="25"/>
      <c r="L550" s="25"/>
      <c r="M550" s="25"/>
      <c r="N550" s="25"/>
      <c r="O550" s="25"/>
      <c r="P550" s="25"/>
      <c r="Q550" s="25"/>
      <c r="R550" s="25"/>
      <c r="S550" s="25"/>
      <c r="T550" s="25"/>
      <c r="U550" s="25"/>
      <c r="V550" s="25"/>
      <c r="W550" s="25"/>
      <c r="X550" s="25"/>
      <c r="Y550" s="25"/>
      <c r="Z550" s="25"/>
    </row>
    <row r="551" ht="15.75" customHeight="1">
      <c r="A551" s="25"/>
      <c r="B551" s="503"/>
      <c r="C551" s="503"/>
      <c r="D551" s="503"/>
      <c r="E551" s="25"/>
      <c r="F551" s="25"/>
      <c r="G551" s="25"/>
      <c r="H551" s="25"/>
      <c r="I551" s="25"/>
      <c r="J551" s="25"/>
      <c r="K551" s="25"/>
      <c r="L551" s="25"/>
      <c r="M551" s="25"/>
      <c r="N551" s="25"/>
      <c r="O551" s="25"/>
      <c r="P551" s="25"/>
      <c r="Q551" s="25"/>
      <c r="R551" s="25"/>
      <c r="S551" s="25"/>
      <c r="T551" s="25"/>
      <c r="U551" s="25"/>
      <c r="V551" s="25"/>
      <c r="W551" s="25"/>
      <c r="X551" s="25"/>
      <c r="Y551" s="25"/>
      <c r="Z551" s="25"/>
    </row>
    <row r="552" ht="15.75" customHeight="1">
      <c r="A552" s="25"/>
      <c r="B552" s="503"/>
      <c r="C552" s="503"/>
      <c r="D552" s="503"/>
      <c r="E552" s="25"/>
      <c r="F552" s="25"/>
      <c r="G552" s="25"/>
      <c r="H552" s="25"/>
      <c r="I552" s="25"/>
      <c r="J552" s="25"/>
      <c r="K552" s="25"/>
      <c r="L552" s="25"/>
      <c r="M552" s="25"/>
      <c r="N552" s="25"/>
      <c r="O552" s="25"/>
      <c r="P552" s="25"/>
      <c r="Q552" s="25"/>
      <c r="R552" s="25"/>
      <c r="S552" s="25"/>
      <c r="T552" s="25"/>
      <c r="U552" s="25"/>
      <c r="V552" s="25"/>
      <c r="W552" s="25"/>
      <c r="X552" s="25"/>
      <c r="Y552" s="25"/>
      <c r="Z552" s="25"/>
    </row>
    <row r="553" ht="15.75" customHeight="1">
      <c r="A553" s="25"/>
      <c r="B553" s="503"/>
      <c r="C553" s="503"/>
      <c r="D553" s="503"/>
      <c r="E553" s="25"/>
      <c r="F553" s="25"/>
      <c r="G553" s="25"/>
      <c r="H553" s="25"/>
      <c r="I553" s="25"/>
      <c r="J553" s="25"/>
      <c r="K553" s="25"/>
      <c r="L553" s="25"/>
      <c r="M553" s="25"/>
      <c r="N553" s="25"/>
      <c r="O553" s="25"/>
      <c r="P553" s="25"/>
      <c r="Q553" s="25"/>
      <c r="R553" s="25"/>
      <c r="S553" s="25"/>
      <c r="T553" s="25"/>
      <c r="U553" s="25"/>
      <c r="V553" s="25"/>
      <c r="W553" s="25"/>
      <c r="X553" s="25"/>
      <c r="Y553" s="25"/>
      <c r="Z553" s="25"/>
    </row>
    <row r="554" ht="15.75" customHeight="1">
      <c r="A554" s="25"/>
      <c r="B554" s="503"/>
      <c r="C554" s="503"/>
      <c r="D554" s="503"/>
      <c r="E554" s="25"/>
      <c r="F554" s="25"/>
      <c r="G554" s="25"/>
      <c r="H554" s="25"/>
      <c r="I554" s="25"/>
      <c r="J554" s="25"/>
      <c r="K554" s="25"/>
      <c r="L554" s="25"/>
      <c r="M554" s="25"/>
      <c r="N554" s="25"/>
      <c r="O554" s="25"/>
      <c r="P554" s="25"/>
      <c r="Q554" s="25"/>
      <c r="R554" s="25"/>
      <c r="S554" s="25"/>
      <c r="T554" s="25"/>
      <c r="U554" s="25"/>
      <c r="V554" s="25"/>
      <c r="W554" s="25"/>
      <c r="X554" s="25"/>
      <c r="Y554" s="25"/>
      <c r="Z554" s="25"/>
    </row>
    <row r="555" ht="15.75" customHeight="1">
      <c r="A555" s="25"/>
      <c r="B555" s="503"/>
      <c r="C555" s="503"/>
      <c r="D555" s="503"/>
      <c r="E555" s="25"/>
      <c r="F555" s="25"/>
      <c r="G555" s="25"/>
      <c r="H555" s="25"/>
      <c r="I555" s="25"/>
      <c r="J555" s="25"/>
      <c r="K555" s="25"/>
      <c r="L555" s="25"/>
      <c r="M555" s="25"/>
      <c r="N555" s="25"/>
      <c r="O555" s="25"/>
      <c r="P555" s="25"/>
      <c r="Q555" s="25"/>
      <c r="R555" s="25"/>
      <c r="S555" s="25"/>
      <c r="T555" s="25"/>
      <c r="U555" s="25"/>
      <c r="V555" s="25"/>
      <c r="W555" s="25"/>
      <c r="X555" s="25"/>
      <c r="Y555" s="25"/>
      <c r="Z555" s="25"/>
    </row>
    <row r="556" ht="15.75" customHeight="1">
      <c r="A556" s="25"/>
      <c r="B556" s="503"/>
      <c r="C556" s="503"/>
      <c r="D556" s="503"/>
      <c r="E556" s="25"/>
      <c r="F556" s="25"/>
      <c r="G556" s="25"/>
      <c r="H556" s="25"/>
      <c r="I556" s="25"/>
      <c r="J556" s="25"/>
      <c r="K556" s="25"/>
      <c r="L556" s="25"/>
      <c r="M556" s="25"/>
      <c r="N556" s="25"/>
      <c r="O556" s="25"/>
      <c r="P556" s="25"/>
      <c r="Q556" s="25"/>
      <c r="R556" s="25"/>
      <c r="S556" s="25"/>
      <c r="T556" s="25"/>
      <c r="U556" s="25"/>
      <c r="V556" s="25"/>
      <c r="W556" s="25"/>
      <c r="X556" s="25"/>
      <c r="Y556" s="25"/>
      <c r="Z556" s="25"/>
    </row>
    <row r="557" ht="15.75" customHeight="1">
      <c r="A557" s="25"/>
      <c r="B557" s="503"/>
      <c r="C557" s="503"/>
      <c r="D557" s="503"/>
      <c r="E557" s="25"/>
      <c r="F557" s="25"/>
      <c r="G557" s="25"/>
      <c r="H557" s="25"/>
      <c r="I557" s="25"/>
      <c r="J557" s="25"/>
      <c r="K557" s="25"/>
      <c r="L557" s="25"/>
      <c r="M557" s="25"/>
      <c r="N557" s="25"/>
      <c r="O557" s="25"/>
      <c r="P557" s="25"/>
      <c r="Q557" s="25"/>
      <c r="R557" s="25"/>
      <c r="S557" s="25"/>
      <c r="T557" s="25"/>
      <c r="U557" s="25"/>
      <c r="V557" s="25"/>
      <c r="W557" s="25"/>
      <c r="X557" s="25"/>
      <c r="Y557" s="25"/>
      <c r="Z557" s="25"/>
    </row>
    <row r="558" ht="15.75" customHeight="1">
      <c r="A558" s="25"/>
      <c r="B558" s="503"/>
      <c r="C558" s="503"/>
      <c r="D558" s="503"/>
      <c r="E558" s="25"/>
      <c r="F558" s="25"/>
      <c r="G558" s="25"/>
      <c r="H558" s="25"/>
      <c r="I558" s="25"/>
      <c r="J558" s="25"/>
      <c r="K558" s="25"/>
      <c r="L558" s="25"/>
      <c r="M558" s="25"/>
      <c r="N558" s="25"/>
      <c r="O558" s="25"/>
      <c r="P558" s="25"/>
      <c r="Q558" s="25"/>
      <c r="R558" s="25"/>
      <c r="S558" s="25"/>
      <c r="T558" s="25"/>
      <c r="U558" s="25"/>
      <c r="V558" s="25"/>
      <c r="W558" s="25"/>
      <c r="X558" s="25"/>
      <c r="Y558" s="25"/>
      <c r="Z558" s="25"/>
    </row>
    <row r="559" ht="15.75" customHeight="1">
      <c r="A559" s="25"/>
      <c r="B559" s="503"/>
      <c r="C559" s="503"/>
      <c r="D559" s="503"/>
      <c r="E559" s="25"/>
      <c r="F559" s="25"/>
      <c r="G559" s="25"/>
      <c r="H559" s="25"/>
      <c r="I559" s="25"/>
      <c r="J559" s="25"/>
      <c r="K559" s="25"/>
      <c r="L559" s="25"/>
      <c r="M559" s="25"/>
      <c r="N559" s="25"/>
      <c r="O559" s="25"/>
      <c r="P559" s="25"/>
      <c r="Q559" s="25"/>
      <c r="R559" s="25"/>
      <c r="S559" s="25"/>
      <c r="T559" s="25"/>
      <c r="U559" s="25"/>
      <c r="V559" s="25"/>
      <c r="W559" s="25"/>
      <c r="X559" s="25"/>
      <c r="Y559" s="25"/>
      <c r="Z559" s="25"/>
    </row>
    <row r="560" ht="15.75" customHeight="1">
      <c r="A560" s="25"/>
      <c r="B560" s="503"/>
      <c r="C560" s="503"/>
      <c r="D560" s="503"/>
      <c r="E560" s="25"/>
      <c r="F560" s="25"/>
      <c r="G560" s="25"/>
      <c r="H560" s="25"/>
      <c r="I560" s="25"/>
      <c r="J560" s="25"/>
      <c r="K560" s="25"/>
      <c r="L560" s="25"/>
      <c r="M560" s="25"/>
      <c r="N560" s="25"/>
      <c r="O560" s="25"/>
      <c r="P560" s="25"/>
      <c r="Q560" s="25"/>
      <c r="R560" s="25"/>
      <c r="S560" s="25"/>
      <c r="T560" s="25"/>
      <c r="U560" s="25"/>
      <c r="V560" s="25"/>
      <c r="W560" s="25"/>
      <c r="X560" s="25"/>
      <c r="Y560" s="25"/>
      <c r="Z560" s="25"/>
    </row>
    <row r="561" ht="15.75" customHeight="1">
      <c r="A561" s="25"/>
      <c r="B561" s="503"/>
      <c r="C561" s="503"/>
      <c r="D561" s="503"/>
      <c r="E561" s="25"/>
      <c r="F561" s="25"/>
      <c r="G561" s="25"/>
      <c r="H561" s="25"/>
      <c r="I561" s="25"/>
      <c r="J561" s="25"/>
      <c r="K561" s="25"/>
      <c r="L561" s="25"/>
      <c r="M561" s="25"/>
      <c r="N561" s="25"/>
      <c r="O561" s="25"/>
      <c r="P561" s="25"/>
      <c r="Q561" s="25"/>
      <c r="R561" s="25"/>
      <c r="S561" s="25"/>
      <c r="T561" s="25"/>
      <c r="U561" s="25"/>
      <c r="V561" s="25"/>
      <c r="W561" s="25"/>
      <c r="X561" s="25"/>
      <c r="Y561" s="25"/>
      <c r="Z561" s="25"/>
    </row>
    <row r="562" ht="15.75" customHeight="1">
      <c r="A562" s="25"/>
      <c r="B562" s="503"/>
      <c r="C562" s="503"/>
      <c r="D562" s="503"/>
      <c r="E562" s="25"/>
      <c r="F562" s="25"/>
      <c r="G562" s="25"/>
      <c r="H562" s="25"/>
      <c r="I562" s="25"/>
      <c r="J562" s="25"/>
      <c r="K562" s="25"/>
      <c r="L562" s="25"/>
      <c r="M562" s="25"/>
      <c r="N562" s="25"/>
      <c r="O562" s="25"/>
      <c r="P562" s="25"/>
      <c r="Q562" s="25"/>
      <c r="R562" s="25"/>
      <c r="S562" s="25"/>
      <c r="T562" s="25"/>
      <c r="U562" s="25"/>
      <c r="V562" s="25"/>
      <c r="W562" s="25"/>
      <c r="X562" s="25"/>
      <c r="Y562" s="25"/>
      <c r="Z562" s="25"/>
    </row>
    <row r="563" ht="15.75" customHeight="1">
      <c r="A563" s="25"/>
      <c r="B563" s="503"/>
      <c r="C563" s="503"/>
      <c r="D563" s="503"/>
      <c r="E563" s="25"/>
      <c r="F563" s="25"/>
      <c r="G563" s="25"/>
      <c r="H563" s="25"/>
      <c r="I563" s="25"/>
      <c r="J563" s="25"/>
      <c r="K563" s="25"/>
      <c r="L563" s="25"/>
      <c r="M563" s="25"/>
      <c r="N563" s="25"/>
      <c r="O563" s="25"/>
      <c r="P563" s="25"/>
      <c r="Q563" s="25"/>
      <c r="R563" s="25"/>
      <c r="S563" s="25"/>
      <c r="T563" s="25"/>
      <c r="U563" s="25"/>
      <c r="V563" s="25"/>
      <c r="W563" s="25"/>
      <c r="X563" s="25"/>
      <c r="Y563" s="25"/>
      <c r="Z563" s="25"/>
    </row>
    <row r="564" ht="15.75" customHeight="1">
      <c r="A564" s="25"/>
      <c r="B564" s="503"/>
      <c r="C564" s="503"/>
      <c r="D564" s="503"/>
      <c r="E564" s="25"/>
      <c r="F564" s="25"/>
      <c r="G564" s="25"/>
      <c r="H564" s="25"/>
      <c r="I564" s="25"/>
      <c r="J564" s="25"/>
      <c r="K564" s="25"/>
      <c r="L564" s="25"/>
      <c r="M564" s="25"/>
      <c r="N564" s="25"/>
      <c r="O564" s="25"/>
      <c r="P564" s="25"/>
      <c r="Q564" s="25"/>
      <c r="R564" s="25"/>
      <c r="S564" s="25"/>
      <c r="T564" s="25"/>
      <c r="U564" s="25"/>
      <c r="V564" s="25"/>
      <c r="W564" s="25"/>
      <c r="X564" s="25"/>
      <c r="Y564" s="25"/>
      <c r="Z564" s="25"/>
    </row>
    <row r="565" ht="15.75" customHeight="1">
      <c r="A565" s="25"/>
      <c r="B565" s="503"/>
      <c r="C565" s="503"/>
      <c r="D565" s="503"/>
      <c r="E565" s="25"/>
      <c r="F565" s="25"/>
      <c r="G565" s="25"/>
      <c r="H565" s="25"/>
      <c r="I565" s="25"/>
      <c r="J565" s="25"/>
      <c r="K565" s="25"/>
      <c r="L565" s="25"/>
      <c r="M565" s="25"/>
      <c r="N565" s="25"/>
      <c r="O565" s="25"/>
      <c r="P565" s="25"/>
      <c r="Q565" s="25"/>
      <c r="R565" s="25"/>
      <c r="S565" s="25"/>
      <c r="T565" s="25"/>
      <c r="U565" s="25"/>
      <c r="V565" s="25"/>
      <c r="W565" s="25"/>
      <c r="X565" s="25"/>
      <c r="Y565" s="25"/>
      <c r="Z565" s="25"/>
    </row>
    <row r="566" ht="15.75" customHeight="1">
      <c r="A566" s="25"/>
      <c r="B566" s="503"/>
      <c r="C566" s="503"/>
      <c r="D566" s="503"/>
      <c r="E566" s="25"/>
      <c r="F566" s="25"/>
      <c r="G566" s="25"/>
      <c r="H566" s="25"/>
      <c r="I566" s="25"/>
      <c r="J566" s="25"/>
      <c r="K566" s="25"/>
      <c r="L566" s="25"/>
      <c r="M566" s="25"/>
      <c r="N566" s="25"/>
      <c r="O566" s="25"/>
      <c r="P566" s="25"/>
      <c r="Q566" s="25"/>
      <c r="R566" s="25"/>
      <c r="S566" s="25"/>
      <c r="T566" s="25"/>
      <c r="U566" s="25"/>
      <c r="V566" s="25"/>
      <c r="W566" s="25"/>
      <c r="X566" s="25"/>
      <c r="Y566" s="25"/>
      <c r="Z566" s="25"/>
    </row>
    <row r="567" ht="15.75" customHeight="1">
      <c r="A567" s="25"/>
      <c r="B567" s="503"/>
      <c r="C567" s="503"/>
      <c r="D567" s="503"/>
      <c r="E567" s="25"/>
      <c r="F567" s="25"/>
      <c r="G567" s="25"/>
      <c r="H567" s="25"/>
      <c r="I567" s="25"/>
      <c r="J567" s="25"/>
      <c r="K567" s="25"/>
      <c r="L567" s="25"/>
      <c r="M567" s="25"/>
      <c r="N567" s="25"/>
      <c r="O567" s="25"/>
      <c r="P567" s="25"/>
      <c r="Q567" s="25"/>
      <c r="R567" s="25"/>
      <c r="S567" s="25"/>
      <c r="T567" s="25"/>
      <c r="U567" s="25"/>
      <c r="V567" s="25"/>
      <c r="W567" s="25"/>
      <c r="X567" s="25"/>
      <c r="Y567" s="25"/>
      <c r="Z567" s="25"/>
    </row>
    <row r="568" ht="15.75" customHeight="1">
      <c r="A568" s="25"/>
      <c r="B568" s="503"/>
      <c r="C568" s="503"/>
      <c r="D568" s="503"/>
      <c r="E568" s="25"/>
      <c r="F568" s="25"/>
      <c r="G568" s="25"/>
      <c r="H568" s="25"/>
      <c r="I568" s="25"/>
      <c r="J568" s="25"/>
      <c r="K568" s="25"/>
      <c r="L568" s="25"/>
      <c r="M568" s="25"/>
      <c r="N568" s="25"/>
      <c r="O568" s="25"/>
      <c r="P568" s="25"/>
      <c r="Q568" s="25"/>
      <c r="R568" s="25"/>
      <c r="S568" s="25"/>
      <c r="T568" s="25"/>
      <c r="U568" s="25"/>
      <c r="V568" s="25"/>
      <c r="W568" s="25"/>
      <c r="X568" s="25"/>
      <c r="Y568" s="25"/>
      <c r="Z568" s="25"/>
    </row>
    <row r="569" ht="15.75" customHeight="1">
      <c r="A569" s="25"/>
      <c r="B569" s="503"/>
      <c r="C569" s="503"/>
      <c r="D569" s="503"/>
      <c r="E569" s="25"/>
      <c r="F569" s="25"/>
      <c r="G569" s="25"/>
      <c r="H569" s="25"/>
      <c r="I569" s="25"/>
      <c r="J569" s="25"/>
      <c r="K569" s="25"/>
      <c r="L569" s="25"/>
      <c r="M569" s="25"/>
      <c r="N569" s="25"/>
      <c r="O569" s="25"/>
      <c r="P569" s="25"/>
      <c r="Q569" s="25"/>
      <c r="R569" s="25"/>
      <c r="S569" s="25"/>
      <c r="T569" s="25"/>
      <c r="U569" s="25"/>
      <c r="V569" s="25"/>
      <c r="W569" s="25"/>
      <c r="X569" s="25"/>
      <c r="Y569" s="25"/>
      <c r="Z569" s="25"/>
    </row>
    <row r="570" ht="15.75" customHeight="1">
      <c r="A570" s="25"/>
      <c r="B570" s="503"/>
      <c r="C570" s="503"/>
      <c r="D570" s="503"/>
      <c r="E570" s="25"/>
      <c r="F570" s="25"/>
      <c r="G570" s="25"/>
      <c r="H570" s="25"/>
      <c r="I570" s="25"/>
      <c r="J570" s="25"/>
      <c r="K570" s="25"/>
      <c r="L570" s="25"/>
      <c r="M570" s="25"/>
      <c r="N570" s="25"/>
      <c r="O570" s="25"/>
      <c r="P570" s="25"/>
      <c r="Q570" s="25"/>
      <c r="R570" s="25"/>
      <c r="S570" s="25"/>
      <c r="T570" s="25"/>
      <c r="U570" s="25"/>
      <c r="V570" s="25"/>
      <c r="W570" s="25"/>
      <c r="X570" s="25"/>
      <c r="Y570" s="25"/>
      <c r="Z570" s="25"/>
    </row>
    <row r="571" ht="15.75" customHeight="1">
      <c r="A571" s="25"/>
      <c r="B571" s="503"/>
      <c r="C571" s="503"/>
      <c r="D571" s="503"/>
      <c r="E571" s="25"/>
      <c r="F571" s="25"/>
      <c r="G571" s="25"/>
      <c r="H571" s="25"/>
      <c r="I571" s="25"/>
      <c r="J571" s="25"/>
      <c r="K571" s="25"/>
      <c r="L571" s="25"/>
      <c r="M571" s="25"/>
      <c r="N571" s="25"/>
      <c r="O571" s="25"/>
      <c r="P571" s="25"/>
      <c r="Q571" s="25"/>
      <c r="R571" s="25"/>
      <c r="S571" s="25"/>
      <c r="T571" s="25"/>
      <c r="U571" s="25"/>
      <c r="V571" s="25"/>
      <c r="W571" s="25"/>
      <c r="X571" s="25"/>
      <c r="Y571" s="25"/>
      <c r="Z571" s="25"/>
    </row>
    <row r="572" ht="15.75" customHeight="1">
      <c r="A572" s="25"/>
      <c r="B572" s="503"/>
      <c r="C572" s="503"/>
      <c r="D572" s="503"/>
      <c r="E572" s="25"/>
      <c r="F572" s="25"/>
      <c r="G572" s="25"/>
      <c r="H572" s="25"/>
      <c r="I572" s="25"/>
      <c r="J572" s="25"/>
      <c r="K572" s="25"/>
      <c r="L572" s="25"/>
      <c r="M572" s="25"/>
      <c r="N572" s="25"/>
      <c r="O572" s="25"/>
      <c r="P572" s="25"/>
      <c r="Q572" s="25"/>
      <c r="R572" s="25"/>
      <c r="S572" s="25"/>
      <c r="T572" s="25"/>
      <c r="U572" s="25"/>
      <c r="V572" s="25"/>
      <c r="W572" s="25"/>
      <c r="X572" s="25"/>
      <c r="Y572" s="25"/>
      <c r="Z572" s="25"/>
    </row>
    <row r="573" ht="15.75" customHeight="1">
      <c r="A573" s="25"/>
      <c r="B573" s="503"/>
      <c r="C573" s="503"/>
      <c r="D573" s="503"/>
      <c r="E573" s="25"/>
      <c r="F573" s="25"/>
      <c r="G573" s="25"/>
      <c r="H573" s="25"/>
      <c r="I573" s="25"/>
      <c r="J573" s="25"/>
      <c r="K573" s="25"/>
      <c r="L573" s="25"/>
      <c r="M573" s="25"/>
      <c r="N573" s="25"/>
      <c r="O573" s="25"/>
      <c r="P573" s="25"/>
      <c r="Q573" s="25"/>
      <c r="R573" s="25"/>
      <c r="S573" s="25"/>
      <c r="T573" s="25"/>
      <c r="U573" s="25"/>
      <c r="V573" s="25"/>
      <c r="W573" s="25"/>
      <c r="X573" s="25"/>
      <c r="Y573" s="25"/>
      <c r="Z573" s="25"/>
    </row>
    <row r="574" ht="15.75" customHeight="1">
      <c r="A574" s="25"/>
      <c r="B574" s="503"/>
      <c r="C574" s="503"/>
      <c r="D574" s="503"/>
      <c r="E574" s="25"/>
      <c r="F574" s="25"/>
      <c r="G574" s="25"/>
      <c r="H574" s="25"/>
      <c r="I574" s="25"/>
      <c r="J574" s="25"/>
      <c r="K574" s="25"/>
      <c r="L574" s="25"/>
      <c r="M574" s="25"/>
      <c r="N574" s="25"/>
      <c r="O574" s="25"/>
      <c r="P574" s="25"/>
      <c r="Q574" s="25"/>
      <c r="R574" s="25"/>
      <c r="S574" s="25"/>
      <c r="T574" s="25"/>
      <c r="U574" s="25"/>
      <c r="V574" s="25"/>
      <c r="W574" s="25"/>
      <c r="X574" s="25"/>
      <c r="Y574" s="25"/>
      <c r="Z574" s="25"/>
    </row>
    <row r="575" ht="15.75" customHeight="1">
      <c r="A575" s="25"/>
      <c r="B575" s="503"/>
      <c r="C575" s="503"/>
      <c r="D575" s="503"/>
      <c r="E575" s="25"/>
      <c r="F575" s="25"/>
      <c r="G575" s="25"/>
      <c r="H575" s="25"/>
      <c r="I575" s="25"/>
      <c r="J575" s="25"/>
      <c r="K575" s="25"/>
      <c r="L575" s="25"/>
      <c r="M575" s="25"/>
      <c r="N575" s="25"/>
      <c r="O575" s="25"/>
      <c r="P575" s="25"/>
      <c r="Q575" s="25"/>
      <c r="R575" s="25"/>
      <c r="S575" s="25"/>
      <c r="T575" s="25"/>
      <c r="U575" s="25"/>
      <c r="V575" s="25"/>
      <c r="W575" s="25"/>
      <c r="X575" s="25"/>
      <c r="Y575" s="25"/>
      <c r="Z575" s="25"/>
    </row>
    <row r="576" ht="15.75" customHeight="1">
      <c r="A576" s="25"/>
      <c r="B576" s="503"/>
      <c r="C576" s="503"/>
      <c r="D576" s="503"/>
      <c r="E576" s="25"/>
      <c r="F576" s="25"/>
      <c r="G576" s="25"/>
      <c r="H576" s="25"/>
      <c r="I576" s="25"/>
      <c r="J576" s="25"/>
      <c r="K576" s="25"/>
      <c r="L576" s="25"/>
      <c r="M576" s="25"/>
      <c r="N576" s="25"/>
      <c r="O576" s="25"/>
      <c r="P576" s="25"/>
      <c r="Q576" s="25"/>
      <c r="R576" s="25"/>
      <c r="S576" s="25"/>
      <c r="T576" s="25"/>
      <c r="U576" s="25"/>
      <c r="V576" s="25"/>
      <c r="W576" s="25"/>
      <c r="X576" s="25"/>
      <c r="Y576" s="25"/>
      <c r="Z576" s="25"/>
    </row>
    <row r="577" ht="15.75" customHeight="1">
      <c r="A577" s="25"/>
      <c r="B577" s="503"/>
      <c r="C577" s="503"/>
      <c r="D577" s="503"/>
      <c r="E577" s="25"/>
      <c r="F577" s="25"/>
      <c r="G577" s="25"/>
      <c r="H577" s="25"/>
      <c r="I577" s="25"/>
      <c r="J577" s="25"/>
      <c r="K577" s="25"/>
      <c r="L577" s="25"/>
      <c r="M577" s="25"/>
      <c r="N577" s="25"/>
      <c r="O577" s="25"/>
      <c r="P577" s="25"/>
      <c r="Q577" s="25"/>
      <c r="R577" s="25"/>
      <c r="S577" s="25"/>
      <c r="T577" s="25"/>
      <c r="U577" s="25"/>
      <c r="V577" s="25"/>
      <c r="W577" s="25"/>
      <c r="X577" s="25"/>
      <c r="Y577" s="25"/>
      <c r="Z577" s="25"/>
    </row>
    <row r="578" ht="15.75" customHeight="1">
      <c r="A578" s="25"/>
      <c r="B578" s="503"/>
      <c r="C578" s="503"/>
      <c r="D578" s="503"/>
      <c r="E578" s="25"/>
      <c r="F578" s="25"/>
      <c r="G578" s="25"/>
      <c r="H578" s="25"/>
      <c r="I578" s="25"/>
      <c r="J578" s="25"/>
      <c r="K578" s="25"/>
      <c r="L578" s="25"/>
      <c r="M578" s="25"/>
      <c r="N578" s="25"/>
      <c r="O578" s="25"/>
      <c r="P578" s="25"/>
      <c r="Q578" s="25"/>
      <c r="R578" s="25"/>
      <c r="S578" s="25"/>
      <c r="T578" s="25"/>
      <c r="U578" s="25"/>
      <c r="V578" s="25"/>
      <c r="W578" s="25"/>
      <c r="X578" s="25"/>
      <c r="Y578" s="25"/>
      <c r="Z578" s="25"/>
    </row>
    <row r="579" ht="15.75" customHeight="1">
      <c r="A579" s="25"/>
      <c r="B579" s="503"/>
      <c r="C579" s="503"/>
      <c r="D579" s="503"/>
      <c r="E579" s="25"/>
      <c r="F579" s="25"/>
      <c r="G579" s="25"/>
      <c r="H579" s="25"/>
      <c r="I579" s="25"/>
      <c r="J579" s="25"/>
      <c r="K579" s="25"/>
      <c r="L579" s="25"/>
      <c r="M579" s="25"/>
      <c r="N579" s="25"/>
      <c r="O579" s="25"/>
      <c r="P579" s="25"/>
      <c r="Q579" s="25"/>
      <c r="R579" s="25"/>
      <c r="S579" s="25"/>
      <c r="T579" s="25"/>
      <c r="U579" s="25"/>
      <c r="V579" s="25"/>
      <c r="W579" s="25"/>
      <c r="X579" s="25"/>
      <c r="Y579" s="25"/>
      <c r="Z579" s="25"/>
    </row>
    <row r="580" ht="15.75" customHeight="1">
      <c r="A580" s="25"/>
      <c r="B580" s="503"/>
      <c r="C580" s="503"/>
      <c r="D580" s="503"/>
      <c r="E580" s="25"/>
      <c r="F580" s="25"/>
      <c r="G580" s="25"/>
      <c r="H580" s="25"/>
      <c r="I580" s="25"/>
      <c r="J580" s="25"/>
      <c r="K580" s="25"/>
      <c r="L580" s="25"/>
      <c r="M580" s="25"/>
      <c r="N580" s="25"/>
      <c r="O580" s="25"/>
      <c r="P580" s="25"/>
      <c r="Q580" s="25"/>
      <c r="R580" s="25"/>
      <c r="S580" s="25"/>
      <c r="T580" s="25"/>
      <c r="U580" s="25"/>
      <c r="V580" s="25"/>
      <c r="W580" s="25"/>
      <c r="X580" s="25"/>
      <c r="Y580" s="25"/>
      <c r="Z580" s="25"/>
    </row>
    <row r="581" ht="15.75" customHeight="1">
      <c r="A581" s="25"/>
      <c r="B581" s="503"/>
      <c r="C581" s="503"/>
      <c r="D581" s="503"/>
      <c r="E581" s="25"/>
      <c r="F581" s="25"/>
      <c r="G581" s="25"/>
      <c r="H581" s="25"/>
      <c r="I581" s="25"/>
      <c r="J581" s="25"/>
      <c r="K581" s="25"/>
      <c r="L581" s="25"/>
      <c r="M581" s="25"/>
      <c r="N581" s="25"/>
      <c r="O581" s="25"/>
      <c r="P581" s="25"/>
      <c r="Q581" s="25"/>
      <c r="R581" s="25"/>
      <c r="S581" s="25"/>
      <c r="T581" s="25"/>
      <c r="U581" s="25"/>
      <c r="V581" s="25"/>
      <c r="W581" s="25"/>
      <c r="X581" s="25"/>
      <c r="Y581" s="25"/>
      <c r="Z581" s="25"/>
    </row>
    <row r="582" ht="15.75" customHeight="1">
      <c r="A582" s="25"/>
      <c r="B582" s="503"/>
      <c r="C582" s="503"/>
      <c r="D582" s="503"/>
      <c r="E582" s="25"/>
      <c r="F582" s="25"/>
      <c r="G582" s="25"/>
      <c r="H582" s="25"/>
      <c r="I582" s="25"/>
      <c r="J582" s="25"/>
      <c r="K582" s="25"/>
      <c r="L582" s="25"/>
      <c r="M582" s="25"/>
      <c r="N582" s="25"/>
      <c r="O582" s="25"/>
      <c r="P582" s="25"/>
      <c r="Q582" s="25"/>
      <c r="R582" s="25"/>
      <c r="S582" s="25"/>
      <c r="T582" s="25"/>
      <c r="U582" s="25"/>
      <c r="V582" s="25"/>
      <c r="W582" s="25"/>
      <c r="X582" s="25"/>
      <c r="Y582" s="25"/>
      <c r="Z582" s="25"/>
    </row>
    <row r="583" ht="15.75" customHeight="1">
      <c r="A583" s="25"/>
      <c r="B583" s="503"/>
      <c r="C583" s="503"/>
      <c r="D583" s="503"/>
      <c r="E583" s="25"/>
      <c r="F583" s="25"/>
      <c r="G583" s="25"/>
      <c r="H583" s="25"/>
      <c r="I583" s="25"/>
      <c r="J583" s="25"/>
      <c r="K583" s="25"/>
      <c r="L583" s="25"/>
      <c r="M583" s="25"/>
      <c r="N583" s="25"/>
      <c r="O583" s="25"/>
      <c r="P583" s="25"/>
      <c r="Q583" s="25"/>
      <c r="R583" s="25"/>
      <c r="S583" s="25"/>
      <c r="T583" s="25"/>
      <c r="U583" s="25"/>
      <c r="V583" s="25"/>
      <c r="W583" s="25"/>
      <c r="X583" s="25"/>
      <c r="Y583" s="25"/>
      <c r="Z583" s="25"/>
    </row>
    <row r="584" ht="15.75" customHeight="1">
      <c r="A584" s="25"/>
      <c r="B584" s="503"/>
      <c r="C584" s="503"/>
      <c r="D584" s="503"/>
      <c r="E584" s="25"/>
      <c r="F584" s="25"/>
      <c r="G584" s="25"/>
      <c r="H584" s="25"/>
      <c r="I584" s="25"/>
      <c r="J584" s="25"/>
      <c r="K584" s="25"/>
      <c r="L584" s="25"/>
      <c r="M584" s="25"/>
      <c r="N584" s="25"/>
      <c r="O584" s="25"/>
      <c r="P584" s="25"/>
      <c r="Q584" s="25"/>
      <c r="R584" s="25"/>
      <c r="S584" s="25"/>
      <c r="T584" s="25"/>
      <c r="U584" s="25"/>
      <c r="V584" s="25"/>
      <c r="W584" s="25"/>
      <c r="X584" s="25"/>
      <c r="Y584" s="25"/>
      <c r="Z584" s="25"/>
    </row>
    <row r="585" ht="15.75" customHeight="1">
      <c r="A585" s="25"/>
      <c r="B585" s="503"/>
      <c r="C585" s="503"/>
      <c r="D585" s="503"/>
      <c r="E585" s="25"/>
      <c r="F585" s="25"/>
      <c r="G585" s="25"/>
      <c r="H585" s="25"/>
      <c r="I585" s="25"/>
      <c r="J585" s="25"/>
      <c r="K585" s="25"/>
      <c r="L585" s="25"/>
      <c r="M585" s="25"/>
      <c r="N585" s="25"/>
      <c r="O585" s="25"/>
      <c r="P585" s="25"/>
      <c r="Q585" s="25"/>
      <c r="R585" s="25"/>
      <c r="S585" s="25"/>
      <c r="T585" s="25"/>
      <c r="U585" s="25"/>
      <c r="V585" s="25"/>
      <c r="W585" s="25"/>
      <c r="X585" s="25"/>
      <c r="Y585" s="25"/>
      <c r="Z585" s="25"/>
    </row>
    <row r="586" ht="15.75" customHeight="1">
      <c r="A586" s="25"/>
      <c r="B586" s="503"/>
      <c r="C586" s="503"/>
      <c r="D586" s="503"/>
      <c r="E586" s="25"/>
      <c r="F586" s="25"/>
      <c r="G586" s="25"/>
      <c r="H586" s="25"/>
      <c r="I586" s="25"/>
      <c r="J586" s="25"/>
      <c r="K586" s="25"/>
      <c r="L586" s="25"/>
      <c r="M586" s="25"/>
      <c r="N586" s="25"/>
      <c r="O586" s="25"/>
      <c r="P586" s="25"/>
      <c r="Q586" s="25"/>
      <c r="R586" s="25"/>
      <c r="S586" s="25"/>
      <c r="T586" s="25"/>
      <c r="U586" s="25"/>
      <c r="V586" s="25"/>
      <c r="W586" s="25"/>
      <c r="X586" s="25"/>
      <c r="Y586" s="25"/>
      <c r="Z586" s="25"/>
    </row>
    <row r="587" ht="15.75" customHeight="1">
      <c r="A587" s="25"/>
      <c r="B587" s="503"/>
      <c r="C587" s="503"/>
      <c r="D587" s="503"/>
      <c r="E587" s="25"/>
      <c r="F587" s="25"/>
      <c r="G587" s="25"/>
      <c r="H587" s="25"/>
      <c r="I587" s="25"/>
      <c r="J587" s="25"/>
      <c r="K587" s="25"/>
      <c r="L587" s="25"/>
      <c r="M587" s="25"/>
      <c r="N587" s="25"/>
      <c r="O587" s="25"/>
      <c r="P587" s="25"/>
      <c r="Q587" s="25"/>
      <c r="R587" s="25"/>
      <c r="S587" s="25"/>
      <c r="T587" s="25"/>
      <c r="U587" s="25"/>
      <c r="V587" s="25"/>
      <c r="W587" s="25"/>
      <c r="X587" s="25"/>
      <c r="Y587" s="25"/>
      <c r="Z587" s="25"/>
    </row>
    <row r="588" ht="15.75" customHeight="1">
      <c r="A588" s="25"/>
      <c r="B588" s="503"/>
      <c r="C588" s="503"/>
      <c r="D588" s="503"/>
      <c r="E588" s="25"/>
      <c r="F588" s="25"/>
      <c r="G588" s="25"/>
      <c r="H588" s="25"/>
      <c r="I588" s="25"/>
      <c r="J588" s="25"/>
      <c r="K588" s="25"/>
      <c r="L588" s="25"/>
      <c r="M588" s="25"/>
      <c r="N588" s="25"/>
      <c r="O588" s="25"/>
      <c r="P588" s="25"/>
      <c r="Q588" s="25"/>
      <c r="R588" s="25"/>
      <c r="S588" s="25"/>
      <c r="T588" s="25"/>
      <c r="U588" s="25"/>
      <c r="V588" s="25"/>
      <c r="W588" s="25"/>
      <c r="X588" s="25"/>
      <c r="Y588" s="25"/>
      <c r="Z588" s="25"/>
    </row>
    <row r="589" ht="15.75" customHeight="1">
      <c r="A589" s="25"/>
      <c r="B589" s="503"/>
      <c r="C589" s="503"/>
      <c r="D589" s="503"/>
      <c r="E589" s="25"/>
      <c r="F589" s="25"/>
      <c r="G589" s="25"/>
      <c r="H589" s="25"/>
      <c r="I589" s="25"/>
      <c r="J589" s="25"/>
      <c r="K589" s="25"/>
      <c r="L589" s="25"/>
      <c r="M589" s="25"/>
      <c r="N589" s="25"/>
      <c r="O589" s="25"/>
      <c r="P589" s="25"/>
      <c r="Q589" s="25"/>
      <c r="R589" s="25"/>
      <c r="S589" s="25"/>
      <c r="T589" s="25"/>
      <c r="U589" s="25"/>
      <c r="V589" s="25"/>
      <c r="W589" s="25"/>
      <c r="X589" s="25"/>
      <c r="Y589" s="25"/>
      <c r="Z589" s="25"/>
    </row>
    <row r="590" ht="15.75" customHeight="1">
      <c r="A590" s="25"/>
      <c r="B590" s="503"/>
      <c r="C590" s="503"/>
      <c r="D590" s="503"/>
      <c r="E590" s="25"/>
      <c r="F590" s="25"/>
      <c r="G590" s="25"/>
      <c r="H590" s="25"/>
      <c r="I590" s="25"/>
      <c r="J590" s="25"/>
      <c r="K590" s="25"/>
      <c r="L590" s="25"/>
      <c r="M590" s="25"/>
      <c r="N590" s="25"/>
      <c r="O590" s="25"/>
      <c r="P590" s="25"/>
      <c r="Q590" s="25"/>
      <c r="R590" s="25"/>
      <c r="S590" s="25"/>
      <c r="T590" s="25"/>
      <c r="U590" s="25"/>
      <c r="V590" s="25"/>
      <c r="W590" s="25"/>
      <c r="X590" s="25"/>
      <c r="Y590" s="25"/>
      <c r="Z590" s="25"/>
    </row>
    <row r="591" ht="15.75" customHeight="1">
      <c r="A591" s="25"/>
      <c r="B591" s="503"/>
      <c r="C591" s="503"/>
      <c r="D591" s="503"/>
      <c r="E591" s="25"/>
      <c r="F591" s="25"/>
      <c r="G591" s="25"/>
      <c r="H591" s="25"/>
      <c r="I591" s="25"/>
      <c r="J591" s="25"/>
      <c r="K591" s="25"/>
      <c r="L591" s="25"/>
      <c r="M591" s="25"/>
      <c r="N591" s="25"/>
      <c r="O591" s="25"/>
      <c r="P591" s="25"/>
      <c r="Q591" s="25"/>
      <c r="R591" s="25"/>
      <c r="S591" s="25"/>
      <c r="T591" s="25"/>
      <c r="U591" s="25"/>
      <c r="V591" s="25"/>
      <c r="W591" s="25"/>
      <c r="X591" s="25"/>
      <c r="Y591" s="25"/>
      <c r="Z591" s="25"/>
    </row>
    <row r="592" ht="15.75" customHeight="1">
      <c r="A592" s="25"/>
      <c r="B592" s="503"/>
      <c r="C592" s="503"/>
      <c r="D592" s="503"/>
      <c r="E592" s="25"/>
      <c r="F592" s="25"/>
      <c r="G592" s="25"/>
      <c r="H592" s="25"/>
      <c r="I592" s="25"/>
      <c r="J592" s="25"/>
      <c r="K592" s="25"/>
      <c r="L592" s="25"/>
      <c r="M592" s="25"/>
      <c r="N592" s="25"/>
      <c r="O592" s="25"/>
      <c r="P592" s="25"/>
      <c r="Q592" s="25"/>
      <c r="R592" s="25"/>
      <c r="S592" s="25"/>
      <c r="T592" s="25"/>
      <c r="U592" s="25"/>
      <c r="V592" s="25"/>
      <c r="W592" s="25"/>
      <c r="X592" s="25"/>
      <c r="Y592" s="25"/>
      <c r="Z592" s="25"/>
    </row>
    <row r="593" ht="15.75" customHeight="1">
      <c r="A593" s="25"/>
      <c r="B593" s="503"/>
      <c r="C593" s="503"/>
      <c r="D593" s="503"/>
      <c r="E593" s="25"/>
      <c r="F593" s="25"/>
      <c r="G593" s="25"/>
      <c r="H593" s="25"/>
      <c r="I593" s="25"/>
      <c r="J593" s="25"/>
      <c r="K593" s="25"/>
      <c r="L593" s="25"/>
      <c r="M593" s="25"/>
      <c r="N593" s="25"/>
      <c r="O593" s="25"/>
      <c r="P593" s="25"/>
      <c r="Q593" s="25"/>
      <c r="R593" s="25"/>
      <c r="S593" s="25"/>
      <c r="T593" s="25"/>
      <c r="U593" s="25"/>
      <c r="V593" s="25"/>
      <c r="W593" s="25"/>
      <c r="X593" s="25"/>
      <c r="Y593" s="25"/>
      <c r="Z593" s="25"/>
    </row>
    <row r="594" ht="15.75" customHeight="1">
      <c r="A594" s="25"/>
      <c r="B594" s="503"/>
      <c r="C594" s="503"/>
      <c r="D594" s="503"/>
      <c r="E594" s="25"/>
      <c r="F594" s="25"/>
      <c r="G594" s="25"/>
      <c r="H594" s="25"/>
      <c r="I594" s="25"/>
      <c r="J594" s="25"/>
      <c r="K594" s="25"/>
      <c r="L594" s="25"/>
      <c r="M594" s="25"/>
      <c r="N594" s="25"/>
      <c r="O594" s="25"/>
      <c r="P594" s="25"/>
      <c r="Q594" s="25"/>
      <c r="R594" s="25"/>
      <c r="S594" s="25"/>
      <c r="T594" s="25"/>
      <c r="U594" s="25"/>
      <c r="V594" s="25"/>
      <c r="W594" s="25"/>
      <c r="X594" s="25"/>
      <c r="Y594" s="25"/>
      <c r="Z594" s="25"/>
    </row>
    <row r="595" ht="15.75" customHeight="1">
      <c r="A595" s="25"/>
      <c r="B595" s="503"/>
      <c r="C595" s="503"/>
      <c r="D595" s="503"/>
      <c r="E595" s="25"/>
      <c r="F595" s="25"/>
      <c r="G595" s="25"/>
      <c r="H595" s="25"/>
      <c r="I595" s="25"/>
      <c r="J595" s="25"/>
      <c r="K595" s="25"/>
      <c r="L595" s="25"/>
      <c r="M595" s="25"/>
      <c r="N595" s="25"/>
      <c r="O595" s="25"/>
      <c r="P595" s="25"/>
      <c r="Q595" s="25"/>
      <c r="R595" s="25"/>
      <c r="S595" s="25"/>
      <c r="T595" s="25"/>
      <c r="U595" s="25"/>
      <c r="V595" s="25"/>
      <c r="W595" s="25"/>
      <c r="X595" s="25"/>
      <c r="Y595" s="25"/>
      <c r="Z595" s="25"/>
    </row>
    <row r="596" ht="15.75" customHeight="1">
      <c r="A596" s="25"/>
      <c r="B596" s="503"/>
      <c r="C596" s="503"/>
      <c r="D596" s="503"/>
      <c r="E596" s="25"/>
      <c r="F596" s="25"/>
      <c r="G596" s="25"/>
      <c r="H596" s="25"/>
      <c r="I596" s="25"/>
      <c r="J596" s="25"/>
      <c r="K596" s="25"/>
      <c r="L596" s="25"/>
      <c r="M596" s="25"/>
      <c r="N596" s="25"/>
      <c r="O596" s="25"/>
      <c r="P596" s="25"/>
      <c r="Q596" s="25"/>
      <c r="R596" s="25"/>
      <c r="S596" s="25"/>
      <c r="T596" s="25"/>
      <c r="U596" s="25"/>
      <c r="V596" s="25"/>
      <c r="W596" s="25"/>
      <c r="X596" s="25"/>
      <c r="Y596" s="25"/>
      <c r="Z596" s="25"/>
    </row>
    <row r="597" ht="15.75" customHeight="1">
      <c r="A597" s="25"/>
      <c r="B597" s="503"/>
      <c r="C597" s="503"/>
      <c r="D597" s="503"/>
      <c r="E597" s="25"/>
      <c r="F597" s="25"/>
      <c r="G597" s="25"/>
      <c r="H597" s="25"/>
      <c r="I597" s="25"/>
      <c r="J597" s="25"/>
      <c r="K597" s="25"/>
      <c r="L597" s="25"/>
      <c r="M597" s="25"/>
      <c r="N597" s="25"/>
      <c r="O597" s="25"/>
      <c r="P597" s="25"/>
      <c r="Q597" s="25"/>
      <c r="R597" s="25"/>
      <c r="S597" s="25"/>
      <c r="T597" s="25"/>
      <c r="U597" s="25"/>
      <c r="V597" s="25"/>
      <c r="W597" s="25"/>
      <c r="X597" s="25"/>
      <c r="Y597" s="25"/>
      <c r="Z597" s="25"/>
    </row>
    <row r="598" ht="15.75" customHeight="1">
      <c r="A598" s="25"/>
      <c r="B598" s="503"/>
      <c r="C598" s="503"/>
      <c r="D598" s="503"/>
      <c r="E598" s="25"/>
      <c r="F598" s="25"/>
      <c r="G598" s="25"/>
      <c r="H598" s="25"/>
      <c r="I598" s="25"/>
      <c r="J598" s="25"/>
      <c r="K598" s="25"/>
      <c r="L598" s="25"/>
      <c r="M598" s="25"/>
      <c r="N598" s="25"/>
      <c r="O598" s="25"/>
      <c r="P598" s="25"/>
      <c r="Q598" s="25"/>
      <c r="R598" s="25"/>
      <c r="S598" s="25"/>
      <c r="T598" s="25"/>
      <c r="U598" s="25"/>
      <c r="V598" s="25"/>
      <c r="W598" s="25"/>
      <c r="X598" s="25"/>
      <c r="Y598" s="25"/>
      <c r="Z598" s="25"/>
    </row>
    <row r="599" ht="15.75" customHeight="1">
      <c r="A599" s="25"/>
      <c r="B599" s="503"/>
      <c r="C599" s="503"/>
      <c r="D599" s="503"/>
      <c r="E599" s="25"/>
      <c r="F599" s="25"/>
      <c r="G599" s="25"/>
      <c r="H599" s="25"/>
      <c r="I599" s="25"/>
      <c r="J599" s="25"/>
      <c r="K599" s="25"/>
      <c r="L599" s="25"/>
      <c r="M599" s="25"/>
      <c r="N599" s="25"/>
      <c r="O599" s="25"/>
      <c r="P599" s="25"/>
      <c r="Q599" s="25"/>
      <c r="R599" s="25"/>
      <c r="S599" s="25"/>
      <c r="T599" s="25"/>
      <c r="U599" s="25"/>
      <c r="V599" s="25"/>
      <c r="W599" s="25"/>
      <c r="X599" s="25"/>
      <c r="Y599" s="25"/>
      <c r="Z599" s="25"/>
    </row>
    <row r="600" ht="15.75" customHeight="1">
      <c r="A600" s="25"/>
      <c r="B600" s="503"/>
      <c r="C600" s="503"/>
      <c r="D600" s="503"/>
      <c r="E600" s="25"/>
      <c r="F600" s="25"/>
      <c r="G600" s="25"/>
      <c r="H600" s="25"/>
      <c r="I600" s="25"/>
      <c r="J600" s="25"/>
      <c r="K600" s="25"/>
      <c r="L600" s="25"/>
      <c r="M600" s="25"/>
      <c r="N600" s="25"/>
      <c r="O600" s="25"/>
      <c r="P600" s="25"/>
      <c r="Q600" s="25"/>
      <c r="R600" s="25"/>
      <c r="S600" s="25"/>
      <c r="T600" s="25"/>
      <c r="U600" s="25"/>
      <c r="V600" s="25"/>
      <c r="W600" s="25"/>
      <c r="X600" s="25"/>
      <c r="Y600" s="25"/>
      <c r="Z600" s="25"/>
    </row>
    <row r="601" ht="15.75" customHeight="1">
      <c r="A601" s="25"/>
      <c r="B601" s="503"/>
      <c r="C601" s="503"/>
      <c r="D601" s="503"/>
      <c r="E601" s="25"/>
      <c r="F601" s="25"/>
      <c r="G601" s="25"/>
      <c r="H601" s="25"/>
      <c r="I601" s="25"/>
      <c r="J601" s="25"/>
      <c r="K601" s="25"/>
      <c r="L601" s="25"/>
      <c r="M601" s="25"/>
      <c r="N601" s="25"/>
      <c r="O601" s="25"/>
      <c r="P601" s="25"/>
      <c r="Q601" s="25"/>
      <c r="R601" s="25"/>
      <c r="S601" s="25"/>
      <c r="T601" s="25"/>
      <c r="U601" s="25"/>
      <c r="V601" s="25"/>
      <c r="W601" s="25"/>
      <c r="X601" s="25"/>
      <c r="Y601" s="25"/>
      <c r="Z601" s="25"/>
    </row>
    <row r="602" ht="15.75" customHeight="1">
      <c r="A602" s="25"/>
      <c r="B602" s="503"/>
      <c r="C602" s="503"/>
      <c r="D602" s="503"/>
      <c r="E602" s="25"/>
      <c r="F602" s="25"/>
      <c r="G602" s="25"/>
      <c r="H602" s="25"/>
      <c r="I602" s="25"/>
      <c r="J602" s="25"/>
      <c r="K602" s="25"/>
      <c r="L602" s="25"/>
      <c r="M602" s="25"/>
      <c r="N602" s="25"/>
      <c r="O602" s="25"/>
      <c r="P602" s="25"/>
      <c r="Q602" s="25"/>
      <c r="R602" s="25"/>
      <c r="S602" s="25"/>
      <c r="T602" s="25"/>
      <c r="U602" s="25"/>
      <c r="V602" s="25"/>
      <c r="W602" s="25"/>
      <c r="X602" s="25"/>
      <c r="Y602" s="25"/>
      <c r="Z602" s="25"/>
    </row>
    <row r="603" ht="15.75" customHeight="1">
      <c r="A603" s="25"/>
      <c r="B603" s="503"/>
      <c r="C603" s="503"/>
      <c r="D603" s="503"/>
      <c r="E603" s="25"/>
      <c r="F603" s="25"/>
      <c r="G603" s="25"/>
      <c r="H603" s="25"/>
      <c r="I603" s="25"/>
      <c r="J603" s="25"/>
      <c r="K603" s="25"/>
      <c r="L603" s="25"/>
      <c r="M603" s="25"/>
      <c r="N603" s="25"/>
      <c r="O603" s="25"/>
      <c r="P603" s="25"/>
      <c r="Q603" s="25"/>
      <c r="R603" s="25"/>
      <c r="S603" s="25"/>
      <c r="T603" s="25"/>
      <c r="U603" s="25"/>
      <c r="V603" s="25"/>
      <c r="W603" s="25"/>
      <c r="X603" s="25"/>
      <c r="Y603" s="25"/>
      <c r="Z603" s="25"/>
    </row>
    <row r="604" ht="15.75" customHeight="1">
      <c r="A604" s="25"/>
      <c r="B604" s="503"/>
      <c r="C604" s="503"/>
      <c r="D604" s="503"/>
      <c r="E604" s="25"/>
      <c r="F604" s="25"/>
      <c r="G604" s="25"/>
      <c r="H604" s="25"/>
      <c r="I604" s="25"/>
      <c r="J604" s="25"/>
      <c r="K604" s="25"/>
      <c r="L604" s="25"/>
      <c r="M604" s="25"/>
      <c r="N604" s="25"/>
      <c r="O604" s="25"/>
      <c r="P604" s="25"/>
      <c r="Q604" s="25"/>
      <c r="R604" s="25"/>
      <c r="S604" s="25"/>
      <c r="T604" s="25"/>
      <c r="U604" s="25"/>
      <c r="V604" s="25"/>
      <c r="W604" s="25"/>
      <c r="X604" s="25"/>
      <c r="Y604" s="25"/>
      <c r="Z604" s="25"/>
    </row>
    <row r="605" ht="15.75" customHeight="1">
      <c r="A605" s="25"/>
      <c r="B605" s="503"/>
      <c r="C605" s="503"/>
      <c r="D605" s="503"/>
      <c r="E605" s="25"/>
      <c r="F605" s="25"/>
      <c r="G605" s="25"/>
      <c r="H605" s="25"/>
      <c r="I605" s="25"/>
      <c r="J605" s="25"/>
      <c r="K605" s="25"/>
      <c r="L605" s="25"/>
      <c r="M605" s="25"/>
      <c r="N605" s="25"/>
      <c r="O605" s="25"/>
      <c r="P605" s="25"/>
      <c r="Q605" s="25"/>
      <c r="R605" s="25"/>
      <c r="S605" s="25"/>
      <c r="T605" s="25"/>
      <c r="U605" s="25"/>
      <c r="V605" s="25"/>
      <c r="W605" s="25"/>
      <c r="X605" s="25"/>
      <c r="Y605" s="25"/>
      <c r="Z605" s="25"/>
    </row>
    <row r="606" ht="15.75" customHeight="1">
      <c r="A606" s="25"/>
      <c r="B606" s="503"/>
      <c r="C606" s="503"/>
      <c r="D606" s="503"/>
      <c r="E606" s="25"/>
      <c r="F606" s="25"/>
      <c r="G606" s="25"/>
      <c r="H606" s="25"/>
      <c r="I606" s="25"/>
      <c r="J606" s="25"/>
      <c r="K606" s="25"/>
      <c r="L606" s="25"/>
      <c r="M606" s="25"/>
      <c r="N606" s="25"/>
      <c r="O606" s="25"/>
      <c r="P606" s="25"/>
      <c r="Q606" s="25"/>
      <c r="R606" s="25"/>
      <c r="S606" s="25"/>
      <c r="T606" s="25"/>
      <c r="U606" s="25"/>
      <c r="V606" s="25"/>
      <c r="W606" s="25"/>
      <c r="X606" s="25"/>
      <c r="Y606" s="25"/>
      <c r="Z606" s="25"/>
    </row>
    <row r="607" ht="15.75" customHeight="1">
      <c r="A607" s="25"/>
      <c r="B607" s="503"/>
      <c r="C607" s="503"/>
      <c r="D607" s="503"/>
      <c r="E607" s="25"/>
      <c r="F607" s="25"/>
      <c r="G607" s="25"/>
      <c r="H607" s="25"/>
      <c r="I607" s="25"/>
      <c r="J607" s="25"/>
      <c r="K607" s="25"/>
      <c r="L607" s="25"/>
      <c r="M607" s="25"/>
      <c r="N607" s="25"/>
      <c r="O607" s="25"/>
      <c r="P607" s="25"/>
      <c r="Q607" s="25"/>
      <c r="R607" s="25"/>
      <c r="S607" s="25"/>
      <c r="T607" s="25"/>
      <c r="U607" s="25"/>
      <c r="V607" s="25"/>
      <c r="W607" s="25"/>
      <c r="X607" s="25"/>
      <c r="Y607" s="25"/>
      <c r="Z607" s="25"/>
    </row>
    <row r="608" ht="15.75" customHeight="1">
      <c r="A608" s="25"/>
      <c r="B608" s="503"/>
      <c r="C608" s="503"/>
      <c r="D608" s="503"/>
      <c r="E608" s="25"/>
      <c r="F608" s="25"/>
      <c r="G608" s="25"/>
      <c r="H608" s="25"/>
      <c r="I608" s="25"/>
      <c r="J608" s="25"/>
      <c r="K608" s="25"/>
      <c r="L608" s="25"/>
      <c r="M608" s="25"/>
      <c r="N608" s="25"/>
      <c r="O608" s="25"/>
      <c r="P608" s="25"/>
      <c r="Q608" s="25"/>
      <c r="R608" s="25"/>
      <c r="S608" s="25"/>
      <c r="T608" s="25"/>
      <c r="U608" s="25"/>
      <c r="V608" s="25"/>
      <c r="W608" s="25"/>
      <c r="X608" s="25"/>
      <c r="Y608" s="25"/>
      <c r="Z608" s="25"/>
    </row>
    <row r="609" ht="15.75" customHeight="1">
      <c r="A609" s="25"/>
      <c r="B609" s="503"/>
      <c r="C609" s="503"/>
      <c r="D609" s="503"/>
      <c r="E609" s="25"/>
      <c r="F609" s="25"/>
      <c r="G609" s="25"/>
      <c r="H609" s="25"/>
      <c r="I609" s="25"/>
      <c r="J609" s="25"/>
      <c r="K609" s="25"/>
      <c r="L609" s="25"/>
      <c r="M609" s="25"/>
      <c r="N609" s="25"/>
      <c r="O609" s="25"/>
      <c r="P609" s="25"/>
      <c r="Q609" s="25"/>
      <c r="R609" s="25"/>
      <c r="S609" s="25"/>
      <c r="T609" s="25"/>
      <c r="U609" s="25"/>
      <c r="V609" s="25"/>
      <c r="W609" s="25"/>
      <c r="X609" s="25"/>
      <c r="Y609" s="25"/>
      <c r="Z609" s="25"/>
    </row>
    <row r="610" ht="15.75" customHeight="1">
      <c r="A610" s="25"/>
      <c r="B610" s="503"/>
      <c r="C610" s="503"/>
      <c r="D610" s="503"/>
      <c r="E610" s="25"/>
      <c r="F610" s="25"/>
      <c r="G610" s="25"/>
      <c r="H610" s="25"/>
      <c r="I610" s="25"/>
      <c r="J610" s="25"/>
      <c r="K610" s="25"/>
      <c r="L610" s="25"/>
      <c r="M610" s="25"/>
      <c r="N610" s="25"/>
      <c r="O610" s="25"/>
      <c r="P610" s="25"/>
      <c r="Q610" s="25"/>
      <c r="R610" s="25"/>
      <c r="S610" s="25"/>
      <c r="T610" s="25"/>
      <c r="U610" s="25"/>
      <c r="V610" s="25"/>
      <c r="W610" s="25"/>
      <c r="X610" s="25"/>
      <c r="Y610" s="25"/>
      <c r="Z610" s="25"/>
    </row>
    <row r="611" ht="15.75" customHeight="1">
      <c r="A611" s="25"/>
      <c r="B611" s="503"/>
      <c r="C611" s="503"/>
      <c r="D611" s="503"/>
      <c r="E611" s="25"/>
      <c r="F611" s="25"/>
      <c r="G611" s="25"/>
      <c r="H611" s="25"/>
      <c r="I611" s="25"/>
      <c r="J611" s="25"/>
      <c r="K611" s="25"/>
      <c r="L611" s="25"/>
      <c r="M611" s="25"/>
      <c r="N611" s="25"/>
      <c r="O611" s="25"/>
      <c r="P611" s="25"/>
      <c r="Q611" s="25"/>
      <c r="R611" s="25"/>
      <c r="S611" s="25"/>
      <c r="T611" s="25"/>
      <c r="U611" s="25"/>
      <c r="V611" s="25"/>
      <c r="W611" s="25"/>
      <c r="X611" s="25"/>
      <c r="Y611" s="25"/>
      <c r="Z611" s="25"/>
    </row>
    <row r="612" ht="15.75" customHeight="1">
      <c r="A612" s="25"/>
      <c r="B612" s="503"/>
      <c r="C612" s="503"/>
      <c r="D612" s="503"/>
      <c r="E612" s="25"/>
      <c r="F612" s="25"/>
      <c r="G612" s="25"/>
      <c r="H612" s="25"/>
      <c r="I612" s="25"/>
      <c r="J612" s="25"/>
      <c r="K612" s="25"/>
      <c r="L612" s="25"/>
      <c r="M612" s="25"/>
      <c r="N612" s="25"/>
      <c r="O612" s="25"/>
      <c r="P612" s="25"/>
      <c r="Q612" s="25"/>
      <c r="R612" s="25"/>
      <c r="S612" s="25"/>
      <c r="T612" s="25"/>
      <c r="U612" s="25"/>
      <c r="V612" s="25"/>
      <c r="W612" s="25"/>
      <c r="X612" s="25"/>
      <c r="Y612" s="25"/>
      <c r="Z612" s="25"/>
    </row>
    <row r="613" ht="15.75" customHeight="1">
      <c r="A613" s="25"/>
      <c r="B613" s="503"/>
      <c r="C613" s="503"/>
      <c r="D613" s="503"/>
      <c r="E613" s="25"/>
      <c r="F613" s="25"/>
      <c r="G613" s="25"/>
      <c r="H613" s="25"/>
      <c r="I613" s="25"/>
      <c r="J613" s="25"/>
      <c r="K613" s="25"/>
      <c r="L613" s="25"/>
      <c r="M613" s="25"/>
      <c r="N613" s="25"/>
      <c r="O613" s="25"/>
      <c r="P613" s="25"/>
      <c r="Q613" s="25"/>
      <c r="R613" s="25"/>
      <c r="S613" s="25"/>
      <c r="T613" s="25"/>
      <c r="U613" s="25"/>
      <c r="V613" s="25"/>
      <c r="W613" s="25"/>
      <c r="X613" s="25"/>
      <c r="Y613" s="25"/>
      <c r="Z613" s="25"/>
    </row>
    <row r="614" ht="15.75" customHeight="1">
      <c r="A614" s="25"/>
      <c r="B614" s="503"/>
      <c r="C614" s="503"/>
      <c r="D614" s="503"/>
      <c r="E614" s="25"/>
      <c r="F614" s="25"/>
      <c r="G614" s="25"/>
      <c r="H614" s="25"/>
      <c r="I614" s="25"/>
      <c r="J614" s="25"/>
      <c r="K614" s="25"/>
      <c r="L614" s="25"/>
      <c r="M614" s="25"/>
      <c r="N614" s="25"/>
      <c r="O614" s="25"/>
      <c r="P614" s="25"/>
      <c r="Q614" s="25"/>
      <c r="R614" s="25"/>
      <c r="S614" s="25"/>
      <c r="T614" s="25"/>
      <c r="U614" s="25"/>
      <c r="V614" s="25"/>
      <c r="W614" s="25"/>
      <c r="X614" s="25"/>
      <c r="Y614" s="25"/>
      <c r="Z614" s="25"/>
    </row>
    <row r="615" ht="15.75" customHeight="1">
      <c r="A615" s="25"/>
      <c r="B615" s="503"/>
      <c r="C615" s="503"/>
      <c r="D615" s="503"/>
      <c r="E615" s="25"/>
      <c r="F615" s="25"/>
      <c r="G615" s="25"/>
      <c r="H615" s="25"/>
      <c r="I615" s="25"/>
      <c r="J615" s="25"/>
      <c r="K615" s="25"/>
      <c r="L615" s="25"/>
      <c r="M615" s="25"/>
      <c r="N615" s="25"/>
      <c r="O615" s="25"/>
      <c r="P615" s="25"/>
      <c r="Q615" s="25"/>
      <c r="R615" s="25"/>
      <c r="S615" s="25"/>
      <c r="T615" s="25"/>
      <c r="U615" s="25"/>
      <c r="V615" s="25"/>
      <c r="W615" s="25"/>
      <c r="X615" s="25"/>
      <c r="Y615" s="25"/>
      <c r="Z615" s="25"/>
    </row>
    <row r="616" ht="15.75" customHeight="1">
      <c r="A616" s="25"/>
      <c r="B616" s="503"/>
      <c r="C616" s="503"/>
      <c r="D616" s="503"/>
      <c r="E616" s="25"/>
      <c r="F616" s="25"/>
      <c r="G616" s="25"/>
      <c r="H616" s="25"/>
      <c r="I616" s="25"/>
      <c r="J616" s="25"/>
      <c r="K616" s="25"/>
      <c r="L616" s="25"/>
      <c r="M616" s="25"/>
      <c r="N616" s="25"/>
      <c r="O616" s="25"/>
      <c r="P616" s="25"/>
      <c r="Q616" s="25"/>
      <c r="R616" s="25"/>
      <c r="S616" s="25"/>
      <c r="T616" s="25"/>
      <c r="U616" s="25"/>
      <c r="V616" s="25"/>
      <c r="W616" s="25"/>
      <c r="X616" s="25"/>
      <c r="Y616" s="25"/>
      <c r="Z616" s="25"/>
    </row>
    <row r="617" ht="15.75" customHeight="1">
      <c r="A617" s="25"/>
      <c r="B617" s="503"/>
      <c r="C617" s="503"/>
      <c r="D617" s="503"/>
      <c r="E617" s="25"/>
      <c r="F617" s="25"/>
      <c r="G617" s="25"/>
      <c r="H617" s="25"/>
      <c r="I617" s="25"/>
      <c r="J617" s="25"/>
      <c r="K617" s="25"/>
      <c r="L617" s="25"/>
      <c r="M617" s="25"/>
      <c r="N617" s="25"/>
      <c r="O617" s="25"/>
      <c r="P617" s="25"/>
      <c r="Q617" s="25"/>
      <c r="R617" s="25"/>
      <c r="S617" s="25"/>
      <c r="T617" s="25"/>
      <c r="U617" s="25"/>
      <c r="V617" s="25"/>
      <c r="W617" s="25"/>
      <c r="X617" s="25"/>
      <c r="Y617" s="25"/>
      <c r="Z617" s="25"/>
    </row>
    <row r="618" ht="15.75" customHeight="1">
      <c r="A618" s="25"/>
      <c r="B618" s="503"/>
      <c r="C618" s="503"/>
      <c r="D618" s="503"/>
      <c r="E618" s="25"/>
      <c r="F618" s="25"/>
      <c r="G618" s="25"/>
      <c r="H618" s="25"/>
      <c r="I618" s="25"/>
      <c r="J618" s="25"/>
      <c r="K618" s="25"/>
      <c r="L618" s="25"/>
      <c r="M618" s="25"/>
      <c r="N618" s="25"/>
      <c r="O618" s="25"/>
      <c r="P618" s="25"/>
      <c r="Q618" s="25"/>
      <c r="R618" s="25"/>
      <c r="S618" s="25"/>
      <c r="T618" s="25"/>
      <c r="U618" s="25"/>
      <c r="V618" s="25"/>
      <c r="W618" s="25"/>
      <c r="X618" s="25"/>
      <c r="Y618" s="25"/>
      <c r="Z618" s="25"/>
    </row>
    <row r="619" ht="15.75" customHeight="1">
      <c r="A619" s="25"/>
      <c r="B619" s="503"/>
      <c r="C619" s="503"/>
      <c r="D619" s="503"/>
      <c r="E619" s="25"/>
      <c r="F619" s="25"/>
      <c r="G619" s="25"/>
      <c r="H619" s="25"/>
      <c r="I619" s="25"/>
      <c r="J619" s="25"/>
      <c r="K619" s="25"/>
      <c r="L619" s="25"/>
      <c r="M619" s="25"/>
      <c r="N619" s="25"/>
      <c r="O619" s="25"/>
      <c r="P619" s="25"/>
      <c r="Q619" s="25"/>
      <c r="R619" s="25"/>
      <c r="S619" s="25"/>
      <c r="T619" s="25"/>
      <c r="U619" s="25"/>
      <c r="V619" s="25"/>
      <c r="W619" s="25"/>
      <c r="X619" s="25"/>
      <c r="Y619" s="25"/>
      <c r="Z619" s="25"/>
    </row>
    <row r="620" ht="15.75" customHeight="1">
      <c r="A620" s="25"/>
      <c r="B620" s="503"/>
      <c r="C620" s="503"/>
      <c r="D620" s="503"/>
      <c r="E620" s="25"/>
      <c r="F620" s="25"/>
      <c r="G620" s="25"/>
      <c r="H620" s="25"/>
      <c r="I620" s="25"/>
      <c r="J620" s="25"/>
      <c r="K620" s="25"/>
      <c r="L620" s="25"/>
      <c r="M620" s="25"/>
      <c r="N620" s="25"/>
      <c r="O620" s="25"/>
      <c r="P620" s="25"/>
      <c r="Q620" s="25"/>
      <c r="R620" s="25"/>
      <c r="S620" s="25"/>
      <c r="T620" s="25"/>
      <c r="U620" s="25"/>
      <c r="V620" s="25"/>
      <c r="W620" s="25"/>
      <c r="X620" s="25"/>
      <c r="Y620" s="25"/>
      <c r="Z620" s="25"/>
    </row>
    <row r="621" ht="15.75" customHeight="1">
      <c r="A621" s="25"/>
      <c r="B621" s="503"/>
      <c r="C621" s="503"/>
      <c r="D621" s="503"/>
      <c r="E621" s="25"/>
      <c r="F621" s="25"/>
      <c r="G621" s="25"/>
      <c r="H621" s="25"/>
      <c r="I621" s="25"/>
      <c r="J621" s="25"/>
      <c r="K621" s="25"/>
      <c r="L621" s="25"/>
      <c r="M621" s="25"/>
      <c r="N621" s="25"/>
      <c r="O621" s="25"/>
      <c r="P621" s="25"/>
      <c r="Q621" s="25"/>
      <c r="R621" s="25"/>
      <c r="S621" s="25"/>
      <c r="T621" s="25"/>
      <c r="U621" s="25"/>
      <c r="V621" s="25"/>
      <c r="W621" s="25"/>
      <c r="X621" s="25"/>
      <c r="Y621" s="25"/>
      <c r="Z621" s="25"/>
    </row>
    <row r="622" ht="15.75" customHeight="1">
      <c r="A622" s="25"/>
      <c r="B622" s="503"/>
      <c r="C622" s="503"/>
      <c r="D622" s="503"/>
      <c r="E622" s="25"/>
      <c r="F622" s="25"/>
      <c r="G622" s="25"/>
      <c r="H622" s="25"/>
      <c r="I622" s="25"/>
      <c r="J622" s="25"/>
      <c r="K622" s="25"/>
      <c r="L622" s="25"/>
      <c r="M622" s="25"/>
      <c r="N622" s="25"/>
      <c r="O622" s="25"/>
      <c r="P622" s="25"/>
      <c r="Q622" s="25"/>
      <c r="R622" s="25"/>
      <c r="S622" s="25"/>
      <c r="T622" s="25"/>
      <c r="U622" s="25"/>
      <c r="V622" s="25"/>
      <c r="W622" s="25"/>
      <c r="X622" s="25"/>
      <c r="Y622" s="25"/>
      <c r="Z622" s="25"/>
    </row>
    <row r="623" ht="15.75" customHeight="1">
      <c r="A623" s="25"/>
      <c r="B623" s="503"/>
      <c r="C623" s="503"/>
      <c r="D623" s="503"/>
      <c r="E623" s="25"/>
      <c r="F623" s="25"/>
      <c r="G623" s="25"/>
      <c r="H623" s="25"/>
      <c r="I623" s="25"/>
      <c r="J623" s="25"/>
      <c r="K623" s="25"/>
      <c r="L623" s="25"/>
      <c r="M623" s="25"/>
      <c r="N623" s="25"/>
      <c r="O623" s="25"/>
      <c r="P623" s="25"/>
      <c r="Q623" s="25"/>
      <c r="R623" s="25"/>
      <c r="S623" s="25"/>
      <c r="T623" s="25"/>
      <c r="U623" s="25"/>
      <c r="V623" s="25"/>
      <c r="W623" s="25"/>
      <c r="X623" s="25"/>
      <c r="Y623" s="25"/>
      <c r="Z623" s="25"/>
    </row>
    <row r="624" ht="15.75" customHeight="1">
      <c r="A624" s="25"/>
      <c r="B624" s="503"/>
      <c r="C624" s="503"/>
      <c r="D624" s="503"/>
      <c r="E624" s="25"/>
      <c r="F624" s="25"/>
      <c r="G624" s="25"/>
      <c r="H624" s="25"/>
      <c r="I624" s="25"/>
      <c r="J624" s="25"/>
      <c r="K624" s="25"/>
      <c r="L624" s="25"/>
      <c r="M624" s="25"/>
      <c r="N624" s="25"/>
      <c r="O624" s="25"/>
      <c r="P624" s="25"/>
      <c r="Q624" s="25"/>
      <c r="R624" s="25"/>
      <c r="S624" s="25"/>
      <c r="T624" s="25"/>
      <c r="U624" s="25"/>
      <c r="V624" s="25"/>
      <c r="W624" s="25"/>
      <c r="X624" s="25"/>
      <c r="Y624" s="25"/>
      <c r="Z624" s="25"/>
    </row>
    <row r="625" ht="15.75" customHeight="1">
      <c r="A625" s="25"/>
      <c r="B625" s="503"/>
      <c r="C625" s="503"/>
      <c r="D625" s="503"/>
      <c r="E625" s="25"/>
      <c r="F625" s="25"/>
      <c r="G625" s="25"/>
      <c r="H625" s="25"/>
      <c r="I625" s="25"/>
      <c r="J625" s="25"/>
      <c r="K625" s="25"/>
      <c r="L625" s="25"/>
      <c r="M625" s="25"/>
      <c r="N625" s="25"/>
      <c r="O625" s="25"/>
      <c r="P625" s="25"/>
      <c r="Q625" s="25"/>
      <c r="R625" s="25"/>
      <c r="S625" s="25"/>
      <c r="T625" s="25"/>
      <c r="U625" s="25"/>
      <c r="V625" s="25"/>
      <c r="W625" s="25"/>
      <c r="X625" s="25"/>
      <c r="Y625" s="25"/>
      <c r="Z625" s="25"/>
    </row>
    <row r="626" ht="15.75" customHeight="1">
      <c r="A626" s="25"/>
      <c r="B626" s="503"/>
      <c r="C626" s="503"/>
      <c r="D626" s="503"/>
      <c r="E626" s="25"/>
      <c r="F626" s="25"/>
      <c r="G626" s="25"/>
      <c r="H626" s="25"/>
      <c r="I626" s="25"/>
      <c r="J626" s="25"/>
      <c r="K626" s="25"/>
      <c r="L626" s="25"/>
      <c r="M626" s="25"/>
      <c r="N626" s="25"/>
      <c r="O626" s="25"/>
      <c r="P626" s="25"/>
      <c r="Q626" s="25"/>
      <c r="R626" s="25"/>
      <c r="S626" s="25"/>
      <c r="T626" s="25"/>
      <c r="U626" s="25"/>
      <c r="V626" s="25"/>
      <c r="W626" s="25"/>
      <c r="X626" s="25"/>
      <c r="Y626" s="25"/>
      <c r="Z626" s="25"/>
    </row>
    <row r="627" ht="15.75" customHeight="1">
      <c r="A627" s="25"/>
      <c r="B627" s="503"/>
      <c r="C627" s="503"/>
      <c r="D627" s="503"/>
      <c r="E627" s="25"/>
      <c r="F627" s="25"/>
      <c r="G627" s="25"/>
      <c r="H627" s="25"/>
      <c r="I627" s="25"/>
      <c r="J627" s="25"/>
      <c r="K627" s="25"/>
      <c r="L627" s="25"/>
      <c r="M627" s="25"/>
      <c r="N627" s="25"/>
      <c r="O627" s="25"/>
      <c r="P627" s="25"/>
      <c r="Q627" s="25"/>
      <c r="R627" s="25"/>
      <c r="S627" s="25"/>
      <c r="T627" s="25"/>
      <c r="U627" s="25"/>
      <c r="V627" s="25"/>
      <c r="W627" s="25"/>
      <c r="X627" s="25"/>
      <c r="Y627" s="25"/>
      <c r="Z627" s="25"/>
    </row>
    <row r="628" ht="15.75" customHeight="1">
      <c r="A628" s="25"/>
      <c r="B628" s="503"/>
      <c r="C628" s="503"/>
      <c r="D628" s="503"/>
      <c r="E628" s="25"/>
      <c r="F628" s="25"/>
      <c r="G628" s="25"/>
      <c r="H628" s="25"/>
      <c r="I628" s="25"/>
      <c r="J628" s="25"/>
      <c r="K628" s="25"/>
      <c r="L628" s="25"/>
      <c r="M628" s="25"/>
      <c r="N628" s="25"/>
      <c r="O628" s="25"/>
      <c r="P628" s="25"/>
      <c r="Q628" s="25"/>
      <c r="R628" s="25"/>
      <c r="S628" s="25"/>
      <c r="T628" s="25"/>
      <c r="U628" s="25"/>
      <c r="V628" s="25"/>
      <c r="W628" s="25"/>
      <c r="X628" s="25"/>
      <c r="Y628" s="25"/>
      <c r="Z628" s="25"/>
    </row>
    <row r="629" ht="15.75" customHeight="1">
      <c r="A629" s="25"/>
      <c r="B629" s="503"/>
      <c r="C629" s="503"/>
      <c r="D629" s="503"/>
      <c r="E629" s="25"/>
      <c r="F629" s="25"/>
      <c r="G629" s="25"/>
      <c r="H629" s="25"/>
      <c r="I629" s="25"/>
      <c r="J629" s="25"/>
      <c r="K629" s="25"/>
      <c r="L629" s="25"/>
      <c r="M629" s="25"/>
      <c r="N629" s="25"/>
      <c r="O629" s="25"/>
      <c r="P629" s="25"/>
      <c r="Q629" s="25"/>
      <c r="R629" s="25"/>
      <c r="S629" s="25"/>
      <c r="T629" s="25"/>
      <c r="U629" s="25"/>
      <c r="V629" s="25"/>
      <c r="W629" s="25"/>
      <c r="X629" s="25"/>
      <c r="Y629" s="25"/>
      <c r="Z629" s="25"/>
    </row>
    <row r="630" ht="15.75" customHeight="1">
      <c r="A630" s="25"/>
      <c r="B630" s="503"/>
      <c r="C630" s="503"/>
      <c r="D630" s="503"/>
      <c r="E630" s="25"/>
      <c r="F630" s="25"/>
      <c r="G630" s="25"/>
      <c r="H630" s="25"/>
      <c r="I630" s="25"/>
      <c r="J630" s="25"/>
      <c r="K630" s="25"/>
      <c r="L630" s="25"/>
      <c r="M630" s="25"/>
      <c r="N630" s="25"/>
      <c r="O630" s="25"/>
      <c r="P630" s="25"/>
      <c r="Q630" s="25"/>
      <c r="R630" s="25"/>
      <c r="S630" s="25"/>
      <c r="T630" s="25"/>
      <c r="U630" s="25"/>
      <c r="V630" s="25"/>
      <c r="W630" s="25"/>
      <c r="X630" s="25"/>
      <c r="Y630" s="25"/>
      <c r="Z630" s="25"/>
    </row>
    <row r="631" ht="15.75" customHeight="1">
      <c r="A631" s="25"/>
      <c r="B631" s="503"/>
      <c r="C631" s="503"/>
      <c r="D631" s="503"/>
      <c r="E631" s="25"/>
      <c r="F631" s="25"/>
      <c r="G631" s="25"/>
      <c r="H631" s="25"/>
      <c r="I631" s="25"/>
      <c r="J631" s="25"/>
      <c r="K631" s="25"/>
      <c r="L631" s="25"/>
      <c r="M631" s="25"/>
      <c r="N631" s="25"/>
      <c r="O631" s="25"/>
      <c r="P631" s="25"/>
      <c r="Q631" s="25"/>
      <c r="R631" s="25"/>
      <c r="S631" s="25"/>
      <c r="T631" s="25"/>
      <c r="U631" s="25"/>
      <c r="V631" s="25"/>
      <c r="W631" s="25"/>
      <c r="X631" s="25"/>
      <c r="Y631" s="25"/>
      <c r="Z631" s="25"/>
    </row>
    <row r="632" ht="15.75" customHeight="1">
      <c r="A632" s="25"/>
      <c r="B632" s="503"/>
      <c r="C632" s="503"/>
      <c r="D632" s="503"/>
      <c r="E632" s="25"/>
      <c r="F632" s="25"/>
      <c r="G632" s="25"/>
      <c r="H632" s="25"/>
      <c r="I632" s="25"/>
      <c r="J632" s="25"/>
      <c r="K632" s="25"/>
      <c r="L632" s="25"/>
      <c r="M632" s="25"/>
      <c r="N632" s="25"/>
      <c r="O632" s="25"/>
      <c r="P632" s="25"/>
      <c r="Q632" s="25"/>
      <c r="R632" s="25"/>
      <c r="S632" s="25"/>
      <c r="T632" s="25"/>
      <c r="U632" s="25"/>
      <c r="V632" s="25"/>
      <c r="W632" s="25"/>
      <c r="X632" s="25"/>
      <c r="Y632" s="25"/>
      <c r="Z632" s="25"/>
    </row>
    <row r="633" ht="15.75" customHeight="1">
      <c r="A633" s="25"/>
      <c r="B633" s="503"/>
      <c r="C633" s="503"/>
      <c r="D633" s="503"/>
      <c r="E633" s="25"/>
      <c r="F633" s="25"/>
      <c r="G633" s="25"/>
      <c r="H633" s="25"/>
      <c r="I633" s="25"/>
      <c r="J633" s="25"/>
      <c r="K633" s="25"/>
      <c r="L633" s="25"/>
      <c r="M633" s="25"/>
      <c r="N633" s="25"/>
      <c r="O633" s="25"/>
      <c r="P633" s="25"/>
      <c r="Q633" s="25"/>
      <c r="R633" s="25"/>
      <c r="S633" s="25"/>
      <c r="T633" s="25"/>
      <c r="U633" s="25"/>
      <c r="V633" s="25"/>
      <c r="W633" s="25"/>
      <c r="X633" s="25"/>
      <c r="Y633" s="25"/>
      <c r="Z633" s="25"/>
    </row>
    <row r="634" ht="15.75" customHeight="1">
      <c r="A634" s="25"/>
      <c r="B634" s="503"/>
      <c r="C634" s="503"/>
      <c r="D634" s="503"/>
      <c r="E634" s="25"/>
      <c r="F634" s="25"/>
      <c r="G634" s="25"/>
      <c r="H634" s="25"/>
      <c r="I634" s="25"/>
      <c r="J634" s="25"/>
      <c r="K634" s="25"/>
      <c r="L634" s="25"/>
      <c r="M634" s="25"/>
      <c r="N634" s="25"/>
      <c r="O634" s="25"/>
      <c r="P634" s="25"/>
      <c r="Q634" s="25"/>
      <c r="R634" s="25"/>
      <c r="S634" s="25"/>
      <c r="T634" s="25"/>
      <c r="U634" s="25"/>
      <c r="V634" s="25"/>
      <c r="W634" s="25"/>
      <c r="X634" s="25"/>
      <c r="Y634" s="25"/>
      <c r="Z634" s="25"/>
    </row>
    <row r="635" ht="15.75" customHeight="1">
      <c r="A635" s="25"/>
      <c r="B635" s="503"/>
      <c r="C635" s="503"/>
      <c r="D635" s="503"/>
      <c r="E635" s="25"/>
      <c r="F635" s="25"/>
      <c r="G635" s="25"/>
      <c r="H635" s="25"/>
      <c r="I635" s="25"/>
      <c r="J635" s="25"/>
      <c r="K635" s="25"/>
      <c r="L635" s="25"/>
      <c r="M635" s="25"/>
      <c r="N635" s="25"/>
      <c r="O635" s="25"/>
      <c r="P635" s="25"/>
      <c r="Q635" s="25"/>
      <c r="R635" s="25"/>
      <c r="S635" s="25"/>
      <c r="T635" s="25"/>
      <c r="U635" s="25"/>
      <c r="V635" s="25"/>
      <c r="W635" s="25"/>
      <c r="X635" s="25"/>
      <c r="Y635" s="25"/>
      <c r="Z635" s="25"/>
    </row>
    <row r="636" ht="15.75" customHeight="1">
      <c r="A636" s="25"/>
      <c r="B636" s="503"/>
      <c r="C636" s="503"/>
      <c r="D636" s="503"/>
      <c r="E636" s="25"/>
      <c r="F636" s="25"/>
      <c r="G636" s="25"/>
      <c r="H636" s="25"/>
      <c r="I636" s="25"/>
      <c r="J636" s="25"/>
      <c r="K636" s="25"/>
      <c r="L636" s="25"/>
      <c r="M636" s="25"/>
      <c r="N636" s="25"/>
      <c r="O636" s="25"/>
      <c r="P636" s="25"/>
      <c r="Q636" s="25"/>
      <c r="R636" s="25"/>
      <c r="S636" s="25"/>
      <c r="T636" s="25"/>
      <c r="U636" s="25"/>
      <c r="V636" s="25"/>
      <c r="W636" s="25"/>
      <c r="X636" s="25"/>
      <c r="Y636" s="25"/>
      <c r="Z636" s="25"/>
    </row>
    <row r="637" ht="15.75" customHeight="1">
      <c r="A637" s="25"/>
      <c r="B637" s="503"/>
      <c r="C637" s="503"/>
      <c r="D637" s="503"/>
      <c r="E637" s="25"/>
      <c r="F637" s="25"/>
      <c r="G637" s="25"/>
      <c r="H637" s="25"/>
      <c r="I637" s="25"/>
      <c r="J637" s="25"/>
      <c r="K637" s="25"/>
      <c r="L637" s="25"/>
      <c r="M637" s="25"/>
      <c r="N637" s="25"/>
      <c r="O637" s="25"/>
      <c r="P637" s="25"/>
      <c r="Q637" s="25"/>
      <c r="R637" s="25"/>
      <c r="S637" s="25"/>
      <c r="T637" s="25"/>
      <c r="U637" s="25"/>
      <c r="V637" s="25"/>
      <c r="W637" s="25"/>
      <c r="X637" s="25"/>
      <c r="Y637" s="25"/>
      <c r="Z637" s="25"/>
    </row>
    <row r="638" ht="15.75" customHeight="1">
      <c r="A638" s="25"/>
      <c r="B638" s="503"/>
      <c r="C638" s="503"/>
      <c r="D638" s="503"/>
      <c r="E638" s="25"/>
      <c r="F638" s="25"/>
      <c r="G638" s="25"/>
      <c r="H638" s="25"/>
      <c r="I638" s="25"/>
      <c r="J638" s="25"/>
      <c r="K638" s="25"/>
      <c r="L638" s="25"/>
      <c r="M638" s="25"/>
      <c r="N638" s="25"/>
      <c r="O638" s="25"/>
      <c r="P638" s="25"/>
      <c r="Q638" s="25"/>
      <c r="R638" s="25"/>
      <c r="S638" s="25"/>
      <c r="T638" s="25"/>
      <c r="U638" s="25"/>
      <c r="V638" s="25"/>
      <c r="W638" s="25"/>
      <c r="X638" s="25"/>
      <c r="Y638" s="25"/>
      <c r="Z638" s="25"/>
    </row>
    <row r="639" ht="15.75" customHeight="1">
      <c r="A639" s="25"/>
      <c r="B639" s="503"/>
      <c r="C639" s="503"/>
      <c r="D639" s="503"/>
      <c r="E639" s="25"/>
      <c r="F639" s="25"/>
      <c r="G639" s="25"/>
      <c r="H639" s="25"/>
      <c r="I639" s="25"/>
      <c r="J639" s="25"/>
      <c r="K639" s="25"/>
      <c r="L639" s="25"/>
      <c r="M639" s="25"/>
      <c r="N639" s="25"/>
      <c r="O639" s="25"/>
      <c r="P639" s="25"/>
      <c r="Q639" s="25"/>
      <c r="R639" s="25"/>
      <c r="S639" s="25"/>
      <c r="T639" s="25"/>
      <c r="U639" s="25"/>
      <c r="V639" s="25"/>
      <c r="W639" s="25"/>
      <c r="X639" s="25"/>
      <c r="Y639" s="25"/>
      <c r="Z639" s="25"/>
    </row>
    <row r="640" ht="15.75" customHeight="1">
      <c r="A640" s="25"/>
      <c r="B640" s="503"/>
      <c r="C640" s="503"/>
      <c r="D640" s="503"/>
      <c r="E640" s="25"/>
      <c r="F640" s="25"/>
      <c r="G640" s="25"/>
      <c r="H640" s="25"/>
      <c r="I640" s="25"/>
      <c r="J640" s="25"/>
      <c r="K640" s="25"/>
      <c r="L640" s="25"/>
      <c r="M640" s="25"/>
      <c r="N640" s="25"/>
      <c r="O640" s="25"/>
      <c r="P640" s="25"/>
      <c r="Q640" s="25"/>
      <c r="R640" s="25"/>
      <c r="S640" s="25"/>
      <c r="T640" s="25"/>
      <c r="U640" s="25"/>
      <c r="V640" s="25"/>
      <c r="W640" s="25"/>
      <c r="X640" s="25"/>
      <c r="Y640" s="25"/>
      <c r="Z640" s="25"/>
    </row>
    <row r="641" ht="15.75" customHeight="1">
      <c r="A641" s="25"/>
      <c r="B641" s="503"/>
      <c r="C641" s="503"/>
      <c r="D641" s="503"/>
      <c r="E641" s="25"/>
      <c r="F641" s="25"/>
      <c r="G641" s="25"/>
      <c r="H641" s="25"/>
      <c r="I641" s="25"/>
      <c r="J641" s="25"/>
      <c r="K641" s="25"/>
      <c r="L641" s="25"/>
      <c r="M641" s="25"/>
      <c r="N641" s="25"/>
      <c r="O641" s="25"/>
      <c r="P641" s="25"/>
      <c r="Q641" s="25"/>
      <c r="R641" s="25"/>
      <c r="S641" s="25"/>
      <c r="T641" s="25"/>
      <c r="U641" s="25"/>
      <c r="V641" s="25"/>
      <c r="W641" s="25"/>
      <c r="X641" s="25"/>
      <c r="Y641" s="25"/>
      <c r="Z641" s="25"/>
    </row>
    <row r="642" ht="15.75" customHeight="1">
      <c r="A642" s="25"/>
      <c r="B642" s="503"/>
      <c r="C642" s="503"/>
      <c r="D642" s="503"/>
      <c r="E642" s="25"/>
      <c r="F642" s="25"/>
      <c r="G642" s="25"/>
      <c r="H642" s="25"/>
      <c r="I642" s="25"/>
      <c r="J642" s="25"/>
      <c r="K642" s="25"/>
      <c r="L642" s="25"/>
      <c r="M642" s="25"/>
      <c r="N642" s="25"/>
      <c r="O642" s="25"/>
      <c r="P642" s="25"/>
      <c r="Q642" s="25"/>
      <c r="R642" s="25"/>
      <c r="S642" s="25"/>
      <c r="T642" s="25"/>
      <c r="U642" s="25"/>
      <c r="V642" s="25"/>
      <c r="W642" s="25"/>
      <c r="X642" s="25"/>
      <c r="Y642" s="25"/>
      <c r="Z642" s="25"/>
    </row>
    <row r="643" ht="15.75" customHeight="1">
      <c r="A643" s="25"/>
      <c r="B643" s="503"/>
      <c r="C643" s="503"/>
      <c r="D643" s="503"/>
      <c r="E643" s="25"/>
      <c r="F643" s="25"/>
      <c r="G643" s="25"/>
      <c r="H643" s="25"/>
      <c r="I643" s="25"/>
      <c r="J643" s="25"/>
      <c r="K643" s="25"/>
      <c r="L643" s="25"/>
      <c r="M643" s="25"/>
      <c r="N643" s="25"/>
      <c r="O643" s="25"/>
      <c r="P643" s="25"/>
      <c r="Q643" s="25"/>
      <c r="R643" s="25"/>
      <c r="S643" s="25"/>
      <c r="T643" s="25"/>
      <c r="U643" s="25"/>
      <c r="V643" s="25"/>
      <c r="W643" s="25"/>
      <c r="X643" s="25"/>
      <c r="Y643" s="25"/>
      <c r="Z643" s="25"/>
    </row>
    <row r="644" ht="15.75" customHeight="1">
      <c r="A644" s="25"/>
      <c r="B644" s="503"/>
      <c r="C644" s="503"/>
      <c r="D644" s="503"/>
      <c r="E644" s="25"/>
      <c r="F644" s="25"/>
      <c r="G644" s="25"/>
      <c r="H644" s="25"/>
      <c r="I644" s="25"/>
      <c r="J644" s="25"/>
      <c r="K644" s="25"/>
      <c r="L644" s="25"/>
      <c r="M644" s="25"/>
      <c r="N644" s="25"/>
      <c r="O644" s="25"/>
      <c r="P644" s="25"/>
      <c r="Q644" s="25"/>
      <c r="R644" s="25"/>
      <c r="S644" s="25"/>
      <c r="T644" s="25"/>
      <c r="U644" s="25"/>
      <c r="V644" s="25"/>
      <c r="W644" s="25"/>
      <c r="X644" s="25"/>
      <c r="Y644" s="25"/>
      <c r="Z644" s="25"/>
    </row>
    <row r="645" ht="15.75" customHeight="1">
      <c r="A645" s="25"/>
      <c r="B645" s="503"/>
      <c r="C645" s="503"/>
      <c r="D645" s="503"/>
      <c r="E645" s="25"/>
      <c r="F645" s="25"/>
      <c r="G645" s="25"/>
      <c r="H645" s="25"/>
      <c r="I645" s="25"/>
      <c r="J645" s="25"/>
      <c r="K645" s="25"/>
      <c r="L645" s="25"/>
      <c r="M645" s="25"/>
      <c r="N645" s="25"/>
      <c r="O645" s="25"/>
      <c r="P645" s="25"/>
      <c r="Q645" s="25"/>
      <c r="R645" s="25"/>
      <c r="S645" s="25"/>
      <c r="T645" s="25"/>
      <c r="U645" s="25"/>
      <c r="V645" s="25"/>
      <c r="W645" s="25"/>
      <c r="X645" s="25"/>
      <c r="Y645" s="25"/>
      <c r="Z645" s="25"/>
    </row>
    <row r="646" ht="15.75" customHeight="1">
      <c r="A646" s="25"/>
      <c r="B646" s="503"/>
      <c r="C646" s="503"/>
      <c r="D646" s="503"/>
      <c r="E646" s="25"/>
      <c r="F646" s="25"/>
      <c r="G646" s="25"/>
      <c r="H646" s="25"/>
      <c r="I646" s="25"/>
      <c r="J646" s="25"/>
      <c r="K646" s="25"/>
      <c r="L646" s="25"/>
      <c r="M646" s="25"/>
      <c r="N646" s="25"/>
      <c r="O646" s="25"/>
      <c r="P646" s="25"/>
      <c r="Q646" s="25"/>
      <c r="R646" s="25"/>
      <c r="S646" s="25"/>
      <c r="T646" s="25"/>
      <c r="U646" s="25"/>
      <c r="V646" s="25"/>
      <c r="W646" s="25"/>
      <c r="X646" s="25"/>
      <c r="Y646" s="25"/>
      <c r="Z646" s="25"/>
    </row>
    <row r="647" ht="15.75" customHeight="1">
      <c r="A647" s="25"/>
      <c r="B647" s="503"/>
      <c r="C647" s="503"/>
      <c r="D647" s="503"/>
      <c r="E647" s="25"/>
      <c r="F647" s="25"/>
      <c r="G647" s="25"/>
      <c r="H647" s="25"/>
      <c r="I647" s="25"/>
      <c r="J647" s="25"/>
      <c r="K647" s="25"/>
      <c r="L647" s="25"/>
      <c r="M647" s="25"/>
      <c r="N647" s="25"/>
      <c r="O647" s="25"/>
      <c r="P647" s="25"/>
      <c r="Q647" s="25"/>
      <c r="R647" s="25"/>
      <c r="S647" s="25"/>
      <c r="T647" s="25"/>
      <c r="U647" s="25"/>
      <c r="V647" s="25"/>
      <c r="W647" s="25"/>
      <c r="X647" s="25"/>
      <c r="Y647" s="25"/>
      <c r="Z647" s="25"/>
    </row>
    <row r="648" ht="15.75" customHeight="1">
      <c r="A648" s="25"/>
      <c r="B648" s="503"/>
      <c r="C648" s="503"/>
      <c r="D648" s="503"/>
      <c r="E648" s="25"/>
      <c r="F648" s="25"/>
      <c r="G648" s="25"/>
      <c r="H648" s="25"/>
      <c r="I648" s="25"/>
      <c r="J648" s="25"/>
      <c r="K648" s="25"/>
      <c r="L648" s="25"/>
      <c r="M648" s="25"/>
      <c r="N648" s="25"/>
      <c r="O648" s="25"/>
      <c r="P648" s="25"/>
      <c r="Q648" s="25"/>
      <c r="R648" s="25"/>
      <c r="S648" s="25"/>
      <c r="T648" s="25"/>
      <c r="U648" s="25"/>
      <c r="V648" s="25"/>
      <c r="W648" s="25"/>
      <c r="X648" s="25"/>
      <c r="Y648" s="25"/>
      <c r="Z648" s="25"/>
    </row>
    <row r="649" ht="15.75" customHeight="1">
      <c r="A649" s="25"/>
      <c r="B649" s="503"/>
      <c r="C649" s="503"/>
      <c r="D649" s="503"/>
      <c r="E649" s="25"/>
      <c r="F649" s="25"/>
      <c r="G649" s="25"/>
      <c r="H649" s="25"/>
      <c r="I649" s="25"/>
      <c r="J649" s="25"/>
      <c r="K649" s="25"/>
      <c r="L649" s="25"/>
      <c r="M649" s="25"/>
      <c r="N649" s="25"/>
      <c r="O649" s="25"/>
      <c r="P649" s="25"/>
      <c r="Q649" s="25"/>
      <c r="R649" s="25"/>
      <c r="S649" s="25"/>
      <c r="T649" s="25"/>
      <c r="U649" s="25"/>
      <c r="V649" s="25"/>
      <c r="W649" s="25"/>
      <c r="X649" s="25"/>
      <c r="Y649" s="25"/>
      <c r="Z649" s="25"/>
    </row>
    <row r="650" ht="15.75" customHeight="1">
      <c r="A650" s="25"/>
      <c r="B650" s="503"/>
      <c r="C650" s="503"/>
      <c r="D650" s="503"/>
      <c r="E650" s="25"/>
      <c r="F650" s="25"/>
      <c r="G650" s="25"/>
      <c r="H650" s="25"/>
      <c r="I650" s="25"/>
      <c r="J650" s="25"/>
      <c r="K650" s="25"/>
      <c r="L650" s="25"/>
      <c r="M650" s="25"/>
      <c r="N650" s="25"/>
      <c r="O650" s="25"/>
      <c r="P650" s="25"/>
      <c r="Q650" s="25"/>
      <c r="R650" s="25"/>
      <c r="S650" s="25"/>
      <c r="T650" s="25"/>
      <c r="U650" s="25"/>
      <c r="V650" s="25"/>
      <c r="W650" s="25"/>
      <c r="X650" s="25"/>
      <c r="Y650" s="25"/>
      <c r="Z650" s="25"/>
    </row>
    <row r="651" ht="15.75" customHeight="1">
      <c r="A651" s="25"/>
      <c r="B651" s="503"/>
      <c r="C651" s="503"/>
      <c r="D651" s="503"/>
      <c r="E651" s="25"/>
      <c r="F651" s="25"/>
      <c r="G651" s="25"/>
      <c r="H651" s="25"/>
      <c r="I651" s="25"/>
      <c r="J651" s="25"/>
      <c r="K651" s="25"/>
      <c r="L651" s="25"/>
      <c r="M651" s="25"/>
      <c r="N651" s="25"/>
      <c r="O651" s="25"/>
      <c r="P651" s="25"/>
      <c r="Q651" s="25"/>
      <c r="R651" s="25"/>
      <c r="S651" s="25"/>
      <c r="T651" s="25"/>
      <c r="U651" s="25"/>
      <c r="V651" s="25"/>
      <c r="W651" s="25"/>
      <c r="X651" s="25"/>
      <c r="Y651" s="25"/>
      <c r="Z651" s="25"/>
    </row>
    <row r="652" ht="15.75" customHeight="1">
      <c r="A652" s="25"/>
      <c r="B652" s="503"/>
      <c r="C652" s="503"/>
      <c r="D652" s="503"/>
      <c r="E652" s="25"/>
      <c r="F652" s="25"/>
      <c r="G652" s="25"/>
      <c r="H652" s="25"/>
      <c r="I652" s="25"/>
      <c r="J652" s="25"/>
      <c r="K652" s="25"/>
      <c r="L652" s="25"/>
      <c r="M652" s="25"/>
      <c r="N652" s="25"/>
      <c r="O652" s="25"/>
      <c r="P652" s="25"/>
      <c r="Q652" s="25"/>
      <c r="R652" s="25"/>
      <c r="S652" s="25"/>
      <c r="T652" s="25"/>
      <c r="U652" s="25"/>
      <c r="V652" s="25"/>
      <c r="W652" s="25"/>
      <c r="X652" s="25"/>
      <c r="Y652" s="25"/>
      <c r="Z652" s="25"/>
    </row>
    <row r="653" ht="15.75" customHeight="1">
      <c r="A653" s="25"/>
      <c r="B653" s="503"/>
      <c r="C653" s="503"/>
      <c r="D653" s="503"/>
      <c r="E653" s="25"/>
      <c r="F653" s="25"/>
      <c r="G653" s="25"/>
      <c r="H653" s="25"/>
      <c r="I653" s="25"/>
      <c r="J653" s="25"/>
      <c r="K653" s="25"/>
      <c r="L653" s="25"/>
      <c r="M653" s="25"/>
      <c r="N653" s="25"/>
      <c r="O653" s="25"/>
      <c r="P653" s="25"/>
      <c r="Q653" s="25"/>
      <c r="R653" s="25"/>
      <c r="S653" s="25"/>
      <c r="T653" s="25"/>
      <c r="U653" s="25"/>
      <c r="V653" s="25"/>
      <c r="W653" s="25"/>
      <c r="X653" s="25"/>
      <c r="Y653" s="25"/>
      <c r="Z653" s="25"/>
    </row>
    <row r="654" ht="15.75" customHeight="1">
      <c r="A654" s="25"/>
      <c r="B654" s="503"/>
      <c r="C654" s="503"/>
      <c r="D654" s="503"/>
      <c r="E654" s="25"/>
      <c r="F654" s="25"/>
      <c r="G654" s="25"/>
      <c r="H654" s="25"/>
      <c r="I654" s="25"/>
      <c r="J654" s="25"/>
      <c r="K654" s="25"/>
      <c r="L654" s="25"/>
      <c r="M654" s="25"/>
      <c r="N654" s="25"/>
      <c r="O654" s="25"/>
      <c r="P654" s="25"/>
      <c r="Q654" s="25"/>
      <c r="R654" s="25"/>
      <c r="S654" s="25"/>
      <c r="T654" s="25"/>
      <c r="U654" s="25"/>
      <c r="V654" s="25"/>
      <c r="W654" s="25"/>
      <c r="X654" s="25"/>
      <c r="Y654" s="25"/>
      <c r="Z654" s="25"/>
    </row>
    <row r="655" ht="15.75" customHeight="1">
      <c r="A655" s="25"/>
      <c r="B655" s="503"/>
      <c r="C655" s="503"/>
      <c r="D655" s="503"/>
      <c r="E655" s="25"/>
      <c r="F655" s="25"/>
      <c r="G655" s="25"/>
      <c r="H655" s="25"/>
      <c r="I655" s="25"/>
      <c r="J655" s="25"/>
      <c r="K655" s="25"/>
      <c r="L655" s="25"/>
      <c r="M655" s="25"/>
      <c r="N655" s="25"/>
      <c r="O655" s="25"/>
      <c r="P655" s="25"/>
      <c r="Q655" s="25"/>
      <c r="R655" s="25"/>
      <c r="S655" s="25"/>
      <c r="T655" s="25"/>
      <c r="U655" s="25"/>
      <c r="V655" s="25"/>
      <c r="W655" s="25"/>
      <c r="X655" s="25"/>
      <c r="Y655" s="25"/>
      <c r="Z655" s="25"/>
    </row>
    <row r="656" ht="15.75" customHeight="1">
      <c r="A656" s="25"/>
      <c r="B656" s="503"/>
      <c r="C656" s="503"/>
      <c r="D656" s="503"/>
      <c r="E656" s="25"/>
      <c r="F656" s="25"/>
      <c r="G656" s="25"/>
      <c r="H656" s="25"/>
      <c r="I656" s="25"/>
      <c r="J656" s="25"/>
      <c r="K656" s="25"/>
      <c r="L656" s="25"/>
      <c r="M656" s="25"/>
      <c r="N656" s="25"/>
      <c r="O656" s="25"/>
      <c r="P656" s="25"/>
      <c r="Q656" s="25"/>
      <c r="R656" s="25"/>
      <c r="S656" s="25"/>
      <c r="T656" s="25"/>
      <c r="U656" s="25"/>
      <c r="V656" s="25"/>
      <c r="W656" s="25"/>
      <c r="X656" s="25"/>
      <c r="Y656" s="25"/>
      <c r="Z656" s="25"/>
    </row>
    <row r="657" ht="15.75" customHeight="1">
      <c r="A657" s="25"/>
      <c r="B657" s="503"/>
      <c r="C657" s="503"/>
      <c r="D657" s="503"/>
      <c r="E657" s="25"/>
      <c r="F657" s="25"/>
      <c r="G657" s="25"/>
      <c r="H657" s="25"/>
      <c r="I657" s="25"/>
      <c r="J657" s="25"/>
      <c r="K657" s="25"/>
      <c r="L657" s="25"/>
      <c r="M657" s="25"/>
      <c r="N657" s="25"/>
      <c r="O657" s="25"/>
      <c r="P657" s="25"/>
      <c r="Q657" s="25"/>
      <c r="R657" s="25"/>
      <c r="S657" s="25"/>
      <c r="T657" s="25"/>
      <c r="U657" s="25"/>
      <c r="V657" s="25"/>
      <c r="W657" s="25"/>
      <c r="X657" s="25"/>
      <c r="Y657" s="25"/>
      <c r="Z657" s="25"/>
    </row>
    <row r="658" ht="15.75" customHeight="1">
      <c r="A658" s="25"/>
      <c r="B658" s="503"/>
      <c r="C658" s="503"/>
      <c r="D658" s="503"/>
      <c r="E658" s="25"/>
      <c r="F658" s="25"/>
      <c r="G658" s="25"/>
      <c r="H658" s="25"/>
      <c r="I658" s="25"/>
      <c r="J658" s="25"/>
      <c r="K658" s="25"/>
      <c r="L658" s="25"/>
      <c r="M658" s="25"/>
      <c r="N658" s="25"/>
      <c r="O658" s="25"/>
      <c r="P658" s="25"/>
      <c r="Q658" s="25"/>
      <c r="R658" s="25"/>
      <c r="S658" s="25"/>
      <c r="T658" s="25"/>
      <c r="U658" s="25"/>
      <c r="V658" s="25"/>
      <c r="W658" s="25"/>
      <c r="X658" s="25"/>
      <c r="Y658" s="25"/>
      <c r="Z658" s="25"/>
    </row>
    <row r="659" ht="15.75" customHeight="1">
      <c r="A659" s="25"/>
      <c r="B659" s="503"/>
      <c r="C659" s="503"/>
      <c r="D659" s="503"/>
      <c r="E659" s="25"/>
      <c r="F659" s="25"/>
      <c r="G659" s="25"/>
      <c r="H659" s="25"/>
      <c r="I659" s="25"/>
      <c r="J659" s="25"/>
      <c r="K659" s="25"/>
      <c r="L659" s="25"/>
      <c r="M659" s="25"/>
      <c r="N659" s="25"/>
      <c r="O659" s="25"/>
      <c r="P659" s="25"/>
      <c r="Q659" s="25"/>
      <c r="R659" s="25"/>
      <c r="S659" s="25"/>
      <c r="T659" s="25"/>
      <c r="U659" s="25"/>
      <c r="V659" s="25"/>
      <c r="W659" s="25"/>
      <c r="X659" s="25"/>
      <c r="Y659" s="25"/>
      <c r="Z659" s="25"/>
    </row>
    <row r="660" ht="15.75" customHeight="1">
      <c r="A660" s="25"/>
      <c r="B660" s="503"/>
      <c r="C660" s="503"/>
      <c r="D660" s="503"/>
      <c r="E660" s="25"/>
      <c r="F660" s="25"/>
      <c r="G660" s="25"/>
      <c r="H660" s="25"/>
      <c r="I660" s="25"/>
      <c r="J660" s="25"/>
      <c r="K660" s="25"/>
      <c r="L660" s="25"/>
      <c r="M660" s="25"/>
      <c r="N660" s="25"/>
      <c r="O660" s="25"/>
      <c r="P660" s="25"/>
      <c r="Q660" s="25"/>
      <c r="R660" s="25"/>
      <c r="S660" s="25"/>
      <c r="T660" s="25"/>
      <c r="U660" s="25"/>
      <c r="V660" s="25"/>
      <c r="W660" s="25"/>
      <c r="X660" s="25"/>
      <c r="Y660" s="25"/>
      <c r="Z660" s="25"/>
    </row>
    <row r="661" ht="15.75" customHeight="1">
      <c r="A661" s="25"/>
      <c r="B661" s="503"/>
      <c r="C661" s="503"/>
      <c r="D661" s="503"/>
      <c r="E661" s="25"/>
      <c r="F661" s="25"/>
      <c r="G661" s="25"/>
      <c r="H661" s="25"/>
      <c r="I661" s="25"/>
      <c r="J661" s="25"/>
      <c r="K661" s="25"/>
      <c r="L661" s="25"/>
      <c r="M661" s="25"/>
      <c r="N661" s="25"/>
      <c r="O661" s="25"/>
      <c r="P661" s="25"/>
      <c r="Q661" s="25"/>
      <c r="R661" s="25"/>
      <c r="S661" s="25"/>
      <c r="T661" s="25"/>
      <c r="U661" s="25"/>
      <c r="V661" s="25"/>
      <c r="W661" s="25"/>
      <c r="X661" s="25"/>
      <c r="Y661" s="25"/>
      <c r="Z661" s="25"/>
    </row>
    <row r="662" ht="15.75" customHeight="1">
      <c r="A662" s="25"/>
      <c r="B662" s="503"/>
      <c r="C662" s="503"/>
      <c r="D662" s="503"/>
      <c r="E662" s="25"/>
      <c r="F662" s="25"/>
      <c r="G662" s="25"/>
      <c r="H662" s="25"/>
      <c r="I662" s="25"/>
      <c r="J662" s="25"/>
      <c r="K662" s="25"/>
      <c r="L662" s="25"/>
      <c r="M662" s="25"/>
      <c r="N662" s="25"/>
      <c r="O662" s="25"/>
      <c r="P662" s="25"/>
      <c r="Q662" s="25"/>
      <c r="R662" s="25"/>
      <c r="S662" s="25"/>
      <c r="T662" s="25"/>
      <c r="U662" s="25"/>
      <c r="V662" s="25"/>
      <c r="W662" s="25"/>
      <c r="X662" s="25"/>
      <c r="Y662" s="25"/>
      <c r="Z662" s="25"/>
    </row>
    <row r="663" ht="15.75" customHeight="1">
      <c r="A663" s="25"/>
      <c r="B663" s="503"/>
      <c r="C663" s="503"/>
      <c r="D663" s="503"/>
      <c r="E663" s="25"/>
      <c r="F663" s="25"/>
      <c r="G663" s="25"/>
      <c r="H663" s="25"/>
      <c r="I663" s="25"/>
      <c r="J663" s="25"/>
      <c r="K663" s="25"/>
      <c r="L663" s="25"/>
      <c r="M663" s="25"/>
      <c r="N663" s="25"/>
      <c r="O663" s="25"/>
      <c r="P663" s="25"/>
      <c r="Q663" s="25"/>
      <c r="R663" s="25"/>
      <c r="S663" s="25"/>
      <c r="T663" s="25"/>
      <c r="U663" s="25"/>
      <c r="V663" s="25"/>
      <c r="W663" s="25"/>
      <c r="X663" s="25"/>
      <c r="Y663" s="25"/>
      <c r="Z663" s="25"/>
    </row>
    <row r="664" ht="15.75" customHeight="1">
      <c r="A664" s="25"/>
      <c r="B664" s="503"/>
      <c r="C664" s="503"/>
      <c r="D664" s="503"/>
      <c r="E664" s="25"/>
      <c r="F664" s="25"/>
      <c r="G664" s="25"/>
      <c r="H664" s="25"/>
      <c r="I664" s="25"/>
      <c r="J664" s="25"/>
      <c r="K664" s="25"/>
      <c r="L664" s="25"/>
      <c r="M664" s="25"/>
      <c r="N664" s="25"/>
      <c r="O664" s="25"/>
      <c r="P664" s="25"/>
      <c r="Q664" s="25"/>
      <c r="R664" s="25"/>
      <c r="S664" s="25"/>
      <c r="T664" s="25"/>
      <c r="U664" s="25"/>
      <c r="V664" s="25"/>
      <c r="W664" s="25"/>
      <c r="X664" s="25"/>
      <c r="Y664" s="25"/>
      <c r="Z664" s="25"/>
    </row>
    <row r="665" ht="15.75" customHeight="1">
      <c r="A665" s="25"/>
      <c r="B665" s="503"/>
      <c r="C665" s="503"/>
      <c r="D665" s="503"/>
      <c r="E665" s="25"/>
      <c r="F665" s="25"/>
      <c r="G665" s="25"/>
      <c r="H665" s="25"/>
      <c r="I665" s="25"/>
      <c r="J665" s="25"/>
      <c r="K665" s="25"/>
      <c r="L665" s="25"/>
      <c r="M665" s="25"/>
      <c r="N665" s="25"/>
      <c r="O665" s="25"/>
      <c r="P665" s="25"/>
      <c r="Q665" s="25"/>
      <c r="R665" s="25"/>
      <c r="S665" s="25"/>
      <c r="T665" s="25"/>
      <c r="U665" s="25"/>
      <c r="V665" s="25"/>
      <c r="W665" s="25"/>
      <c r="X665" s="25"/>
      <c r="Y665" s="25"/>
      <c r="Z665" s="25"/>
    </row>
    <row r="666" ht="15.75" customHeight="1">
      <c r="A666" s="25"/>
      <c r="B666" s="503"/>
      <c r="C666" s="503"/>
      <c r="D666" s="503"/>
      <c r="E666" s="25"/>
      <c r="F666" s="25"/>
      <c r="G666" s="25"/>
      <c r="H666" s="25"/>
      <c r="I666" s="25"/>
      <c r="J666" s="25"/>
      <c r="K666" s="25"/>
      <c r="L666" s="25"/>
      <c r="M666" s="25"/>
      <c r="N666" s="25"/>
      <c r="O666" s="25"/>
      <c r="P666" s="25"/>
      <c r="Q666" s="25"/>
      <c r="R666" s="25"/>
      <c r="S666" s="25"/>
      <c r="T666" s="25"/>
      <c r="U666" s="25"/>
      <c r="V666" s="25"/>
      <c r="W666" s="25"/>
      <c r="X666" s="25"/>
      <c r="Y666" s="25"/>
      <c r="Z666" s="25"/>
    </row>
    <row r="667" ht="15.75" customHeight="1">
      <c r="A667" s="25"/>
      <c r="B667" s="503"/>
      <c r="C667" s="503"/>
      <c r="D667" s="503"/>
      <c r="E667" s="25"/>
      <c r="F667" s="25"/>
      <c r="G667" s="25"/>
      <c r="H667" s="25"/>
      <c r="I667" s="25"/>
      <c r="J667" s="25"/>
      <c r="K667" s="25"/>
      <c r="L667" s="25"/>
      <c r="M667" s="25"/>
      <c r="N667" s="25"/>
      <c r="O667" s="25"/>
      <c r="P667" s="25"/>
      <c r="Q667" s="25"/>
      <c r="R667" s="25"/>
      <c r="S667" s="25"/>
      <c r="T667" s="25"/>
      <c r="U667" s="25"/>
      <c r="V667" s="25"/>
      <c r="W667" s="25"/>
      <c r="X667" s="25"/>
      <c r="Y667" s="25"/>
      <c r="Z667" s="25"/>
    </row>
    <row r="668" ht="15.75" customHeight="1">
      <c r="A668" s="25"/>
      <c r="B668" s="503"/>
      <c r="C668" s="503"/>
      <c r="D668" s="503"/>
      <c r="E668" s="25"/>
      <c r="F668" s="25"/>
      <c r="G668" s="25"/>
      <c r="H668" s="25"/>
      <c r="I668" s="25"/>
      <c r="J668" s="25"/>
      <c r="K668" s="25"/>
      <c r="L668" s="25"/>
      <c r="M668" s="25"/>
      <c r="N668" s="25"/>
      <c r="O668" s="25"/>
      <c r="P668" s="25"/>
      <c r="Q668" s="25"/>
      <c r="R668" s="25"/>
      <c r="S668" s="25"/>
      <c r="T668" s="25"/>
      <c r="U668" s="25"/>
      <c r="V668" s="25"/>
      <c r="W668" s="25"/>
      <c r="X668" s="25"/>
      <c r="Y668" s="25"/>
      <c r="Z668" s="25"/>
    </row>
    <row r="669" ht="15.75" customHeight="1">
      <c r="A669" s="25"/>
      <c r="B669" s="503"/>
      <c r="C669" s="503"/>
      <c r="D669" s="503"/>
      <c r="E669" s="25"/>
      <c r="F669" s="25"/>
      <c r="G669" s="25"/>
      <c r="H669" s="25"/>
      <c r="I669" s="25"/>
      <c r="J669" s="25"/>
      <c r="K669" s="25"/>
      <c r="L669" s="25"/>
      <c r="M669" s="25"/>
      <c r="N669" s="25"/>
      <c r="O669" s="25"/>
      <c r="P669" s="25"/>
      <c r="Q669" s="25"/>
      <c r="R669" s="25"/>
      <c r="S669" s="25"/>
      <c r="T669" s="25"/>
      <c r="U669" s="25"/>
      <c r="V669" s="25"/>
      <c r="W669" s="25"/>
      <c r="X669" s="25"/>
      <c r="Y669" s="25"/>
      <c r="Z669" s="25"/>
    </row>
    <row r="670" ht="15.75" customHeight="1">
      <c r="A670" s="25"/>
      <c r="B670" s="503"/>
      <c r="C670" s="503"/>
      <c r="D670" s="503"/>
      <c r="E670" s="25"/>
      <c r="F670" s="25"/>
      <c r="G670" s="25"/>
      <c r="H670" s="25"/>
      <c r="I670" s="25"/>
      <c r="J670" s="25"/>
      <c r="K670" s="25"/>
      <c r="L670" s="25"/>
      <c r="M670" s="25"/>
      <c r="N670" s="25"/>
      <c r="O670" s="25"/>
      <c r="P670" s="25"/>
      <c r="Q670" s="25"/>
      <c r="R670" s="25"/>
      <c r="S670" s="25"/>
      <c r="T670" s="25"/>
      <c r="U670" s="25"/>
      <c r="V670" s="25"/>
      <c r="W670" s="25"/>
      <c r="X670" s="25"/>
      <c r="Y670" s="25"/>
      <c r="Z670" s="25"/>
    </row>
    <row r="671" ht="15.75" customHeight="1">
      <c r="A671" s="25"/>
      <c r="B671" s="503"/>
      <c r="C671" s="503"/>
      <c r="D671" s="503"/>
      <c r="E671" s="25"/>
      <c r="F671" s="25"/>
      <c r="G671" s="25"/>
      <c r="H671" s="25"/>
      <c r="I671" s="25"/>
      <c r="J671" s="25"/>
      <c r="K671" s="25"/>
      <c r="L671" s="25"/>
      <c r="M671" s="25"/>
      <c r="N671" s="25"/>
      <c r="O671" s="25"/>
      <c r="P671" s="25"/>
      <c r="Q671" s="25"/>
      <c r="R671" s="25"/>
      <c r="S671" s="25"/>
      <c r="T671" s="25"/>
      <c r="U671" s="25"/>
      <c r="V671" s="25"/>
      <c r="W671" s="25"/>
      <c r="X671" s="25"/>
      <c r="Y671" s="25"/>
      <c r="Z671" s="25"/>
    </row>
    <row r="672" ht="15.75" customHeight="1">
      <c r="A672" s="25"/>
      <c r="B672" s="503"/>
      <c r="C672" s="503"/>
      <c r="D672" s="503"/>
      <c r="E672" s="25"/>
      <c r="F672" s="25"/>
      <c r="G672" s="25"/>
      <c r="H672" s="25"/>
      <c r="I672" s="25"/>
      <c r="J672" s="25"/>
      <c r="K672" s="25"/>
      <c r="L672" s="25"/>
      <c r="M672" s="25"/>
      <c r="N672" s="25"/>
      <c r="O672" s="25"/>
      <c r="P672" s="25"/>
      <c r="Q672" s="25"/>
      <c r="R672" s="25"/>
      <c r="S672" s="25"/>
      <c r="T672" s="25"/>
      <c r="U672" s="25"/>
      <c r="V672" s="25"/>
      <c r="W672" s="25"/>
      <c r="X672" s="25"/>
      <c r="Y672" s="25"/>
      <c r="Z672" s="25"/>
    </row>
    <row r="673" ht="15.75" customHeight="1">
      <c r="A673" s="25"/>
      <c r="B673" s="503"/>
      <c r="C673" s="503"/>
      <c r="D673" s="503"/>
      <c r="E673" s="25"/>
      <c r="F673" s="25"/>
      <c r="G673" s="25"/>
      <c r="H673" s="25"/>
      <c r="I673" s="25"/>
      <c r="J673" s="25"/>
      <c r="K673" s="25"/>
      <c r="L673" s="25"/>
      <c r="M673" s="25"/>
      <c r="N673" s="25"/>
      <c r="O673" s="25"/>
      <c r="P673" s="25"/>
      <c r="Q673" s="25"/>
      <c r="R673" s="25"/>
      <c r="S673" s="25"/>
      <c r="T673" s="25"/>
      <c r="U673" s="25"/>
      <c r="V673" s="25"/>
      <c r="W673" s="25"/>
      <c r="X673" s="25"/>
      <c r="Y673" s="25"/>
      <c r="Z673" s="25"/>
    </row>
    <row r="674" ht="15.75" customHeight="1">
      <c r="A674" s="25"/>
      <c r="B674" s="503"/>
      <c r="C674" s="503"/>
      <c r="D674" s="503"/>
      <c r="E674" s="25"/>
      <c r="F674" s="25"/>
      <c r="G674" s="25"/>
      <c r="H674" s="25"/>
      <c r="I674" s="25"/>
      <c r="J674" s="25"/>
      <c r="K674" s="25"/>
      <c r="L674" s="25"/>
      <c r="M674" s="25"/>
      <c r="N674" s="25"/>
      <c r="O674" s="25"/>
      <c r="P674" s="25"/>
      <c r="Q674" s="25"/>
      <c r="R674" s="25"/>
      <c r="S674" s="25"/>
      <c r="T674" s="25"/>
      <c r="U674" s="25"/>
      <c r="V674" s="25"/>
      <c r="W674" s="25"/>
      <c r="X674" s="25"/>
      <c r="Y674" s="25"/>
      <c r="Z674" s="25"/>
    </row>
    <row r="675" ht="15.75" customHeight="1">
      <c r="A675" s="25"/>
      <c r="B675" s="503"/>
      <c r="C675" s="503"/>
      <c r="D675" s="503"/>
      <c r="E675" s="25"/>
      <c r="F675" s="25"/>
      <c r="G675" s="25"/>
      <c r="H675" s="25"/>
      <c r="I675" s="25"/>
      <c r="J675" s="25"/>
      <c r="K675" s="25"/>
      <c r="L675" s="25"/>
      <c r="M675" s="25"/>
      <c r="N675" s="25"/>
      <c r="O675" s="25"/>
      <c r="P675" s="25"/>
      <c r="Q675" s="25"/>
      <c r="R675" s="25"/>
      <c r="S675" s="25"/>
      <c r="T675" s="25"/>
      <c r="U675" s="25"/>
      <c r="V675" s="25"/>
      <c r="W675" s="25"/>
      <c r="X675" s="25"/>
      <c r="Y675" s="25"/>
      <c r="Z675" s="25"/>
    </row>
    <row r="676" ht="15.75" customHeight="1">
      <c r="A676" s="25"/>
      <c r="B676" s="503"/>
      <c r="C676" s="503"/>
      <c r="D676" s="503"/>
      <c r="E676" s="25"/>
      <c r="F676" s="25"/>
      <c r="G676" s="25"/>
      <c r="H676" s="25"/>
      <c r="I676" s="25"/>
      <c r="J676" s="25"/>
      <c r="K676" s="25"/>
      <c r="L676" s="25"/>
      <c r="M676" s="25"/>
      <c r="N676" s="25"/>
      <c r="O676" s="25"/>
      <c r="P676" s="25"/>
      <c r="Q676" s="25"/>
      <c r="R676" s="25"/>
      <c r="S676" s="25"/>
      <c r="T676" s="25"/>
      <c r="U676" s="25"/>
      <c r="V676" s="25"/>
      <c r="W676" s="25"/>
      <c r="X676" s="25"/>
      <c r="Y676" s="25"/>
      <c r="Z676" s="25"/>
    </row>
    <row r="677" ht="15.75" customHeight="1">
      <c r="A677" s="25"/>
      <c r="B677" s="503"/>
      <c r="C677" s="503"/>
      <c r="D677" s="503"/>
      <c r="E677" s="25"/>
      <c r="F677" s="25"/>
      <c r="G677" s="25"/>
      <c r="H677" s="25"/>
      <c r="I677" s="25"/>
      <c r="J677" s="25"/>
      <c r="K677" s="25"/>
      <c r="L677" s="25"/>
      <c r="M677" s="25"/>
      <c r="N677" s="25"/>
      <c r="O677" s="25"/>
      <c r="P677" s="25"/>
      <c r="Q677" s="25"/>
      <c r="R677" s="25"/>
      <c r="S677" s="25"/>
      <c r="T677" s="25"/>
      <c r="U677" s="25"/>
      <c r="V677" s="25"/>
      <c r="W677" s="25"/>
      <c r="X677" s="25"/>
      <c r="Y677" s="25"/>
      <c r="Z677" s="25"/>
    </row>
    <row r="678" ht="15.75" customHeight="1">
      <c r="A678" s="25"/>
      <c r="B678" s="503"/>
      <c r="C678" s="503"/>
      <c r="D678" s="503"/>
      <c r="E678" s="25"/>
      <c r="F678" s="25"/>
      <c r="G678" s="25"/>
      <c r="H678" s="25"/>
      <c r="I678" s="25"/>
      <c r="J678" s="25"/>
      <c r="K678" s="25"/>
      <c r="L678" s="25"/>
      <c r="M678" s="25"/>
      <c r="N678" s="25"/>
      <c r="O678" s="25"/>
      <c r="P678" s="25"/>
      <c r="Q678" s="25"/>
      <c r="R678" s="25"/>
      <c r="S678" s="25"/>
      <c r="T678" s="25"/>
      <c r="U678" s="25"/>
      <c r="V678" s="25"/>
      <c r="W678" s="25"/>
      <c r="X678" s="25"/>
      <c r="Y678" s="25"/>
      <c r="Z678" s="25"/>
    </row>
    <row r="679" ht="15.75" customHeight="1">
      <c r="A679" s="25"/>
      <c r="B679" s="503"/>
      <c r="C679" s="503"/>
      <c r="D679" s="503"/>
      <c r="E679" s="25"/>
      <c r="F679" s="25"/>
      <c r="G679" s="25"/>
      <c r="H679" s="25"/>
      <c r="I679" s="25"/>
      <c r="J679" s="25"/>
      <c r="K679" s="25"/>
      <c r="L679" s="25"/>
      <c r="M679" s="25"/>
      <c r="N679" s="25"/>
      <c r="O679" s="25"/>
      <c r="P679" s="25"/>
      <c r="Q679" s="25"/>
      <c r="R679" s="25"/>
      <c r="S679" s="25"/>
      <c r="T679" s="25"/>
      <c r="U679" s="25"/>
      <c r="V679" s="25"/>
      <c r="W679" s="25"/>
      <c r="X679" s="25"/>
      <c r="Y679" s="25"/>
      <c r="Z679" s="25"/>
    </row>
    <row r="680" ht="15.75" customHeight="1">
      <c r="A680" s="25"/>
      <c r="B680" s="503"/>
      <c r="C680" s="503"/>
      <c r="D680" s="503"/>
      <c r="E680" s="25"/>
      <c r="F680" s="25"/>
      <c r="G680" s="25"/>
      <c r="H680" s="25"/>
      <c r="I680" s="25"/>
      <c r="J680" s="25"/>
      <c r="K680" s="25"/>
      <c r="L680" s="25"/>
      <c r="M680" s="25"/>
      <c r="N680" s="25"/>
      <c r="O680" s="25"/>
      <c r="P680" s="25"/>
      <c r="Q680" s="25"/>
      <c r="R680" s="25"/>
      <c r="S680" s="25"/>
      <c r="T680" s="25"/>
      <c r="U680" s="25"/>
      <c r="V680" s="25"/>
      <c r="W680" s="25"/>
      <c r="X680" s="25"/>
      <c r="Y680" s="25"/>
      <c r="Z680" s="25"/>
    </row>
    <row r="681" ht="15.75" customHeight="1">
      <c r="A681" s="25"/>
      <c r="B681" s="503"/>
      <c r="C681" s="503"/>
      <c r="D681" s="503"/>
      <c r="E681" s="25"/>
      <c r="F681" s="25"/>
      <c r="G681" s="25"/>
      <c r="H681" s="25"/>
      <c r="I681" s="25"/>
      <c r="J681" s="25"/>
      <c r="K681" s="25"/>
      <c r="L681" s="25"/>
      <c r="M681" s="25"/>
      <c r="N681" s="25"/>
      <c r="O681" s="25"/>
      <c r="P681" s="25"/>
      <c r="Q681" s="25"/>
      <c r="R681" s="25"/>
      <c r="S681" s="25"/>
      <c r="T681" s="25"/>
      <c r="U681" s="25"/>
      <c r="V681" s="25"/>
      <c r="W681" s="25"/>
      <c r="X681" s="25"/>
      <c r="Y681" s="25"/>
      <c r="Z681" s="25"/>
    </row>
    <row r="682" ht="15.75" customHeight="1">
      <c r="A682" s="25"/>
      <c r="B682" s="503"/>
      <c r="C682" s="503"/>
      <c r="D682" s="503"/>
      <c r="E682" s="25"/>
      <c r="F682" s="25"/>
      <c r="G682" s="25"/>
      <c r="H682" s="25"/>
      <c r="I682" s="25"/>
      <c r="J682" s="25"/>
      <c r="K682" s="25"/>
      <c r="L682" s="25"/>
      <c r="M682" s="25"/>
      <c r="N682" s="25"/>
      <c r="O682" s="25"/>
      <c r="P682" s="25"/>
      <c r="Q682" s="25"/>
      <c r="R682" s="25"/>
      <c r="S682" s="25"/>
      <c r="T682" s="25"/>
      <c r="U682" s="25"/>
      <c r="V682" s="25"/>
      <c r="W682" s="25"/>
      <c r="X682" s="25"/>
      <c r="Y682" s="25"/>
      <c r="Z682" s="25"/>
    </row>
    <row r="683" ht="15.75" customHeight="1">
      <c r="A683" s="25"/>
      <c r="B683" s="503"/>
      <c r="C683" s="503"/>
      <c r="D683" s="503"/>
      <c r="E683" s="25"/>
      <c r="F683" s="25"/>
      <c r="G683" s="25"/>
      <c r="H683" s="25"/>
      <c r="I683" s="25"/>
      <c r="J683" s="25"/>
      <c r="K683" s="25"/>
      <c r="L683" s="25"/>
      <c r="M683" s="25"/>
      <c r="N683" s="25"/>
      <c r="O683" s="25"/>
      <c r="P683" s="25"/>
      <c r="Q683" s="25"/>
      <c r="R683" s="25"/>
      <c r="S683" s="25"/>
      <c r="T683" s="25"/>
      <c r="U683" s="25"/>
      <c r="V683" s="25"/>
      <c r="W683" s="25"/>
      <c r="X683" s="25"/>
      <c r="Y683" s="25"/>
      <c r="Z683" s="25"/>
    </row>
    <row r="684" ht="15.75" customHeight="1">
      <c r="A684" s="25"/>
      <c r="B684" s="503"/>
      <c r="C684" s="503"/>
      <c r="D684" s="503"/>
      <c r="E684" s="25"/>
      <c r="F684" s="25"/>
      <c r="G684" s="25"/>
      <c r="H684" s="25"/>
      <c r="I684" s="25"/>
      <c r="J684" s="25"/>
      <c r="K684" s="25"/>
      <c r="L684" s="25"/>
      <c r="M684" s="25"/>
      <c r="N684" s="25"/>
      <c r="O684" s="25"/>
      <c r="P684" s="25"/>
      <c r="Q684" s="25"/>
      <c r="R684" s="25"/>
      <c r="S684" s="25"/>
      <c r="T684" s="25"/>
      <c r="U684" s="25"/>
      <c r="V684" s="25"/>
      <c r="W684" s="25"/>
      <c r="X684" s="25"/>
      <c r="Y684" s="25"/>
      <c r="Z684" s="25"/>
    </row>
    <row r="685" ht="15.75" customHeight="1">
      <c r="A685" s="25"/>
      <c r="B685" s="503"/>
      <c r="C685" s="503"/>
      <c r="D685" s="503"/>
      <c r="E685" s="25"/>
      <c r="F685" s="25"/>
      <c r="G685" s="25"/>
      <c r="H685" s="25"/>
      <c r="I685" s="25"/>
      <c r="J685" s="25"/>
      <c r="K685" s="25"/>
      <c r="L685" s="25"/>
      <c r="M685" s="25"/>
      <c r="N685" s="25"/>
      <c r="O685" s="25"/>
      <c r="P685" s="25"/>
      <c r="Q685" s="25"/>
      <c r="R685" s="25"/>
      <c r="S685" s="25"/>
      <c r="T685" s="25"/>
      <c r="U685" s="25"/>
      <c r="V685" s="25"/>
      <c r="W685" s="25"/>
      <c r="X685" s="25"/>
      <c r="Y685" s="25"/>
      <c r="Z685" s="25"/>
    </row>
    <row r="686" ht="15.75" customHeight="1">
      <c r="A686" s="25"/>
      <c r="B686" s="503"/>
      <c r="C686" s="503"/>
      <c r="D686" s="503"/>
      <c r="E686" s="25"/>
      <c r="F686" s="25"/>
      <c r="G686" s="25"/>
      <c r="H686" s="25"/>
      <c r="I686" s="25"/>
      <c r="J686" s="25"/>
      <c r="K686" s="25"/>
      <c r="L686" s="25"/>
      <c r="M686" s="25"/>
      <c r="N686" s="25"/>
      <c r="O686" s="25"/>
      <c r="P686" s="25"/>
      <c r="Q686" s="25"/>
      <c r="R686" s="25"/>
      <c r="S686" s="25"/>
      <c r="T686" s="25"/>
      <c r="U686" s="25"/>
      <c r="V686" s="25"/>
      <c r="W686" s="25"/>
      <c r="X686" s="25"/>
      <c r="Y686" s="25"/>
      <c r="Z686" s="25"/>
    </row>
    <row r="687" ht="15.75" customHeight="1">
      <c r="A687" s="25"/>
      <c r="B687" s="503"/>
      <c r="C687" s="503"/>
      <c r="D687" s="503"/>
      <c r="E687" s="25"/>
      <c r="F687" s="25"/>
      <c r="G687" s="25"/>
      <c r="H687" s="25"/>
      <c r="I687" s="25"/>
      <c r="J687" s="25"/>
      <c r="K687" s="25"/>
      <c r="L687" s="25"/>
      <c r="M687" s="25"/>
      <c r="N687" s="25"/>
      <c r="O687" s="25"/>
      <c r="P687" s="25"/>
      <c r="Q687" s="25"/>
      <c r="R687" s="25"/>
      <c r="S687" s="25"/>
      <c r="T687" s="25"/>
      <c r="U687" s="25"/>
      <c r="V687" s="25"/>
      <c r="W687" s="25"/>
      <c r="X687" s="25"/>
      <c r="Y687" s="25"/>
      <c r="Z687" s="25"/>
    </row>
    <row r="688" ht="15.75" customHeight="1">
      <c r="A688" s="25"/>
      <c r="B688" s="503"/>
      <c r="C688" s="503"/>
      <c r="D688" s="503"/>
      <c r="E688" s="25"/>
      <c r="F688" s="25"/>
      <c r="G688" s="25"/>
      <c r="H688" s="25"/>
      <c r="I688" s="25"/>
      <c r="J688" s="25"/>
      <c r="K688" s="25"/>
      <c r="L688" s="25"/>
      <c r="M688" s="25"/>
      <c r="N688" s="25"/>
      <c r="O688" s="25"/>
      <c r="P688" s="25"/>
      <c r="Q688" s="25"/>
      <c r="R688" s="25"/>
      <c r="S688" s="25"/>
      <c r="T688" s="25"/>
      <c r="U688" s="25"/>
      <c r="V688" s="25"/>
      <c r="W688" s="25"/>
      <c r="X688" s="25"/>
      <c r="Y688" s="25"/>
      <c r="Z688" s="25"/>
    </row>
    <row r="689" ht="15.75" customHeight="1">
      <c r="A689" s="25"/>
      <c r="B689" s="503"/>
      <c r="C689" s="503"/>
      <c r="D689" s="503"/>
      <c r="E689" s="25"/>
      <c r="F689" s="25"/>
      <c r="G689" s="25"/>
      <c r="H689" s="25"/>
      <c r="I689" s="25"/>
      <c r="J689" s="25"/>
      <c r="K689" s="25"/>
      <c r="L689" s="25"/>
      <c r="M689" s="25"/>
      <c r="N689" s="25"/>
      <c r="O689" s="25"/>
      <c r="P689" s="25"/>
      <c r="Q689" s="25"/>
      <c r="R689" s="25"/>
      <c r="S689" s="25"/>
      <c r="T689" s="25"/>
      <c r="U689" s="25"/>
      <c r="V689" s="25"/>
      <c r="W689" s="25"/>
      <c r="X689" s="25"/>
      <c r="Y689" s="25"/>
      <c r="Z689" s="25"/>
    </row>
    <row r="690" ht="15.75" customHeight="1">
      <c r="A690" s="25"/>
      <c r="B690" s="503"/>
      <c r="C690" s="503"/>
      <c r="D690" s="503"/>
      <c r="E690" s="25"/>
      <c r="F690" s="25"/>
      <c r="G690" s="25"/>
      <c r="H690" s="25"/>
      <c r="I690" s="25"/>
      <c r="J690" s="25"/>
      <c r="K690" s="25"/>
      <c r="L690" s="25"/>
      <c r="M690" s="25"/>
      <c r="N690" s="25"/>
      <c r="O690" s="25"/>
      <c r="P690" s="25"/>
      <c r="Q690" s="25"/>
      <c r="R690" s="25"/>
      <c r="S690" s="25"/>
      <c r="T690" s="25"/>
      <c r="U690" s="25"/>
      <c r="V690" s="25"/>
      <c r="W690" s="25"/>
      <c r="X690" s="25"/>
      <c r="Y690" s="25"/>
      <c r="Z690" s="25"/>
    </row>
    <row r="691" ht="15.75" customHeight="1">
      <c r="A691" s="25"/>
      <c r="B691" s="503"/>
      <c r="C691" s="503"/>
      <c r="D691" s="503"/>
      <c r="E691" s="25"/>
      <c r="F691" s="25"/>
      <c r="G691" s="25"/>
      <c r="H691" s="25"/>
      <c r="I691" s="25"/>
      <c r="J691" s="25"/>
      <c r="K691" s="25"/>
      <c r="L691" s="25"/>
      <c r="M691" s="25"/>
      <c r="N691" s="25"/>
      <c r="O691" s="25"/>
      <c r="P691" s="25"/>
      <c r="Q691" s="25"/>
      <c r="R691" s="25"/>
      <c r="S691" s="25"/>
      <c r="T691" s="25"/>
      <c r="U691" s="25"/>
      <c r="V691" s="25"/>
      <c r="W691" s="25"/>
      <c r="X691" s="25"/>
      <c r="Y691" s="25"/>
      <c r="Z691" s="25"/>
    </row>
    <row r="692" ht="15.75" customHeight="1">
      <c r="A692" s="25"/>
      <c r="B692" s="503"/>
      <c r="C692" s="503"/>
      <c r="D692" s="503"/>
      <c r="E692" s="25"/>
      <c r="F692" s="25"/>
      <c r="G692" s="25"/>
      <c r="H692" s="25"/>
      <c r="I692" s="25"/>
      <c r="J692" s="25"/>
      <c r="K692" s="25"/>
      <c r="L692" s="25"/>
      <c r="M692" s="25"/>
      <c r="N692" s="25"/>
      <c r="O692" s="25"/>
      <c r="P692" s="25"/>
      <c r="Q692" s="25"/>
      <c r="R692" s="25"/>
      <c r="S692" s="25"/>
      <c r="T692" s="25"/>
      <c r="U692" s="25"/>
      <c r="V692" s="25"/>
      <c r="W692" s="25"/>
      <c r="X692" s="25"/>
      <c r="Y692" s="25"/>
      <c r="Z692" s="25"/>
    </row>
    <row r="693" ht="15.75" customHeight="1">
      <c r="A693" s="25"/>
      <c r="B693" s="503"/>
      <c r="C693" s="503"/>
      <c r="D693" s="503"/>
      <c r="E693" s="25"/>
      <c r="F693" s="25"/>
      <c r="G693" s="25"/>
      <c r="H693" s="25"/>
      <c r="I693" s="25"/>
      <c r="J693" s="25"/>
      <c r="K693" s="25"/>
      <c r="L693" s="25"/>
      <c r="M693" s="25"/>
      <c r="N693" s="25"/>
      <c r="O693" s="25"/>
      <c r="P693" s="25"/>
      <c r="Q693" s="25"/>
      <c r="R693" s="25"/>
      <c r="S693" s="25"/>
      <c r="T693" s="25"/>
      <c r="U693" s="25"/>
      <c r="V693" s="25"/>
      <c r="W693" s="25"/>
      <c r="X693" s="25"/>
      <c r="Y693" s="25"/>
      <c r="Z693" s="25"/>
    </row>
    <row r="694" ht="15.75" customHeight="1">
      <c r="A694" s="25"/>
      <c r="B694" s="503"/>
      <c r="C694" s="503"/>
      <c r="D694" s="503"/>
      <c r="E694" s="25"/>
      <c r="F694" s="25"/>
      <c r="G694" s="25"/>
      <c r="H694" s="25"/>
      <c r="I694" s="25"/>
      <c r="J694" s="25"/>
      <c r="K694" s="25"/>
      <c r="L694" s="25"/>
      <c r="M694" s="25"/>
      <c r="N694" s="25"/>
      <c r="O694" s="25"/>
      <c r="P694" s="25"/>
      <c r="Q694" s="25"/>
      <c r="R694" s="25"/>
      <c r="S694" s="25"/>
      <c r="T694" s="25"/>
      <c r="U694" s="25"/>
      <c r="V694" s="25"/>
      <c r="W694" s="25"/>
      <c r="X694" s="25"/>
      <c r="Y694" s="25"/>
      <c r="Z694" s="25"/>
    </row>
    <row r="695" ht="15.75" customHeight="1">
      <c r="A695" s="25"/>
      <c r="B695" s="503"/>
      <c r="C695" s="503"/>
      <c r="D695" s="503"/>
      <c r="E695" s="25"/>
      <c r="F695" s="25"/>
      <c r="G695" s="25"/>
      <c r="H695" s="25"/>
      <c r="I695" s="25"/>
      <c r="J695" s="25"/>
      <c r="K695" s="25"/>
      <c r="L695" s="25"/>
      <c r="M695" s="25"/>
      <c r="N695" s="25"/>
      <c r="O695" s="25"/>
      <c r="P695" s="25"/>
      <c r="Q695" s="25"/>
      <c r="R695" s="25"/>
      <c r="S695" s="25"/>
      <c r="T695" s="25"/>
      <c r="U695" s="25"/>
      <c r="V695" s="25"/>
      <c r="W695" s="25"/>
      <c r="X695" s="25"/>
      <c r="Y695" s="25"/>
      <c r="Z695" s="25"/>
    </row>
    <row r="696" ht="15.75" customHeight="1">
      <c r="A696" s="25"/>
      <c r="B696" s="503"/>
      <c r="C696" s="503"/>
      <c r="D696" s="503"/>
      <c r="E696" s="25"/>
      <c r="F696" s="25"/>
      <c r="G696" s="25"/>
      <c r="H696" s="25"/>
      <c r="I696" s="25"/>
      <c r="J696" s="25"/>
      <c r="K696" s="25"/>
      <c r="L696" s="25"/>
      <c r="M696" s="25"/>
      <c r="N696" s="25"/>
      <c r="O696" s="25"/>
      <c r="P696" s="25"/>
      <c r="Q696" s="25"/>
      <c r="R696" s="25"/>
      <c r="S696" s="25"/>
      <c r="T696" s="25"/>
      <c r="U696" s="25"/>
      <c r="V696" s="25"/>
      <c r="W696" s="25"/>
      <c r="X696" s="25"/>
      <c r="Y696" s="25"/>
      <c r="Z696" s="25"/>
    </row>
    <row r="697" ht="15.75" customHeight="1">
      <c r="A697" s="25"/>
      <c r="B697" s="503"/>
      <c r="C697" s="503"/>
      <c r="D697" s="503"/>
      <c r="E697" s="25"/>
      <c r="F697" s="25"/>
      <c r="G697" s="25"/>
      <c r="H697" s="25"/>
      <c r="I697" s="25"/>
      <c r="J697" s="25"/>
      <c r="K697" s="25"/>
      <c r="L697" s="25"/>
      <c r="M697" s="25"/>
      <c r="N697" s="25"/>
      <c r="O697" s="25"/>
      <c r="P697" s="25"/>
      <c r="Q697" s="25"/>
      <c r="R697" s="25"/>
      <c r="S697" s="25"/>
      <c r="T697" s="25"/>
      <c r="U697" s="25"/>
      <c r="V697" s="25"/>
      <c r="W697" s="25"/>
      <c r="X697" s="25"/>
      <c r="Y697" s="25"/>
      <c r="Z697" s="25"/>
    </row>
    <row r="698" ht="15.75" customHeight="1">
      <c r="A698" s="25"/>
      <c r="B698" s="503"/>
      <c r="C698" s="503"/>
      <c r="D698" s="503"/>
      <c r="E698" s="25"/>
      <c r="F698" s="25"/>
      <c r="G698" s="25"/>
      <c r="H698" s="25"/>
      <c r="I698" s="25"/>
      <c r="J698" s="25"/>
      <c r="K698" s="25"/>
      <c r="L698" s="25"/>
      <c r="M698" s="25"/>
      <c r="N698" s="25"/>
      <c r="O698" s="25"/>
      <c r="P698" s="25"/>
      <c r="Q698" s="25"/>
      <c r="R698" s="25"/>
      <c r="S698" s="25"/>
      <c r="T698" s="25"/>
      <c r="U698" s="25"/>
      <c r="V698" s="25"/>
      <c r="W698" s="25"/>
      <c r="X698" s="25"/>
      <c r="Y698" s="25"/>
      <c r="Z698" s="25"/>
    </row>
    <row r="699" ht="15.75" customHeight="1">
      <c r="A699" s="25"/>
      <c r="B699" s="503"/>
      <c r="C699" s="503"/>
      <c r="D699" s="503"/>
      <c r="E699" s="25"/>
      <c r="F699" s="25"/>
      <c r="G699" s="25"/>
      <c r="H699" s="25"/>
      <c r="I699" s="25"/>
      <c r="J699" s="25"/>
      <c r="K699" s="25"/>
      <c r="L699" s="25"/>
      <c r="M699" s="25"/>
      <c r="N699" s="25"/>
      <c r="O699" s="25"/>
      <c r="P699" s="25"/>
      <c r="Q699" s="25"/>
      <c r="R699" s="25"/>
      <c r="S699" s="25"/>
      <c r="T699" s="25"/>
      <c r="U699" s="25"/>
      <c r="V699" s="25"/>
      <c r="W699" s="25"/>
      <c r="X699" s="25"/>
      <c r="Y699" s="25"/>
      <c r="Z699" s="25"/>
    </row>
    <row r="700" ht="15.75" customHeight="1">
      <c r="A700" s="25"/>
      <c r="B700" s="503"/>
      <c r="C700" s="503"/>
      <c r="D700" s="503"/>
      <c r="E700" s="25"/>
      <c r="F700" s="25"/>
      <c r="G700" s="25"/>
      <c r="H700" s="25"/>
      <c r="I700" s="25"/>
      <c r="J700" s="25"/>
      <c r="K700" s="25"/>
      <c r="L700" s="25"/>
      <c r="M700" s="25"/>
      <c r="N700" s="25"/>
      <c r="O700" s="25"/>
      <c r="P700" s="25"/>
      <c r="Q700" s="25"/>
      <c r="R700" s="25"/>
      <c r="S700" s="25"/>
      <c r="T700" s="25"/>
      <c r="U700" s="25"/>
      <c r="V700" s="25"/>
      <c r="W700" s="25"/>
      <c r="X700" s="25"/>
      <c r="Y700" s="25"/>
      <c r="Z700" s="25"/>
    </row>
    <row r="701" ht="15.75" customHeight="1">
      <c r="A701" s="25"/>
      <c r="B701" s="503"/>
      <c r="C701" s="503"/>
      <c r="D701" s="503"/>
      <c r="E701" s="25"/>
      <c r="F701" s="25"/>
      <c r="G701" s="25"/>
      <c r="H701" s="25"/>
      <c r="I701" s="25"/>
      <c r="J701" s="25"/>
      <c r="K701" s="25"/>
      <c r="L701" s="25"/>
      <c r="M701" s="25"/>
      <c r="N701" s="25"/>
      <c r="O701" s="25"/>
      <c r="P701" s="25"/>
      <c r="Q701" s="25"/>
      <c r="R701" s="25"/>
      <c r="S701" s="25"/>
      <c r="T701" s="25"/>
      <c r="U701" s="25"/>
      <c r="V701" s="25"/>
      <c r="W701" s="25"/>
      <c r="X701" s="25"/>
      <c r="Y701" s="25"/>
      <c r="Z701" s="25"/>
    </row>
    <row r="702" ht="15.75" customHeight="1">
      <c r="A702" s="25"/>
      <c r="B702" s="503"/>
      <c r="C702" s="503"/>
      <c r="D702" s="503"/>
      <c r="E702" s="25"/>
      <c r="F702" s="25"/>
      <c r="G702" s="25"/>
      <c r="H702" s="25"/>
      <c r="I702" s="25"/>
      <c r="J702" s="25"/>
      <c r="K702" s="25"/>
      <c r="L702" s="25"/>
      <c r="M702" s="25"/>
      <c r="N702" s="25"/>
      <c r="O702" s="25"/>
      <c r="P702" s="25"/>
      <c r="Q702" s="25"/>
      <c r="R702" s="25"/>
      <c r="S702" s="25"/>
      <c r="T702" s="25"/>
      <c r="U702" s="25"/>
      <c r="V702" s="25"/>
      <c r="W702" s="25"/>
      <c r="X702" s="25"/>
      <c r="Y702" s="25"/>
      <c r="Z702" s="25"/>
    </row>
    <row r="703" ht="15.75" customHeight="1">
      <c r="A703" s="25"/>
      <c r="B703" s="503"/>
      <c r="C703" s="503"/>
      <c r="D703" s="503"/>
      <c r="E703" s="25"/>
      <c r="F703" s="25"/>
      <c r="G703" s="25"/>
      <c r="H703" s="25"/>
      <c r="I703" s="25"/>
      <c r="J703" s="25"/>
      <c r="K703" s="25"/>
      <c r="L703" s="25"/>
      <c r="M703" s="25"/>
      <c r="N703" s="25"/>
      <c r="O703" s="25"/>
      <c r="P703" s="25"/>
      <c r="Q703" s="25"/>
      <c r="R703" s="25"/>
      <c r="S703" s="25"/>
      <c r="T703" s="25"/>
      <c r="U703" s="25"/>
      <c r="V703" s="25"/>
      <c r="W703" s="25"/>
      <c r="X703" s="25"/>
      <c r="Y703" s="25"/>
      <c r="Z703" s="25"/>
    </row>
    <row r="704" ht="15.75" customHeight="1">
      <c r="A704" s="25"/>
      <c r="B704" s="503"/>
      <c r="C704" s="503"/>
      <c r="D704" s="503"/>
      <c r="E704" s="25"/>
      <c r="F704" s="25"/>
      <c r="G704" s="25"/>
      <c r="H704" s="25"/>
      <c r="I704" s="25"/>
      <c r="J704" s="25"/>
      <c r="K704" s="25"/>
      <c r="L704" s="25"/>
      <c r="M704" s="25"/>
      <c r="N704" s="25"/>
      <c r="O704" s="25"/>
      <c r="P704" s="25"/>
      <c r="Q704" s="25"/>
      <c r="R704" s="25"/>
      <c r="S704" s="25"/>
      <c r="T704" s="25"/>
      <c r="U704" s="25"/>
      <c r="V704" s="25"/>
      <c r="W704" s="25"/>
      <c r="X704" s="25"/>
      <c r="Y704" s="25"/>
      <c r="Z704" s="25"/>
    </row>
    <row r="705" ht="15.75" customHeight="1">
      <c r="A705" s="25"/>
      <c r="B705" s="503"/>
      <c r="C705" s="503"/>
      <c r="D705" s="503"/>
      <c r="E705" s="25"/>
      <c r="F705" s="25"/>
      <c r="G705" s="25"/>
      <c r="H705" s="25"/>
      <c r="I705" s="25"/>
      <c r="J705" s="25"/>
      <c r="K705" s="25"/>
      <c r="L705" s="25"/>
      <c r="M705" s="25"/>
      <c r="N705" s="25"/>
      <c r="O705" s="25"/>
      <c r="P705" s="25"/>
      <c r="Q705" s="25"/>
      <c r="R705" s="25"/>
      <c r="S705" s="25"/>
      <c r="T705" s="25"/>
      <c r="U705" s="25"/>
      <c r="V705" s="25"/>
      <c r="W705" s="25"/>
      <c r="X705" s="25"/>
      <c r="Y705" s="25"/>
      <c r="Z705" s="25"/>
    </row>
    <row r="706" ht="15.75" customHeight="1">
      <c r="A706" s="25"/>
      <c r="B706" s="503"/>
      <c r="C706" s="503"/>
      <c r="D706" s="503"/>
      <c r="E706" s="25"/>
      <c r="F706" s="25"/>
      <c r="G706" s="25"/>
      <c r="H706" s="25"/>
      <c r="I706" s="25"/>
      <c r="J706" s="25"/>
      <c r="K706" s="25"/>
      <c r="L706" s="25"/>
      <c r="M706" s="25"/>
      <c r="N706" s="25"/>
      <c r="O706" s="25"/>
      <c r="P706" s="25"/>
      <c r="Q706" s="25"/>
      <c r="R706" s="25"/>
      <c r="S706" s="25"/>
      <c r="T706" s="25"/>
      <c r="U706" s="25"/>
      <c r="V706" s="25"/>
      <c r="W706" s="25"/>
      <c r="X706" s="25"/>
      <c r="Y706" s="25"/>
      <c r="Z706" s="25"/>
    </row>
    <row r="707" ht="15.75" customHeight="1">
      <c r="A707" s="25"/>
      <c r="B707" s="503"/>
      <c r="C707" s="503"/>
      <c r="D707" s="503"/>
      <c r="E707" s="25"/>
      <c r="F707" s="25"/>
      <c r="G707" s="25"/>
      <c r="H707" s="25"/>
      <c r="I707" s="25"/>
      <c r="J707" s="25"/>
      <c r="K707" s="25"/>
      <c r="L707" s="25"/>
      <c r="M707" s="25"/>
      <c r="N707" s="25"/>
      <c r="O707" s="25"/>
      <c r="P707" s="25"/>
      <c r="Q707" s="25"/>
      <c r="R707" s="25"/>
      <c r="S707" s="25"/>
      <c r="T707" s="25"/>
      <c r="U707" s="25"/>
      <c r="V707" s="25"/>
      <c r="W707" s="25"/>
      <c r="X707" s="25"/>
      <c r="Y707" s="25"/>
      <c r="Z707" s="25"/>
    </row>
    <row r="708" ht="15.75" customHeight="1">
      <c r="A708" s="25"/>
      <c r="B708" s="503"/>
      <c r="C708" s="503"/>
      <c r="D708" s="503"/>
      <c r="E708" s="25"/>
      <c r="F708" s="25"/>
      <c r="G708" s="25"/>
      <c r="H708" s="25"/>
      <c r="I708" s="25"/>
      <c r="J708" s="25"/>
      <c r="K708" s="25"/>
      <c r="L708" s="25"/>
      <c r="M708" s="25"/>
      <c r="N708" s="25"/>
      <c r="O708" s="25"/>
      <c r="P708" s="25"/>
      <c r="Q708" s="25"/>
      <c r="R708" s="25"/>
      <c r="S708" s="25"/>
      <c r="T708" s="25"/>
      <c r="U708" s="25"/>
      <c r="V708" s="25"/>
      <c r="W708" s="25"/>
      <c r="X708" s="25"/>
      <c r="Y708" s="25"/>
      <c r="Z708" s="25"/>
    </row>
    <row r="709" ht="15.75" customHeight="1">
      <c r="A709" s="25"/>
      <c r="B709" s="503"/>
      <c r="C709" s="503"/>
      <c r="D709" s="503"/>
      <c r="E709" s="25"/>
      <c r="F709" s="25"/>
      <c r="G709" s="25"/>
      <c r="H709" s="25"/>
      <c r="I709" s="25"/>
      <c r="J709" s="25"/>
      <c r="K709" s="25"/>
      <c r="L709" s="25"/>
      <c r="M709" s="25"/>
      <c r="N709" s="25"/>
      <c r="O709" s="25"/>
      <c r="P709" s="25"/>
      <c r="Q709" s="25"/>
      <c r="R709" s="25"/>
      <c r="S709" s="25"/>
      <c r="T709" s="25"/>
      <c r="U709" s="25"/>
      <c r="V709" s="25"/>
      <c r="W709" s="25"/>
      <c r="X709" s="25"/>
      <c r="Y709" s="25"/>
      <c r="Z709" s="25"/>
    </row>
    <row r="710" ht="15.75" customHeight="1">
      <c r="A710" s="25"/>
      <c r="B710" s="503"/>
      <c r="C710" s="503"/>
      <c r="D710" s="503"/>
      <c r="E710" s="25"/>
      <c r="F710" s="25"/>
      <c r="G710" s="25"/>
      <c r="H710" s="25"/>
      <c r="I710" s="25"/>
      <c r="J710" s="25"/>
      <c r="K710" s="25"/>
      <c r="L710" s="25"/>
      <c r="M710" s="25"/>
      <c r="N710" s="25"/>
      <c r="O710" s="25"/>
      <c r="P710" s="25"/>
      <c r="Q710" s="25"/>
      <c r="R710" s="25"/>
      <c r="S710" s="25"/>
      <c r="T710" s="25"/>
      <c r="U710" s="25"/>
      <c r="V710" s="25"/>
      <c r="W710" s="25"/>
      <c r="X710" s="25"/>
      <c r="Y710" s="25"/>
      <c r="Z710" s="25"/>
    </row>
    <row r="711" ht="15.75" customHeight="1">
      <c r="A711" s="25"/>
      <c r="B711" s="503"/>
      <c r="C711" s="503"/>
      <c r="D711" s="503"/>
      <c r="E711" s="25"/>
      <c r="F711" s="25"/>
      <c r="G711" s="25"/>
      <c r="H711" s="25"/>
      <c r="I711" s="25"/>
      <c r="J711" s="25"/>
      <c r="K711" s="25"/>
      <c r="L711" s="25"/>
      <c r="M711" s="25"/>
      <c r="N711" s="25"/>
      <c r="O711" s="25"/>
      <c r="P711" s="25"/>
      <c r="Q711" s="25"/>
      <c r="R711" s="25"/>
      <c r="S711" s="25"/>
      <c r="T711" s="25"/>
      <c r="U711" s="25"/>
      <c r="V711" s="25"/>
      <c r="W711" s="25"/>
      <c r="X711" s="25"/>
      <c r="Y711" s="25"/>
      <c r="Z711" s="25"/>
    </row>
    <row r="712" ht="15.75" customHeight="1">
      <c r="A712" s="25"/>
      <c r="B712" s="503"/>
      <c r="C712" s="503"/>
      <c r="D712" s="503"/>
      <c r="E712" s="25"/>
      <c r="F712" s="25"/>
      <c r="G712" s="25"/>
      <c r="H712" s="25"/>
      <c r="I712" s="25"/>
      <c r="J712" s="25"/>
      <c r="K712" s="25"/>
      <c r="L712" s="25"/>
      <c r="M712" s="25"/>
      <c r="N712" s="25"/>
      <c r="O712" s="25"/>
      <c r="P712" s="25"/>
      <c r="Q712" s="25"/>
      <c r="R712" s="25"/>
      <c r="S712" s="25"/>
      <c r="T712" s="25"/>
      <c r="U712" s="25"/>
      <c r="V712" s="25"/>
      <c r="W712" s="25"/>
      <c r="X712" s="25"/>
      <c r="Y712" s="25"/>
      <c r="Z712" s="25"/>
    </row>
    <row r="713" ht="15.75" customHeight="1">
      <c r="A713" s="25"/>
      <c r="B713" s="503"/>
      <c r="C713" s="503"/>
      <c r="D713" s="503"/>
      <c r="E713" s="25"/>
      <c r="F713" s="25"/>
      <c r="G713" s="25"/>
      <c r="H713" s="25"/>
      <c r="I713" s="25"/>
      <c r="J713" s="25"/>
      <c r="K713" s="25"/>
      <c r="L713" s="25"/>
      <c r="M713" s="25"/>
      <c r="N713" s="25"/>
      <c r="O713" s="25"/>
      <c r="P713" s="25"/>
      <c r="Q713" s="25"/>
      <c r="R713" s="25"/>
      <c r="S713" s="25"/>
      <c r="T713" s="25"/>
      <c r="U713" s="25"/>
      <c r="V713" s="25"/>
      <c r="W713" s="25"/>
      <c r="X713" s="25"/>
      <c r="Y713" s="25"/>
      <c r="Z713" s="25"/>
    </row>
    <row r="714" ht="15.75" customHeight="1">
      <c r="A714" s="25"/>
      <c r="B714" s="503"/>
      <c r="C714" s="503"/>
      <c r="D714" s="503"/>
      <c r="E714" s="25"/>
      <c r="F714" s="25"/>
      <c r="G714" s="25"/>
      <c r="H714" s="25"/>
      <c r="I714" s="25"/>
      <c r="J714" s="25"/>
      <c r="K714" s="25"/>
      <c r="L714" s="25"/>
      <c r="M714" s="25"/>
      <c r="N714" s="25"/>
      <c r="O714" s="25"/>
      <c r="P714" s="25"/>
      <c r="Q714" s="25"/>
      <c r="R714" s="25"/>
      <c r="S714" s="25"/>
      <c r="T714" s="25"/>
      <c r="U714" s="25"/>
      <c r="V714" s="25"/>
      <c r="W714" s="25"/>
      <c r="X714" s="25"/>
      <c r="Y714" s="25"/>
      <c r="Z714" s="25"/>
    </row>
    <row r="715" ht="15.75" customHeight="1">
      <c r="A715" s="25"/>
      <c r="B715" s="503"/>
      <c r="C715" s="503"/>
      <c r="D715" s="503"/>
      <c r="E715" s="25"/>
      <c r="F715" s="25"/>
      <c r="G715" s="25"/>
      <c r="H715" s="25"/>
      <c r="I715" s="25"/>
      <c r="J715" s="25"/>
      <c r="K715" s="25"/>
      <c r="L715" s="25"/>
      <c r="M715" s="25"/>
      <c r="N715" s="25"/>
      <c r="O715" s="25"/>
      <c r="P715" s="25"/>
      <c r="Q715" s="25"/>
      <c r="R715" s="25"/>
      <c r="S715" s="25"/>
      <c r="T715" s="25"/>
      <c r="U715" s="25"/>
      <c r="V715" s="25"/>
      <c r="W715" s="25"/>
      <c r="X715" s="25"/>
      <c r="Y715" s="25"/>
      <c r="Z715" s="25"/>
    </row>
    <row r="716" ht="15.75" customHeight="1">
      <c r="A716" s="25"/>
      <c r="B716" s="503"/>
      <c r="C716" s="503"/>
      <c r="D716" s="503"/>
      <c r="E716" s="25"/>
      <c r="F716" s="25"/>
      <c r="G716" s="25"/>
      <c r="H716" s="25"/>
      <c r="I716" s="25"/>
      <c r="J716" s="25"/>
      <c r="K716" s="25"/>
      <c r="L716" s="25"/>
      <c r="M716" s="25"/>
      <c r="N716" s="25"/>
      <c r="O716" s="25"/>
      <c r="P716" s="25"/>
      <c r="Q716" s="25"/>
      <c r="R716" s="25"/>
      <c r="S716" s="25"/>
      <c r="T716" s="25"/>
      <c r="U716" s="25"/>
      <c r="V716" s="25"/>
      <c r="W716" s="25"/>
      <c r="X716" s="25"/>
      <c r="Y716" s="25"/>
      <c r="Z716" s="25"/>
    </row>
    <row r="717" ht="15.75" customHeight="1">
      <c r="A717" s="25"/>
      <c r="B717" s="503"/>
      <c r="C717" s="503"/>
      <c r="D717" s="503"/>
      <c r="E717" s="25"/>
      <c r="F717" s="25"/>
      <c r="G717" s="25"/>
      <c r="H717" s="25"/>
      <c r="I717" s="25"/>
      <c r="J717" s="25"/>
      <c r="K717" s="25"/>
      <c r="L717" s="25"/>
      <c r="M717" s="25"/>
      <c r="N717" s="25"/>
      <c r="O717" s="25"/>
      <c r="P717" s="25"/>
      <c r="Q717" s="25"/>
      <c r="R717" s="25"/>
      <c r="S717" s="25"/>
      <c r="T717" s="25"/>
      <c r="U717" s="25"/>
      <c r="V717" s="25"/>
      <c r="W717" s="25"/>
      <c r="X717" s="25"/>
      <c r="Y717" s="25"/>
      <c r="Z717" s="25"/>
    </row>
    <row r="718" ht="15.75" customHeight="1">
      <c r="A718" s="25"/>
      <c r="B718" s="503"/>
      <c r="C718" s="503"/>
      <c r="D718" s="503"/>
      <c r="E718" s="25"/>
      <c r="F718" s="25"/>
      <c r="G718" s="25"/>
      <c r="H718" s="25"/>
      <c r="I718" s="25"/>
      <c r="J718" s="25"/>
      <c r="K718" s="25"/>
      <c r="L718" s="25"/>
      <c r="M718" s="25"/>
      <c r="N718" s="25"/>
      <c r="O718" s="25"/>
      <c r="P718" s="25"/>
      <c r="Q718" s="25"/>
      <c r="R718" s="25"/>
      <c r="S718" s="25"/>
      <c r="T718" s="25"/>
      <c r="U718" s="25"/>
      <c r="V718" s="25"/>
      <c r="W718" s="25"/>
      <c r="X718" s="25"/>
      <c r="Y718" s="25"/>
      <c r="Z718" s="25"/>
    </row>
    <row r="719" ht="15.75" customHeight="1">
      <c r="A719" s="25"/>
      <c r="B719" s="503"/>
      <c r="C719" s="503"/>
      <c r="D719" s="503"/>
      <c r="E719" s="25"/>
      <c r="F719" s="25"/>
      <c r="G719" s="25"/>
      <c r="H719" s="25"/>
      <c r="I719" s="25"/>
      <c r="J719" s="25"/>
      <c r="K719" s="25"/>
      <c r="L719" s="25"/>
      <c r="M719" s="25"/>
      <c r="N719" s="25"/>
      <c r="O719" s="25"/>
      <c r="P719" s="25"/>
      <c r="Q719" s="25"/>
      <c r="R719" s="25"/>
      <c r="S719" s="25"/>
      <c r="T719" s="25"/>
      <c r="U719" s="25"/>
      <c r="V719" s="25"/>
      <c r="W719" s="25"/>
      <c r="X719" s="25"/>
      <c r="Y719" s="25"/>
      <c r="Z719" s="25"/>
    </row>
    <row r="720" ht="15.75" customHeight="1">
      <c r="A720" s="25"/>
      <c r="B720" s="503"/>
      <c r="C720" s="503"/>
      <c r="D720" s="503"/>
      <c r="E720" s="25"/>
      <c r="F720" s="25"/>
      <c r="G720" s="25"/>
      <c r="H720" s="25"/>
      <c r="I720" s="25"/>
      <c r="J720" s="25"/>
      <c r="K720" s="25"/>
      <c r="L720" s="25"/>
      <c r="M720" s="25"/>
      <c r="N720" s="25"/>
      <c r="O720" s="25"/>
      <c r="P720" s="25"/>
      <c r="Q720" s="25"/>
      <c r="R720" s="25"/>
      <c r="S720" s="25"/>
      <c r="T720" s="25"/>
      <c r="U720" s="25"/>
      <c r="V720" s="25"/>
      <c r="W720" s="25"/>
      <c r="X720" s="25"/>
      <c r="Y720" s="25"/>
      <c r="Z720" s="25"/>
    </row>
    <row r="721" ht="15.75" customHeight="1">
      <c r="A721" s="25"/>
      <c r="B721" s="503"/>
      <c r="C721" s="503"/>
      <c r="D721" s="503"/>
      <c r="E721" s="25"/>
      <c r="F721" s="25"/>
      <c r="G721" s="25"/>
      <c r="H721" s="25"/>
      <c r="I721" s="25"/>
      <c r="J721" s="25"/>
      <c r="K721" s="25"/>
      <c r="L721" s="25"/>
      <c r="M721" s="25"/>
      <c r="N721" s="25"/>
      <c r="O721" s="25"/>
      <c r="P721" s="25"/>
      <c r="Q721" s="25"/>
      <c r="R721" s="25"/>
      <c r="S721" s="25"/>
      <c r="T721" s="25"/>
      <c r="U721" s="25"/>
      <c r="V721" s="25"/>
      <c r="W721" s="25"/>
      <c r="X721" s="25"/>
      <c r="Y721" s="25"/>
      <c r="Z721" s="25"/>
    </row>
    <row r="722" ht="15.75" customHeight="1">
      <c r="A722" s="25"/>
      <c r="B722" s="503"/>
      <c r="C722" s="503"/>
      <c r="D722" s="503"/>
      <c r="E722" s="25"/>
      <c r="F722" s="25"/>
      <c r="G722" s="25"/>
      <c r="H722" s="25"/>
      <c r="I722" s="25"/>
      <c r="J722" s="25"/>
      <c r="K722" s="25"/>
      <c r="L722" s="25"/>
      <c r="M722" s="25"/>
      <c r="N722" s="25"/>
      <c r="O722" s="25"/>
      <c r="P722" s="25"/>
      <c r="Q722" s="25"/>
      <c r="R722" s="25"/>
      <c r="S722" s="25"/>
      <c r="T722" s="25"/>
      <c r="U722" s="25"/>
      <c r="V722" s="25"/>
      <c r="W722" s="25"/>
      <c r="X722" s="25"/>
      <c r="Y722" s="25"/>
      <c r="Z722" s="25"/>
    </row>
    <row r="723" ht="15.75" customHeight="1">
      <c r="A723" s="25"/>
      <c r="B723" s="503"/>
      <c r="C723" s="503"/>
      <c r="D723" s="503"/>
      <c r="E723" s="25"/>
      <c r="F723" s="25"/>
      <c r="G723" s="25"/>
      <c r="H723" s="25"/>
      <c r="I723" s="25"/>
      <c r="J723" s="25"/>
      <c r="K723" s="25"/>
      <c r="L723" s="25"/>
      <c r="M723" s="25"/>
      <c r="N723" s="25"/>
      <c r="O723" s="25"/>
      <c r="P723" s="25"/>
      <c r="Q723" s="25"/>
      <c r="R723" s="25"/>
      <c r="S723" s="25"/>
      <c r="T723" s="25"/>
      <c r="U723" s="25"/>
      <c r="V723" s="25"/>
      <c r="W723" s="25"/>
      <c r="X723" s="25"/>
      <c r="Y723" s="25"/>
      <c r="Z723" s="25"/>
    </row>
    <row r="724" ht="15.75" customHeight="1">
      <c r="A724" s="25"/>
      <c r="B724" s="503"/>
      <c r="C724" s="503"/>
      <c r="D724" s="503"/>
      <c r="E724" s="25"/>
      <c r="F724" s="25"/>
      <c r="G724" s="25"/>
      <c r="H724" s="25"/>
      <c r="I724" s="25"/>
      <c r="J724" s="25"/>
      <c r="K724" s="25"/>
      <c r="L724" s="25"/>
      <c r="M724" s="25"/>
      <c r="N724" s="25"/>
      <c r="O724" s="25"/>
      <c r="P724" s="25"/>
      <c r="Q724" s="25"/>
      <c r="R724" s="25"/>
      <c r="S724" s="25"/>
      <c r="T724" s="25"/>
      <c r="U724" s="25"/>
      <c r="V724" s="25"/>
      <c r="W724" s="25"/>
      <c r="X724" s="25"/>
      <c r="Y724" s="25"/>
      <c r="Z724" s="25"/>
    </row>
    <row r="725" ht="15.75" customHeight="1">
      <c r="A725" s="25"/>
      <c r="B725" s="503"/>
      <c r="C725" s="503"/>
      <c r="D725" s="503"/>
      <c r="E725" s="25"/>
      <c r="F725" s="25"/>
      <c r="G725" s="25"/>
      <c r="H725" s="25"/>
      <c r="I725" s="25"/>
      <c r="J725" s="25"/>
      <c r="K725" s="25"/>
      <c r="L725" s="25"/>
      <c r="M725" s="25"/>
      <c r="N725" s="25"/>
      <c r="O725" s="25"/>
      <c r="P725" s="25"/>
      <c r="Q725" s="25"/>
      <c r="R725" s="25"/>
      <c r="S725" s="25"/>
      <c r="T725" s="25"/>
      <c r="U725" s="25"/>
      <c r="V725" s="25"/>
      <c r="W725" s="25"/>
      <c r="X725" s="25"/>
      <c r="Y725" s="25"/>
      <c r="Z725" s="25"/>
    </row>
    <row r="726" ht="15.75" customHeight="1">
      <c r="A726" s="25"/>
      <c r="B726" s="503"/>
      <c r="C726" s="503"/>
      <c r="D726" s="503"/>
      <c r="E726" s="25"/>
      <c r="F726" s="25"/>
      <c r="G726" s="25"/>
      <c r="H726" s="25"/>
      <c r="I726" s="25"/>
      <c r="J726" s="25"/>
      <c r="K726" s="25"/>
      <c r="L726" s="25"/>
      <c r="M726" s="25"/>
      <c r="N726" s="25"/>
      <c r="O726" s="25"/>
      <c r="P726" s="25"/>
      <c r="Q726" s="25"/>
      <c r="R726" s="25"/>
      <c r="S726" s="25"/>
      <c r="T726" s="25"/>
      <c r="U726" s="25"/>
      <c r="V726" s="25"/>
      <c r="W726" s="25"/>
      <c r="X726" s="25"/>
      <c r="Y726" s="25"/>
      <c r="Z726" s="25"/>
    </row>
    <row r="727" ht="15.75" customHeight="1">
      <c r="A727" s="25"/>
      <c r="B727" s="503"/>
      <c r="C727" s="503"/>
      <c r="D727" s="503"/>
      <c r="E727" s="25"/>
      <c r="F727" s="25"/>
      <c r="G727" s="25"/>
      <c r="H727" s="25"/>
      <c r="I727" s="25"/>
      <c r="J727" s="25"/>
      <c r="K727" s="25"/>
      <c r="L727" s="25"/>
      <c r="M727" s="25"/>
      <c r="N727" s="25"/>
      <c r="O727" s="25"/>
      <c r="P727" s="25"/>
      <c r="Q727" s="25"/>
      <c r="R727" s="25"/>
      <c r="S727" s="25"/>
      <c r="T727" s="25"/>
      <c r="U727" s="25"/>
      <c r="V727" s="25"/>
      <c r="W727" s="25"/>
      <c r="X727" s="25"/>
      <c r="Y727" s="25"/>
      <c r="Z727" s="25"/>
    </row>
    <row r="728" ht="15.75" customHeight="1">
      <c r="A728" s="25"/>
      <c r="B728" s="503"/>
      <c r="C728" s="503"/>
      <c r="D728" s="503"/>
      <c r="E728" s="25"/>
      <c r="F728" s="25"/>
      <c r="G728" s="25"/>
      <c r="H728" s="25"/>
      <c r="I728" s="25"/>
      <c r="J728" s="25"/>
      <c r="K728" s="25"/>
      <c r="L728" s="25"/>
      <c r="M728" s="25"/>
      <c r="N728" s="25"/>
      <c r="O728" s="25"/>
      <c r="P728" s="25"/>
      <c r="Q728" s="25"/>
      <c r="R728" s="25"/>
      <c r="S728" s="25"/>
      <c r="T728" s="25"/>
      <c r="U728" s="25"/>
      <c r="V728" s="25"/>
      <c r="W728" s="25"/>
      <c r="X728" s="25"/>
      <c r="Y728" s="25"/>
      <c r="Z728" s="25"/>
    </row>
    <row r="729" ht="15.75" customHeight="1">
      <c r="A729" s="25"/>
      <c r="B729" s="503"/>
      <c r="C729" s="503"/>
      <c r="D729" s="503"/>
      <c r="E729" s="25"/>
      <c r="F729" s="25"/>
      <c r="G729" s="25"/>
      <c r="H729" s="25"/>
      <c r="I729" s="25"/>
      <c r="J729" s="25"/>
      <c r="K729" s="25"/>
      <c r="L729" s="25"/>
      <c r="M729" s="25"/>
      <c r="N729" s="25"/>
      <c r="O729" s="25"/>
      <c r="P729" s="25"/>
      <c r="Q729" s="25"/>
      <c r="R729" s="25"/>
      <c r="S729" s="25"/>
      <c r="T729" s="25"/>
      <c r="U729" s="25"/>
      <c r="V729" s="25"/>
      <c r="W729" s="25"/>
      <c r="X729" s="25"/>
      <c r="Y729" s="25"/>
      <c r="Z729" s="25"/>
    </row>
    <row r="730" ht="15.75" customHeight="1">
      <c r="A730" s="25"/>
      <c r="B730" s="503"/>
      <c r="C730" s="503"/>
      <c r="D730" s="503"/>
      <c r="E730" s="25"/>
      <c r="F730" s="25"/>
      <c r="G730" s="25"/>
      <c r="H730" s="25"/>
      <c r="I730" s="25"/>
      <c r="J730" s="25"/>
      <c r="K730" s="25"/>
      <c r="L730" s="25"/>
      <c r="M730" s="25"/>
      <c r="N730" s="25"/>
      <c r="O730" s="25"/>
      <c r="P730" s="25"/>
      <c r="Q730" s="25"/>
      <c r="R730" s="25"/>
      <c r="S730" s="25"/>
      <c r="T730" s="25"/>
      <c r="U730" s="25"/>
      <c r="V730" s="25"/>
      <c r="W730" s="25"/>
      <c r="X730" s="25"/>
      <c r="Y730" s="25"/>
      <c r="Z730" s="25"/>
    </row>
    <row r="731" ht="15.75" customHeight="1">
      <c r="A731" s="25"/>
      <c r="B731" s="503"/>
      <c r="C731" s="503"/>
      <c r="D731" s="503"/>
      <c r="E731" s="25"/>
      <c r="F731" s="25"/>
      <c r="G731" s="25"/>
      <c r="H731" s="25"/>
      <c r="I731" s="25"/>
      <c r="J731" s="25"/>
      <c r="K731" s="25"/>
      <c r="L731" s="25"/>
      <c r="M731" s="25"/>
      <c r="N731" s="25"/>
      <c r="O731" s="25"/>
      <c r="P731" s="25"/>
      <c r="Q731" s="25"/>
      <c r="R731" s="25"/>
      <c r="S731" s="25"/>
      <c r="T731" s="25"/>
      <c r="U731" s="25"/>
      <c r="V731" s="25"/>
      <c r="W731" s="25"/>
      <c r="X731" s="25"/>
      <c r="Y731" s="25"/>
      <c r="Z731" s="25"/>
    </row>
    <row r="732" ht="15.75" customHeight="1">
      <c r="A732" s="25"/>
      <c r="B732" s="503"/>
      <c r="C732" s="503"/>
      <c r="D732" s="503"/>
      <c r="E732" s="25"/>
      <c r="F732" s="25"/>
      <c r="G732" s="25"/>
      <c r="H732" s="25"/>
      <c r="I732" s="25"/>
      <c r="J732" s="25"/>
      <c r="K732" s="25"/>
      <c r="L732" s="25"/>
      <c r="M732" s="25"/>
      <c r="N732" s="25"/>
      <c r="O732" s="25"/>
      <c r="P732" s="25"/>
      <c r="Q732" s="25"/>
      <c r="R732" s="25"/>
      <c r="S732" s="25"/>
      <c r="T732" s="25"/>
      <c r="U732" s="25"/>
      <c r="V732" s="25"/>
      <c r="W732" s="25"/>
      <c r="X732" s="25"/>
      <c r="Y732" s="25"/>
      <c r="Z732" s="25"/>
    </row>
    <row r="733" ht="15.75" customHeight="1">
      <c r="A733" s="25"/>
      <c r="B733" s="503"/>
      <c r="C733" s="503"/>
      <c r="D733" s="503"/>
      <c r="E733" s="25"/>
      <c r="F733" s="25"/>
      <c r="G733" s="25"/>
      <c r="H733" s="25"/>
      <c r="I733" s="25"/>
      <c r="J733" s="25"/>
      <c r="K733" s="25"/>
      <c r="L733" s="25"/>
      <c r="M733" s="25"/>
      <c r="N733" s="25"/>
      <c r="O733" s="25"/>
      <c r="P733" s="25"/>
      <c r="Q733" s="25"/>
      <c r="R733" s="25"/>
      <c r="S733" s="25"/>
      <c r="T733" s="25"/>
      <c r="U733" s="25"/>
      <c r="V733" s="25"/>
      <c r="W733" s="25"/>
      <c r="X733" s="25"/>
      <c r="Y733" s="25"/>
      <c r="Z733" s="25"/>
    </row>
    <row r="734" ht="15.75" customHeight="1">
      <c r="A734" s="25"/>
      <c r="B734" s="503"/>
      <c r="C734" s="503"/>
      <c r="D734" s="503"/>
      <c r="E734" s="25"/>
      <c r="F734" s="25"/>
      <c r="G734" s="25"/>
      <c r="H734" s="25"/>
      <c r="I734" s="25"/>
      <c r="J734" s="25"/>
      <c r="K734" s="25"/>
      <c r="L734" s="25"/>
      <c r="M734" s="25"/>
      <c r="N734" s="25"/>
      <c r="O734" s="25"/>
      <c r="P734" s="25"/>
      <c r="Q734" s="25"/>
      <c r="R734" s="25"/>
      <c r="S734" s="25"/>
      <c r="T734" s="25"/>
      <c r="U734" s="25"/>
      <c r="V734" s="25"/>
      <c r="W734" s="25"/>
      <c r="X734" s="25"/>
      <c r="Y734" s="25"/>
      <c r="Z734" s="25"/>
    </row>
    <row r="735" ht="15.75" customHeight="1">
      <c r="A735" s="25"/>
      <c r="B735" s="503"/>
      <c r="C735" s="503"/>
      <c r="D735" s="503"/>
      <c r="E735" s="25"/>
      <c r="F735" s="25"/>
      <c r="G735" s="25"/>
      <c r="H735" s="25"/>
      <c r="I735" s="25"/>
      <c r="J735" s="25"/>
      <c r="K735" s="25"/>
      <c r="L735" s="25"/>
      <c r="M735" s="25"/>
      <c r="N735" s="25"/>
      <c r="O735" s="25"/>
      <c r="P735" s="25"/>
      <c r="Q735" s="25"/>
      <c r="R735" s="25"/>
      <c r="S735" s="25"/>
      <c r="T735" s="25"/>
      <c r="U735" s="25"/>
      <c r="V735" s="25"/>
      <c r="W735" s="25"/>
      <c r="X735" s="25"/>
      <c r="Y735" s="25"/>
      <c r="Z735" s="25"/>
    </row>
    <row r="736" ht="15.75" customHeight="1">
      <c r="A736" s="25"/>
      <c r="B736" s="503"/>
      <c r="C736" s="503"/>
      <c r="D736" s="503"/>
      <c r="E736" s="25"/>
      <c r="F736" s="25"/>
      <c r="G736" s="25"/>
      <c r="H736" s="25"/>
      <c r="I736" s="25"/>
      <c r="J736" s="25"/>
      <c r="K736" s="25"/>
      <c r="L736" s="25"/>
      <c r="M736" s="25"/>
      <c r="N736" s="25"/>
      <c r="O736" s="25"/>
      <c r="P736" s="25"/>
      <c r="Q736" s="25"/>
      <c r="R736" s="25"/>
      <c r="S736" s="25"/>
      <c r="T736" s="25"/>
      <c r="U736" s="25"/>
      <c r="V736" s="25"/>
      <c r="W736" s="25"/>
      <c r="X736" s="25"/>
      <c r="Y736" s="25"/>
      <c r="Z736" s="25"/>
    </row>
    <row r="737" ht="15.75" customHeight="1">
      <c r="A737" s="25"/>
      <c r="B737" s="503"/>
      <c r="C737" s="503"/>
      <c r="D737" s="503"/>
      <c r="E737" s="25"/>
      <c r="F737" s="25"/>
      <c r="G737" s="25"/>
      <c r="H737" s="25"/>
      <c r="I737" s="25"/>
      <c r="J737" s="25"/>
      <c r="K737" s="25"/>
      <c r="L737" s="25"/>
      <c r="M737" s="25"/>
      <c r="N737" s="25"/>
      <c r="O737" s="25"/>
      <c r="P737" s="25"/>
      <c r="Q737" s="25"/>
      <c r="R737" s="25"/>
      <c r="S737" s="25"/>
      <c r="T737" s="25"/>
      <c r="U737" s="25"/>
      <c r="V737" s="25"/>
      <c r="W737" s="25"/>
      <c r="X737" s="25"/>
      <c r="Y737" s="25"/>
      <c r="Z737" s="25"/>
    </row>
    <row r="738" ht="15.75" customHeight="1">
      <c r="A738" s="25"/>
      <c r="B738" s="503"/>
      <c r="C738" s="503"/>
      <c r="D738" s="503"/>
      <c r="E738" s="25"/>
      <c r="F738" s="25"/>
      <c r="G738" s="25"/>
      <c r="H738" s="25"/>
      <c r="I738" s="25"/>
      <c r="J738" s="25"/>
      <c r="K738" s="25"/>
      <c r="L738" s="25"/>
      <c r="M738" s="25"/>
      <c r="N738" s="25"/>
      <c r="O738" s="25"/>
      <c r="P738" s="25"/>
      <c r="Q738" s="25"/>
      <c r="R738" s="25"/>
      <c r="S738" s="25"/>
      <c r="T738" s="25"/>
      <c r="U738" s="25"/>
      <c r="V738" s="25"/>
      <c r="W738" s="25"/>
      <c r="X738" s="25"/>
      <c r="Y738" s="25"/>
      <c r="Z738" s="25"/>
    </row>
    <row r="739" ht="15.75" customHeight="1">
      <c r="A739" s="25"/>
      <c r="B739" s="503"/>
      <c r="C739" s="503"/>
      <c r="D739" s="503"/>
      <c r="E739" s="25"/>
      <c r="F739" s="25"/>
      <c r="G739" s="25"/>
      <c r="H739" s="25"/>
      <c r="I739" s="25"/>
      <c r="J739" s="25"/>
      <c r="K739" s="25"/>
      <c r="L739" s="25"/>
      <c r="M739" s="25"/>
      <c r="N739" s="25"/>
      <c r="O739" s="25"/>
      <c r="P739" s="25"/>
      <c r="Q739" s="25"/>
      <c r="R739" s="25"/>
      <c r="S739" s="25"/>
      <c r="T739" s="25"/>
      <c r="U739" s="25"/>
      <c r="V739" s="25"/>
      <c r="W739" s="25"/>
      <c r="X739" s="25"/>
      <c r="Y739" s="25"/>
      <c r="Z739" s="25"/>
    </row>
    <row r="740" ht="15.75" customHeight="1">
      <c r="A740" s="25"/>
      <c r="B740" s="503"/>
      <c r="C740" s="503"/>
      <c r="D740" s="503"/>
      <c r="E740" s="25"/>
      <c r="F740" s="25"/>
      <c r="G740" s="25"/>
      <c r="H740" s="25"/>
      <c r="I740" s="25"/>
      <c r="J740" s="25"/>
      <c r="K740" s="25"/>
      <c r="L740" s="25"/>
      <c r="M740" s="25"/>
      <c r="N740" s="25"/>
      <c r="O740" s="25"/>
      <c r="P740" s="25"/>
      <c r="Q740" s="25"/>
      <c r="R740" s="25"/>
      <c r="S740" s="25"/>
      <c r="T740" s="25"/>
      <c r="U740" s="25"/>
      <c r="V740" s="25"/>
      <c r="W740" s="25"/>
      <c r="X740" s="25"/>
      <c r="Y740" s="25"/>
      <c r="Z740" s="25"/>
    </row>
    <row r="741" ht="15.75" customHeight="1">
      <c r="A741" s="25"/>
      <c r="B741" s="503"/>
      <c r="C741" s="503"/>
      <c r="D741" s="503"/>
      <c r="E741" s="25"/>
      <c r="F741" s="25"/>
      <c r="G741" s="25"/>
      <c r="H741" s="25"/>
      <c r="I741" s="25"/>
      <c r="J741" s="25"/>
      <c r="K741" s="25"/>
      <c r="L741" s="25"/>
      <c r="M741" s="25"/>
      <c r="N741" s="25"/>
      <c r="O741" s="25"/>
      <c r="P741" s="25"/>
      <c r="Q741" s="25"/>
      <c r="R741" s="25"/>
      <c r="S741" s="25"/>
      <c r="T741" s="25"/>
      <c r="U741" s="25"/>
      <c r="V741" s="25"/>
      <c r="W741" s="25"/>
      <c r="X741" s="25"/>
      <c r="Y741" s="25"/>
      <c r="Z741" s="25"/>
    </row>
    <row r="742" ht="15.75" customHeight="1">
      <c r="A742" s="25"/>
      <c r="B742" s="503"/>
      <c r="C742" s="503"/>
      <c r="D742" s="503"/>
      <c r="E742" s="25"/>
      <c r="F742" s="25"/>
      <c r="G742" s="25"/>
      <c r="H742" s="25"/>
      <c r="I742" s="25"/>
      <c r="J742" s="25"/>
      <c r="K742" s="25"/>
      <c r="L742" s="25"/>
      <c r="M742" s="25"/>
      <c r="N742" s="25"/>
      <c r="O742" s="25"/>
      <c r="P742" s="25"/>
      <c r="Q742" s="25"/>
      <c r="R742" s="25"/>
      <c r="S742" s="25"/>
      <c r="T742" s="25"/>
      <c r="U742" s="25"/>
      <c r="V742" s="25"/>
      <c r="W742" s="25"/>
      <c r="X742" s="25"/>
      <c r="Y742" s="25"/>
      <c r="Z742" s="25"/>
    </row>
    <row r="743" ht="15.75" customHeight="1">
      <c r="A743" s="25"/>
      <c r="B743" s="503"/>
      <c r="C743" s="503"/>
      <c r="D743" s="503"/>
      <c r="E743" s="25"/>
      <c r="F743" s="25"/>
      <c r="G743" s="25"/>
      <c r="H743" s="25"/>
      <c r="I743" s="25"/>
      <c r="J743" s="25"/>
      <c r="K743" s="25"/>
      <c r="L743" s="25"/>
      <c r="M743" s="25"/>
      <c r="N743" s="25"/>
      <c r="O743" s="25"/>
      <c r="P743" s="25"/>
      <c r="Q743" s="25"/>
      <c r="R743" s="25"/>
      <c r="S743" s="25"/>
      <c r="T743" s="25"/>
      <c r="U743" s="25"/>
      <c r="V743" s="25"/>
      <c r="W743" s="25"/>
      <c r="X743" s="25"/>
      <c r="Y743" s="25"/>
      <c r="Z743" s="25"/>
    </row>
    <row r="744" ht="15.75" customHeight="1">
      <c r="A744" s="25"/>
      <c r="B744" s="503"/>
      <c r="C744" s="503"/>
      <c r="D744" s="503"/>
      <c r="E744" s="25"/>
      <c r="F744" s="25"/>
      <c r="G744" s="25"/>
      <c r="H744" s="25"/>
      <c r="I744" s="25"/>
      <c r="J744" s="25"/>
      <c r="K744" s="25"/>
      <c r="L744" s="25"/>
      <c r="M744" s="25"/>
      <c r="N744" s="25"/>
      <c r="O744" s="25"/>
      <c r="P744" s="25"/>
      <c r="Q744" s="25"/>
      <c r="R744" s="25"/>
      <c r="S744" s="25"/>
      <c r="T744" s="25"/>
      <c r="U744" s="25"/>
      <c r="V744" s="25"/>
      <c r="W744" s="25"/>
      <c r="X744" s="25"/>
      <c r="Y744" s="25"/>
      <c r="Z744" s="25"/>
    </row>
    <row r="745" ht="15.75" customHeight="1">
      <c r="A745" s="25"/>
      <c r="B745" s="503"/>
      <c r="C745" s="503"/>
      <c r="D745" s="503"/>
      <c r="E745" s="25"/>
      <c r="F745" s="25"/>
      <c r="G745" s="25"/>
      <c r="H745" s="25"/>
      <c r="I745" s="25"/>
      <c r="J745" s="25"/>
      <c r="K745" s="25"/>
      <c r="L745" s="25"/>
      <c r="M745" s="25"/>
      <c r="N745" s="25"/>
      <c r="O745" s="25"/>
      <c r="P745" s="25"/>
      <c r="Q745" s="25"/>
      <c r="R745" s="25"/>
      <c r="S745" s="25"/>
      <c r="T745" s="25"/>
      <c r="U745" s="25"/>
      <c r="V745" s="25"/>
      <c r="W745" s="25"/>
      <c r="X745" s="25"/>
      <c r="Y745" s="25"/>
      <c r="Z745" s="25"/>
    </row>
    <row r="746" ht="15.75" customHeight="1">
      <c r="A746" s="25"/>
      <c r="B746" s="503"/>
      <c r="C746" s="503"/>
      <c r="D746" s="503"/>
      <c r="E746" s="25"/>
      <c r="F746" s="25"/>
      <c r="G746" s="25"/>
      <c r="H746" s="25"/>
      <c r="I746" s="25"/>
      <c r="J746" s="25"/>
      <c r="K746" s="25"/>
      <c r="L746" s="25"/>
      <c r="M746" s="25"/>
      <c r="N746" s="25"/>
      <c r="O746" s="25"/>
      <c r="P746" s="25"/>
      <c r="Q746" s="25"/>
      <c r="R746" s="25"/>
      <c r="S746" s="25"/>
      <c r="T746" s="25"/>
      <c r="U746" s="25"/>
      <c r="V746" s="25"/>
      <c r="W746" s="25"/>
      <c r="X746" s="25"/>
      <c r="Y746" s="25"/>
      <c r="Z746" s="25"/>
    </row>
    <row r="747" ht="15.75" customHeight="1">
      <c r="A747" s="25"/>
      <c r="B747" s="503"/>
      <c r="C747" s="503"/>
      <c r="D747" s="503"/>
      <c r="E747" s="25"/>
      <c r="F747" s="25"/>
      <c r="G747" s="25"/>
      <c r="H747" s="25"/>
      <c r="I747" s="25"/>
      <c r="J747" s="25"/>
      <c r="K747" s="25"/>
      <c r="L747" s="25"/>
      <c r="M747" s="25"/>
      <c r="N747" s="25"/>
      <c r="O747" s="25"/>
      <c r="P747" s="25"/>
      <c r="Q747" s="25"/>
      <c r="R747" s="25"/>
      <c r="S747" s="25"/>
      <c r="T747" s="25"/>
      <c r="U747" s="25"/>
      <c r="V747" s="25"/>
      <c r="W747" s="25"/>
      <c r="X747" s="25"/>
      <c r="Y747" s="25"/>
      <c r="Z747" s="25"/>
    </row>
    <row r="748" ht="15.75" customHeight="1">
      <c r="A748" s="25"/>
      <c r="B748" s="503"/>
      <c r="C748" s="503"/>
      <c r="D748" s="503"/>
      <c r="E748" s="25"/>
      <c r="F748" s="25"/>
      <c r="G748" s="25"/>
      <c r="H748" s="25"/>
      <c r="I748" s="25"/>
      <c r="J748" s="25"/>
      <c r="K748" s="25"/>
      <c r="L748" s="25"/>
      <c r="M748" s="25"/>
      <c r="N748" s="25"/>
      <c r="O748" s="25"/>
      <c r="P748" s="25"/>
      <c r="Q748" s="25"/>
      <c r="R748" s="25"/>
      <c r="S748" s="25"/>
      <c r="T748" s="25"/>
      <c r="U748" s="25"/>
      <c r="V748" s="25"/>
      <c r="W748" s="25"/>
      <c r="X748" s="25"/>
      <c r="Y748" s="25"/>
      <c r="Z748" s="25"/>
    </row>
    <row r="749" ht="15.75" customHeight="1">
      <c r="A749" s="25"/>
      <c r="B749" s="503"/>
      <c r="C749" s="503"/>
      <c r="D749" s="503"/>
      <c r="E749" s="25"/>
      <c r="F749" s="25"/>
      <c r="G749" s="25"/>
      <c r="H749" s="25"/>
      <c r="I749" s="25"/>
      <c r="J749" s="25"/>
      <c r="K749" s="25"/>
      <c r="L749" s="25"/>
      <c r="M749" s="25"/>
      <c r="N749" s="25"/>
      <c r="O749" s="25"/>
      <c r="P749" s="25"/>
      <c r="Q749" s="25"/>
      <c r="R749" s="25"/>
      <c r="S749" s="25"/>
      <c r="T749" s="25"/>
      <c r="U749" s="25"/>
      <c r="V749" s="25"/>
      <c r="W749" s="25"/>
      <c r="X749" s="25"/>
      <c r="Y749" s="25"/>
      <c r="Z749" s="25"/>
    </row>
    <row r="750" ht="15.75" customHeight="1">
      <c r="A750" s="25"/>
      <c r="B750" s="503"/>
      <c r="C750" s="503"/>
      <c r="D750" s="503"/>
      <c r="E750" s="25"/>
      <c r="F750" s="25"/>
      <c r="G750" s="25"/>
      <c r="H750" s="25"/>
      <c r="I750" s="25"/>
      <c r="J750" s="25"/>
      <c r="K750" s="25"/>
      <c r="L750" s="25"/>
      <c r="M750" s="25"/>
      <c r="N750" s="25"/>
      <c r="O750" s="25"/>
      <c r="P750" s="25"/>
      <c r="Q750" s="25"/>
      <c r="R750" s="25"/>
      <c r="S750" s="25"/>
      <c r="T750" s="25"/>
      <c r="U750" s="25"/>
      <c r="V750" s="25"/>
      <c r="W750" s="25"/>
      <c r="X750" s="25"/>
      <c r="Y750" s="25"/>
      <c r="Z750" s="25"/>
    </row>
    <row r="751" ht="15.75" customHeight="1">
      <c r="A751" s="25"/>
      <c r="B751" s="503"/>
      <c r="C751" s="503"/>
      <c r="D751" s="503"/>
      <c r="E751" s="25"/>
      <c r="F751" s="25"/>
      <c r="G751" s="25"/>
      <c r="H751" s="25"/>
      <c r="I751" s="25"/>
      <c r="J751" s="25"/>
      <c r="K751" s="25"/>
      <c r="L751" s="25"/>
      <c r="M751" s="25"/>
      <c r="N751" s="25"/>
      <c r="O751" s="25"/>
      <c r="P751" s="25"/>
      <c r="Q751" s="25"/>
      <c r="R751" s="25"/>
      <c r="S751" s="25"/>
      <c r="T751" s="25"/>
      <c r="U751" s="25"/>
      <c r="V751" s="25"/>
      <c r="W751" s="25"/>
      <c r="X751" s="25"/>
      <c r="Y751" s="25"/>
      <c r="Z751" s="25"/>
    </row>
    <row r="752" ht="15.75" customHeight="1">
      <c r="A752" s="25"/>
      <c r="B752" s="503"/>
      <c r="C752" s="503"/>
      <c r="D752" s="503"/>
      <c r="E752" s="25"/>
      <c r="F752" s="25"/>
      <c r="G752" s="25"/>
      <c r="H752" s="25"/>
      <c r="I752" s="25"/>
      <c r="J752" s="25"/>
      <c r="K752" s="25"/>
      <c r="L752" s="25"/>
      <c r="M752" s="25"/>
      <c r="N752" s="25"/>
      <c r="O752" s="25"/>
      <c r="P752" s="25"/>
      <c r="Q752" s="25"/>
      <c r="R752" s="25"/>
      <c r="S752" s="25"/>
      <c r="T752" s="25"/>
      <c r="U752" s="25"/>
      <c r="V752" s="25"/>
      <c r="W752" s="25"/>
      <c r="X752" s="25"/>
      <c r="Y752" s="25"/>
      <c r="Z752" s="25"/>
    </row>
    <row r="753" ht="15.75" customHeight="1">
      <c r="A753" s="25"/>
      <c r="B753" s="503"/>
      <c r="C753" s="503"/>
      <c r="D753" s="503"/>
      <c r="E753" s="25"/>
      <c r="F753" s="25"/>
      <c r="G753" s="25"/>
      <c r="H753" s="25"/>
      <c r="I753" s="25"/>
      <c r="J753" s="25"/>
      <c r="K753" s="25"/>
      <c r="L753" s="25"/>
      <c r="M753" s="25"/>
      <c r="N753" s="25"/>
      <c r="O753" s="25"/>
      <c r="P753" s="25"/>
      <c r="Q753" s="25"/>
      <c r="R753" s="25"/>
      <c r="S753" s="25"/>
      <c r="T753" s="25"/>
      <c r="U753" s="25"/>
      <c r="V753" s="25"/>
      <c r="W753" s="25"/>
      <c r="X753" s="25"/>
      <c r="Y753" s="25"/>
      <c r="Z753" s="25"/>
    </row>
    <row r="754" ht="15.75" customHeight="1">
      <c r="A754" s="25"/>
      <c r="B754" s="503"/>
      <c r="C754" s="503"/>
      <c r="D754" s="503"/>
      <c r="E754" s="25"/>
      <c r="F754" s="25"/>
      <c r="G754" s="25"/>
      <c r="H754" s="25"/>
      <c r="I754" s="25"/>
      <c r="J754" s="25"/>
      <c r="K754" s="25"/>
      <c r="L754" s="25"/>
      <c r="M754" s="25"/>
      <c r="N754" s="25"/>
      <c r="O754" s="25"/>
      <c r="P754" s="25"/>
      <c r="Q754" s="25"/>
      <c r="R754" s="25"/>
      <c r="S754" s="25"/>
      <c r="T754" s="25"/>
      <c r="U754" s="25"/>
      <c r="V754" s="25"/>
      <c r="W754" s="25"/>
      <c r="X754" s="25"/>
      <c r="Y754" s="25"/>
      <c r="Z754" s="25"/>
    </row>
    <row r="755" ht="15.75" customHeight="1">
      <c r="A755" s="25"/>
      <c r="B755" s="503"/>
      <c r="C755" s="503"/>
      <c r="D755" s="503"/>
      <c r="E755" s="25"/>
      <c r="F755" s="25"/>
      <c r="G755" s="25"/>
      <c r="H755" s="25"/>
      <c r="I755" s="25"/>
      <c r="J755" s="25"/>
      <c r="K755" s="25"/>
      <c r="L755" s="25"/>
      <c r="M755" s="25"/>
      <c r="N755" s="25"/>
      <c r="O755" s="25"/>
      <c r="P755" s="25"/>
      <c r="Q755" s="25"/>
      <c r="R755" s="25"/>
      <c r="S755" s="25"/>
      <c r="T755" s="25"/>
      <c r="U755" s="25"/>
      <c r="V755" s="25"/>
      <c r="W755" s="25"/>
      <c r="X755" s="25"/>
      <c r="Y755" s="25"/>
      <c r="Z755" s="25"/>
    </row>
    <row r="756" ht="15.75" customHeight="1">
      <c r="A756" s="25"/>
      <c r="B756" s="503"/>
      <c r="C756" s="503"/>
      <c r="D756" s="503"/>
      <c r="E756" s="25"/>
      <c r="F756" s="25"/>
      <c r="G756" s="25"/>
      <c r="H756" s="25"/>
      <c r="I756" s="25"/>
      <c r="J756" s="25"/>
      <c r="K756" s="25"/>
      <c r="L756" s="25"/>
      <c r="M756" s="25"/>
      <c r="N756" s="25"/>
      <c r="O756" s="25"/>
      <c r="P756" s="25"/>
      <c r="Q756" s="25"/>
      <c r="R756" s="25"/>
      <c r="S756" s="25"/>
      <c r="T756" s="25"/>
      <c r="U756" s="25"/>
      <c r="V756" s="25"/>
      <c r="W756" s="25"/>
      <c r="X756" s="25"/>
      <c r="Y756" s="25"/>
      <c r="Z756" s="25"/>
    </row>
    <row r="757" ht="15.75" customHeight="1">
      <c r="A757" s="25"/>
      <c r="B757" s="503"/>
      <c r="C757" s="503"/>
      <c r="D757" s="503"/>
      <c r="E757" s="25"/>
      <c r="F757" s="25"/>
      <c r="G757" s="25"/>
      <c r="H757" s="25"/>
      <c r="I757" s="25"/>
      <c r="J757" s="25"/>
      <c r="K757" s="25"/>
      <c r="L757" s="25"/>
      <c r="M757" s="25"/>
      <c r="N757" s="25"/>
      <c r="O757" s="25"/>
      <c r="P757" s="25"/>
      <c r="Q757" s="25"/>
      <c r="R757" s="25"/>
      <c r="S757" s="25"/>
      <c r="T757" s="25"/>
      <c r="U757" s="25"/>
      <c r="V757" s="25"/>
      <c r="W757" s="25"/>
      <c r="X757" s="25"/>
      <c r="Y757" s="25"/>
      <c r="Z757" s="25"/>
    </row>
    <row r="758" ht="15.75" customHeight="1">
      <c r="A758" s="25"/>
      <c r="B758" s="503"/>
      <c r="C758" s="503"/>
      <c r="D758" s="503"/>
      <c r="E758" s="25"/>
      <c r="F758" s="25"/>
      <c r="G758" s="25"/>
      <c r="H758" s="25"/>
      <c r="I758" s="25"/>
      <c r="J758" s="25"/>
      <c r="K758" s="25"/>
      <c r="L758" s="25"/>
      <c r="M758" s="25"/>
      <c r="N758" s="25"/>
      <c r="O758" s="25"/>
      <c r="P758" s="25"/>
      <c r="Q758" s="25"/>
      <c r="R758" s="25"/>
      <c r="S758" s="25"/>
      <c r="T758" s="25"/>
      <c r="U758" s="25"/>
      <c r="V758" s="25"/>
      <c r="W758" s="25"/>
      <c r="X758" s="25"/>
      <c r="Y758" s="25"/>
      <c r="Z758" s="25"/>
    </row>
    <row r="759" ht="15.75" customHeight="1">
      <c r="A759" s="25"/>
      <c r="B759" s="503"/>
      <c r="C759" s="503"/>
      <c r="D759" s="503"/>
      <c r="E759" s="25"/>
      <c r="F759" s="25"/>
      <c r="G759" s="25"/>
      <c r="H759" s="25"/>
      <c r="I759" s="25"/>
      <c r="J759" s="25"/>
      <c r="K759" s="25"/>
      <c r="L759" s="25"/>
      <c r="M759" s="25"/>
      <c r="N759" s="25"/>
      <c r="O759" s="25"/>
      <c r="P759" s="25"/>
      <c r="Q759" s="25"/>
      <c r="R759" s="25"/>
      <c r="S759" s="25"/>
      <c r="T759" s="25"/>
      <c r="U759" s="25"/>
      <c r="V759" s="25"/>
      <c r="W759" s="25"/>
      <c r="X759" s="25"/>
      <c r="Y759" s="25"/>
      <c r="Z759" s="25"/>
    </row>
    <row r="760" ht="15.75" customHeight="1">
      <c r="A760" s="25"/>
      <c r="B760" s="503"/>
      <c r="C760" s="503"/>
      <c r="D760" s="503"/>
      <c r="E760" s="25"/>
      <c r="F760" s="25"/>
      <c r="G760" s="25"/>
      <c r="H760" s="25"/>
      <c r="I760" s="25"/>
      <c r="J760" s="25"/>
      <c r="K760" s="25"/>
      <c r="L760" s="25"/>
      <c r="M760" s="25"/>
      <c r="N760" s="25"/>
      <c r="O760" s="25"/>
      <c r="P760" s="25"/>
      <c r="Q760" s="25"/>
      <c r="R760" s="25"/>
      <c r="S760" s="25"/>
      <c r="T760" s="25"/>
      <c r="U760" s="25"/>
      <c r="V760" s="25"/>
      <c r="W760" s="25"/>
      <c r="X760" s="25"/>
      <c r="Y760" s="25"/>
      <c r="Z760" s="25"/>
    </row>
    <row r="761" ht="15.75" customHeight="1">
      <c r="A761" s="25"/>
      <c r="B761" s="503"/>
      <c r="C761" s="503"/>
      <c r="D761" s="503"/>
      <c r="E761" s="25"/>
      <c r="F761" s="25"/>
      <c r="G761" s="25"/>
      <c r="H761" s="25"/>
      <c r="I761" s="25"/>
      <c r="J761" s="25"/>
      <c r="K761" s="25"/>
      <c r="L761" s="25"/>
      <c r="M761" s="25"/>
      <c r="N761" s="25"/>
      <c r="O761" s="25"/>
      <c r="P761" s="25"/>
      <c r="Q761" s="25"/>
      <c r="R761" s="25"/>
      <c r="S761" s="25"/>
      <c r="T761" s="25"/>
      <c r="U761" s="25"/>
      <c r="V761" s="25"/>
      <c r="W761" s="25"/>
      <c r="X761" s="25"/>
      <c r="Y761" s="25"/>
      <c r="Z761" s="25"/>
    </row>
    <row r="762" ht="15.75" customHeight="1">
      <c r="A762" s="25"/>
      <c r="B762" s="503"/>
      <c r="C762" s="503"/>
      <c r="D762" s="503"/>
      <c r="E762" s="25"/>
      <c r="F762" s="25"/>
      <c r="G762" s="25"/>
      <c r="H762" s="25"/>
      <c r="I762" s="25"/>
      <c r="J762" s="25"/>
      <c r="K762" s="25"/>
      <c r="L762" s="25"/>
      <c r="M762" s="25"/>
      <c r="N762" s="25"/>
      <c r="O762" s="25"/>
      <c r="P762" s="25"/>
      <c r="Q762" s="25"/>
      <c r="R762" s="25"/>
      <c r="S762" s="25"/>
      <c r="T762" s="25"/>
      <c r="U762" s="25"/>
      <c r="V762" s="25"/>
      <c r="W762" s="25"/>
      <c r="X762" s="25"/>
      <c r="Y762" s="25"/>
      <c r="Z762" s="25"/>
    </row>
    <row r="763" ht="15.75" customHeight="1">
      <c r="A763" s="25"/>
      <c r="B763" s="503"/>
      <c r="C763" s="503"/>
      <c r="D763" s="503"/>
      <c r="E763" s="25"/>
      <c r="F763" s="25"/>
      <c r="G763" s="25"/>
      <c r="H763" s="25"/>
      <c r="I763" s="25"/>
      <c r="J763" s="25"/>
      <c r="K763" s="25"/>
      <c r="L763" s="25"/>
      <c r="M763" s="25"/>
      <c r="N763" s="25"/>
      <c r="O763" s="25"/>
      <c r="P763" s="25"/>
      <c r="Q763" s="25"/>
      <c r="R763" s="25"/>
      <c r="S763" s="25"/>
      <c r="T763" s="25"/>
      <c r="U763" s="25"/>
      <c r="V763" s="25"/>
      <c r="W763" s="25"/>
      <c r="X763" s="25"/>
      <c r="Y763" s="25"/>
      <c r="Z763" s="25"/>
    </row>
    <row r="764" ht="15.75" customHeight="1">
      <c r="A764" s="25"/>
      <c r="B764" s="503"/>
      <c r="C764" s="503"/>
      <c r="D764" s="503"/>
      <c r="E764" s="25"/>
      <c r="F764" s="25"/>
      <c r="G764" s="25"/>
      <c r="H764" s="25"/>
      <c r="I764" s="25"/>
      <c r="J764" s="25"/>
      <c r="K764" s="25"/>
      <c r="L764" s="25"/>
      <c r="M764" s="25"/>
      <c r="N764" s="25"/>
      <c r="O764" s="25"/>
      <c r="P764" s="25"/>
      <c r="Q764" s="25"/>
      <c r="R764" s="25"/>
      <c r="S764" s="25"/>
      <c r="T764" s="25"/>
      <c r="U764" s="25"/>
      <c r="V764" s="25"/>
      <c r="W764" s="25"/>
      <c r="X764" s="25"/>
      <c r="Y764" s="25"/>
      <c r="Z764" s="25"/>
    </row>
    <row r="765" ht="15.75" customHeight="1">
      <c r="A765" s="25"/>
      <c r="B765" s="503"/>
      <c r="C765" s="503"/>
      <c r="D765" s="503"/>
      <c r="E765" s="25"/>
      <c r="F765" s="25"/>
      <c r="G765" s="25"/>
      <c r="H765" s="25"/>
      <c r="I765" s="25"/>
      <c r="J765" s="25"/>
      <c r="K765" s="25"/>
      <c r="L765" s="25"/>
      <c r="M765" s="25"/>
      <c r="N765" s="25"/>
      <c r="O765" s="25"/>
      <c r="P765" s="25"/>
      <c r="Q765" s="25"/>
      <c r="R765" s="25"/>
      <c r="S765" s="25"/>
      <c r="T765" s="25"/>
      <c r="U765" s="25"/>
      <c r="V765" s="25"/>
      <c r="W765" s="25"/>
      <c r="X765" s="25"/>
      <c r="Y765" s="25"/>
      <c r="Z765" s="25"/>
    </row>
    <row r="766" ht="15.75" customHeight="1">
      <c r="A766" s="25"/>
      <c r="B766" s="503"/>
      <c r="C766" s="503"/>
      <c r="D766" s="503"/>
      <c r="E766" s="25"/>
      <c r="F766" s="25"/>
      <c r="G766" s="25"/>
      <c r="H766" s="25"/>
      <c r="I766" s="25"/>
      <c r="J766" s="25"/>
      <c r="K766" s="25"/>
      <c r="L766" s="25"/>
      <c r="M766" s="25"/>
      <c r="N766" s="25"/>
      <c r="O766" s="25"/>
      <c r="P766" s="25"/>
      <c r="Q766" s="25"/>
      <c r="R766" s="25"/>
      <c r="S766" s="25"/>
      <c r="T766" s="25"/>
      <c r="U766" s="25"/>
      <c r="V766" s="25"/>
      <c r="W766" s="25"/>
      <c r="X766" s="25"/>
      <c r="Y766" s="25"/>
      <c r="Z766" s="25"/>
    </row>
    <row r="767" ht="15.75" customHeight="1">
      <c r="A767" s="25"/>
      <c r="B767" s="503"/>
      <c r="C767" s="503"/>
      <c r="D767" s="503"/>
      <c r="E767" s="25"/>
      <c r="F767" s="25"/>
      <c r="G767" s="25"/>
      <c r="H767" s="25"/>
      <c r="I767" s="25"/>
      <c r="J767" s="25"/>
      <c r="K767" s="25"/>
      <c r="L767" s="25"/>
      <c r="M767" s="25"/>
      <c r="N767" s="25"/>
      <c r="O767" s="25"/>
      <c r="P767" s="25"/>
      <c r="Q767" s="25"/>
      <c r="R767" s="25"/>
      <c r="S767" s="25"/>
      <c r="T767" s="25"/>
      <c r="U767" s="25"/>
      <c r="V767" s="25"/>
      <c r="W767" s="25"/>
      <c r="X767" s="25"/>
      <c r="Y767" s="25"/>
      <c r="Z767" s="25"/>
    </row>
    <row r="768" ht="15.75" customHeight="1">
      <c r="A768" s="25"/>
      <c r="B768" s="503"/>
      <c r="C768" s="503"/>
      <c r="D768" s="503"/>
      <c r="E768" s="25"/>
      <c r="F768" s="25"/>
      <c r="G768" s="25"/>
      <c r="H768" s="25"/>
      <c r="I768" s="25"/>
      <c r="J768" s="25"/>
      <c r="K768" s="25"/>
      <c r="L768" s="25"/>
      <c r="M768" s="25"/>
      <c r="N768" s="25"/>
      <c r="O768" s="25"/>
      <c r="P768" s="25"/>
      <c r="Q768" s="25"/>
      <c r="R768" s="25"/>
      <c r="S768" s="25"/>
      <c r="T768" s="25"/>
      <c r="U768" s="25"/>
      <c r="V768" s="25"/>
      <c r="W768" s="25"/>
      <c r="X768" s="25"/>
      <c r="Y768" s="25"/>
      <c r="Z768" s="25"/>
    </row>
    <row r="769" ht="15.75" customHeight="1">
      <c r="A769" s="25"/>
      <c r="B769" s="503"/>
      <c r="C769" s="503"/>
      <c r="D769" s="503"/>
      <c r="E769" s="25"/>
      <c r="F769" s="25"/>
      <c r="G769" s="25"/>
      <c r="H769" s="25"/>
      <c r="I769" s="25"/>
      <c r="J769" s="25"/>
      <c r="K769" s="25"/>
      <c r="L769" s="25"/>
      <c r="M769" s="25"/>
      <c r="N769" s="25"/>
      <c r="O769" s="25"/>
      <c r="P769" s="25"/>
      <c r="Q769" s="25"/>
      <c r="R769" s="25"/>
      <c r="S769" s="25"/>
      <c r="T769" s="25"/>
      <c r="U769" s="25"/>
      <c r="V769" s="25"/>
      <c r="W769" s="25"/>
      <c r="X769" s="25"/>
      <c r="Y769" s="25"/>
      <c r="Z769" s="25"/>
    </row>
    <row r="770" ht="15.75" customHeight="1">
      <c r="A770" s="25"/>
      <c r="B770" s="503"/>
      <c r="C770" s="503"/>
      <c r="D770" s="503"/>
      <c r="E770" s="25"/>
      <c r="F770" s="25"/>
      <c r="G770" s="25"/>
      <c r="H770" s="25"/>
      <c r="I770" s="25"/>
      <c r="J770" s="25"/>
      <c r="K770" s="25"/>
      <c r="L770" s="25"/>
      <c r="M770" s="25"/>
      <c r="N770" s="25"/>
      <c r="O770" s="25"/>
      <c r="P770" s="25"/>
      <c r="Q770" s="25"/>
      <c r="R770" s="25"/>
      <c r="S770" s="25"/>
      <c r="T770" s="25"/>
      <c r="U770" s="25"/>
      <c r="V770" s="25"/>
      <c r="W770" s="25"/>
      <c r="X770" s="25"/>
      <c r="Y770" s="25"/>
      <c r="Z770" s="25"/>
    </row>
    <row r="771" ht="15.75" customHeight="1">
      <c r="A771" s="25"/>
      <c r="B771" s="503"/>
      <c r="C771" s="503"/>
      <c r="D771" s="503"/>
      <c r="E771" s="25"/>
      <c r="F771" s="25"/>
      <c r="G771" s="25"/>
      <c r="H771" s="25"/>
      <c r="I771" s="25"/>
      <c r="J771" s="25"/>
      <c r="K771" s="25"/>
      <c r="L771" s="25"/>
      <c r="M771" s="25"/>
      <c r="N771" s="25"/>
      <c r="O771" s="25"/>
      <c r="P771" s="25"/>
      <c r="Q771" s="25"/>
      <c r="R771" s="25"/>
      <c r="S771" s="25"/>
      <c r="T771" s="25"/>
      <c r="U771" s="25"/>
      <c r="V771" s="25"/>
      <c r="W771" s="25"/>
      <c r="X771" s="25"/>
      <c r="Y771" s="25"/>
      <c r="Z771" s="25"/>
    </row>
    <row r="772" ht="15.75" customHeight="1">
      <c r="A772" s="25"/>
      <c r="B772" s="503"/>
      <c r="C772" s="503"/>
      <c r="D772" s="503"/>
      <c r="E772" s="25"/>
      <c r="F772" s="25"/>
      <c r="G772" s="25"/>
      <c r="H772" s="25"/>
      <c r="I772" s="25"/>
      <c r="J772" s="25"/>
      <c r="K772" s="25"/>
      <c r="L772" s="25"/>
      <c r="M772" s="25"/>
      <c r="N772" s="25"/>
      <c r="O772" s="25"/>
      <c r="P772" s="25"/>
      <c r="Q772" s="25"/>
      <c r="R772" s="25"/>
      <c r="S772" s="25"/>
      <c r="T772" s="25"/>
      <c r="U772" s="25"/>
      <c r="V772" s="25"/>
      <c r="W772" s="25"/>
      <c r="X772" s="25"/>
      <c r="Y772" s="25"/>
      <c r="Z772" s="25"/>
    </row>
    <row r="773" ht="15.75" customHeight="1">
      <c r="A773" s="25"/>
      <c r="B773" s="503"/>
      <c r="C773" s="503"/>
      <c r="D773" s="503"/>
      <c r="E773" s="25"/>
      <c r="F773" s="25"/>
      <c r="G773" s="25"/>
      <c r="H773" s="25"/>
      <c r="I773" s="25"/>
      <c r="J773" s="25"/>
      <c r="K773" s="25"/>
      <c r="L773" s="25"/>
      <c r="M773" s="25"/>
      <c r="N773" s="25"/>
      <c r="O773" s="25"/>
      <c r="P773" s="25"/>
      <c r="Q773" s="25"/>
      <c r="R773" s="25"/>
      <c r="S773" s="25"/>
      <c r="T773" s="25"/>
      <c r="U773" s="25"/>
      <c r="V773" s="25"/>
      <c r="W773" s="25"/>
      <c r="X773" s="25"/>
      <c r="Y773" s="25"/>
      <c r="Z773" s="25"/>
    </row>
    <row r="774" ht="15.75" customHeight="1">
      <c r="A774" s="25"/>
      <c r="B774" s="503"/>
      <c r="C774" s="503"/>
      <c r="D774" s="503"/>
      <c r="E774" s="25"/>
      <c r="F774" s="25"/>
      <c r="G774" s="25"/>
      <c r="H774" s="25"/>
      <c r="I774" s="25"/>
      <c r="J774" s="25"/>
      <c r="K774" s="25"/>
      <c r="L774" s="25"/>
      <c r="M774" s="25"/>
      <c r="N774" s="25"/>
      <c r="O774" s="25"/>
      <c r="P774" s="25"/>
      <c r="Q774" s="25"/>
      <c r="R774" s="25"/>
      <c r="S774" s="25"/>
      <c r="T774" s="25"/>
      <c r="U774" s="25"/>
      <c r="V774" s="25"/>
      <c r="W774" s="25"/>
      <c r="X774" s="25"/>
      <c r="Y774" s="25"/>
      <c r="Z774" s="25"/>
    </row>
    <row r="775" ht="15.75" customHeight="1">
      <c r="A775" s="25"/>
      <c r="B775" s="503"/>
      <c r="C775" s="503"/>
      <c r="D775" s="503"/>
      <c r="E775" s="25"/>
      <c r="F775" s="25"/>
      <c r="G775" s="25"/>
      <c r="H775" s="25"/>
      <c r="I775" s="25"/>
      <c r="J775" s="25"/>
      <c r="K775" s="25"/>
      <c r="L775" s="25"/>
      <c r="M775" s="25"/>
      <c r="N775" s="25"/>
      <c r="O775" s="25"/>
      <c r="P775" s="25"/>
      <c r="Q775" s="25"/>
      <c r="R775" s="25"/>
      <c r="S775" s="25"/>
      <c r="T775" s="25"/>
      <c r="U775" s="25"/>
      <c r="V775" s="25"/>
      <c r="W775" s="25"/>
      <c r="X775" s="25"/>
      <c r="Y775" s="25"/>
      <c r="Z775" s="25"/>
    </row>
    <row r="776" ht="15.75" customHeight="1">
      <c r="A776" s="25"/>
      <c r="B776" s="503"/>
      <c r="C776" s="503"/>
      <c r="D776" s="503"/>
      <c r="E776" s="25"/>
      <c r="F776" s="25"/>
      <c r="G776" s="25"/>
      <c r="H776" s="25"/>
      <c r="I776" s="25"/>
      <c r="J776" s="25"/>
      <c r="K776" s="25"/>
      <c r="L776" s="25"/>
      <c r="M776" s="25"/>
      <c r="N776" s="25"/>
      <c r="O776" s="25"/>
      <c r="P776" s="25"/>
      <c r="Q776" s="25"/>
      <c r="R776" s="25"/>
      <c r="S776" s="25"/>
      <c r="T776" s="25"/>
      <c r="U776" s="25"/>
      <c r="V776" s="25"/>
      <c r="W776" s="25"/>
      <c r="X776" s="25"/>
      <c r="Y776" s="25"/>
      <c r="Z776" s="25"/>
    </row>
    <row r="777" ht="15.75" customHeight="1">
      <c r="A777" s="25"/>
      <c r="B777" s="503"/>
      <c r="C777" s="503"/>
      <c r="D777" s="503"/>
      <c r="E777" s="25"/>
      <c r="F777" s="25"/>
      <c r="G777" s="25"/>
      <c r="H777" s="25"/>
      <c r="I777" s="25"/>
      <c r="J777" s="25"/>
      <c r="K777" s="25"/>
      <c r="L777" s="25"/>
      <c r="M777" s="25"/>
      <c r="N777" s="25"/>
      <c r="O777" s="25"/>
      <c r="P777" s="25"/>
      <c r="Q777" s="25"/>
      <c r="R777" s="25"/>
      <c r="S777" s="25"/>
      <c r="T777" s="25"/>
      <c r="U777" s="25"/>
      <c r="V777" s="25"/>
      <c r="W777" s="25"/>
      <c r="X777" s="25"/>
      <c r="Y777" s="25"/>
      <c r="Z777" s="25"/>
    </row>
    <row r="778" ht="15.75" customHeight="1">
      <c r="A778" s="25"/>
      <c r="B778" s="503"/>
      <c r="C778" s="503"/>
      <c r="D778" s="503"/>
      <c r="E778" s="25"/>
      <c r="F778" s="25"/>
      <c r="G778" s="25"/>
      <c r="H778" s="25"/>
      <c r="I778" s="25"/>
      <c r="J778" s="25"/>
      <c r="K778" s="25"/>
      <c r="L778" s="25"/>
      <c r="M778" s="25"/>
      <c r="N778" s="25"/>
      <c r="O778" s="25"/>
      <c r="P778" s="25"/>
      <c r="Q778" s="25"/>
      <c r="R778" s="25"/>
      <c r="S778" s="25"/>
      <c r="T778" s="25"/>
      <c r="U778" s="25"/>
      <c r="V778" s="25"/>
      <c r="W778" s="25"/>
      <c r="X778" s="25"/>
      <c r="Y778" s="25"/>
      <c r="Z778" s="25"/>
    </row>
    <row r="779" ht="15.75" customHeight="1">
      <c r="A779" s="25"/>
      <c r="B779" s="503"/>
      <c r="C779" s="503"/>
      <c r="D779" s="503"/>
      <c r="E779" s="25"/>
      <c r="F779" s="25"/>
      <c r="G779" s="25"/>
      <c r="H779" s="25"/>
      <c r="I779" s="25"/>
      <c r="J779" s="25"/>
      <c r="K779" s="25"/>
      <c r="L779" s="25"/>
      <c r="M779" s="25"/>
      <c r="N779" s="25"/>
      <c r="O779" s="25"/>
      <c r="P779" s="25"/>
      <c r="Q779" s="25"/>
      <c r="R779" s="25"/>
      <c r="S779" s="25"/>
      <c r="T779" s="25"/>
      <c r="U779" s="25"/>
      <c r="V779" s="25"/>
      <c r="W779" s="25"/>
      <c r="X779" s="25"/>
      <c r="Y779" s="25"/>
      <c r="Z779" s="25"/>
    </row>
    <row r="780" ht="15.75" customHeight="1">
      <c r="A780" s="25"/>
      <c r="B780" s="503"/>
      <c r="C780" s="503"/>
      <c r="D780" s="503"/>
      <c r="E780" s="25"/>
      <c r="F780" s="25"/>
      <c r="G780" s="25"/>
      <c r="H780" s="25"/>
      <c r="I780" s="25"/>
      <c r="J780" s="25"/>
      <c r="K780" s="25"/>
      <c r="L780" s="25"/>
      <c r="M780" s="25"/>
      <c r="N780" s="25"/>
      <c r="O780" s="25"/>
      <c r="P780" s="25"/>
      <c r="Q780" s="25"/>
      <c r="R780" s="25"/>
      <c r="S780" s="25"/>
      <c r="T780" s="25"/>
      <c r="U780" s="25"/>
      <c r="V780" s="25"/>
      <c r="W780" s="25"/>
      <c r="X780" s="25"/>
      <c r="Y780" s="25"/>
      <c r="Z780" s="25"/>
    </row>
    <row r="781" ht="15.75" customHeight="1">
      <c r="A781" s="25"/>
      <c r="B781" s="503"/>
      <c r="C781" s="503"/>
      <c r="D781" s="503"/>
      <c r="E781" s="25"/>
      <c r="F781" s="25"/>
      <c r="G781" s="25"/>
      <c r="H781" s="25"/>
      <c r="I781" s="25"/>
      <c r="J781" s="25"/>
      <c r="K781" s="25"/>
      <c r="L781" s="25"/>
      <c r="M781" s="25"/>
      <c r="N781" s="25"/>
      <c r="O781" s="25"/>
      <c r="P781" s="25"/>
      <c r="Q781" s="25"/>
      <c r="R781" s="25"/>
      <c r="S781" s="25"/>
      <c r="T781" s="25"/>
      <c r="U781" s="25"/>
      <c r="V781" s="25"/>
      <c r="W781" s="25"/>
      <c r="X781" s="25"/>
      <c r="Y781" s="25"/>
      <c r="Z781" s="25"/>
    </row>
    <row r="782" ht="15.75" customHeight="1">
      <c r="A782" s="25"/>
      <c r="B782" s="503"/>
      <c r="C782" s="503"/>
      <c r="D782" s="503"/>
      <c r="E782" s="25"/>
      <c r="F782" s="25"/>
      <c r="G782" s="25"/>
      <c r="H782" s="25"/>
      <c r="I782" s="25"/>
      <c r="J782" s="25"/>
      <c r="K782" s="25"/>
      <c r="L782" s="25"/>
      <c r="M782" s="25"/>
      <c r="N782" s="25"/>
      <c r="O782" s="25"/>
      <c r="P782" s="25"/>
      <c r="Q782" s="25"/>
      <c r="R782" s="25"/>
      <c r="S782" s="25"/>
      <c r="T782" s="25"/>
      <c r="U782" s="25"/>
      <c r="V782" s="25"/>
      <c r="W782" s="25"/>
      <c r="X782" s="25"/>
      <c r="Y782" s="25"/>
      <c r="Z782" s="25"/>
    </row>
    <row r="783" ht="15.75" customHeight="1">
      <c r="A783" s="25"/>
      <c r="B783" s="503"/>
      <c r="C783" s="503"/>
      <c r="D783" s="503"/>
      <c r="E783" s="25"/>
      <c r="F783" s="25"/>
      <c r="G783" s="25"/>
      <c r="H783" s="25"/>
      <c r="I783" s="25"/>
      <c r="J783" s="25"/>
      <c r="K783" s="25"/>
      <c r="L783" s="25"/>
      <c r="M783" s="25"/>
      <c r="N783" s="25"/>
      <c r="O783" s="25"/>
      <c r="P783" s="25"/>
      <c r="Q783" s="25"/>
      <c r="R783" s="25"/>
      <c r="S783" s="25"/>
      <c r="T783" s="25"/>
      <c r="U783" s="25"/>
      <c r="V783" s="25"/>
      <c r="W783" s="25"/>
      <c r="X783" s="25"/>
      <c r="Y783" s="25"/>
      <c r="Z783" s="25"/>
    </row>
    <row r="784" ht="15.75" customHeight="1">
      <c r="A784" s="25"/>
      <c r="B784" s="503"/>
      <c r="C784" s="503"/>
      <c r="D784" s="503"/>
      <c r="E784" s="25"/>
      <c r="F784" s="25"/>
      <c r="G784" s="25"/>
      <c r="H784" s="25"/>
      <c r="I784" s="25"/>
      <c r="J784" s="25"/>
      <c r="K784" s="25"/>
      <c r="L784" s="25"/>
      <c r="M784" s="25"/>
      <c r="N784" s="25"/>
      <c r="O784" s="25"/>
      <c r="P784" s="25"/>
      <c r="Q784" s="25"/>
      <c r="R784" s="25"/>
      <c r="S784" s="25"/>
      <c r="T784" s="25"/>
      <c r="U784" s="25"/>
      <c r="V784" s="25"/>
      <c r="W784" s="25"/>
      <c r="X784" s="25"/>
      <c r="Y784" s="25"/>
      <c r="Z784" s="25"/>
    </row>
    <row r="785" ht="15.75" customHeight="1">
      <c r="A785" s="25"/>
      <c r="B785" s="503"/>
      <c r="C785" s="503"/>
      <c r="D785" s="503"/>
      <c r="E785" s="25"/>
      <c r="F785" s="25"/>
      <c r="G785" s="25"/>
      <c r="H785" s="25"/>
      <c r="I785" s="25"/>
      <c r="J785" s="25"/>
      <c r="K785" s="25"/>
      <c r="L785" s="25"/>
      <c r="M785" s="25"/>
      <c r="N785" s="25"/>
      <c r="O785" s="25"/>
      <c r="P785" s="25"/>
      <c r="Q785" s="25"/>
      <c r="R785" s="25"/>
      <c r="S785" s="25"/>
      <c r="T785" s="25"/>
      <c r="U785" s="25"/>
      <c r="V785" s="25"/>
      <c r="W785" s="25"/>
      <c r="X785" s="25"/>
      <c r="Y785" s="25"/>
      <c r="Z785" s="25"/>
    </row>
    <row r="786" ht="15.75" customHeight="1">
      <c r="A786" s="25"/>
      <c r="B786" s="503"/>
      <c r="C786" s="503"/>
      <c r="D786" s="503"/>
      <c r="E786" s="25"/>
      <c r="F786" s="25"/>
      <c r="G786" s="25"/>
      <c r="H786" s="25"/>
      <c r="I786" s="25"/>
      <c r="J786" s="25"/>
      <c r="K786" s="25"/>
      <c r="L786" s="25"/>
      <c r="M786" s="25"/>
      <c r="N786" s="25"/>
      <c r="O786" s="25"/>
      <c r="P786" s="25"/>
      <c r="Q786" s="25"/>
      <c r="R786" s="25"/>
      <c r="S786" s="25"/>
      <c r="T786" s="25"/>
      <c r="U786" s="25"/>
      <c r="V786" s="25"/>
      <c r="W786" s="25"/>
      <c r="X786" s="25"/>
      <c r="Y786" s="25"/>
      <c r="Z786" s="25"/>
    </row>
    <row r="787" ht="15.75" customHeight="1">
      <c r="A787" s="25"/>
      <c r="B787" s="503"/>
      <c r="C787" s="503"/>
      <c r="D787" s="503"/>
      <c r="E787" s="25"/>
      <c r="F787" s="25"/>
      <c r="G787" s="25"/>
      <c r="H787" s="25"/>
      <c r="I787" s="25"/>
      <c r="J787" s="25"/>
      <c r="K787" s="25"/>
      <c r="L787" s="25"/>
      <c r="M787" s="25"/>
      <c r="N787" s="25"/>
      <c r="O787" s="25"/>
      <c r="P787" s="25"/>
      <c r="Q787" s="25"/>
      <c r="R787" s="25"/>
      <c r="S787" s="25"/>
      <c r="T787" s="25"/>
      <c r="U787" s="25"/>
      <c r="V787" s="25"/>
      <c r="W787" s="25"/>
      <c r="X787" s="25"/>
      <c r="Y787" s="25"/>
      <c r="Z787" s="25"/>
    </row>
    <row r="788" ht="15.75" customHeight="1">
      <c r="A788" s="25"/>
      <c r="B788" s="503"/>
      <c r="C788" s="503"/>
      <c r="D788" s="503"/>
      <c r="E788" s="25"/>
      <c r="F788" s="25"/>
      <c r="G788" s="25"/>
      <c r="H788" s="25"/>
      <c r="I788" s="25"/>
      <c r="J788" s="25"/>
      <c r="K788" s="25"/>
      <c r="L788" s="25"/>
      <c r="M788" s="25"/>
      <c r="N788" s="25"/>
      <c r="O788" s="25"/>
      <c r="P788" s="25"/>
      <c r="Q788" s="25"/>
      <c r="R788" s="25"/>
      <c r="S788" s="25"/>
      <c r="T788" s="25"/>
      <c r="U788" s="25"/>
      <c r="V788" s="25"/>
      <c r="W788" s="25"/>
      <c r="X788" s="25"/>
      <c r="Y788" s="25"/>
      <c r="Z788" s="25"/>
    </row>
    <row r="789" ht="15.75" customHeight="1">
      <c r="A789" s="25"/>
      <c r="B789" s="503"/>
      <c r="C789" s="503"/>
      <c r="D789" s="503"/>
      <c r="E789" s="25"/>
      <c r="F789" s="25"/>
      <c r="G789" s="25"/>
      <c r="H789" s="25"/>
      <c r="I789" s="25"/>
      <c r="J789" s="25"/>
      <c r="K789" s="25"/>
      <c r="L789" s="25"/>
      <c r="M789" s="25"/>
      <c r="N789" s="25"/>
      <c r="O789" s="25"/>
      <c r="P789" s="25"/>
      <c r="Q789" s="25"/>
      <c r="R789" s="25"/>
      <c r="S789" s="25"/>
      <c r="T789" s="25"/>
      <c r="U789" s="25"/>
      <c r="V789" s="25"/>
      <c r="W789" s="25"/>
      <c r="X789" s="25"/>
      <c r="Y789" s="25"/>
      <c r="Z789" s="25"/>
    </row>
    <row r="790" ht="15.75" customHeight="1">
      <c r="A790" s="25"/>
      <c r="B790" s="503"/>
      <c r="C790" s="503"/>
      <c r="D790" s="503"/>
      <c r="E790" s="25"/>
      <c r="F790" s="25"/>
      <c r="G790" s="25"/>
      <c r="H790" s="25"/>
      <c r="I790" s="25"/>
      <c r="J790" s="25"/>
      <c r="K790" s="25"/>
      <c r="L790" s="25"/>
      <c r="M790" s="25"/>
      <c r="N790" s="25"/>
      <c r="O790" s="25"/>
      <c r="P790" s="25"/>
      <c r="Q790" s="25"/>
      <c r="R790" s="25"/>
      <c r="S790" s="25"/>
      <c r="T790" s="25"/>
      <c r="U790" s="25"/>
      <c r="V790" s="25"/>
      <c r="W790" s="25"/>
      <c r="X790" s="25"/>
      <c r="Y790" s="25"/>
      <c r="Z790" s="25"/>
    </row>
    <row r="791" ht="15.75" customHeight="1">
      <c r="A791" s="25"/>
      <c r="B791" s="503"/>
      <c r="C791" s="503"/>
      <c r="D791" s="503"/>
      <c r="E791" s="25"/>
      <c r="F791" s="25"/>
      <c r="G791" s="25"/>
      <c r="H791" s="25"/>
      <c r="I791" s="25"/>
      <c r="J791" s="25"/>
      <c r="K791" s="25"/>
      <c r="L791" s="25"/>
      <c r="M791" s="25"/>
      <c r="N791" s="25"/>
      <c r="O791" s="25"/>
      <c r="P791" s="25"/>
      <c r="Q791" s="25"/>
      <c r="R791" s="25"/>
      <c r="S791" s="25"/>
      <c r="T791" s="25"/>
      <c r="U791" s="25"/>
      <c r="V791" s="25"/>
      <c r="W791" s="25"/>
      <c r="X791" s="25"/>
      <c r="Y791" s="25"/>
      <c r="Z791" s="25"/>
    </row>
    <row r="792" ht="15.75" customHeight="1">
      <c r="A792" s="25"/>
      <c r="B792" s="503"/>
      <c r="C792" s="503"/>
      <c r="D792" s="503"/>
      <c r="E792" s="25"/>
      <c r="F792" s="25"/>
      <c r="G792" s="25"/>
      <c r="H792" s="25"/>
      <c r="I792" s="25"/>
      <c r="J792" s="25"/>
      <c r="K792" s="25"/>
      <c r="L792" s="25"/>
      <c r="M792" s="25"/>
      <c r="N792" s="25"/>
      <c r="O792" s="25"/>
      <c r="P792" s="25"/>
      <c r="Q792" s="25"/>
      <c r="R792" s="25"/>
      <c r="S792" s="25"/>
      <c r="T792" s="25"/>
      <c r="U792" s="25"/>
      <c r="V792" s="25"/>
      <c r="W792" s="25"/>
      <c r="X792" s="25"/>
      <c r="Y792" s="25"/>
      <c r="Z792" s="25"/>
    </row>
    <row r="793" ht="15.75" customHeight="1">
      <c r="A793" s="25"/>
      <c r="B793" s="503"/>
      <c r="C793" s="503"/>
      <c r="D793" s="503"/>
      <c r="E793" s="25"/>
      <c r="F793" s="25"/>
      <c r="G793" s="25"/>
      <c r="H793" s="25"/>
      <c r="I793" s="25"/>
      <c r="J793" s="25"/>
      <c r="K793" s="25"/>
      <c r="L793" s="25"/>
      <c r="M793" s="25"/>
      <c r="N793" s="25"/>
      <c r="O793" s="25"/>
      <c r="P793" s="25"/>
      <c r="Q793" s="25"/>
      <c r="R793" s="25"/>
      <c r="S793" s="25"/>
      <c r="T793" s="25"/>
      <c r="U793" s="25"/>
      <c r="V793" s="25"/>
      <c r="W793" s="25"/>
      <c r="X793" s="25"/>
      <c r="Y793" s="25"/>
      <c r="Z793" s="25"/>
    </row>
    <row r="794" ht="15.75" customHeight="1">
      <c r="A794" s="25"/>
      <c r="B794" s="503"/>
      <c r="C794" s="503"/>
      <c r="D794" s="503"/>
      <c r="E794" s="25"/>
      <c r="F794" s="25"/>
      <c r="G794" s="25"/>
      <c r="H794" s="25"/>
      <c r="I794" s="25"/>
      <c r="J794" s="25"/>
      <c r="K794" s="25"/>
      <c r="L794" s="25"/>
      <c r="M794" s="25"/>
      <c r="N794" s="25"/>
      <c r="O794" s="25"/>
      <c r="P794" s="25"/>
      <c r="Q794" s="25"/>
      <c r="R794" s="25"/>
      <c r="S794" s="25"/>
      <c r="T794" s="25"/>
      <c r="U794" s="25"/>
      <c r="V794" s="25"/>
      <c r="W794" s="25"/>
      <c r="X794" s="25"/>
      <c r="Y794" s="25"/>
      <c r="Z794" s="25"/>
    </row>
    <row r="795" ht="15.75" customHeight="1">
      <c r="A795" s="25"/>
      <c r="B795" s="503"/>
      <c r="C795" s="503"/>
      <c r="D795" s="503"/>
      <c r="E795" s="25"/>
      <c r="F795" s="25"/>
      <c r="G795" s="25"/>
      <c r="H795" s="25"/>
      <c r="I795" s="25"/>
      <c r="J795" s="25"/>
      <c r="K795" s="25"/>
      <c r="L795" s="25"/>
      <c r="M795" s="25"/>
      <c r="N795" s="25"/>
      <c r="O795" s="25"/>
      <c r="P795" s="25"/>
      <c r="Q795" s="25"/>
      <c r="R795" s="25"/>
      <c r="S795" s="25"/>
      <c r="T795" s="25"/>
      <c r="U795" s="25"/>
      <c r="V795" s="25"/>
      <c r="W795" s="25"/>
      <c r="X795" s="25"/>
      <c r="Y795" s="25"/>
      <c r="Z795" s="25"/>
    </row>
    <row r="796" ht="15.75" customHeight="1">
      <c r="A796" s="25"/>
      <c r="B796" s="503"/>
      <c r="C796" s="503"/>
      <c r="D796" s="503"/>
      <c r="E796" s="25"/>
      <c r="F796" s="25"/>
      <c r="G796" s="25"/>
      <c r="H796" s="25"/>
      <c r="I796" s="25"/>
      <c r="J796" s="25"/>
      <c r="K796" s="25"/>
      <c r="L796" s="25"/>
      <c r="M796" s="25"/>
      <c r="N796" s="25"/>
      <c r="O796" s="25"/>
      <c r="P796" s="25"/>
      <c r="Q796" s="25"/>
      <c r="R796" s="25"/>
      <c r="S796" s="25"/>
      <c r="T796" s="25"/>
      <c r="U796" s="25"/>
      <c r="V796" s="25"/>
      <c r="W796" s="25"/>
      <c r="X796" s="25"/>
      <c r="Y796" s="25"/>
      <c r="Z796" s="25"/>
    </row>
    <row r="797" ht="15.75" customHeight="1">
      <c r="A797" s="25"/>
      <c r="B797" s="503"/>
      <c r="C797" s="503"/>
      <c r="D797" s="503"/>
      <c r="E797" s="25"/>
      <c r="F797" s="25"/>
      <c r="G797" s="25"/>
      <c r="H797" s="25"/>
      <c r="I797" s="25"/>
      <c r="J797" s="25"/>
      <c r="K797" s="25"/>
      <c r="L797" s="25"/>
      <c r="M797" s="25"/>
      <c r="N797" s="25"/>
      <c r="O797" s="25"/>
      <c r="P797" s="25"/>
      <c r="Q797" s="25"/>
      <c r="R797" s="25"/>
      <c r="S797" s="25"/>
      <c r="T797" s="25"/>
      <c r="U797" s="25"/>
      <c r="V797" s="25"/>
      <c r="W797" s="25"/>
      <c r="X797" s="25"/>
      <c r="Y797" s="25"/>
      <c r="Z797" s="25"/>
    </row>
    <row r="798" ht="15.75" customHeight="1">
      <c r="A798" s="25"/>
      <c r="B798" s="503"/>
      <c r="C798" s="503"/>
      <c r="D798" s="503"/>
      <c r="E798" s="25"/>
      <c r="F798" s="25"/>
      <c r="G798" s="25"/>
      <c r="H798" s="25"/>
      <c r="I798" s="25"/>
      <c r="J798" s="25"/>
      <c r="K798" s="25"/>
      <c r="L798" s="25"/>
      <c r="M798" s="25"/>
      <c r="N798" s="25"/>
      <c r="O798" s="25"/>
      <c r="P798" s="25"/>
      <c r="Q798" s="25"/>
      <c r="R798" s="25"/>
      <c r="S798" s="25"/>
      <c r="T798" s="25"/>
      <c r="U798" s="25"/>
      <c r="V798" s="25"/>
      <c r="W798" s="25"/>
      <c r="X798" s="25"/>
      <c r="Y798" s="25"/>
      <c r="Z798" s="25"/>
    </row>
    <row r="799" ht="15.75" customHeight="1">
      <c r="A799" s="25"/>
      <c r="B799" s="503"/>
      <c r="C799" s="503"/>
      <c r="D799" s="503"/>
      <c r="E799" s="25"/>
      <c r="F799" s="25"/>
      <c r="G799" s="25"/>
      <c r="H799" s="25"/>
      <c r="I799" s="25"/>
      <c r="J799" s="25"/>
      <c r="K799" s="25"/>
      <c r="L799" s="25"/>
      <c r="M799" s="25"/>
      <c r="N799" s="25"/>
      <c r="O799" s="25"/>
      <c r="P799" s="25"/>
      <c r="Q799" s="25"/>
      <c r="R799" s="25"/>
      <c r="S799" s="25"/>
      <c r="T799" s="25"/>
      <c r="U799" s="25"/>
      <c r="V799" s="25"/>
      <c r="W799" s="25"/>
      <c r="X799" s="25"/>
      <c r="Y799" s="25"/>
      <c r="Z799" s="25"/>
    </row>
    <row r="800" ht="15.75" customHeight="1">
      <c r="A800" s="25"/>
      <c r="B800" s="503"/>
      <c r="C800" s="503"/>
      <c r="D800" s="503"/>
      <c r="E800" s="25"/>
      <c r="F800" s="25"/>
      <c r="G800" s="25"/>
      <c r="H800" s="25"/>
      <c r="I800" s="25"/>
      <c r="J800" s="25"/>
      <c r="K800" s="25"/>
      <c r="L800" s="25"/>
      <c r="M800" s="25"/>
      <c r="N800" s="25"/>
      <c r="O800" s="25"/>
      <c r="P800" s="25"/>
      <c r="Q800" s="25"/>
      <c r="R800" s="25"/>
      <c r="S800" s="25"/>
      <c r="T800" s="25"/>
      <c r="U800" s="25"/>
      <c r="V800" s="25"/>
      <c r="W800" s="25"/>
      <c r="X800" s="25"/>
      <c r="Y800" s="25"/>
      <c r="Z800" s="25"/>
    </row>
    <row r="801" ht="15.75" customHeight="1">
      <c r="A801" s="25"/>
      <c r="B801" s="503"/>
      <c r="C801" s="503"/>
      <c r="D801" s="503"/>
      <c r="E801" s="25"/>
      <c r="F801" s="25"/>
      <c r="G801" s="25"/>
      <c r="H801" s="25"/>
      <c r="I801" s="25"/>
      <c r="J801" s="25"/>
      <c r="K801" s="25"/>
      <c r="L801" s="25"/>
      <c r="M801" s="25"/>
      <c r="N801" s="25"/>
      <c r="O801" s="25"/>
      <c r="P801" s="25"/>
      <c r="Q801" s="25"/>
      <c r="R801" s="25"/>
      <c r="S801" s="25"/>
      <c r="T801" s="25"/>
      <c r="U801" s="25"/>
      <c r="V801" s="25"/>
      <c r="W801" s="25"/>
      <c r="X801" s="25"/>
      <c r="Y801" s="25"/>
      <c r="Z801" s="25"/>
    </row>
    <row r="802" ht="15.75" customHeight="1">
      <c r="A802" s="25"/>
      <c r="B802" s="503"/>
      <c r="C802" s="503"/>
      <c r="D802" s="503"/>
      <c r="E802" s="25"/>
      <c r="F802" s="25"/>
      <c r="G802" s="25"/>
      <c r="H802" s="25"/>
      <c r="I802" s="25"/>
      <c r="J802" s="25"/>
      <c r="K802" s="25"/>
      <c r="L802" s="25"/>
      <c r="M802" s="25"/>
      <c r="N802" s="25"/>
      <c r="O802" s="25"/>
      <c r="P802" s="25"/>
      <c r="Q802" s="25"/>
      <c r="R802" s="25"/>
      <c r="S802" s="25"/>
      <c r="T802" s="25"/>
      <c r="U802" s="25"/>
      <c r="V802" s="25"/>
      <c r="W802" s="25"/>
      <c r="X802" s="25"/>
      <c r="Y802" s="25"/>
      <c r="Z802" s="25"/>
    </row>
    <row r="803" ht="15.75" customHeight="1">
      <c r="A803" s="25"/>
      <c r="B803" s="503"/>
      <c r="C803" s="503"/>
      <c r="D803" s="503"/>
      <c r="E803" s="25"/>
      <c r="F803" s="25"/>
      <c r="G803" s="25"/>
      <c r="H803" s="25"/>
      <c r="I803" s="25"/>
      <c r="J803" s="25"/>
      <c r="K803" s="25"/>
      <c r="L803" s="25"/>
      <c r="M803" s="25"/>
      <c r="N803" s="25"/>
      <c r="O803" s="25"/>
      <c r="P803" s="25"/>
      <c r="Q803" s="25"/>
      <c r="R803" s="25"/>
      <c r="S803" s="25"/>
      <c r="T803" s="25"/>
      <c r="U803" s="25"/>
      <c r="V803" s="25"/>
      <c r="W803" s="25"/>
      <c r="X803" s="25"/>
      <c r="Y803" s="25"/>
      <c r="Z803" s="25"/>
    </row>
    <row r="804" ht="15.75" customHeight="1">
      <c r="A804" s="25"/>
      <c r="B804" s="503"/>
      <c r="C804" s="503"/>
      <c r="D804" s="503"/>
      <c r="E804" s="25"/>
      <c r="F804" s="25"/>
      <c r="G804" s="25"/>
      <c r="H804" s="25"/>
      <c r="I804" s="25"/>
      <c r="J804" s="25"/>
      <c r="K804" s="25"/>
      <c r="L804" s="25"/>
      <c r="M804" s="25"/>
      <c r="N804" s="25"/>
      <c r="O804" s="25"/>
      <c r="P804" s="25"/>
      <c r="Q804" s="25"/>
      <c r="R804" s="25"/>
      <c r="S804" s="25"/>
      <c r="T804" s="25"/>
      <c r="U804" s="25"/>
      <c r="V804" s="25"/>
      <c r="W804" s="25"/>
      <c r="X804" s="25"/>
      <c r="Y804" s="25"/>
      <c r="Z804" s="25"/>
    </row>
    <row r="805" ht="15.75" customHeight="1">
      <c r="A805" s="25"/>
      <c r="B805" s="503"/>
      <c r="C805" s="503"/>
      <c r="D805" s="503"/>
      <c r="E805" s="25"/>
      <c r="F805" s="25"/>
      <c r="G805" s="25"/>
      <c r="H805" s="25"/>
      <c r="I805" s="25"/>
      <c r="J805" s="25"/>
      <c r="K805" s="25"/>
      <c r="L805" s="25"/>
      <c r="M805" s="25"/>
      <c r="N805" s="25"/>
      <c r="O805" s="25"/>
      <c r="P805" s="25"/>
      <c r="Q805" s="25"/>
      <c r="R805" s="25"/>
      <c r="S805" s="25"/>
      <c r="T805" s="25"/>
      <c r="U805" s="25"/>
      <c r="V805" s="25"/>
      <c r="W805" s="25"/>
      <c r="X805" s="25"/>
      <c r="Y805" s="25"/>
      <c r="Z805" s="25"/>
    </row>
    <row r="806" ht="15.75" customHeight="1">
      <c r="A806" s="25"/>
      <c r="B806" s="503"/>
      <c r="C806" s="503"/>
      <c r="D806" s="503"/>
      <c r="E806" s="25"/>
      <c r="F806" s="25"/>
      <c r="G806" s="25"/>
      <c r="H806" s="25"/>
      <c r="I806" s="25"/>
      <c r="J806" s="25"/>
      <c r="K806" s="25"/>
      <c r="L806" s="25"/>
      <c r="M806" s="25"/>
      <c r="N806" s="25"/>
      <c r="O806" s="25"/>
      <c r="P806" s="25"/>
      <c r="Q806" s="25"/>
      <c r="R806" s="25"/>
      <c r="S806" s="25"/>
      <c r="T806" s="25"/>
      <c r="U806" s="25"/>
      <c r="V806" s="25"/>
      <c r="W806" s="25"/>
      <c r="X806" s="25"/>
      <c r="Y806" s="25"/>
      <c r="Z806" s="25"/>
    </row>
    <row r="807" ht="15.75" customHeight="1">
      <c r="A807" s="25"/>
      <c r="B807" s="503"/>
      <c r="C807" s="503"/>
      <c r="D807" s="503"/>
      <c r="E807" s="25"/>
      <c r="F807" s="25"/>
      <c r="G807" s="25"/>
      <c r="H807" s="25"/>
      <c r="I807" s="25"/>
      <c r="J807" s="25"/>
      <c r="K807" s="25"/>
      <c r="L807" s="25"/>
      <c r="M807" s="25"/>
      <c r="N807" s="25"/>
      <c r="O807" s="25"/>
      <c r="P807" s="25"/>
      <c r="Q807" s="25"/>
      <c r="R807" s="25"/>
      <c r="S807" s="25"/>
      <c r="T807" s="25"/>
      <c r="U807" s="25"/>
      <c r="V807" s="25"/>
      <c r="W807" s="25"/>
      <c r="X807" s="25"/>
      <c r="Y807" s="25"/>
      <c r="Z807" s="25"/>
    </row>
    <row r="808" ht="15.75" customHeight="1">
      <c r="A808" s="25"/>
      <c r="B808" s="503"/>
      <c r="C808" s="503"/>
      <c r="D808" s="503"/>
      <c r="E808" s="25"/>
      <c r="F808" s="25"/>
      <c r="G808" s="25"/>
      <c r="H808" s="25"/>
      <c r="I808" s="25"/>
      <c r="J808" s="25"/>
      <c r="K808" s="25"/>
      <c r="L808" s="25"/>
      <c r="M808" s="25"/>
      <c r="N808" s="25"/>
      <c r="O808" s="25"/>
      <c r="P808" s="25"/>
      <c r="Q808" s="25"/>
      <c r="R808" s="25"/>
      <c r="S808" s="25"/>
      <c r="T808" s="25"/>
      <c r="U808" s="25"/>
      <c r="V808" s="25"/>
      <c r="W808" s="25"/>
      <c r="X808" s="25"/>
      <c r="Y808" s="25"/>
      <c r="Z808" s="25"/>
    </row>
    <row r="809" ht="15.75" customHeight="1">
      <c r="A809" s="25"/>
      <c r="B809" s="503"/>
      <c r="C809" s="503"/>
      <c r="D809" s="503"/>
      <c r="E809" s="25"/>
      <c r="F809" s="25"/>
      <c r="G809" s="25"/>
      <c r="H809" s="25"/>
      <c r="I809" s="25"/>
      <c r="J809" s="25"/>
      <c r="K809" s="25"/>
      <c r="L809" s="25"/>
      <c r="M809" s="25"/>
      <c r="N809" s="25"/>
      <c r="O809" s="25"/>
      <c r="P809" s="25"/>
      <c r="Q809" s="25"/>
      <c r="R809" s="25"/>
      <c r="S809" s="25"/>
      <c r="T809" s="25"/>
      <c r="U809" s="25"/>
      <c r="V809" s="25"/>
      <c r="W809" s="25"/>
      <c r="X809" s="25"/>
      <c r="Y809" s="25"/>
      <c r="Z809" s="25"/>
    </row>
    <row r="810" ht="15.75" customHeight="1">
      <c r="A810" s="25"/>
      <c r="B810" s="503"/>
      <c r="C810" s="503"/>
      <c r="D810" s="503"/>
      <c r="E810" s="25"/>
      <c r="F810" s="25"/>
      <c r="G810" s="25"/>
      <c r="H810" s="25"/>
      <c r="I810" s="25"/>
      <c r="J810" s="25"/>
      <c r="K810" s="25"/>
      <c r="L810" s="25"/>
      <c r="M810" s="25"/>
      <c r="N810" s="25"/>
      <c r="O810" s="25"/>
      <c r="P810" s="25"/>
      <c r="Q810" s="25"/>
      <c r="R810" s="25"/>
      <c r="S810" s="25"/>
      <c r="T810" s="25"/>
      <c r="U810" s="25"/>
      <c r="V810" s="25"/>
      <c r="W810" s="25"/>
      <c r="X810" s="25"/>
      <c r="Y810" s="25"/>
      <c r="Z810" s="25"/>
    </row>
    <row r="811" ht="15.75" customHeight="1">
      <c r="A811" s="25"/>
      <c r="B811" s="503"/>
      <c r="C811" s="503"/>
      <c r="D811" s="503"/>
      <c r="E811" s="25"/>
      <c r="F811" s="25"/>
      <c r="G811" s="25"/>
      <c r="H811" s="25"/>
      <c r="I811" s="25"/>
      <c r="J811" s="25"/>
      <c r="K811" s="25"/>
      <c r="L811" s="25"/>
      <c r="M811" s="25"/>
      <c r="N811" s="25"/>
      <c r="O811" s="25"/>
      <c r="P811" s="25"/>
      <c r="Q811" s="25"/>
      <c r="R811" s="25"/>
      <c r="S811" s="25"/>
      <c r="T811" s="25"/>
      <c r="U811" s="25"/>
      <c r="V811" s="25"/>
      <c r="W811" s="25"/>
      <c r="X811" s="25"/>
      <c r="Y811" s="25"/>
      <c r="Z811" s="25"/>
    </row>
    <row r="812" ht="15.75" customHeight="1">
      <c r="A812" s="25"/>
      <c r="B812" s="503"/>
      <c r="C812" s="503"/>
      <c r="D812" s="503"/>
      <c r="E812" s="25"/>
      <c r="F812" s="25"/>
      <c r="G812" s="25"/>
      <c r="H812" s="25"/>
      <c r="I812" s="25"/>
      <c r="J812" s="25"/>
      <c r="K812" s="25"/>
      <c r="L812" s="25"/>
      <c r="M812" s="25"/>
      <c r="N812" s="25"/>
      <c r="O812" s="25"/>
      <c r="P812" s="25"/>
      <c r="Q812" s="25"/>
      <c r="R812" s="25"/>
      <c r="S812" s="25"/>
      <c r="T812" s="25"/>
      <c r="U812" s="25"/>
      <c r="V812" s="25"/>
      <c r="W812" s="25"/>
      <c r="X812" s="25"/>
      <c r="Y812" s="25"/>
      <c r="Z812" s="25"/>
    </row>
    <row r="813" ht="15.75" customHeight="1">
      <c r="A813" s="25"/>
      <c r="B813" s="503"/>
      <c r="C813" s="503"/>
      <c r="D813" s="503"/>
      <c r="E813" s="25"/>
      <c r="F813" s="25"/>
      <c r="G813" s="25"/>
      <c r="H813" s="25"/>
      <c r="I813" s="25"/>
      <c r="J813" s="25"/>
      <c r="K813" s="25"/>
      <c r="L813" s="25"/>
      <c r="M813" s="25"/>
      <c r="N813" s="25"/>
      <c r="O813" s="25"/>
      <c r="P813" s="25"/>
      <c r="Q813" s="25"/>
      <c r="R813" s="25"/>
      <c r="S813" s="25"/>
      <c r="T813" s="25"/>
      <c r="U813" s="25"/>
      <c r="V813" s="25"/>
      <c r="W813" s="25"/>
      <c r="X813" s="25"/>
      <c r="Y813" s="25"/>
      <c r="Z813" s="25"/>
    </row>
    <row r="814" ht="15.75" customHeight="1">
      <c r="A814" s="25"/>
      <c r="B814" s="503"/>
      <c r="C814" s="503"/>
      <c r="D814" s="503"/>
      <c r="E814" s="25"/>
      <c r="F814" s="25"/>
      <c r="G814" s="25"/>
      <c r="H814" s="25"/>
      <c r="I814" s="25"/>
      <c r="J814" s="25"/>
      <c r="K814" s="25"/>
      <c r="L814" s="25"/>
      <c r="M814" s="25"/>
      <c r="N814" s="25"/>
      <c r="O814" s="25"/>
      <c r="P814" s="25"/>
      <c r="Q814" s="25"/>
      <c r="R814" s="25"/>
      <c r="S814" s="25"/>
      <c r="T814" s="25"/>
      <c r="U814" s="25"/>
      <c r="V814" s="25"/>
      <c r="W814" s="25"/>
      <c r="X814" s="25"/>
      <c r="Y814" s="25"/>
      <c r="Z814" s="25"/>
    </row>
    <row r="815" ht="15.75" customHeight="1">
      <c r="A815" s="25"/>
      <c r="B815" s="503"/>
      <c r="C815" s="503"/>
      <c r="D815" s="503"/>
      <c r="E815" s="25"/>
      <c r="F815" s="25"/>
      <c r="G815" s="25"/>
      <c r="H815" s="25"/>
      <c r="I815" s="25"/>
      <c r="J815" s="25"/>
      <c r="K815" s="25"/>
      <c r="L815" s="25"/>
      <c r="M815" s="25"/>
      <c r="N815" s="25"/>
      <c r="O815" s="25"/>
      <c r="P815" s="25"/>
      <c r="Q815" s="25"/>
      <c r="R815" s="25"/>
      <c r="S815" s="25"/>
      <c r="T815" s="25"/>
      <c r="U815" s="25"/>
      <c r="V815" s="25"/>
      <c r="W815" s="25"/>
      <c r="X815" s="25"/>
      <c r="Y815" s="25"/>
      <c r="Z815" s="25"/>
    </row>
    <row r="816" ht="15.75" customHeight="1">
      <c r="A816" s="25"/>
      <c r="B816" s="503"/>
      <c r="C816" s="503"/>
      <c r="D816" s="503"/>
      <c r="E816" s="25"/>
      <c r="F816" s="25"/>
      <c r="G816" s="25"/>
      <c r="H816" s="25"/>
      <c r="I816" s="25"/>
      <c r="J816" s="25"/>
      <c r="K816" s="25"/>
      <c r="L816" s="25"/>
      <c r="M816" s="25"/>
      <c r="N816" s="25"/>
      <c r="O816" s="25"/>
      <c r="P816" s="25"/>
      <c r="Q816" s="25"/>
      <c r="R816" s="25"/>
      <c r="S816" s="25"/>
      <c r="T816" s="25"/>
      <c r="U816" s="25"/>
      <c r="V816" s="25"/>
      <c r="W816" s="25"/>
      <c r="X816" s="25"/>
      <c r="Y816" s="25"/>
      <c r="Z816" s="25"/>
    </row>
    <row r="817" ht="15.75" customHeight="1">
      <c r="A817" s="25"/>
      <c r="B817" s="503"/>
      <c r="C817" s="503"/>
      <c r="D817" s="503"/>
      <c r="E817" s="25"/>
      <c r="F817" s="25"/>
      <c r="G817" s="25"/>
      <c r="H817" s="25"/>
      <c r="I817" s="25"/>
      <c r="J817" s="25"/>
      <c r="K817" s="25"/>
      <c r="L817" s="25"/>
      <c r="M817" s="25"/>
      <c r="N817" s="25"/>
      <c r="O817" s="25"/>
      <c r="P817" s="25"/>
      <c r="Q817" s="25"/>
      <c r="R817" s="25"/>
      <c r="S817" s="25"/>
      <c r="T817" s="25"/>
      <c r="U817" s="25"/>
      <c r="V817" s="25"/>
      <c r="W817" s="25"/>
      <c r="X817" s="25"/>
      <c r="Y817" s="25"/>
      <c r="Z817" s="25"/>
    </row>
    <row r="818" ht="15.75" customHeight="1">
      <c r="A818" s="25"/>
      <c r="B818" s="503"/>
      <c r="C818" s="503"/>
      <c r="D818" s="503"/>
      <c r="E818" s="25"/>
      <c r="F818" s="25"/>
      <c r="G818" s="25"/>
      <c r="H818" s="25"/>
      <c r="I818" s="25"/>
      <c r="J818" s="25"/>
      <c r="K818" s="25"/>
      <c r="L818" s="25"/>
      <c r="M818" s="25"/>
      <c r="N818" s="25"/>
      <c r="O818" s="25"/>
      <c r="P818" s="25"/>
      <c r="Q818" s="25"/>
      <c r="R818" s="25"/>
      <c r="S818" s="25"/>
      <c r="T818" s="25"/>
      <c r="U818" s="25"/>
      <c r="V818" s="25"/>
      <c r="W818" s="25"/>
      <c r="X818" s="25"/>
      <c r="Y818" s="25"/>
      <c r="Z818" s="25"/>
    </row>
    <row r="819" ht="15.75" customHeight="1">
      <c r="A819" s="25"/>
      <c r="B819" s="503"/>
      <c r="C819" s="503"/>
      <c r="D819" s="503"/>
      <c r="E819" s="25"/>
      <c r="F819" s="25"/>
      <c r="G819" s="25"/>
      <c r="H819" s="25"/>
      <c r="I819" s="25"/>
      <c r="J819" s="25"/>
      <c r="K819" s="25"/>
      <c r="L819" s="25"/>
      <c r="M819" s="25"/>
      <c r="N819" s="25"/>
      <c r="O819" s="25"/>
      <c r="P819" s="25"/>
      <c r="Q819" s="25"/>
      <c r="R819" s="25"/>
      <c r="S819" s="25"/>
      <c r="T819" s="25"/>
      <c r="U819" s="25"/>
      <c r="V819" s="25"/>
      <c r="W819" s="25"/>
      <c r="X819" s="25"/>
      <c r="Y819" s="25"/>
      <c r="Z819" s="25"/>
    </row>
    <row r="820" ht="15.75" customHeight="1">
      <c r="A820" s="25"/>
      <c r="B820" s="503"/>
      <c r="C820" s="503"/>
      <c r="D820" s="503"/>
      <c r="E820" s="25"/>
      <c r="F820" s="25"/>
      <c r="G820" s="25"/>
      <c r="H820" s="25"/>
      <c r="I820" s="25"/>
      <c r="J820" s="25"/>
      <c r="K820" s="25"/>
      <c r="L820" s="25"/>
      <c r="M820" s="25"/>
      <c r="N820" s="25"/>
      <c r="O820" s="25"/>
      <c r="P820" s="25"/>
      <c r="Q820" s="25"/>
      <c r="R820" s="25"/>
      <c r="S820" s="25"/>
      <c r="T820" s="25"/>
      <c r="U820" s="25"/>
      <c r="V820" s="25"/>
      <c r="W820" s="25"/>
      <c r="X820" s="25"/>
      <c r="Y820" s="25"/>
      <c r="Z820" s="25"/>
    </row>
    <row r="821" ht="15.75" customHeight="1">
      <c r="A821" s="25"/>
      <c r="B821" s="503"/>
      <c r="C821" s="503"/>
      <c r="D821" s="503"/>
      <c r="E821" s="25"/>
      <c r="F821" s="25"/>
      <c r="G821" s="25"/>
      <c r="H821" s="25"/>
      <c r="I821" s="25"/>
      <c r="J821" s="25"/>
      <c r="K821" s="25"/>
      <c r="L821" s="25"/>
      <c r="M821" s="25"/>
      <c r="N821" s="25"/>
      <c r="O821" s="25"/>
      <c r="P821" s="25"/>
      <c r="Q821" s="25"/>
      <c r="R821" s="25"/>
      <c r="S821" s="25"/>
      <c r="T821" s="25"/>
      <c r="U821" s="25"/>
      <c r="V821" s="25"/>
      <c r="W821" s="25"/>
      <c r="X821" s="25"/>
      <c r="Y821" s="25"/>
      <c r="Z821" s="25"/>
    </row>
    <row r="822" ht="15.75" customHeight="1">
      <c r="A822" s="25"/>
      <c r="B822" s="503"/>
      <c r="C822" s="503"/>
      <c r="D822" s="503"/>
      <c r="E822" s="25"/>
      <c r="F822" s="25"/>
      <c r="G822" s="25"/>
      <c r="H822" s="25"/>
      <c r="I822" s="25"/>
      <c r="J822" s="25"/>
      <c r="K822" s="25"/>
      <c r="L822" s="25"/>
      <c r="M822" s="25"/>
      <c r="N822" s="25"/>
      <c r="O822" s="25"/>
      <c r="P822" s="25"/>
      <c r="Q822" s="25"/>
      <c r="R822" s="25"/>
      <c r="S822" s="25"/>
      <c r="T822" s="25"/>
      <c r="U822" s="25"/>
      <c r="V822" s="25"/>
      <c r="W822" s="25"/>
      <c r="X822" s="25"/>
      <c r="Y822" s="25"/>
      <c r="Z822" s="25"/>
    </row>
    <row r="823" ht="15.75" customHeight="1">
      <c r="A823" s="25"/>
      <c r="B823" s="503"/>
      <c r="C823" s="503"/>
      <c r="D823" s="503"/>
      <c r="E823" s="25"/>
      <c r="F823" s="25"/>
      <c r="G823" s="25"/>
      <c r="H823" s="25"/>
      <c r="I823" s="25"/>
      <c r="J823" s="25"/>
      <c r="K823" s="25"/>
      <c r="L823" s="25"/>
      <c r="M823" s="25"/>
      <c r="N823" s="25"/>
      <c r="O823" s="25"/>
      <c r="P823" s="25"/>
      <c r="Q823" s="25"/>
      <c r="R823" s="25"/>
      <c r="S823" s="25"/>
      <c r="T823" s="25"/>
      <c r="U823" s="25"/>
      <c r="V823" s="25"/>
      <c r="W823" s="25"/>
      <c r="X823" s="25"/>
      <c r="Y823" s="25"/>
      <c r="Z823" s="25"/>
    </row>
    <row r="824" ht="15.75" customHeight="1">
      <c r="A824" s="25"/>
      <c r="B824" s="503"/>
      <c r="C824" s="503"/>
      <c r="D824" s="503"/>
      <c r="E824" s="25"/>
      <c r="F824" s="25"/>
      <c r="G824" s="25"/>
      <c r="H824" s="25"/>
      <c r="I824" s="25"/>
      <c r="J824" s="25"/>
      <c r="K824" s="25"/>
      <c r="L824" s="25"/>
      <c r="M824" s="25"/>
      <c r="N824" s="25"/>
      <c r="O824" s="25"/>
      <c r="P824" s="25"/>
      <c r="Q824" s="25"/>
      <c r="R824" s="25"/>
      <c r="S824" s="25"/>
      <c r="T824" s="25"/>
      <c r="U824" s="25"/>
      <c r="V824" s="25"/>
      <c r="W824" s="25"/>
      <c r="X824" s="25"/>
      <c r="Y824" s="25"/>
      <c r="Z824" s="25"/>
    </row>
    <row r="825" ht="15.75" customHeight="1">
      <c r="A825" s="25"/>
      <c r="B825" s="503"/>
      <c r="C825" s="503"/>
      <c r="D825" s="503"/>
      <c r="E825" s="25"/>
      <c r="F825" s="25"/>
      <c r="G825" s="25"/>
      <c r="H825" s="25"/>
      <c r="I825" s="25"/>
      <c r="J825" s="25"/>
      <c r="K825" s="25"/>
      <c r="L825" s="25"/>
      <c r="M825" s="25"/>
      <c r="N825" s="25"/>
      <c r="O825" s="25"/>
      <c r="P825" s="25"/>
      <c r="Q825" s="25"/>
      <c r="R825" s="25"/>
      <c r="S825" s="25"/>
      <c r="T825" s="25"/>
      <c r="U825" s="25"/>
      <c r="V825" s="25"/>
      <c r="W825" s="25"/>
      <c r="X825" s="25"/>
      <c r="Y825" s="25"/>
      <c r="Z825" s="25"/>
    </row>
    <row r="826" ht="15.75" customHeight="1">
      <c r="A826" s="25"/>
      <c r="B826" s="503"/>
      <c r="C826" s="503"/>
      <c r="D826" s="503"/>
      <c r="E826" s="25"/>
      <c r="F826" s="25"/>
      <c r="G826" s="25"/>
      <c r="H826" s="25"/>
      <c r="I826" s="25"/>
      <c r="J826" s="25"/>
      <c r="K826" s="25"/>
      <c r="L826" s="25"/>
      <c r="M826" s="25"/>
      <c r="N826" s="25"/>
      <c r="O826" s="25"/>
      <c r="P826" s="25"/>
      <c r="Q826" s="25"/>
      <c r="R826" s="25"/>
      <c r="S826" s="25"/>
      <c r="T826" s="25"/>
      <c r="U826" s="25"/>
      <c r="V826" s="25"/>
      <c r="W826" s="25"/>
      <c r="X826" s="25"/>
      <c r="Y826" s="25"/>
      <c r="Z826" s="25"/>
    </row>
    <row r="827" ht="15.75" customHeight="1">
      <c r="A827" s="25"/>
      <c r="B827" s="503"/>
      <c r="C827" s="503"/>
      <c r="D827" s="503"/>
      <c r="E827" s="25"/>
      <c r="F827" s="25"/>
      <c r="G827" s="25"/>
      <c r="H827" s="25"/>
      <c r="I827" s="25"/>
      <c r="J827" s="25"/>
      <c r="K827" s="25"/>
      <c r="L827" s="25"/>
      <c r="M827" s="25"/>
      <c r="N827" s="25"/>
      <c r="O827" s="25"/>
      <c r="P827" s="25"/>
      <c r="Q827" s="25"/>
      <c r="R827" s="25"/>
      <c r="S827" s="25"/>
      <c r="T827" s="25"/>
      <c r="U827" s="25"/>
      <c r="V827" s="25"/>
      <c r="W827" s="25"/>
      <c r="X827" s="25"/>
      <c r="Y827" s="25"/>
      <c r="Z827" s="25"/>
    </row>
    <row r="828" ht="15.75" customHeight="1">
      <c r="A828" s="25"/>
      <c r="B828" s="503"/>
      <c r="C828" s="503"/>
      <c r="D828" s="503"/>
      <c r="E828" s="25"/>
      <c r="F828" s="25"/>
      <c r="G828" s="25"/>
      <c r="H828" s="25"/>
      <c r="I828" s="25"/>
      <c r="J828" s="25"/>
      <c r="K828" s="25"/>
      <c r="L828" s="25"/>
      <c r="M828" s="25"/>
      <c r="N828" s="25"/>
      <c r="O828" s="25"/>
      <c r="P828" s="25"/>
      <c r="Q828" s="25"/>
      <c r="R828" s="25"/>
      <c r="S828" s="25"/>
      <c r="T828" s="25"/>
      <c r="U828" s="25"/>
      <c r="V828" s="25"/>
      <c r="W828" s="25"/>
      <c r="X828" s="25"/>
      <c r="Y828" s="25"/>
      <c r="Z828" s="25"/>
    </row>
    <row r="829" ht="15.75" customHeight="1">
      <c r="A829" s="25"/>
      <c r="B829" s="503"/>
      <c r="C829" s="503"/>
      <c r="D829" s="503"/>
      <c r="E829" s="25"/>
      <c r="F829" s="25"/>
      <c r="G829" s="25"/>
      <c r="H829" s="25"/>
      <c r="I829" s="25"/>
      <c r="J829" s="25"/>
      <c r="K829" s="25"/>
      <c r="L829" s="25"/>
      <c r="M829" s="25"/>
      <c r="N829" s="25"/>
      <c r="O829" s="25"/>
      <c r="P829" s="25"/>
      <c r="Q829" s="25"/>
      <c r="R829" s="25"/>
      <c r="S829" s="25"/>
      <c r="T829" s="25"/>
      <c r="U829" s="25"/>
      <c r="V829" s="25"/>
      <c r="W829" s="25"/>
      <c r="X829" s="25"/>
      <c r="Y829" s="25"/>
      <c r="Z829" s="25"/>
    </row>
    <row r="830" ht="15.75" customHeight="1">
      <c r="A830" s="25"/>
      <c r="B830" s="503"/>
      <c r="C830" s="503"/>
      <c r="D830" s="503"/>
      <c r="E830" s="25"/>
      <c r="F830" s="25"/>
      <c r="G830" s="25"/>
      <c r="H830" s="25"/>
      <c r="I830" s="25"/>
      <c r="J830" s="25"/>
      <c r="K830" s="25"/>
      <c r="L830" s="25"/>
      <c r="M830" s="25"/>
      <c r="N830" s="25"/>
      <c r="O830" s="25"/>
      <c r="P830" s="25"/>
      <c r="Q830" s="25"/>
      <c r="R830" s="25"/>
      <c r="S830" s="25"/>
      <c r="T830" s="25"/>
      <c r="U830" s="25"/>
      <c r="V830" s="25"/>
      <c r="W830" s="25"/>
      <c r="X830" s="25"/>
      <c r="Y830" s="25"/>
      <c r="Z830" s="25"/>
    </row>
    <row r="831" ht="15.75" customHeight="1">
      <c r="A831" s="25"/>
      <c r="B831" s="503"/>
      <c r="C831" s="503"/>
      <c r="D831" s="503"/>
      <c r="E831" s="25"/>
      <c r="F831" s="25"/>
      <c r="G831" s="25"/>
      <c r="H831" s="25"/>
      <c r="I831" s="25"/>
      <c r="J831" s="25"/>
      <c r="K831" s="25"/>
      <c r="L831" s="25"/>
      <c r="M831" s="25"/>
      <c r="N831" s="25"/>
      <c r="O831" s="25"/>
      <c r="P831" s="25"/>
      <c r="Q831" s="25"/>
      <c r="R831" s="25"/>
      <c r="S831" s="25"/>
      <c r="T831" s="25"/>
      <c r="U831" s="25"/>
      <c r="V831" s="25"/>
      <c r="W831" s="25"/>
      <c r="X831" s="25"/>
      <c r="Y831" s="25"/>
      <c r="Z831" s="25"/>
    </row>
    <row r="832" ht="15.75" customHeight="1">
      <c r="A832" s="25"/>
      <c r="B832" s="503"/>
      <c r="C832" s="503"/>
      <c r="D832" s="503"/>
      <c r="E832" s="25"/>
      <c r="F832" s="25"/>
      <c r="G832" s="25"/>
      <c r="H832" s="25"/>
      <c r="I832" s="25"/>
      <c r="J832" s="25"/>
      <c r="K832" s="25"/>
      <c r="L832" s="25"/>
      <c r="M832" s="25"/>
      <c r="N832" s="25"/>
      <c r="O832" s="25"/>
      <c r="P832" s="25"/>
      <c r="Q832" s="25"/>
      <c r="R832" s="25"/>
      <c r="S832" s="25"/>
      <c r="T832" s="25"/>
      <c r="U832" s="25"/>
      <c r="V832" s="25"/>
      <c r="W832" s="25"/>
      <c r="X832" s="25"/>
      <c r="Y832" s="25"/>
      <c r="Z832" s="25"/>
    </row>
    <row r="833" ht="15.75" customHeight="1">
      <c r="A833" s="25"/>
      <c r="B833" s="503"/>
      <c r="C833" s="503"/>
      <c r="D833" s="503"/>
      <c r="E833" s="25"/>
      <c r="F833" s="25"/>
      <c r="G833" s="25"/>
      <c r="H833" s="25"/>
      <c r="I833" s="25"/>
      <c r="J833" s="25"/>
      <c r="K833" s="25"/>
      <c r="L833" s="25"/>
      <c r="M833" s="25"/>
      <c r="N833" s="25"/>
      <c r="O833" s="25"/>
      <c r="P833" s="25"/>
      <c r="Q833" s="25"/>
      <c r="R833" s="25"/>
      <c r="S833" s="25"/>
      <c r="T833" s="25"/>
      <c r="U833" s="25"/>
      <c r="V833" s="25"/>
      <c r="W833" s="25"/>
      <c r="X833" s="25"/>
      <c r="Y833" s="25"/>
      <c r="Z833" s="25"/>
    </row>
    <row r="834" ht="15.75" customHeight="1">
      <c r="A834" s="25"/>
      <c r="B834" s="503"/>
      <c r="C834" s="503"/>
      <c r="D834" s="503"/>
      <c r="E834" s="25"/>
      <c r="F834" s="25"/>
      <c r="G834" s="25"/>
      <c r="H834" s="25"/>
      <c r="I834" s="25"/>
      <c r="J834" s="25"/>
      <c r="K834" s="25"/>
      <c r="L834" s="25"/>
      <c r="M834" s="25"/>
      <c r="N834" s="25"/>
      <c r="O834" s="25"/>
      <c r="P834" s="25"/>
      <c r="Q834" s="25"/>
      <c r="R834" s="25"/>
      <c r="S834" s="25"/>
      <c r="T834" s="25"/>
      <c r="U834" s="25"/>
      <c r="V834" s="25"/>
      <c r="W834" s="25"/>
      <c r="X834" s="25"/>
      <c r="Y834" s="25"/>
      <c r="Z834" s="25"/>
    </row>
    <row r="835" ht="15.75" customHeight="1">
      <c r="A835" s="25"/>
      <c r="B835" s="503"/>
      <c r="C835" s="503"/>
      <c r="D835" s="503"/>
      <c r="E835" s="25"/>
      <c r="F835" s="25"/>
      <c r="G835" s="25"/>
      <c r="H835" s="25"/>
      <c r="I835" s="25"/>
      <c r="J835" s="25"/>
      <c r="K835" s="25"/>
      <c r="L835" s="25"/>
      <c r="M835" s="25"/>
      <c r="N835" s="25"/>
      <c r="O835" s="25"/>
      <c r="P835" s="25"/>
      <c r="Q835" s="25"/>
      <c r="R835" s="25"/>
      <c r="S835" s="25"/>
      <c r="T835" s="25"/>
      <c r="U835" s="25"/>
      <c r="V835" s="25"/>
      <c r="W835" s="25"/>
      <c r="X835" s="25"/>
      <c r="Y835" s="25"/>
      <c r="Z835" s="25"/>
    </row>
    <row r="836" ht="15.75" customHeight="1">
      <c r="A836" s="25"/>
      <c r="B836" s="503"/>
      <c r="C836" s="503"/>
      <c r="D836" s="503"/>
      <c r="E836" s="25"/>
      <c r="F836" s="25"/>
      <c r="G836" s="25"/>
      <c r="H836" s="25"/>
      <c r="I836" s="25"/>
      <c r="J836" s="25"/>
      <c r="K836" s="25"/>
      <c r="L836" s="25"/>
      <c r="M836" s="25"/>
      <c r="N836" s="25"/>
      <c r="O836" s="25"/>
      <c r="P836" s="25"/>
      <c r="Q836" s="25"/>
      <c r="R836" s="25"/>
      <c r="S836" s="25"/>
      <c r="T836" s="25"/>
      <c r="U836" s="25"/>
      <c r="V836" s="25"/>
      <c r="W836" s="25"/>
      <c r="X836" s="25"/>
      <c r="Y836" s="25"/>
      <c r="Z836" s="25"/>
    </row>
    <row r="837" ht="15.75" customHeight="1">
      <c r="A837" s="25"/>
      <c r="B837" s="503"/>
      <c r="C837" s="503"/>
      <c r="D837" s="503"/>
      <c r="E837" s="25"/>
      <c r="F837" s="25"/>
      <c r="G837" s="25"/>
      <c r="H837" s="25"/>
      <c r="I837" s="25"/>
      <c r="J837" s="25"/>
      <c r="K837" s="25"/>
      <c r="L837" s="25"/>
      <c r="M837" s="25"/>
      <c r="N837" s="25"/>
      <c r="O837" s="25"/>
      <c r="P837" s="25"/>
      <c r="Q837" s="25"/>
      <c r="R837" s="25"/>
      <c r="S837" s="25"/>
      <c r="T837" s="25"/>
      <c r="U837" s="25"/>
      <c r="V837" s="25"/>
      <c r="W837" s="25"/>
      <c r="X837" s="25"/>
      <c r="Y837" s="25"/>
      <c r="Z837" s="25"/>
    </row>
    <row r="838" ht="15.75" customHeight="1">
      <c r="A838" s="25"/>
      <c r="B838" s="503"/>
      <c r="C838" s="503"/>
      <c r="D838" s="503"/>
      <c r="E838" s="25"/>
      <c r="F838" s="25"/>
      <c r="G838" s="25"/>
      <c r="H838" s="25"/>
      <c r="I838" s="25"/>
      <c r="J838" s="25"/>
      <c r="K838" s="25"/>
      <c r="L838" s="25"/>
      <c r="M838" s="25"/>
      <c r="N838" s="25"/>
      <c r="O838" s="25"/>
      <c r="P838" s="25"/>
      <c r="Q838" s="25"/>
      <c r="R838" s="25"/>
      <c r="S838" s="25"/>
      <c r="T838" s="25"/>
      <c r="U838" s="25"/>
      <c r="V838" s="25"/>
      <c r="W838" s="25"/>
      <c r="X838" s="25"/>
      <c r="Y838" s="25"/>
      <c r="Z838" s="25"/>
    </row>
    <row r="839" ht="15.75" customHeight="1">
      <c r="A839" s="25"/>
      <c r="B839" s="503"/>
      <c r="C839" s="503"/>
      <c r="D839" s="503"/>
      <c r="E839" s="25"/>
      <c r="F839" s="25"/>
      <c r="G839" s="25"/>
      <c r="H839" s="25"/>
      <c r="I839" s="25"/>
      <c r="J839" s="25"/>
      <c r="K839" s="25"/>
      <c r="L839" s="25"/>
      <c r="M839" s="25"/>
      <c r="N839" s="25"/>
      <c r="O839" s="25"/>
      <c r="P839" s="25"/>
      <c r="Q839" s="25"/>
      <c r="R839" s="25"/>
      <c r="S839" s="25"/>
      <c r="T839" s="25"/>
      <c r="U839" s="25"/>
      <c r="V839" s="25"/>
      <c r="W839" s="25"/>
      <c r="X839" s="25"/>
      <c r="Y839" s="25"/>
      <c r="Z839" s="25"/>
    </row>
    <row r="840" ht="15.75" customHeight="1">
      <c r="A840" s="25"/>
      <c r="B840" s="503"/>
      <c r="C840" s="503"/>
      <c r="D840" s="503"/>
      <c r="E840" s="25"/>
      <c r="F840" s="25"/>
      <c r="G840" s="25"/>
      <c r="H840" s="25"/>
      <c r="I840" s="25"/>
      <c r="J840" s="25"/>
      <c r="K840" s="25"/>
      <c r="L840" s="25"/>
      <c r="M840" s="25"/>
      <c r="N840" s="25"/>
      <c r="O840" s="25"/>
      <c r="P840" s="25"/>
      <c r="Q840" s="25"/>
      <c r="R840" s="25"/>
      <c r="S840" s="25"/>
      <c r="T840" s="25"/>
      <c r="U840" s="25"/>
      <c r="V840" s="25"/>
      <c r="W840" s="25"/>
      <c r="X840" s="25"/>
      <c r="Y840" s="25"/>
      <c r="Z840" s="25"/>
    </row>
    <row r="841" ht="15.75" customHeight="1">
      <c r="A841" s="25"/>
      <c r="B841" s="503"/>
      <c r="C841" s="503"/>
      <c r="D841" s="503"/>
      <c r="E841" s="25"/>
      <c r="F841" s="25"/>
      <c r="G841" s="25"/>
      <c r="H841" s="25"/>
      <c r="I841" s="25"/>
      <c r="J841" s="25"/>
      <c r="K841" s="25"/>
      <c r="L841" s="25"/>
      <c r="M841" s="25"/>
      <c r="N841" s="25"/>
      <c r="O841" s="25"/>
      <c r="P841" s="25"/>
      <c r="Q841" s="25"/>
      <c r="R841" s="25"/>
      <c r="S841" s="25"/>
      <c r="T841" s="25"/>
      <c r="U841" s="25"/>
      <c r="V841" s="25"/>
      <c r="W841" s="25"/>
      <c r="X841" s="25"/>
      <c r="Y841" s="25"/>
      <c r="Z841" s="25"/>
    </row>
    <row r="842" ht="15.75" customHeight="1">
      <c r="A842" s="25"/>
      <c r="B842" s="503"/>
      <c r="C842" s="503"/>
      <c r="D842" s="503"/>
      <c r="E842" s="25"/>
      <c r="F842" s="25"/>
      <c r="G842" s="25"/>
      <c r="H842" s="25"/>
      <c r="I842" s="25"/>
      <c r="J842" s="25"/>
      <c r="K842" s="25"/>
      <c r="L842" s="25"/>
      <c r="M842" s="25"/>
      <c r="N842" s="25"/>
      <c r="O842" s="25"/>
      <c r="P842" s="25"/>
      <c r="Q842" s="25"/>
      <c r="R842" s="25"/>
      <c r="S842" s="25"/>
      <c r="T842" s="25"/>
      <c r="U842" s="25"/>
      <c r="V842" s="25"/>
      <c r="W842" s="25"/>
      <c r="X842" s="25"/>
      <c r="Y842" s="25"/>
      <c r="Z842" s="25"/>
    </row>
    <row r="843" ht="15.75" customHeight="1">
      <c r="A843" s="25"/>
      <c r="B843" s="503"/>
      <c r="C843" s="503"/>
      <c r="D843" s="503"/>
      <c r="E843" s="25"/>
      <c r="F843" s="25"/>
      <c r="G843" s="25"/>
      <c r="H843" s="25"/>
      <c r="I843" s="25"/>
      <c r="J843" s="25"/>
      <c r="K843" s="25"/>
      <c r="L843" s="25"/>
      <c r="M843" s="25"/>
      <c r="N843" s="25"/>
      <c r="O843" s="25"/>
      <c r="P843" s="25"/>
      <c r="Q843" s="25"/>
      <c r="R843" s="25"/>
      <c r="S843" s="25"/>
      <c r="T843" s="25"/>
      <c r="U843" s="25"/>
      <c r="V843" s="25"/>
      <c r="W843" s="25"/>
      <c r="X843" s="25"/>
      <c r="Y843" s="25"/>
      <c r="Z843" s="25"/>
    </row>
    <row r="844" ht="15.75" customHeight="1">
      <c r="A844" s="25"/>
      <c r="B844" s="503"/>
      <c r="C844" s="503"/>
      <c r="D844" s="503"/>
      <c r="E844" s="25"/>
      <c r="F844" s="25"/>
      <c r="G844" s="25"/>
      <c r="H844" s="25"/>
      <c r="I844" s="25"/>
      <c r="J844" s="25"/>
      <c r="K844" s="25"/>
      <c r="L844" s="25"/>
      <c r="M844" s="25"/>
      <c r="N844" s="25"/>
      <c r="O844" s="25"/>
      <c r="P844" s="25"/>
      <c r="Q844" s="25"/>
      <c r="R844" s="25"/>
      <c r="S844" s="25"/>
      <c r="T844" s="25"/>
      <c r="U844" s="25"/>
      <c r="V844" s="25"/>
      <c r="W844" s="25"/>
      <c r="X844" s="25"/>
      <c r="Y844" s="25"/>
      <c r="Z844" s="25"/>
    </row>
    <row r="845" ht="15.75" customHeight="1">
      <c r="A845" s="25"/>
      <c r="B845" s="503"/>
      <c r="C845" s="503"/>
      <c r="D845" s="503"/>
      <c r="E845" s="25"/>
      <c r="F845" s="25"/>
      <c r="G845" s="25"/>
      <c r="H845" s="25"/>
      <c r="I845" s="25"/>
      <c r="J845" s="25"/>
      <c r="K845" s="25"/>
      <c r="L845" s="25"/>
      <c r="M845" s="25"/>
      <c r="N845" s="25"/>
      <c r="O845" s="25"/>
      <c r="P845" s="25"/>
      <c r="Q845" s="25"/>
      <c r="R845" s="25"/>
      <c r="S845" s="25"/>
      <c r="T845" s="25"/>
      <c r="U845" s="25"/>
      <c r="V845" s="25"/>
      <c r="W845" s="25"/>
      <c r="X845" s="25"/>
      <c r="Y845" s="25"/>
      <c r="Z845" s="25"/>
    </row>
    <row r="846" ht="15.75" customHeight="1">
      <c r="A846" s="25"/>
      <c r="B846" s="503"/>
      <c r="C846" s="503"/>
      <c r="D846" s="503"/>
      <c r="E846" s="25"/>
      <c r="F846" s="25"/>
      <c r="G846" s="25"/>
      <c r="H846" s="25"/>
      <c r="I846" s="25"/>
      <c r="J846" s="25"/>
      <c r="K846" s="25"/>
      <c r="L846" s="25"/>
      <c r="M846" s="25"/>
      <c r="N846" s="25"/>
      <c r="O846" s="25"/>
      <c r="P846" s="25"/>
      <c r="Q846" s="25"/>
      <c r="R846" s="25"/>
      <c r="S846" s="25"/>
      <c r="T846" s="25"/>
      <c r="U846" s="25"/>
      <c r="V846" s="25"/>
      <c r="W846" s="25"/>
      <c r="X846" s="25"/>
      <c r="Y846" s="25"/>
      <c r="Z846" s="25"/>
    </row>
    <row r="847" ht="15.75" customHeight="1">
      <c r="A847" s="25"/>
      <c r="B847" s="503"/>
      <c r="C847" s="503"/>
      <c r="D847" s="503"/>
      <c r="E847" s="25"/>
      <c r="F847" s="25"/>
      <c r="G847" s="25"/>
      <c r="H847" s="25"/>
      <c r="I847" s="25"/>
      <c r="J847" s="25"/>
      <c r="K847" s="25"/>
      <c r="L847" s="25"/>
      <c r="M847" s="25"/>
      <c r="N847" s="25"/>
      <c r="O847" s="25"/>
      <c r="P847" s="25"/>
      <c r="Q847" s="25"/>
      <c r="R847" s="25"/>
      <c r="S847" s="25"/>
      <c r="T847" s="25"/>
      <c r="U847" s="25"/>
      <c r="V847" s="25"/>
      <c r="W847" s="25"/>
      <c r="X847" s="25"/>
      <c r="Y847" s="25"/>
      <c r="Z847" s="25"/>
    </row>
    <row r="848" ht="15.75" customHeight="1">
      <c r="A848" s="25"/>
      <c r="B848" s="503"/>
      <c r="C848" s="503"/>
      <c r="D848" s="503"/>
      <c r="E848" s="25"/>
      <c r="F848" s="25"/>
      <c r="G848" s="25"/>
      <c r="H848" s="25"/>
      <c r="I848" s="25"/>
      <c r="J848" s="25"/>
      <c r="K848" s="25"/>
      <c r="L848" s="25"/>
      <c r="M848" s="25"/>
      <c r="N848" s="25"/>
      <c r="O848" s="25"/>
      <c r="P848" s="25"/>
      <c r="Q848" s="25"/>
      <c r="R848" s="25"/>
      <c r="S848" s="25"/>
      <c r="T848" s="25"/>
      <c r="U848" s="25"/>
      <c r="V848" s="25"/>
      <c r="W848" s="25"/>
      <c r="X848" s="25"/>
      <c r="Y848" s="25"/>
      <c r="Z848" s="25"/>
    </row>
    <row r="849" ht="15.75" customHeight="1">
      <c r="A849" s="25"/>
      <c r="B849" s="503"/>
      <c r="C849" s="503"/>
      <c r="D849" s="503"/>
      <c r="E849" s="25"/>
      <c r="F849" s="25"/>
      <c r="G849" s="25"/>
      <c r="H849" s="25"/>
      <c r="I849" s="25"/>
      <c r="J849" s="25"/>
      <c r="K849" s="25"/>
      <c r="L849" s="25"/>
      <c r="M849" s="25"/>
      <c r="N849" s="25"/>
      <c r="O849" s="25"/>
      <c r="P849" s="25"/>
      <c r="Q849" s="25"/>
      <c r="R849" s="25"/>
      <c r="S849" s="25"/>
      <c r="T849" s="25"/>
      <c r="U849" s="25"/>
      <c r="V849" s="25"/>
      <c r="W849" s="25"/>
      <c r="X849" s="25"/>
      <c r="Y849" s="25"/>
      <c r="Z849" s="25"/>
    </row>
    <row r="850" ht="15.75" customHeight="1">
      <c r="A850" s="25"/>
      <c r="B850" s="503"/>
      <c r="C850" s="503"/>
      <c r="D850" s="503"/>
      <c r="E850" s="25"/>
      <c r="F850" s="25"/>
      <c r="G850" s="25"/>
      <c r="H850" s="25"/>
      <c r="I850" s="25"/>
      <c r="J850" s="25"/>
      <c r="K850" s="25"/>
      <c r="L850" s="25"/>
      <c r="M850" s="25"/>
      <c r="N850" s="25"/>
      <c r="O850" s="25"/>
      <c r="P850" s="25"/>
      <c r="Q850" s="25"/>
      <c r="R850" s="25"/>
      <c r="S850" s="25"/>
      <c r="T850" s="25"/>
      <c r="U850" s="25"/>
      <c r="V850" s="25"/>
      <c r="W850" s="25"/>
      <c r="X850" s="25"/>
      <c r="Y850" s="25"/>
      <c r="Z850" s="25"/>
    </row>
    <row r="851" ht="15.75" customHeight="1">
      <c r="A851" s="25"/>
      <c r="B851" s="503"/>
      <c r="C851" s="503"/>
      <c r="D851" s="503"/>
      <c r="E851" s="25"/>
      <c r="F851" s="25"/>
      <c r="G851" s="25"/>
      <c r="H851" s="25"/>
      <c r="I851" s="25"/>
      <c r="J851" s="25"/>
      <c r="K851" s="25"/>
      <c r="L851" s="25"/>
      <c r="M851" s="25"/>
      <c r="N851" s="25"/>
      <c r="O851" s="25"/>
      <c r="P851" s="25"/>
      <c r="Q851" s="25"/>
      <c r="R851" s="25"/>
      <c r="S851" s="25"/>
      <c r="T851" s="25"/>
      <c r="U851" s="25"/>
      <c r="V851" s="25"/>
      <c r="W851" s="25"/>
      <c r="X851" s="25"/>
      <c r="Y851" s="25"/>
      <c r="Z851" s="25"/>
    </row>
    <row r="852" ht="15.75" customHeight="1">
      <c r="A852" s="25"/>
      <c r="B852" s="503"/>
      <c r="C852" s="503"/>
      <c r="D852" s="503"/>
      <c r="E852" s="25"/>
      <c r="F852" s="25"/>
      <c r="G852" s="25"/>
      <c r="H852" s="25"/>
      <c r="I852" s="25"/>
      <c r="J852" s="25"/>
      <c r="K852" s="25"/>
      <c r="L852" s="25"/>
      <c r="M852" s="25"/>
      <c r="N852" s="25"/>
      <c r="O852" s="25"/>
      <c r="P852" s="25"/>
      <c r="Q852" s="25"/>
      <c r="R852" s="25"/>
      <c r="S852" s="25"/>
      <c r="T852" s="25"/>
      <c r="U852" s="25"/>
      <c r="V852" s="25"/>
      <c r="W852" s="25"/>
      <c r="X852" s="25"/>
      <c r="Y852" s="25"/>
      <c r="Z852" s="25"/>
    </row>
    <row r="853" ht="15.75" customHeight="1">
      <c r="A853" s="25"/>
      <c r="B853" s="503"/>
      <c r="C853" s="503"/>
      <c r="D853" s="503"/>
      <c r="E853" s="25"/>
      <c r="F853" s="25"/>
      <c r="G853" s="25"/>
      <c r="H853" s="25"/>
      <c r="I853" s="25"/>
      <c r="J853" s="25"/>
      <c r="K853" s="25"/>
      <c r="L853" s="25"/>
      <c r="M853" s="25"/>
      <c r="N853" s="25"/>
      <c r="O853" s="25"/>
      <c r="P853" s="25"/>
      <c r="Q853" s="25"/>
      <c r="R853" s="25"/>
      <c r="S853" s="25"/>
      <c r="T853" s="25"/>
      <c r="U853" s="25"/>
      <c r="V853" s="25"/>
      <c r="W853" s="25"/>
      <c r="X853" s="25"/>
      <c r="Y853" s="25"/>
      <c r="Z853" s="25"/>
    </row>
    <row r="854" ht="15.75" customHeight="1">
      <c r="A854" s="25"/>
      <c r="B854" s="503"/>
      <c r="C854" s="503"/>
      <c r="D854" s="503"/>
      <c r="E854" s="25"/>
      <c r="F854" s="25"/>
      <c r="G854" s="25"/>
      <c r="H854" s="25"/>
      <c r="I854" s="25"/>
      <c r="J854" s="25"/>
      <c r="K854" s="25"/>
      <c r="L854" s="25"/>
      <c r="M854" s="25"/>
      <c r="N854" s="25"/>
      <c r="O854" s="25"/>
      <c r="P854" s="25"/>
      <c r="Q854" s="25"/>
      <c r="R854" s="25"/>
      <c r="S854" s="25"/>
      <c r="T854" s="25"/>
      <c r="U854" s="25"/>
      <c r="V854" s="25"/>
      <c r="W854" s="25"/>
      <c r="X854" s="25"/>
      <c r="Y854" s="25"/>
      <c r="Z854" s="25"/>
    </row>
    <row r="855" ht="15.75" customHeight="1">
      <c r="A855" s="25"/>
      <c r="B855" s="503"/>
      <c r="C855" s="503"/>
      <c r="D855" s="503"/>
      <c r="E855" s="25"/>
      <c r="F855" s="25"/>
      <c r="G855" s="25"/>
      <c r="H855" s="25"/>
      <c r="I855" s="25"/>
      <c r="J855" s="25"/>
      <c r="K855" s="25"/>
      <c r="L855" s="25"/>
      <c r="M855" s="25"/>
      <c r="N855" s="25"/>
      <c r="O855" s="25"/>
      <c r="P855" s="25"/>
      <c r="Q855" s="25"/>
      <c r="R855" s="25"/>
      <c r="S855" s="25"/>
      <c r="T855" s="25"/>
      <c r="U855" s="25"/>
      <c r="V855" s="25"/>
      <c r="W855" s="25"/>
      <c r="X855" s="25"/>
      <c r="Y855" s="25"/>
      <c r="Z855" s="25"/>
    </row>
    <row r="856" ht="15.75" customHeight="1">
      <c r="A856" s="25"/>
      <c r="B856" s="503"/>
      <c r="C856" s="503"/>
      <c r="D856" s="503"/>
      <c r="E856" s="25"/>
      <c r="F856" s="25"/>
      <c r="G856" s="25"/>
      <c r="H856" s="25"/>
      <c r="I856" s="25"/>
      <c r="J856" s="25"/>
      <c r="K856" s="25"/>
      <c r="L856" s="25"/>
      <c r="M856" s="25"/>
      <c r="N856" s="25"/>
      <c r="O856" s="25"/>
      <c r="P856" s="25"/>
      <c r="Q856" s="25"/>
      <c r="R856" s="25"/>
      <c r="S856" s="25"/>
      <c r="T856" s="25"/>
      <c r="U856" s="25"/>
      <c r="V856" s="25"/>
      <c r="W856" s="25"/>
      <c r="X856" s="25"/>
      <c r="Y856" s="25"/>
      <c r="Z856" s="25"/>
    </row>
    <row r="857" ht="15.75" customHeight="1">
      <c r="A857" s="25"/>
      <c r="B857" s="503"/>
      <c r="C857" s="503"/>
      <c r="D857" s="503"/>
      <c r="E857" s="25"/>
      <c r="F857" s="25"/>
      <c r="G857" s="25"/>
      <c r="H857" s="25"/>
      <c r="I857" s="25"/>
      <c r="J857" s="25"/>
      <c r="K857" s="25"/>
      <c r="L857" s="25"/>
      <c r="M857" s="25"/>
      <c r="N857" s="25"/>
      <c r="O857" s="25"/>
      <c r="P857" s="25"/>
      <c r="Q857" s="25"/>
      <c r="R857" s="25"/>
      <c r="S857" s="25"/>
      <c r="T857" s="25"/>
      <c r="U857" s="25"/>
      <c r="V857" s="25"/>
      <c r="W857" s="25"/>
      <c r="X857" s="25"/>
      <c r="Y857" s="25"/>
      <c r="Z857" s="25"/>
    </row>
    <row r="858" ht="15.75" customHeight="1">
      <c r="A858" s="25"/>
      <c r="B858" s="503"/>
      <c r="C858" s="503"/>
      <c r="D858" s="503"/>
      <c r="E858" s="25"/>
      <c r="F858" s="25"/>
      <c r="G858" s="25"/>
      <c r="H858" s="25"/>
      <c r="I858" s="25"/>
      <c r="J858" s="25"/>
      <c r="K858" s="25"/>
      <c r="L858" s="25"/>
      <c r="M858" s="25"/>
      <c r="N858" s="25"/>
      <c r="O858" s="25"/>
      <c r="P858" s="25"/>
      <c r="Q858" s="25"/>
      <c r="R858" s="25"/>
      <c r="S858" s="25"/>
      <c r="T858" s="25"/>
      <c r="U858" s="25"/>
      <c r="V858" s="25"/>
      <c r="W858" s="25"/>
      <c r="X858" s="25"/>
      <c r="Y858" s="25"/>
      <c r="Z858" s="25"/>
    </row>
    <row r="859" ht="15.75" customHeight="1">
      <c r="A859" s="25"/>
      <c r="B859" s="503"/>
      <c r="C859" s="503"/>
      <c r="D859" s="503"/>
      <c r="E859" s="25"/>
      <c r="F859" s="25"/>
      <c r="G859" s="25"/>
      <c r="H859" s="25"/>
      <c r="I859" s="25"/>
      <c r="J859" s="25"/>
      <c r="K859" s="25"/>
      <c r="L859" s="25"/>
      <c r="M859" s="25"/>
      <c r="N859" s="25"/>
      <c r="O859" s="25"/>
      <c r="P859" s="25"/>
      <c r="Q859" s="25"/>
      <c r="R859" s="25"/>
      <c r="S859" s="25"/>
      <c r="T859" s="25"/>
      <c r="U859" s="25"/>
      <c r="V859" s="25"/>
      <c r="W859" s="25"/>
      <c r="X859" s="25"/>
      <c r="Y859" s="25"/>
      <c r="Z859" s="25"/>
    </row>
    <row r="860" ht="15.75" customHeight="1">
      <c r="A860" s="25"/>
      <c r="B860" s="503"/>
      <c r="C860" s="503"/>
      <c r="D860" s="503"/>
      <c r="E860" s="25"/>
      <c r="F860" s="25"/>
      <c r="G860" s="25"/>
      <c r="H860" s="25"/>
      <c r="I860" s="25"/>
      <c r="J860" s="25"/>
      <c r="K860" s="25"/>
      <c r="L860" s="25"/>
      <c r="M860" s="25"/>
      <c r="N860" s="25"/>
      <c r="O860" s="25"/>
      <c r="P860" s="25"/>
      <c r="Q860" s="25"/>
      <c r="R860" s="25"/>
      <c r="S860" s="25"/>
      <c r="T860" s="25"/>
      <c r="U860" s="25"/>
      <c r="V860" s="25"/>
      <c r="W860" s="25"/>
      <c r="X860" s="25"/>
      <c r="Y860" s="25"/>
      <c r="Z860" s="25"/>
    </row>
    <row r="861" ht="15.75" customHeight="1">
      <c r="A861" s="25"/>
      <c r="B861" s="503"/>
      <c r="C861" s="503"/>
      <c r="D861" s="503"/>
      <c r="E861" s="25"/>
      <c r="F861" s="25"/>
      <c r="G861" s="25"/>
      <c r="H861" s="25"/>
      <c r="I861" s="25"/>
      <c r="J861" s="25"/>
      <c r="K861" s="25"/>
      <c r="L861" s="25"/>
      <c r="M861" s="25"/>
      <c r="N861" s="25"/>
      <c r="O861" s="25"/>
      <c r="P861" s="25"/>
      <c r="Q861" s="25"/>
      <c r="R861" s="25"/>
      <c r="S861" s="25"/>
      <c r="T861" s="25"/>
      <c r="U861" s="25"/>
      <c r="V861" s="25"/>
      <c r="W861" s="25"/>
      <c r="X861" s="25"/>
      <c r="Y861" s="25"/>
      <c r="Z861" s="25"/>
    </row>
    <row r="862" ht="15.75" customHeight="1">
      <c r="A862" s="25"/>
      <c r="B862" s="503"/>
      <c r="C862" s="503"/>
      <c r="D862" s="503"/>
      <c r="E862" s="25"/>
      <c r="F862" s="25"/>
      <c r="G862" s="25"/>
      <c r="H862" s="25"/>
      <c r="I862" s="25"/>
      <c r="J862" s="25"/>
      <c r="K862" s="25"/>
      <c r="L862" s="25"/>
      <c r="M862" s="25"/>
      <c r="N862" s="25"/>
      <c r="O862" s="25"/>
      <c r="P862" s="25"/>
      <c r="Q862" s="25"/>
      <c r="R862" s="25"/>
      <c r="S862" s="25"/>
      <c r="T862" s="25"/>
      <c r="U862" s="25"/>
      <c r="V862" s="25"/>
      <c r="W862" s="25"/>
      <c r="X862" s="25"/>
      <c r="Y862" s="25"/>
      <c r="Z862" s="25"/>
    </row>
    <row r="863" ht="15.75" customHeight="1">
      <c r="A863" s="25"/>
      <c r="B863" s="503"/>
      <c r="C863" s="503"/>
      <c r="D863" s="503"/>
      <c r="E863" s="25"/>
      <c r="F863" s="25"/>
      <c r="G863" s="25"/>
      <c r="H863" s="25"/>
      <c r="I863" s="25"/>
      <c r="J863" s="25"/>
      <c r="K863" s="25"/>
      <c r="L863" s="25"/>
      <c r="M863" s="25"/>
      <c r="N863" s="25"/>
      <c r="O863" s="25"/>
      <c r="P863" s="25"/>
      <c r="Q863" s="25"/>
      <c r="R863" s="25"/>
      <c r="S863" s="25"/>
      <c r="T863" s="25"/>
      <c r="U863" s="25"/>
      <c r="V863" s="25"/>
      <c r="W863" s="25"/>
      <c r="X863" s="25"/>
      <c r="Y863" s="25"/>
      <c r="Z863" s="25"/>
    </row>
    <row r="864" ht="15.75" customHeight="1">
      <c r="A864" s="25"/>
      <c r="B864" s="503"/>
      <c r="C864" s="503"/>
      <c r="D864" s="503"/>
      <c r="E864" s="25"/>
      <c r="F864" s="25"/>
      <c r="G864" s="25"/>
      <c r="H864" s="25"/>
      <c r="I864" s="25"/>
      <c r="J864" s="25"/>
      <c r="K864" s="25"/>
      <c r="L864" s="25"/>
      <c r="M864" s="25"/>
      <c r="N864" s="25"/>
      <c r="O864" s="25"/>
      <c r="P864" s="25"/>
      <c r="Q864" s="25"/>
      <c r="R864" s="25"/>
      <c r="S864" s="25"/>
      <c r="T864" s="25"/>
      <c r="U864" s="25"/>
      <c r="V864" s="25"/>
      <c r="W864" s="25"/>
      <c r="X864" s="25"/>
      <c r="Y864" s="25"/>
      <c r="Z864" s="25"/>
    </row>
    <row r="865" ht="15.75" customHeight="1">
      <c r="A865" s="25"/>
      <c r="B865" s="503"/>
      <c r="C865" s="503"/>
      <c r="D865" s="503"/>
      <c r="E865" s="25"/>
      <c r="F865" s="25"/>
      <c r="G865" s="25"/>
      <c r="H865" s="25"/>
      <c r="I865" s="25"/>
      <c r="J865" s="25"/>
      <c r="K865" s="25"/>
      <c r="L865" s="25"/>
      <c r="M865" s="25"/>
      <c r="N865" s="25"/>
      <c r="O865" s="25"/>
      <c r="P865" s="25"/>
      <c r="Q865" s="25"/>
      <c r="R865" s="25"/>
      <c r="S865" s="25"/>
      <c r="T865" s="25"/>
      <c r="U865" s="25"/>
      <c r="V865" s="25"/>
      <c r="W865" s="25"/>
      <c r="X865" s="25"/>
      <c r="Y865" s="25"/>
      <c r="Z865" s="25"/>
    </row>
    <row r="866" ht="15.75" customHeight="1">
      <c r="A866" s="25"/>
      <c r="B866" s="503"/>
      <c r="C866" s="503"/>
      <c r="D866" s="503"/>
      <c r="E866" s="25"/>
      <c r="F866" s="25"/>
      <c r="G866" s="25"/>
      <c r="H866" s="25"/>
      <c r="I866" s="25"/>
      <c r="J866" s="25"/>
      <c r="K866" s="25"/>
      <c r="L866" s="25"/>
      <c r="M866" s="25"/>
      <c r="N866" s="25"/>
      <c r="O866" s="25"/>
      <c r="P866" s="25"/>
      <c r="Q866" s="25"/>
      <c r="R866" s="25"/>
      <c r="S866" s="25"/>
      <c r="T866" s="25"/>
      <c r="U866" s="25"/>
      <c r="V866" s="25"/>
      <c r="W866" s="25"/>
      <c r="X866" s="25"/>
      <c r="Y866" s="25"/>
      <c r="Z866" s="25"/>
    </row>
    <row r="867" ht="15.75" customHeight="1">
      <c r="A867" s="25"/>
      <c r="B867" s="503"/>
      <c r="C867" s="503"/>
      <c r="D867" s="503"/>
      <c r="E867" s="25"/>
      <c r="F867" s="25"/>
      <c r="G867" s="25"/>
      <c r="H867" s="25"/>
      <c r="I867" s="25"/>
      <c r="J867" s="25"/>
      <c r="K867" s="25"/>
      <c r="L867" s="25"/>
      <c r="M867" s="25"/>
      <c r="N867" s="25"/>
      <c r="O867" s="25"/>
      <c r="P867" s="25"/>
      <c r="Q867" s="25"/>
      <c r="R867" s="25"/>
      <c r="S867" s="25"/>
      <c r="T867" s="25"/>
      <c r="U867" s="25"/>
      <c r="V867" s="25"/>
      <c r="W867" s="25"/>
      <c r="X867" s="25"/>
      <c r="Y867" s="25"/>
      <c r="Z867" s="25"/>
    </row>
    <row r="868" ht="15.75" customHeight="1">
      <c r="A868" s="25"/>
      <c r="B868" s="503"/>
      <c r="C868" s="503"/>
      <c r="D868" s="503"/>
      <c r="E868" s="25"/>
      <c r="F868" s="25"/>
      <c r="G868" s="25"/>
      <c r="H868" s="25"/>
      <c r="I868" s="25"/>
      <c r="J868" s="25"/>
      <c r="K868" s="25"/>
      <c r="L868" s="25"/>
      <c r="M868" s="25"/>
      <c r="N868" s="25"/>
      <c r="O868" s="25"/>
      <c r="P868" s="25"/>
      <c r="Q868" s="25"/>
      <c r="R868" s="25"/>
      <c r="S868" s="25"/>
      <c r="T868" s="25"/>
      <c r="U868" s="25"/>
      <c r="V868" s="25"/>
      <c r="W868" s="25"/>
      <c r="X868" s="25"/>
      <c r="Y868" s="25"/>
      <c r="Z868" s="25"/>
    </row>
    <row r="869" ht="15.75" customHeight="1">
      <c r="A869" s="25"/>
      <c r="B869" s="503"/>
      <c r="C869" s="503"/>
      <c r="D869" s="503"/>
      <c r="E869" s="25"/>
      <c r="F869" s="25"/>
      <c r="G869" s="25"/>
      <c r="H869" s="25"/>
      <c r="I869" s="25"/>
      <c r="J869" s="25"/>
      <c r="K869" s="25"/>
      <c r="L869" s="25"/>
      <c r="M869" s="25"/>
      <c r="N869" s="25"/>
      <c r="O869" s="25"/>
      <c r="P869" s="25"/>
      <c r="Q869" s="25"/>
      <c r="R869" s="25"/>
      <c r="S869" s="25"/>
      <c r="T869" s="25"/>
      <c r="U869" s="25"/>
      <c r="V869" s="25"/>
      <c r="W869" s="25"/>
      <c r="X869" s="25"/>
      <c r="Y869" s="25"/>
      <c r="Z869" s="25"/>
    </row>
    <row r="870" ht="15.75" customHeight="1">
      <c r="A870" s="25"/>
      <c r="B870" s="503"/>
      <c r="C870" s="503"/>
      <c r="D870" s="503"/>
      <c r="E870" s="25"/>
      <c r="F870" s="25"/>
      <c r="G870" s="25"/>
      <c r="H870" s="25"/>
      <c r="I870" s="25"/>
      <c r="J870" s="25"/>
      <c r="K870" s="25"/>
      <c r="L870" s="25"/>
      <c r="M870" s="25"/>
      <c r="N870" s="25"/>
      <c r="O870" s="25"/>
      <c r="P870" s="25"/>
      <c r="Q870" s="25"/>
      <c r="R870" s="25"/>
      <c r="S870" s="25"/>
      <c r="T870" s="25"/>
      <c r="U870" s="25"/>
      <c r="V870" s="25"/>
      <c r="W870" s="25"/>
      <c r="X870" s="25"/>
      <c r="Y870" s="25"/>
      <c r="Z870" s="25"/>
    </row>
    <row r="871" ht="15.75" customHeight="1">
      <c r="A871" s="25"/>
      <c r="B871" s="503"/>
      <c r="C871" s="503"/>
      <c r="D871" s="503"/>
      <c r="E871" s="25"/>
      <c r="F871" s="25"/>
      <c r="G871" s="25"/>
      <c r="H871" s="25"/>
      <c r="I871" s="25"/>
      <c r="J871" s="25"/>
      <c r="K871" s="25"/>
      <c r="L871" s="25"/>
      <c r="M871" s="25"/>
      <c r="N871" s="25"/>
      <c r="O871" s="25"/>
      <c r="P871" s="25"/>
      <c r="Q871" s="25"/>
      <c r="R871" s="25"/>
      <c r="S871" s="25"/>
      <c r="T871" s="25"/>
      <c r="U871" s="25"/>
      <c r="V871" s="25"/>
      <c r="W871" s="25"/>
      <c r="X871" s="25"/>
      <c r="Y871" s="25"/>
      <c r="Z871" s="25"/>
    </row>
    <row r="872" ht="15.75" customHeight="1">
      <c r="A872" s="25"/>
      <c r="B872" s="503"/>
      <c r="C872" s="503"/>
      <c r="D872" s="503"/>
      <c r="E872" s="25"/>
      <c r="F872" s="25"/>
      <c r="G872" s="25"/>
      <c r="H872" s="25"/>
      <c r="I872" s="25"/>
      <c r="J872" s="25"/>
      <c r="K872" s="25"/>
      <c r="L872" s="25"/>
      <c r="M872" s="25"/>
      <c r="N872" s="25"/>
      <c r="O872" s="25"/>
      <c r="P872" s="25"/>
      <c r="Q872" s="25"/>
      <c r="R872" s="25"/>
      <c r="S872" s="25"/>
      <c r="T872" s="25"/>
      <c r="U872" s="25"/>
      <c r="V872" s="25"/>
      <c r="W872" s="25"/>
      <c r="X872" s="25"/>
      <c r="Y872" s="25"/>
      <c r="Z872" s="25"/>
    </row>
    <row r="873" ht="15.75" customHeight="1">
      <c r="A873" s="25"/>
      <c r="B873" s="503"/>
      <c r="C873" s="503"/>
      <c r="D873" s="503"/>
      <c r="E873" s="25"/>
      <c r="F873" s="25"/>
      <c r="G873" s="25"/>
      <c r="H873" s="25"/>
      <c r="I873" s="25"/>
      <c r="J873" s="25"/>
      <c r="K873" s="25"/>
      <c r="L873" s="25"/>
      <c r="M873" s="25"/>
      <c r="N873" s="25"/>
      <c r="O873" s="25"/>
      <c r="P873" s="25"/>
      <c r="Q873" s="25"/>
      <c r="R873" s="25"/>
      <c r="S873" s="25"/>
      <c r="T873" s="25"/>
      <c r="U873" s="25"/>
      <c r="V873" s="25"/>
      <c r="W873" s="25"/>
      <c r="X873" s="25"/>
      <c r="Y873" s="25"/>
      <c r="Z873" s="25"/>
    </row>
    <row r="874" ht="15.75" customHeight="1">
      <c r="A874" s="25"/>
      <c r="B874" s="503"/>
      <c r="C874" s="503"/>
      <c r="D874" s="503"/>
      <c r="E874" s="25"/>
      <c r="F874" s="25"/>
      <c r="G874" s="25"/>
      <c r="H874" s="25"/>
      <c r="I874" s="25"/>
      <c r="J874" s="25"/>
      <c r="K874" s="25"/>
      <c r="L874" s="25"/>
      <c r="M874" s="25"/>
      <c r="N874" s="25"/>
      <c r="O874" s="25"/>
      <c r="P874" s="25"/>
      <c r="Q874" s="25"/>
      <c r="R874" s="25"/>
      <c r="S874" s="25"/>
      <c r="T874" s="25"/>
      <c r="U874" s="25"/>
      <c r="V874" s="25"/>
      <c r="W874" s="25"/>
      <c r="X874" s="25"/>
      <c r="Y874" s="25"/>
      <c r="Z874" s="25"/>
    </row>
    <row r="875" ht="15.75" customHeight="1">
      <c r="A875" s="25"/>
      <c r="B875" s="503"/>
      <c r="C875" s="503"/>
      <c r="D875" s="503"/>
      <c r="E875" s="25"/>
      <c r="F875" s="25"/>
      <c r="G875" s="25"/>
      <c r="H875" s="25"/>
      <c r="I875" s="25"/>
      <c r="J875" s="25"/>
      <c r="K875" s="25"/>
      <c r="L875" s="25"/>
      <c r="M875" s="25"/>
      <c r="N875" s="25"/>
      <c r="O875" s="25"/>
      <c r="P875" s="25"/>
      <c r="Q875" s="25"/>
      <c r="R875" s="25"/>
      <c r="S875" s="25"/>
      <c r="T875" s="25"/>
      <c r="U875" s="25"/>
      <c r="V875" s="25"/>
      <c r="W875" s="25"/>
      <c r="X875" s="25"/>
      <c r="Y875" s="25"/>
      <c r="Z875" s="25"/>
    </row>
    <row r="876" ht="15.75" customHeight="1">
      <c r="A876" s="25"/>
      <c r="B876" s="503"/>
      <c r="C876" s="503"/>
      <c r="D876" s="503"/>
      <c r="E876" s="25"/>
      <c r="F876" s="25"/>
      <c r="G876" s="25"/>
      <c r="H876" s="25"/>
      <c r="I876" s="25"/>
      <c r="J876" s="25"/>
      <c r="K876" s="25"/>
      <c r="L876" s="25"/>
      <c r="M876" s="25"/>
      <c r="N876" s="25"/>
      <c r="O876" s="25"/>
      <c r="P876" s="25"/>
      <c r="Q876" s="25"/>
      <c r="R876" s="25"/>
      <c r="S876" s="25"/>
      <c r="T876" s="25"/>
      <c r="U876" s="25"/>
      <c r="V876" s="25"/>
      <c r="W876" s="25"/>
      <c r="X876" s="25"/>
      <c r="Y876" s="25"/>
      <c r="Z876" s="25"/>
    </row>
    <row r="877" ht="15.75" customHeight="1">
      <c r="A877" s="25"/>
      <c r="B877" s="503"/>
      <c r="C877" s="503"/>
      <c r="D877" s="503"/>
      <c r="E877" s="25"/>
      <c r="F877" s="25"/>
      <c r="G877" s="25"/>
      <c r="H877" s="25"/>
      <c r="I877" s="25"/>
      <c r="J877" s="25"/>
      <c r="K877" s="25"/>
      <c r="L877" s="25"/>
      <c r="M877" s="25"/>
      <c r="N877" s="25"/>
      <c r="O877" s="25"/>
      <c r="P877" s="25"/>
      <c r="Q877" s="25"/>
      <c r="R877" s="25"/>
      <c r="S877" s="25"/>
      <c r="T877" s="25"/>
      <c r="U877" s="25"/>
      <c r="V877" s="25"/>
      <c r="W877" s="25"/>
      <c r="X877" s="25"/>
      <c r="Y877" s="25"/>
      <c r="Z877" s="25"/>
    </row>
    <row r="878" ht="15.75" customHeight="1">
      <c r="A878" s="25"/>
      <c r="B878" s="503"/>
      <c r="C878" s="503"/>
      <c r="D878" s="503"/>
      <c r="E878" s="25"/>
      <c r="F878" s="25"/>
      <c r="G878" s="25"/>
      <c r="H878" s="25"/>
      <c r="I878" s="25"/>
      <c r="J878" s="25"/>
      <c r="K878" s="25"/>
      <c r="L878" s="25"/>
      <c r="M878" s="25"/>
      <c r="N878" s="25"/>
      <c r="O878" s="25"/>
      <c r="P878" s="25"/>
      <c r="Q878" s="25"/>
      <c r="R878" s="25"/>
      <c r="S878" s="25"/>
      <c r="T878" s="25"/>
      <c r="U878" s="25"/>
      <c r="V878" s="25"/>
      <c r="W878" s="25"/>
      <c r="X878" s="25"/>
      <c r="Y878" s="25"/>
      <c r="Z878" s="25"/>
    </row>
    <row r="879" ht="15.75" customHeight="1">
      <c r="A879" s="25"/>
      <c r="B879" s="503"/>
      <c r="C879" s="503"/>
      <c r="D879" s="503"/>
      <c r="E879" s="25"/>
      <c r="F879" s="25"/>
      <c r="G879" s="25"/>
      <c r="H879" s="25"/>
      <c r="I879" s="25"/>
      <c r="J879" s="25"/>
      <c r="K879" s="25"/>
      <c r="L879" s="25"/>
      <c r="M879" s="25"/>
      <c r="N879" s="25"/>
      <c r="O879" s="25"/>
      <c r="P879" s="25"/>
      <c r="Q879" s="25"/>
      <c r="R879" s="25"/>
      <c r="S879" s="25"/>
      <c r="T879" s="25"/>
      <c r="U879" s="25"/>
      <c r="V879" s="25"/>
      <c r="W879" s="25"/>
      <c r="X879" s="25"/>
      <c r="Y879" s="25"/>
      <c r="Z879" s="25"/>
    </row>
    <row r="880" ht="15.75" customHeight="1">
      <c r="A880" s="25"/>
      <c r="B880" s="503"/>
      <c r="C880" s="503"/>
      <c r="D880" s="503"/>
      <c r="E880" s="25"/>
      <c r="F880" s="25"/>
      <c r="G880" s="25"/>
      <c r="H880" s="25"/>
      <c r="I880" s="25"/>
      <c r="J880" s="25"/>
      <c r="K880" s="25"/>
      <c r="L880" s="25"/>
      <c r="M880" s="25"/>
      <c r="N880" s="25"/>
      <c r="O880" s="25"/>
      <c r="P880" s="25"/>
      <c r="Q880" s="25"/>
      <c r="R880" s="25"/>
      <c r="S880" s="25"/>
      <c r="T880" s="25"/>
      <c r="U880" s="25"/>
      <c r="V880" s="25"/>
      <c r="W880" s="25"/>
      <c r="X880" s="25"/>
      <c r="Y880" s="25"/>
      <c r="Z880" s="25"/>
    </row>
    <row r="881" ht="15.75" customHeight="1">
      <c r="A881" s="25"/>
      <c r="B881" s="503"/>
      <c r="C881" s="503"/>
      <c r="D881" s="503"/>
      <c r="E881" s="25"/>
      <c r="F881" s="25"/>
      <c r="G881" s="25"/>
      <c r="H881" s="25"/>
      <c r="I881" s="25"/>
      <c r="J881" s="25"/>
      <c r="K881" s="25"/>
      <c r="L881" s="25"/>
      <c r="M881" s="25"/>
      <c r="N881" s="25"/>
      <c r="O881" s="25"/>
      <c r="P881" s="25"/>
      <c r="Q881" s="25"/>
      <c r="R881" s="25"/>
      <c r="S881" s="25"/>
      <c r="T881" s="25"/>
      <c r="U881" s="25"/>
      <c r="V881" s="25"/>
      <c r="W881" s="25"/>
      <c r="X881" s="25"/>
      <c r="Y881" s="25"/>
      <c r="Z881" s="25"/>
    </row>
    <row r="882" ht="15.75" customHeight="1">
      <c r="A882" s="25"/>
      <c r="B882" s="503"/>
      <c r="C882" s="503"/>
      <c r="D882" s="503"/>
      <c r="E882" s="25"/>
      <c r="F882" s="25"/>
      <c r="G882" s="25"/>
      <c r="H882" s="25"/>
      <c r="I882" s="25"/>
      <c r="J882" s="25"/>
      <c r="K882" s="25"/>
      <c r="L882" s="25"/>
      <c r="M882" s="25"/>
      <c r="N882" s="25"/>
      <c r="O882" s="25"/>
      <c r="P882" s="25"/>
      <c r="Q882" s="25"/>
      <c r="R882" s="25"/>
      <c r="S882" s="25"/>
      <c r="T882" s="25"/>
      <c r="U882" s="25"/>
      <c r="V882" s="25"/>
      <c r="W882" s="25"/>
      <c r="X882" s="25"/>
      <c r="Y882" s="25"/>
      <c r="Z882" s="25"/>
    </row>
    <row r="883" ht="15.75" customHeight="1">
      <c r="A883" s="25"/>
      <c r="B883" s="503"/>
      <c r="C883" s="503"/>
      <c r="D883" s="503"/>
      <c r="E883" s="25"/>
      <c r="F883" s="25"/>
      <c r="G883" s="25"/>
      <c r="H883" s="25"/>
      <c r="I883" s="25"/>
      <c r="J883" s="25"/>
      <c r="K883" s="25"/>
      <c r="L883" s="25"/>
      <c r="M883" s="25"/>
      <c r="N883" s="25"/>
      <c r="O883" s="25"/>
      <c r="P883" s="25"/>
      <c r="Q883" s="25"/>
      <c r="R883" s="25"/>
      <c r="S883" s="25"/>
      <c r="T883" s="25"/>
      <c r="U883" s="25"/>
      <c r="V883" s="25"/>
      <c r="W883" s="25"/>
      <c r="X883" s="25"/>
      <c r="Y883" s="25"/>
      <c r="Z883" s="25"/>
    </row>
    <row r="884" ht="15.75" customHeight="1">
      <c r="A884" s="25"/>
      <c r="B884" s="503"/>
      <c r="C884" s="503"/>
      <c r="D884" s="503"/>
      <c r="E884" s="25"/>
      <c r="F884" s="25"/>
      <c r="G884" s="25"/>
      <c r="H884" s="25"/>
      <c r="I884" s="25"/>
      <c r="J884" s="25"/>
      <c r="K884" s="25"/>
      <c r="L884" s="25"/>
      <c r="M884" s="25"/>
      <c r="N884" s="25"/>
      <c r="O884" s="25"/>
      <c r="P884" s="25"/>
      <c r="Q884" s="25"/>
      <c r="R884" s="25"/>
      <c r="S884" s="25"/>
      <c r="T884" s="25"/>
      <c r="U884" s="25"/>
      <c r="V884" s="25"/>
      <c r="W884" s="25"/>
      <c r="X884" s="25"/>
      <c r="Y884" s="25"/>
      <c r="Z884" s="25"/>
    </row>
    <row r="885" ht="15.75" customHeight="1">
      <c r="A885" s="25"/>
      <c r="B885" s="503"/>
      <c r="C885" s="503"/>
      <c r="D885" s="503"/>
      <c r="E885" s="25"/>
      <c r="F885" s="25"/>
      <c r="G885" s="25"/>
      <c r="H885" s="25"/>
      <c r="I885" s="25"/>
      <c r="J885" s="25"/>
      <c r="K885" s="25"/>
      <c r="L885" s="25"/>
      <c r="M885" s="25"/>
      <c r="N885" s="25"/>
      <c r="O885" s="25"/>
      <c r="P885" s="25"/>
      <c r="Q885" s="25"/>
      <c r="R885" s="25"/>
      <c r="S885" s="25"/>
      <c r="T885" s="25"/>
      <c r="U885" s="25"/>
      <c r="V885" s="25"/>
      <c r="W885" s="25"/>
      <c r="X885" s="25"/>
      <c r="Y885" s="25"/>
      <c r="Z885" s="25"/>
    </row>
    <row r="886" ht="15.75" customHeight="1">
      <c r="A886" s="25"/>
      <c r="B886" s="503"/>
      <c r="C886" s="503"/>
      <c r="D886" s="503"/>
      <c r="E886" s="25"/>
      <c r="F886" s="25"/>
      <c r="G886" s="25"/>
      <c r="H886" s="25"/>
      <c r="I886" s="25"/>
      <c r="J886" s="25"/>
      <c r="K886" s="25"/>
      <c r="L886" s="25"/>
      <c r="M886" s="25"/>
      <c r="N886" s="25"/>
      <c r="O886" s="25"/>
      <c r="P886" s="25"/>
      <c r="Q886" s="25"/>
      <c r="R886" s="25"/>
      <c r="S886" s="25"/>
      <c r="T886" s="25"/>
      <c r="U886" s="25"/>
      <c r="V886" s="25"/>
      <c r="W886" s="25"/>
      <c r="X886" s="25"/>
      <c r="Y886" s="25"/>
      <c r="Z886" s="25"/>
    </row>
    <row r="887" ht="15.75" customHeight="1">
      <c r="A887" s="25"/>
      <c r="B887" s="503"/>
      <c r="C887" s="503"/>
      <c r="D887" s="503"/>
      <c r="E887" s="25"/>
      <c r="F887" s="25"/>
      <c r="G887" s="25"/>
      <c r="H887" s="25"/>
      <c r="I887" s="25"/>
      <c r="J887" s="25"/>
      <c r="K887" s="25"/>
      <c r="L887" s="25"/>
      <c r="M887" s="25"/>
      <c r="N887" s="25"/>
      <c r="O887" s="25"/>
      <c r="P887" s="25"/>
      <c r="Q887" s="25"/>
      <c r="R887" s="25"/>
      <c r="S887" s="25"/>
      <c r="T887" s="25"/>
      <c r="U887" s="25"/>
      <c r="V887" s="25"/>
      <c r="W887" s="25"/>
      <c r="X887" s="25"/>
      <c r="Y887" s="25"/>
      <c r="Z887" s="25"/>
    </row>
    <row r="888" ht="15.75" customHeight="1">
      <c r="A888" s="25"/>
      <c r="B888" s="503"/>
      <c r="C888" s="503"/>
      <c r="D888" s="503"/>
      <c r="E888" s="25"/>
      <c r="F888" s="25"/>
      <c r="G888" s="25"/>
      <c r="H888" s="25"/>
      <c r="I888" s="25"/>
      <c r="J888" s="25"/>
      <c r="K888" s="25"/>
      <c r="L888" s="25"/>
      <c r="M888" s="25"/>
      <c r="N888" s="25"/>
      <c r="O888" s="25"/>
      <c r="P888" s="25"/>
      <c r="Q888" s="25"/>
      <c r="R888" s="25"/>
      <c r="S888" s="25"/>
      <c r="T888" s="25"/>
      <c r="U888" s="25"/>
      <c r="V888" s="25"/>
      <c r="W888" s="25"/>
      <c r="X888" s="25"/>
      <c r="Y888" s="25"/>
      <c r="Z888" s="25"/>
    </row>
    <row r="889" ht="15.75" customHeight="1">
      <c r="A889" s="25"/>
      <c r="B889" s="503"/>
      <c r="C889" s="503"/>
      <c r="D889" s="503"/>
      <c r="E889" s="25"/>
      <c r="F889" s="25"/>
      <c r="G889" s="25"/>
      <c r="H889" s="25"/>
      <c r="I889" s="25"/>
      <c r="J889" s="25"/>
      <c r="K889" s="25"/>
      <c r="L889" s="25"/>
      <c r="M889" s="25"/>
      <c r="N889" s="25"/>
      <c r="O889" s="25"/>
      <c r="P889" s="25"/>
      <c r="Q889" s="25"/>
      <c r="R889" s="25"/>
      <c r="S889" s="25"/>
      <c r="T889" s="25"/>
      <c r="U889" s="25"/>
      <c r="V889" s="25"/>
      <c r="W889" s="25"/>
      <c r="X889" s="25"/>
      <c r="Y889" s="25"/>
      <c r="Z889" s="25"/>
    </row>
    <row r="890" ht="15.75" customHeight="1">
      <c r="A890" s="25"/>
      <c r="B890" s="503"/>
      <c r="C890" s="503"/>
      <c r="D890" s="503"/>
      <c r="E890" s="25"/>
      <c r="F890" s="25"/>
      <c r="G890" s="25"/>
      <c r="H890" s="25"/>
      <c r="I890" s="25"/>
      <c r="J890" s="25"/>
      <c r="K890" s="25"/>
      <c r="L890" s="25"/>
      <c r="M890" s="25"/>
      <c r="N890" s="25"/>
      <c r="O890" s="25"/>
      <c r="P890" s="25"/>
      <c r="Q890" s="25"/>
      <c r="R890" s="25"/>
      <c r="S890" s="25"/>
      <c r="T890" s="25"/>
      <c r="U890" s="25"/>
      <c r="V890" s="25"/>
      <c r="W890" s="25"/>
      <c r="X890" s="25"/>
      <c r="Y890" s="25"/>
      <c r="Z890" s="25"/>
    </row>
    <row r="891" ht="15.75" customHeight="1">
      <c r="A891" s="25"/>
      <c r="B891" s="503"/>
      <c r="C891" s="503"/>
      <c r="D891" s="503"/>
      <c r="E891" s="25"/>
      <c r="F891" s="25"/>
      <c r="G891" s="25"/>
      <c r="H891" s="25"/>
      <c r="I891" s="25"/>
      <c r="J891" s="25"/>
      <c r="K891" s="25"/>
      <c r="L891" s="25"/>
      <c r="M891" s="25"/>
      <c r="N891" s="25"/>
      <c r="O891" s="25"/>
      <c r="P891" s="25"/>
      <c r="Q891" s="25"/>
      <c r="R891" s="25"/>
      <c r="S891" s="25"/>
      <c r="T891" s="25"/>
      <c r="U891" s="25"/>
      <c r="V891" s="25"/>
      <c r="W891" s="25"/>
      <c r="X891" s="25"/>
      <c r="Y891" s="25"/>
      <c r="Z891" s="25"/>
    </row>
    <row r="892" ht="15.75" customHeight="1">
      <c r="A892" s="25"/>
      <c r="B892" s="503"/>
      <c r="C892" s="503"/>
      <c r="D892" s="503"/>
      <c r="E892" s="25"/>
      <c r="F892" s="25"/>
      <c r="G892" s="25"/>
      <c r="H892" s="25"/>
      <c r="I892" s="25"/>
      <c r="J892" s="25"/>
      <c r="K892" s="25"/>
      <c r="L892" s="25"/>
      <c r="M892" s="25"/>
      <c r="N892" s="25"/>
      <c r="O892" s="25"/>
      <c r="P892" s="25"/>
      <c r="Q892" s="25"/>
      <c r="R892" s="25"/>
      <c r="S892" s="25"/>
      <c r="T892" s="25"/>
      <c r="U892" s="25"/>
      <c r="V892" s="25"/>
      <c r="W892" s="25"/>
      <c r="X892" s="25"/>
      <c r="Y892" s="25"/>
      <c r="Z892" s="25"/>
    </row>
    <row r="893" ht="15.75" customHeight="1">
      <c r="A893" s="25"/>
      <c r="B893" s="503"/>
      <c r="C893" s="503"/>
      <c r="D893" s="503"/>
      <c r="E893" s="25"/>
      <c r="F893" s="25"/>
      <c r="G893" s="25"/>
      <c r="H893" s="25"/>
      <c r="I893" s="25"/>
      <c r="J893" s="25"/>
      <c r="K893" s="25"/>
      <c r="L893" s="25"/>
      <c r="M893" s="25"/>
      <c r="N893" s="25"/>
      <c r="O893" s="25"/>
      <c r="P893" s="25"/>
      <c r="Q893" s="25"/>
      <c r="R893" s="25"/>
      <c r="S893" s="25"/>
      <c r="T893" s="25"/>
      <c r="U893" s="25"/>
      <c r="V893" s="25"/>
      <c r="W893" s="25"/>
      <c r="X893" s="25"/>
      <c r="Y893" s="25"/>
      <c r="Z893" s="25"/>
    </row>
    <row r="894" ht="15.75" customHeight="1">
      <c r="A894" s="25"/>
      <c r="B894" s="503"/>
      <c r="C894" s="503"/>
      <c r="D894" s="503"/>
      <c r="E894" s="25"/>
      <c r="F894" s="25"/>
      <c r="G894" s="25"/>
      <c r="H894" s="25"/>
      <c r="I894" s="25"/>
      <c r="J894" s="25"/>
      <c r="K894" s="25"/>
      <c r="L894" s="25"/>
      <c r="M894" s="25"/>
      <c r="N894" s="25"/>
      <c r="O894" s="25"/>
      <c r="P894" s="25"/>
      <c r="Q894" s="25"/>
      <c r="R894" s="25"/>
      <c r="S894" s="25"/>
      <c r="T894" s="25"/>
      <c r="U894" s="25"/>
      <c r="V894" s="25"/>
      <c r="W894" s="25"/>
      <c r="X894" s="25"/>
      <c r="Y894" s="25"/>
      <c r="Z894" s="25"/>
    </row>
    <row r="895" ht="15.75" customHeight="1">
      <c r="A895" s="25"/>
      <c r="B895" s="503"/>
      <c r="C895" s="503"/>
      <c r="D895" s="503"/>
      <c r="E895" s="25"/>
      <c r="F895" s="25"/>
      <c r="G895" s="25"/>
      <c r="H895" s="25"/>
      <c r="I895" s="25"/>
      <c r="J895" s="25"/>
      <c r="K895" s="25"/>
      <c r="L895" s="25"/>
      <c r="M895" s="25"/>
      <c r="N895" s="25"/>
      <c r="O895" s="25"/>
      <c r="P895" s="25"/>
      <c r="Q895" s="25"/>
      <c r="R895" s="25"/>
      <c r="S895" s="25"/>
      <c r="T895" s="25"/>
      <c r="U895" s="25"/>
      <c r="V895" s="25"/>
      <c r="W895" s="25"/>
      <c r="X895" s="25"/>
      <c r="Y895" s="25"/>
      <c r="Z895" s="25"/>
    </row>
    <row r="896" ht="15.75" customHeight="1">
      <c r="A896" s="25"/>
      <c r="B896" s="503"/>
      <c r="C896" s="503"/>
      <c r="D896" s="503"/>
      <c r="E896" s="25"/>
      <c r="F896" s="25"/>
      <c r="G896" s="25"/>
      <c r="H896" s="25"/>
      <c r="I896" s="25"/>
      <c r="J896" s="25"/>
      <c r="K896" s="25"/>
      <c r="L896" s="25"/>
      <c r="M896" s="25"/>
      <c r="N896" s="25"/>
      <c r="O896" s="25"/>
      <c r="P896" s="25"/>
      <c r="Q896" s="25"/>
      <c r="R896" s="25"/>
      <c r="S896" s="25"/>
      <c r="T896" s="25"/>
      <c r="U896" s="25"/>
      <c r="V896" s="25"/>
      <c r="W896" s="25"/>
      <c r="X896" s="25"/>
      <c r="Y896" s="25"/>
      <c r="Z896" s="25"/>
    </row>
    <row r="897" ht="15.75" customHeight="1">
      <c r="A897" s="25"/>
      <c r="B897" s="503"/>
      <c r="C897" s="503"/>
      <c r="D897" s="503"/>
      <c r="E897" s="25"/>
      <c r="F897" s="25"/>
      <c r="G897" s="25"/>
      <c r="H897" s="25"/>
      <c r="I897" s="25"/>
      <c r="J897" s="25"/>
      <c r="K897" s="25"/>
      <c r="L897" s="25"/>
      <c r="M897" s="25"/>
      <c r="N897" s="25"/>
      <c r="O897" s="25"/>
      <c r="P897" s="25"/>
      <c r="Q897" s="25"/>
      <c r="R897" s="25"/>
      <c r="S897" s="25"/>
      <c r="T897" s="25"/>
      <c r="U897" s="25"/>
      <c r="V897" s="25"/>
      <c r="W897" s="25"/>
      <c r="X897" s="25"/>
      <c r="Y897" s="25"/>
      <c r="Z897" s="25"/>
    </row>
    <row r="898" ht="15.75" customHeight="1">
      <c r="A898" s="25"/>
      <c r="B898" s="503"/>
      <c r="C898" s="503"/>
      <c r="D898" s="503"/>
      <c r="E898" s="25"/>
      <c r="F898" s="25"/>
      <c r="G898" s="25"/>
      <c r="H898" s="25"/>
      <c r="I898" s="25"/>
      <c r="J898" s="25"/>
      <c r="K898" s="25"/>
      <c r="L898" s="25"/>
      <c r="M898" s="25"/>
      <c r="N898" s="25"/>
      <c r="O898" s="25"/>
      <c r="P898" s="25"/>
      <c r="Q898" s="25"/>
      <c r="R898" s="25"/>
      <c r="S898" s="25"/>
      <c r="T898" s="25"/>
      <c r="U898" s="25"/>
      <c r="V898" s="25"/>
      <c r="W898" s="25"/>
      <c r="X898" s="25"/>
      <c r="Y898" s="25"/>
      <c r="Z898" s="25"/>
    </row>
    <row r="899" ht="15.75" customHeight="1">
      <c r="A899" s="25"/>
      <c r="B899" s="503"/>
      <c r="C899" s="503"/>
      <c r="D899" s="503"/>
      <c r="E899" s="25"/>
      <c r="F899" s="25"/>
      <c r="G899" s="25"/>
      <c r="H899" s="25"/>
      <c r="I899" s="25"/>
      <c r="J899" s="25"/>
      <c r="K899" s="25"/>
      <c r="L899" s="25"/>
      <c r="M899" s="25"/>
      <c r="N899" s="25"/>
      <c r="O899" s="25"/>
      <c r="P899" s="25"/>
      <c r="Q899" s="25"/>
      <c r="R899" s="25"/>
      <c r="S899" s="25"/>
      <c r="T899" s="25"/>
      <c r="U899" s="25"/>
      <c r="V899" s="25"/>
      <c r="W899" s="25"/>
      <c r="X899" s="25"/>
      <c r="Y899" s="25"/>
      <c r="Z899" s="25"/>
    </row>
    <row r="900" ht="15.75" customHeight="1">
      <c r="A900" s="25"/>
      <c r="B900" s="503"/>
      <c r="C900" s="503"/>
      <c r="D900" s="503"/>
      <c r="E900" s="25"/>
      <c r="F900" s="25"/>
      <c r="G900" s="25"/>
      <c r="H900" s="25"/>
      <c r="I900" s="25"/>
      <c r="J900" s="25"/>
      <c r="K900" s="25"/>
      <c r="L900" s="25"/>
      <c r="M900" s="25"/>
      <c r="N900" s="25"/>
      <c r="O900" s="25"/>
      <c r="P900" s="25"/>
      <c r="Q900" s="25"/>
      <c r="R900" s="25"/>
      <c r="S900" s="25"/>
      <c r="T900" s="25"/>
      <c r="U900" s="25"/>
      <c r="V900" s="25"/>
      <c r="W900" s="25"/>
      <c r="X900" s="25"/>
      <c r="Y900" s="25"/>
      <c r="Z900" s="25"/>
    </row>
    <row r="901" ht="15.75" customHeight="1">
      <c r="A901" s="25"/>
      <c r="B901" s="503"/>
      <c r="C901" s="503"/>
      <c r="D901" s="503"/>
      <c r="E901" s="25"/>
      <c r="F901" s="25"/>
      <c r="G901" s="25"/>
      <c r="H901" s="25"/>
      <c r="I901" s="25"/>
      <c r="J901" s="25"/>
      <c r="K901" s="25"/>
      <c r="L901" s="25"/>
      <c r="M901" s="25"/>
      <c r="N901" s="25"/>
      <c r="O901" s="25"/>
      <c r="P901" s="25"/>
      <c r="Q901" s="25"/>
      <c r="R901" s="25"/>
      <c r="S901" s="25"/>
      <c r="T901" s="25"/>
      <c r="U901" s="25"/>
      <c r="V901" s="25"/>
      <c r="W901" s="25"/>
      <c r="X901" s="25"/>
      <c r="Y901" s="25"/>
      <c r="Z901" s="25"/>
    </row>
    <row r="902" ht="15.75" customHeight="1">
      <c r="A902" s="25"/>
      <c r="B902" s="503"/>
      <c r="C902" s="503"/>
      <c r="D902" s="503"/>
      <c r="E902" s="25"/>
      <c r="F902" s="25"/>
      <c r="G902" s="25"/>
      <c r="H902" s="25"/>
      <c r="I902" s="25"/>
      <c r="J902" s="25"/>
      <c r="K902" s="25"/>
      <c r="L902" s="25"/>
      <c r="M902" s="25"/>
      <c r="N902" s="25"/>
      <c r="O902" s="25"/>
      <c r="P902" s="25"/>
      <c r="Q902" s="25"/>
      <c r="R902" s="25"/>
      <c r="S902" s="25"/>
      <c r="T902" s="25"/>
      <c r="U902" s="25"/>
      <c r="V902" s="25"/>
      <c r="W902" s="25"/>
      <c r="X902" s="25"/>
      <c r="Y902" s="25"/>
      <c r="Z902" s="25"/>
    </row>
    <row r="903" ht="15.75" customHeight="1">
      <c r="A903" s="25"/>
      <c r="B903" s="503"/>
      <c r="C903" s="503"/>
      <c r="D903" s="503"/>
      <c r="E903" s="25"/>
      <c r="F903" s="25"/>
      <c r="G903" s="25"/>
      <c r="H903" s="25"/>
      <c r="I903" s="25"/>
      <c r="J903" s="25"/>
      <c r="K903" s="25"/>
      <c r="L903" s="25"/>
      <c r="M903" s="25"/>
      <c r="N903" s="25"/>
      <c r="O903" s="25"/>
      <c r="P903" s="25"/>
      <c r="Q903" s="25"/>
      <c r="R903" s="25"/>
      <c r="S903" s="25"/>
      <c r="T903" s="25"/>
      <c r="U903" s="25"/>
      <c r="V903" s="25"/>
      <c r="W903" s="25"/>
      <c r="X903" s="25"/>
      <c r="Y903" s="25"/>
      <c r="Z903" s="25"/>
    </row>
    <row r="904" ht="15.75" customHeight="1">
      <c r="A904" s="25"/>
      <c r="B904" s="503"/>
      <c r="C904" s="503"/>
      <c r="D904" s="503"/>
      <c r="E904" s="25"/>
      <c r="F904" s="25"/>
      <c r="G904" s="25"/>
      <c r="H904" s="25"/>
      <c r="I904" s="25"/>
      <c r="J904" s="25"/>
      <c r="K904" s="25"/>
      <c r="L904" s="25"/>
      <c r="M904" s="25"/>
      <c r="N904" s="25"/>
      <c r="O904" s="25"/>
      <c r="P904" s="25"/>
      <c r="Q904" s="25"/>
      <c r="R904" s="25"/>
      <c r="S904" s="25"/>
      <c r="T904" s="25"/>
      <c r="U904" s="25"/>
      <c r="V904" s="25"/>
      <c r="W904" s="25"/>
      <c r="X904" s="25"/>
      <c r="Y904" s="25"/>
      <c r="Z904" s="25"/>
    </row>
    <row r="905" ht="15.75" customHeight="1">
      <c r="A905" s="25"/>
      <c r="B905" s="503"/>
      <c r="C905" s="503"/>
      <c r="D905" s="503"/>
      <c r="E905" s="25"/>
      <c r="F905" s="25"/>
      <c r="G905" s="25"/>
      <c r="H905" s="25"/>
      <c r="I905" s="25"/>
      <c r="J905" s="25"/>
      <c r="K905" s="25"/>
      <c r="L905" s="25"/>
      <c r="M905" s="25"/>
      <c r="N905" s="25"/>
      <c r="O905" s="25"/>
      <c r="P905" s="25"/>
      <c r="Q905" s="25"/>
      <c r="R905" s="25"/>
      <c r="S905" s="25"/>
      <c r="T905" s="25"/>
      <c r="U905" s="25"/>
      <c r="V905" s="25"/>
      <c r="W905" s="25"/>
      <c r="X905" s="25"/>
      <c r="Y905" s="25"/>
      <c r="Z905" s="25"/>
    </row>
    <row r="906" ht="15.75" customHeight="1">
      <c r="A906" s="25"/>
      <c r="B906" s="503"/>
      <c r="C906" s="503"/>
      <c r="D906" s="503"/>
      <c r="E906" s="25"/>
      <c r="F906" s="25"/>
      <c r="G906" s="25"/>
      <c r="H906" s="25"/>
      <c r="I906" s="25"/>
      <c r="J906" s="25"/>
      <c r="K906" s="25"/>
      <c r="L906" s="25"/>
      <c r="M906" s="25"/>
      <c r="N906" s="25"/>
      <c r="O906" s="25"/>
      <c r="P906" s="25"/>
      <c r="Q906" s="25"/>
      <c r="R906" s="25"/>
      <c r="S906" s="25"/>
      <c r="T906" s="25"/>
      <c r="U906" s="25"/>
      <c r="V906" s="25"/>
      <c r="W906" s="25"/>
      <c r="X906" s="25"/>
      <c r="Y906" s="25"/>
      <c r="Z906" s="25"/>
    </row>
    <row r="907" ht="15.75" customHeight="1">
      <c r="A907" s="25"/>
      <c r="B907" s="503"/>
      <c r="C907" s="503"/>
      <c r="D907" s="503"/>
      <c r="E907" s="25"/>
      <c r="F907" s="25"/>
      <c r="G907" s="25"/>
      <c r="H907" s="25"/>
      <c r="I907" s="25"/>
      <c r="J907" s="25"/>
      <c r="K907" s="25"/>
      <c r="L907" s="25"/>
      <c r="M907" s="25"/>
      <c r="N907" s="25"/>
      <c r="O907" s="25"/>
      <c r="P907" s="25"/>
      <c r="Q907" s="25"/>
      <c r="R907" s="25"/>
      <c r="S907" s="25"/>
      <c r="T907" s="25"/>
      <c r="U907" s="25"/>
      <c r="V907" s="25"/>
      <c r="W907" s="25"/>
      <c r="X907" s="25"/>
      <c r="Y907" s="25"/>
      <c r="Z907" s="25"/>
    </row>
    <row r="908" ht="15.75" customHeight="1">
      <c r="A908" s="25"/>
      <c r="B908" s="503"/>
      <c r="C908" s="503"/>
      <c r="D908" s="503"/>
      <c r="E908" s="25"/>
      <c r="F908" s="25"/>
      <c r="G908" s="25"/>
      <c r="H908" s="25"/>
      <c r="I908" s="25"/>
      <c r="J908" s="25"/>
      <c r="K908" s="25"/>
      <c r="L908" s="25"/>
      <c r="M908" s="25"/>
      <c r="N908" s="25"/>
      <c r="O908" s="25"/>
      <c r="P908" s="25"/>
      <c r="Q908" s="25"/>
      <c r="R908" s="25"/>
      <c r="S908" s="25"/>
      <c r="T908" s="25"/>
      <c r="U908" s="25"/>
      <c r="V908" s="25"/>
      <c r="W908" s="25"/>
      <c r="X908" s="25"/>
      <c r="Y908" s="25"/>
      <c r="Z908" s="25"/>
    </row>
    <row r="909" ht="15.75" customHeight="1">
      <c r="A909" s="25"/>
      <c r="B909" s="503"/>
      <c r="C909" s="503"/>
      <c r="D909" s="503"/>
      <c r="E909" s="25"/>
      <c r="F909" s="25"/>
      <c r="G909" s="25"/>
      <c r="H909" s="25"/>
      <c r="I909" s="25"/>
      <c r="J909" s="25"/>
      <c r="K909" s="25"/>
      <c r="L909" s="25"/>
      <c r="M909" s="25"/>
      <c r="N909" s="25"/>
      <c r="O909" s="25"/>
      <c r="P909" s="25"/>
      <c r="Q909" s="25"/>
      <c r="R909" s="25"/>
      <c r="S909" s="25"/>
      <c r="T909" s="25"/>
      <c r="U909" s="25"/>
      <c r="V909" s="25"/>
      <c r="W909" s="25"/>
      <c r="X909" s="25"/>
      <c r="Y909" s="25"/>
      <c r="Z909" s="25"/>
    </row>
    <row r="910" ht="15.75" customHeight="1">
      <c r="A910" s="25"/>
      <c r="B910" s="503"/>
      <c r="C910" s="503"/>
      <c r="D910" s="503"/>
      <c r="E910" s="25"/>
      <c r="F910" s="25"/>
      <c r="G910" s="25"/>
      <c r="H910" s="25"/>
      <c r="I910" s="25"/>
      <c r="J910" s="25"/>
      <c r="K910" s="25"/>
      <c r="L910" s="25"/>
      <c r="M910" s="25"/>
      <c r="N910" s="25"/>
      <c r="O910" s="25"/>
      <c r="P910" s="25"/>
      <c r="Q910" s="25"/>
      <c r="R910" s="25"/>
      <c r="S910" s="25"/>
      <c r="T910" s="25"/>
      <c r="U910" s="25"/>
      <c r="V910" s="25"/>
      <c r="W910" s="25"/>
      <c r="X910" s="25"/>
      <c r="Y910" s="25"/>
      <c r="Z910" s="25"/>
    </row>
    <row r="911" ht="15.75" customHeight="1">
      <c r="A911" s="25"/>
      <c r="B911" s="503"/>
      <c r="C911" s="503"/>
      <c r="D911" s="503"/>
      <c r="E911" s="25"/>
      <c r="F911" s="25"/>
      <c r="G911" s="25"/>
      <c r="H911" s="25"/>
      <c r="I911" s="25"/>
      <c r="J911" s="25"/>
      <c r="K911" s="25"/>
      <c r="L911" s="25"/>
      <c r="M911" s="25"/>
      <c r="N911" s="25"/>
      <c r="O911" s="25"/>
      <c r="P911" s="25"/>
      <c r="Q911" s="25"/>
      <c r="R911" s="25"/>
      <c r="S911" s="25"/>
      <c r="T911" s="25"/>
      <c r="U911" s="25"/>
      <c r="V911" s="25"/>
      <c r="W911" s="25"/>
      <c r="X911" s="25"/>
      <c r="Y911" s="25"/>
      <c r="Z911" s="25"/>
    </row>
    <row r="912" ht="15.75" customHeight="1">
      <c r="A912" s="25"/>
      <c r="B912" s="503"/>
      <c r="C912" s="503"/>
      <c r="D912" s="503"/>
      <c r="E912" s="25"/>
      <c r="F912" s="25"/>
      <c r="G912" s="25"/>
      <c r="H912" s="25"/>
      <c r="I912" s="25"/>
      <c r="J912" s="25"/>
      <c r="K912" s="25"/>
      <c r="L912" s="25"/>
      <c r="M912" s="25"/>
      <c r="N912" s="25"/>
      <c r="O912" s="25"/>
      <c r="P912" s="25"/>
      <c r="Q912" s="25"/>
      <c r="R912" s="25"/>
      <c r="S912" s="25"/>
      <c r="T912" s="25"/>
      <c r="U912" s="25"/>
      <c r="V912" s="25"/>
      <c r="W912" s="25"/>
      <c r="X912" s="25"/>
      <c r="Y912" s="25"/>
      <c r="Z912" s="25"/>
    </row>
    <row r="913" ht="15.75" customHeight="1">
      <c r="A913" s="25"/>
      <c r="B913" s="503"/>
      <c r="C913" s="503"/>
      <c r="D913" s="503"/>
      <c r="E913" s="25"/>
      <c r="F913" s="25"/>
      <c r="G913" s="25"/>
      <c r="H913" s="25"/>
      <c r="I913" s="25"/>
      <c r="J913" s="25"/>
      <c r="K913" s="25"/>
      <c r="L913" s="25"/>
      <c r="M913" s="25"/>
      <c r="N913" s="25"/>
      <c r="O913" s="25"/>
      <c r="P913" s="25"/>
      <c r="Q913" s="25"/>
      <c r="R913" s="25"/>
      <c r="S913" s="25"/>
      <c r="T913" s="25"/>
      <c r="U913" s="25"/>
      <c r="V913" s="25"/>
      <c r="W913" s="25"/>
      <c r="X913" s="25"/>
      <c r="Y913" s="25"/>
      <c r="Z913" s="25"/>
    </row>
    <row r="914" ht="15.75" customHeight="1">
      <c r="A914" s="25"/>
      <c r="B914" s="503"/>
      <c r="C914" s="503"/>
      <c r="D914" s="503"/>
      <c r="E914" s="25"/>
      <c r="F914" s="25"/>
      <c r="G914" s="25"/>
      <c r="H914" s="25"/>
      <c r="I914" s="25"/>
      <c r="J914" s="25"/>
      <c r="K914" s="25"/>
      <c r="L914" s="25"/>
      <c r="M914" s="25"/>
      <c r="N914" s="25"/>
      <c r="O914" s="25"/>
      <c r="P914" s="25"/>
      <c r="Q914" s="25"/>
      <c r="R914" s="25"/>
      <c r="S914" s="25"/>
      <c r="T914" s="25"/>
      <c r="U914" s="25"/>
      <c r="V914" s="25"/>
      <c r="W914" s="25"/>
      <c r="X914" s="25"/>
      <c r="Y914" s="25"/>
      <c r="Z914" s="25"/>
    </row>
    <row r="915" ht="15.75" customHeight="1">
      <c r="A915" s="25"/>
      <c r="B915" s="503"/>
      <c r="C915" s="503"/>
      <c r="D915" s="503"/>
      <c r="E915" s="25"/>
      <c r="F915" s="25"/>
      <c r="G915" s="25"/>
      <c r="H915" s="25"/>
      <c r="I915" s="25"/>
      <c r="J915" s="25"/>
      <c r="K915" s="25"/>
      <c r="L915" s="25"/>
      <c r="M915" s="25"/>
      <c r="N915" s="25"/>
      <c r="O915" s="25"/>
      <c r="P915" s="25"/>
      <c r="Q915" s="25"/>
      <c r="R915" s="25"/>
      <c r="S915" s="25"/>
      <c r="T915" s="25"/>
      <c r="U915" s="25"/>
      <c r="V915" s="25"/>
      <c r="W915" s="25"/>
      <c r="X915" s="25"/>
      <c r="Y915" s="25"/>
      <c r="Z915" s="25"/>
    </row>
    <row r="916" ht="15.75" customHeight="1">
      <c r="A916" s="25"/>
      <c r="B916" s="503"/>
      <c r="C916" s="503"/>
      <c r="D916" s="503"/>
      <c r="E916" s="25"/>
      <c r="F916" s="25"/>
      <c r="G916" s="25"/>
      <c r="H916" s="25"/>
      <c r="I916" s="25"/>
      <c r="J916" s="25"/>
      <c r="K916" s="25"/>
      <c r="L916" s="25"/>
      <c r="M916" s="25"/>
      <c r="N916" s="25"/>
      <c r="O916" s="25"/>
      <c r="P916" s="25"/>
      <c r="Q916" s="25"/>
      <c r="R916" s="25"/>
      <c r="S916" s="25"/>
      <c r="T916" s="25"/>
      <c r="U916" s="25"/>
      <c r="V916" s="25"/>
      <c r="W916" s="25"/>
      <c r="X916" s="25"/>
      <c r="Y916" s="25"/>
      <c r="Z916" s="25"/>
    </row>
    <row r="917" ht="15.75" customHeight="1">
      <c r="A917" s="25"/>
      <c r="B917" s="503"/>
      <c r="C917" s="503"/>
      <c r="D917" s="503"/>
      <c r="E917" s="25"/>
      <c r="F917" s="25"/>
      <c r="G917" s="25"/>
      <c r="H917" s="25"/>
      <c r="I917" s="25"/>
      <c r="J917" s="25"/>
      <c r="K917" s="25"/>
      <c r="L917" s="25"/>
      <c r="M917" s="25"/>
      <c r="N917" s="25"/>
      <c r="O917" s="25"/>
      <c r="P917" s="25"/>
      <c r="Q917" s="25"/>
      <c r="R917" s="25"/>
      <c r="S917" s="25"/>
      <c r="T917" s="25"/>
      <c r="U917" s="25"/>
      <c r="V917" s="25"/>
      <c r="W917" s="25"/>
      <c r="X917" s="25"/>
      <c r="Y917" s="25"/>
      <c r="Z917" s="25"/>
    </row>
    <row r="918" ht="15.75" customHeight="1">
      <c r="A918" s="25"/>
      <c r="B918" s="503"/>
      <c r="C918" s="503"/>
      <c r="D918" s="503"/>
      <c r="E918" s="25"/>
      <c r="F918" s="25"/>
      <c r="G918" s="25"/>
      <c r="H918" s="25"/>
      <c r="I918" s="25"/>
      <c r="J918" s="25"/>
      <c r="K918" s="25"/>
      <c r="L918" s="25"/>
      <c r="M918" s="25"/>
      <c r="N918" s="25"/>
      <c r="O918" s="25"/>
      <c r="P918" s="25"/>
      <c r="Q918" s="25"/>
      <c r="R918" s="25"/>
      <c r="S918" s="25"/>
      <c r="T918" s="25"/>
      <c r="U918" s="25"/>
      <c r="V918" s="25"/>
      <c r="W918" s="25"/>
      <c r="X918" s="25"/>
      <c r="Y918" s="25"/>
      <c r="Z918" s="25"/>
    </row>
    <row r="919" ht="15.75" customHeight="1">
      <c r="A919" s="25"/>
      <c r="B919" s="503"/>
      <c r="C919" s="503"/>
      <c r="D919" s="503"/>
      <c r="E919" s="25"/>
      <c r="F919" s="25"/>
      <c r="G919" s="25"/>
      <c r="H919" s="25"/>
      <c r="I919" s="25"/>
      <c r="J919" s="25"/>
      <c r="K919" s="25"/>
      <c r="L919" s="25"/>
      <c r="M919" s="25"/>
      <c r="N919" s="25"/>
      <c r="O919" s="25"/>
      <c r="P919" s="25"/>
      <c r="Q919" s="25"/>
      <c r="R919" s="25"/>
      <c r="S919" s="25"/>
      <c r="T919" s="25"/>
      <c r="U919" s="25"/>
      <c r="V919" s="25"/>
      <c r="W919" s="25"/>
      <c r="X919" s="25"/>
      <c r="Y919" s="25"/>
      <c r="Z919" s="25"/>
    </row>
    <row r="920" ht="15.75" customHeight="1">
      <c r="A920" s="25"/>
      <c r="B920" s="503"/>
      <c r="C920" s="503"/>
      <c r="D920" s="503"/>
      <c r="E920" s="25"/>
      <c r="F920" s="25"/>
      <c r="G920" s="25"/>
      <c r="H920" s="25"/>
      <c r="I920" s="25"/>
      <c r="J920" s="25"/>
      <c r="K920" s="25"/>
      <c r="L920" s="25"/>
      <c r="M920" s="25"/>
      <c r="N920" s="25"/>
      <c r="O920" s="25"/>
      <c r="P920" s="25"/>
      <c r="Q920" s="25"/>
      <c r="R920" s="25"/>
      <c r="S920" s="25"/>
      <c r="T920" s="25"/>
      <c r="U920" s="25"/>
      <c r="V920" s="25"/>
      <c r="W920" s="25"/>
      <c r="X920" s="25"/>
      <c r="Y920" s="25"/>
      <c r="Z920" s="25"/>
    </row>
    <row r="921" ht="15.75" customHeight="1">
      <c r="A921" s="25"/>
      <c r="B921" s="503"/>
      <c r="C921" s="503"/>
      <c r="D921" s="503"/>
      <c r="E921" s="25"/>
      <c r="F921" s="25"/>
      <c r="G921" s="25"/>
      <c r="H921" s="25"/>
      <c r="I921" s="25"/>
      <c r="J921" s="25"/>
      <c r="K921" s="25"/>
      <c r="L921" s="25"/>
      <c r="M921" s="25"/>
      <c r="N921" s="25"/>
      <c r="O921" s="25"/>
      <c r="P921" s="25"/>
      <c r="Q921" s="25"/>
      <c r="R921" s="25"/>
      <c r="S921" s="25"/>
      <c r="T921" s="25"/>
      <c r="U921" s="25"/>
      <c r="V921" s="25"/>
      <c r="W921" s="25"/>
      <c r="X921" s="25"/>
      <c r="Y921" s="25"/>
      <c r="Z921" s="25"/>
    </row>
    <row r="922" ht="15.75" customHeight="1">
      <c r="A922" s="25"/>
      <c r="B922" s="503"/>
      <c r="C922" s="503"/>
      <c r="D922" s="503"/>
      <c r="E922" s="25"/>
      <c r="F922" s="25"/>
      <c r="G922" s="25"/>
      <c r="H922" s="25"/>
      <c r="I922" s="25"/>
      <c r="J922" s="25"/>
      <c r="K922" s="25"/>
      <c r="L922" s="25"/>
      <c r="M922" s="25"/>
      <c r="N922" s="25"/>
      <c r="O922" s="25"/>
      <c r="P922" s="25"/>
      <c r="Q922" s="25"/>
      <c r="R922" s="25"/>
      <c r="S922" s="25"/>
      <c r="T922" s="25"/>
      <c r="U922" s="25"/>
      <c r="V922" s="25"/>
      <c r="W922" s="25"/>
      <c r="X922" s="25"/>
      <c r="Y922" s="25"/>
      <c r="Z922" s="25"/>
    </row>
    <row r="923" ht="15.75" customHeight="1">
      <c r="A923" s="25"/>
      <c r="B923" s="503"/>
      <c r="C923" s="503"/>
      <c r="D923" s="503"/>
      <c r="E923" s="25"/>
      <c r="F923" s="25"/>
      <c r="G923" s="25"/>
      <c r="H923" s="25"/>
      <c r="I923" s="25"/>
      <c r="J923" s="25"/>
      <c r="K923" s="25"/>
      <c r="L923" s="25"/>
      <c r="M923" s="25"/>
      <c r="N923" s="25"/>
      <c r="O923" s="25"/>
      <c r="P923" s="25"/>
      <c r="Q923" s="25"/>
      <c r="R923" s="25"/>
      <c r="S923" s="25"/>
      <c r="T923" s="25"/>
      <c r="U923" s="25"/>
      <c r="V923" s="25"/>
      <c r="W923" s="25"/>
      <c r="X923" s="25"/>
      <c r="Y923" s="25"/>
      <c r="Z923" s="25"/>
    </row>
    <row r="924" ht="15.75" customHeight="1">
      <c r="A924" s="25"/>
      <c r="B924" s="503"/>
      <c r="C924" s="503"/>
      <c r="D924" s="503"/>
      <c r="E924" s="25"/>
      <c r="F924" s="25"/>
      <c r="G924" s="25"/>
      <c r="H924" s="25"/>
      <c r="I924" s="25"/>
      <c r="J924" s="25"/>
      <c r="K924" s="25"/>
      <c r="L924" s="25"/>
      <c r="M924" s="25"/>
      <c r="N924" s="25"/>
      <c r="O924" s="25"/>
      <c r="P924" s="25"/>
      <c r="Q924" s="25"/>
      <c r="R924" s="25"/>
      <c r="S924" s="25"/>
      <c r="T924" s="25"/>
      <c r="U924" s="25"/>
      <c r="V924" s="25"/>
      <c r="W924" s="25"/>
      <c r="X924" s="25"/>
      <c r="Y924" s="25"/>
      <c r="Z924" s="25"/>
    </row>
    <row r="925" ht="15.75" customHeight="1">
      <c r="A925" s="25"/>
      <c r="B925" s="503"/>
      <c r="C925" s="503"/>
      <c r="D925" s="503"/>
      <c r="E925" s="25"/>
      <c r="F925" s="25"/>
      <c r="G925" s="25"/>
      <c r="H925" s="25"/>
      <c r="I925" s="25"/>
      <c r="J925" s="25"/>
      <c r="K925" s="25"/>
      <c r="L925" s="25"/>
      <c r="M925" s="25"/>
      <c r="N925" s="25"/>
      <c r="O925" s="25"/>
      <c r="P925" s="25"/>
      <c r="Q925" s="25"/>
      <c r="R925" s="25"/>
      <c r="S925" s="25"/>
      <c r="T925" s="25"/>
      <c r="U925" s="25"/>
      <c r="V925" s="25"/>
      <c r="W925" s="25"/>
      <c r="X925" s="25"/>
      <c r="Y925" s="25"/>
      <c r="Z925" s="25"/>
    </row>
    <row r="926" ht="15.75" customHeight="1">
      <c r="A926" s="25"/>
      <c r="B926" s="503"/>
      <c r="C926" s="503"/>
      <c r="D926" s="503"/>
      <c r="E926" s="25"/>
      <c r="F926" s="25"/>
      <c r="G926" s="25"/>
      <c r="H926" s="25"/>
      <c r="I926" s="25"/>
      <c r="J926" s="25"/>
      <c r="K926" s="25"/>
      <c r="L926" s="25"/>
      <c r="M926" s="25"/>
      <c r="N926" s="25"/>
      <c r="O926" s="25"/>
      <c r="P926" s="25"/>
      <c r="Q926" s="25"/>
      <c r="R926" s="25"/>
      <c r="S926" s="25"/>
      <c r="T926" s="25"/>
      <c r="U926" s="25"/>
      <c r="V926" s="25"/>
      <c r="W926" s="25"/>
      <c r="X926" s="25"/>
      <c r="Y926" s="25"/>
      <c r="Z926" s="25"/>
    </row>
    <row r="927" ht="15.75" customHeight="1">
      <c r="A927" s="25"/>
      <c r="B927" s="503"/>
      <c r="C927" s="503"/>
      <c r="D927" s="503"/>
      <c r="E927" s="25"/>
      <c r="F927" s="25"/>
      <c r="G927" s="25"/>
      <c r="H927" s="25"/>
      <c r="I927" s="25"/>
      <c r="J927" s="25"/>
      <c r="K927" s="25"/>
      <c r="L927" s="25"/>
      <c r="M927" s="25"/>
      <c r="N927" s="25"/>
      <c r="O927" s="25"/>
      <c r="P927" s="25"/>
      <c r="Q927" s="25"/>
      <c r="R927" s="25"/>
      <c r="S927" s="25"/>
      <c r="T927" s="25"/>
      <c r="U927" s="25"/>
      <c r="V927" s="25"/>
      <c r="W927" s="25"/>
      <c r="X927" s="25"/>
      <c r="Y927" s="25"/>
      <c r="Z927" s="25"/>
    </row>
    <row r="928" ht="15.75" customHeight="1">
      <c r="A928" s="25"/>
      <c r="B928" s="503"/>
      <c r="C928" s="503"/>
      <c r="D928" s="503"/>
      <c r="E928" s="25"/>
      <c r="F928" s="25"/>
      <c r="G928" s="25"/>
      <c r="H928" s="25"/>
      <c r="I928" s="25"/>
      <c r="J928" s="25"/>
      <c r="K928" s="25"/>
      <c r="L928" s="25"/>
      <c r="M928" s="25"/>
      <c r="N928" s="25"/>
      <c r="O928" s="25"/>
      <c r="P928" s="25"/>
      <c r="Q928" s="25"/>
      <c r="R928" s="25"/>
      <c r="S928" s="25"/>
      <c r="T928" s="25"/>
      <c r="U928" s="25"/>
      <c r="V928" s="25"/>
      <c r="W928" s="25"/>
      <c r="X928" s="25"/>
      <c r="Y928" s="25"/>
      <c r="Z928" s="25"/>
    </row>
    <row r="929" ht="15.75" customHeight="1">
      <c r="A929" s="25"/>
      <c r="B929" s="503"/>
      <c r="C929" s="503"/>
      <c r="D929" s="503"/>
      <c r="E929" s="25"/>
      <c r="F929" s="25"/>
      <c r="G929" s="25"/>
      <c r="H929" s="25"/>
      <c r="I929" s="25"/>
      <c r="J929" s="25"/>
      <c r="K929" s="25"/>
      <c r="L929" s="25"/>
      <c r="M929" s="25"/>
      <c r="N929" s="25"/>
      <c r="O929" s="25"/>
      <c r="P929" s="25"/>
      <c r="Q929" s="25"/>
      <c r="R929" s="25"/>
      <c r="S929" s="25"/>
      <c r="T929" s="25"/>
      <c r="U929" s="25"/>
      <c r="V929" s="25"/>
      <c r="W929" s="25"/>
      <c r="X929" s="25"/>
      <c r="Y929" s="25"/>
      <c r="Z929" s="25"/>
    </row>
    <row r="930" ht="15.75" customHeight="1">
      <c r="A930" s="25"/>
      <c r="B930" s="503"/>
      <c r="C930" s="503"/>
      <c r="D930" s="503"/>
      <c r="E930" s="25"/>
      <c r="F930" s="25"/>
      <c r="G930" s="25"/>
      <c r="H930" s="25"/>
      <c r="I930" s="25"/>
      <c r="J930" s="25"/>
      <c r="K930" s="25"/>
      <c r="L930" s="25"/>
      <c r="M930" s="25"/>
      <c r="N930" s="25"/>
      <c r="O930" s="25"/>
      <c r="P930" s="25"/>
      <c r="Q930" s="25"/>
      <c r="R930" s="25"/>
      <c r="S930" s="25"/>
      <c r="T930" s="25"/>
      <c r="U930" s="25"/>
      <c r="V930" s="25"/>
      <c r="W930" s="25"/>
      <c r="X930" s="25"/>
      <c r="Y930" s="25"/>
      <c r="Z930" s="25"/>
    </row>
    <row r="931" ht="15.75" customHeight="1">
      <c r="A931" s="25"/>
      <c r="B931" s="503"/>
      <c r="C931" s="503"/>
      <c r="D931" s="503"/>
      <c r="E931" s="25"/>
      <c r="F931" s="25"/>
      <c r="G931" s="25"/>
      <c r="H931" s="25"/>
      <c r="I931" s="25"/>
      <c r="J931" s="25"/>
      <c r="K931" s="25"/>
      <c r="L931" s="25"/>
      <c r="M931" s="25"/>
      <c r="N931" s="25"/>
      <c r="O931" s="25"/>
      <c r="P931" s="25"/>
      <c r="Q931" s="25"/>
      <c r="R931" s="25"/>
      <c r="S931" s="25"/>
      <c r="T931" s="25"/>
      <c r="U931" s="25"/>
      <c r="V931" s="25"/>
      <c r="W931" s="25"/>
      <c r="X931" s="25"/>
      <c r="Y931" s="25"/>
      <c r="Z931" s="25"/>
    </row>
    <row r="932" ht="15.75" customHeight="1">
      <c r="A932" s="25"/>
      <c r="B932" s="503"/>
      <c r="C932" s="503"/>
      <c r="D932" s="503"/>
      <c r="E932" s="25"/>
      <c r="F932" s="25"/>
      <c r="G932" s="25"/>
      <c r="H932" s="25"/>
      <c r="I932" s="25"/>
      <c r="J932" s="25"/>
      <c r="K932" s="25"/>
      <c r="L932" s="25"/>
      <c r="M932" s="25"/>
      <c r="N932" s="25"/>
      <c r="O932" s="25"/>
      <c r="P932" s="25"/>
      <c r="Q932" s="25"/>
      <c r="R932" s="25"/>
      <c r="S932" s="25"/>
      <c r="T932" s="25"/>
      <c r="U932" s="25"/>
      <c r="V932" s="25"/>
      <c r="W932" s="25"/>
      <c r="X932" s="25"/>
      <c r="Y932" s="25"/>
      <c r="Z932" s="25"/>
    </row>
    <row r="933" ht="15.75" customHeight="1">
      <c r="A933" s="25"/>
      <c r="B933" s="503"/>
      <c r="C933" s="503"/>
      <c r="D933" s="503"/>
      <c r="E933" s="25"/>
      <c r="F933" s="25"/>
      <c r="G933" s="25"/>
      <c r="H933" s="25"/>
      <c r="I933" s="25"/>
      <c r="J933" s="25"/>
      <c r="K933" s="25"/>
      <c r="L933" s="25"/>
      <c r="M933" s="25"/>
      <c r="N933" s="25"/>
      <c r="O933" s="25"/>
      <c r="P933" s="25"/>
      <c r="Q933" s="25"/>
      <c r="R933" s="25"/>
      <c r="S933" s="25"/>
      <c r="T933" s="25"/>
      <c r="U933" s="25"/>
      <c r="V933" s="25"/>
      <c r="W933" s="25"/>
      <c r="X933" s="25"/>
      <c r="Y933" s="25"/>
      <c r="Z933" s="25"/>
    </row>
    <row r="934" ht="15.75" customHeight="1">
      <c r="A934" s="25"/>
      <c r="B934" s="503"/>
      <c r="C934" s="503"/>
      <c r="D934" s="503"/>
      <c r="E934" s="25"/>
      <c r="F934" s="25"/>
      <c r="G934" s="25"/>
      <c r="H934" s="25"/>
      <c r="I934" s="25"/>
      <c r="J934" s="25"/>
      <c r="K934" s="25"/>
      <c r="L934" s="25"/>
      <c r="M934" s="25"/>
      <c r="N934" s="25"/>
      <c r="O934" s="25"/>
      <c r="P934" s="25"/>
      <c r="Q934" s="25"/>
      <c r="R934" s="25"/>
      <c r="S934" s="25"/>
      <c r="T934" s="25"/>
      <c r="U934" s="25"/>
      <c r="V934" s="25"/>
      <c r="W934" s="25"/>
      <c r="X934" s="25"/>
      <c r="Y934" s="25"/>
      <c r="Z934" s="25"/>
    </row>
    <row r="935" ht="15.75" customHeight="1">
      <c r="A935" s="25"/>
      <c r="B935" s="503"/>
      <c r="C935" s="503"/>
      <c r="D935" s="503"/>
      <c r="E935" s="25"/>
      <c r="F935" s="25"/>
      <c r="G935" s="25"/>
      <c r="H935" s="25"/>
      <c r="I935" s="25"/>
      <c r="J935" s="25"/>
      <c r="K935" s="25"/>
      <c r="L935" s="25"/>
      <c r="M935" s="25"/>
      <c r="N935" s="25"/>
      <c r="O935" s="25"/>
      <c r="P935" s="25"/>
      <c r="Q935" s="25"/>
      <c r="R935" s="25"/>
      <c r="S935" s="25"/>
      <c r="T935" s="25"/>
      <c r="U935" s="25"/>
      <c r="V935" s="25"/>
      <c r="W935" s="25"/>
      <c r="X935" s="25"/>
      <c r="Y935" s="25"/>
      <c r="Z935" s="25"/>
    </row>
    <row r="936" ht="15.75" customHeight="1">
      <c r="A936" s="25"/>
      <c r="B936" s="503"/>
      <c r="C936" s="503"/>
      <c r="D936" s="503"/>
      <c r="E936" s="25"/>
      <c r="F936" s="25"/>
      <c r="G936" s="25"/>
      <c r="H936" s="25"/>
      <c r="I936" s="25"/>
      <c r="J936" s="25"/>
      <c r="K936" s="25"/>
      <c r="L936" s="25"/>
      <c r="M936" s="25"/>
      <c r="N936" s="25"/>
      <c r="O936" s="25"/>
      <c r="P936" s="25"/>
      <c r="Q936" s="25"/>
      <c r="R936" s="25"/>
      <c r="S936" s="25"/>
      <c r="T936" s="25"/>
      <c r="U936" s="25"/>
      <c r="V936" s="25"/>
      <c r="W936" s="25"/>
      <c r="X936" s="25"/>
      <c r="Y936" s="25"/>
      <c r="Z936" s="25"/>
    </row>
    <row r="937" ht="15.75" customHeight="1">
      <c r="A937" s="25"/>
      <c r="B937" s="503"/>
      <c r="C937" s="503"/>
      <c r="D937" s="503"/>
      <c r="E937" s="25"/>
      <c r="F937" s="25"/>
      <c r="G937" s="25"/>
      <c r="H937" s="25"/>
      <c r="I937" s="25"/>
      <c r="J937" s="25"/>
      <c r="K937" s="25"/>
      <c r="L937" s="25"/>
      <c r="M937" s="25"/>
      <c r="N937" s="25"/>
      <c r="O937" s="25"/>
      <c r="P937" s="25"/>
      <c r="Q937" s="25"/>
      <c r="R937" s="25"/>
      <c r="S937" s="25"/>
      <c r="T937" s="25"/>
      <c r="U937" s="25"/>
      <c r="V937" s="25"/>
      <c r="W937" s="25"/>
      <c r="X937" s="25"/>
      <c r="Y937" s="25"/>
      <c r="Z937" s="25"/>
    </row>
    <row r="938" ht="15.75" customHeight="1">
      <c r="A938" s="25"/>
      <c r="B938" s="503"/>
      <c r="C938" s="503"/>
      <c r="D938" s="503"/>
      <c r="E938" s="25"/>
      <c r="F938" s="25"/>
      <c r="G938" s="25"/>
      <c r="H938" s="25"/>
      <c r="I938" s="25"/>
      <c r="J938" s="25"/>
      <c r="K938" s="25"/>
      <c r="L938" s="25"/>
      <c r="M938" s="25"/>
      <c r="N938" s="25"/>
      <c r="O938" s="25"/>
      <c r="P938" s="25"/>
      <c r="Q938" s="25"/>
      <c r="R938" s="25"/>
      <c r="S938" s="25"/>
      <c r="T938" s="25"/>
      <c r="U938" s="25"/>
      <c r="V938" s="25"/>
      <c r="W938" s="25"/>
      <c r="X938" s="25"/>
      <c r="Y938" s="25"/>
      <c r="Z938" s="25"/>
    </row>
    <row r="939" ht="15.75" customHeight="1">
      <c r="A939" s="25"/>
      <c r="B939" s="503"/>
      <c r="C939" s="503"/>
      <c r="D939" s="503"/>
      <c r="E939" s="25"/>
      <c r="F939" s="25"/>
      <c r="G939" s="25"/>
      <c r="H939" s="25"/>
      <c r="I939" s="25"/>
      <c r="J939" s="25"/>
      <c r="K939" s="25"/>
      <c r="L939" s="25"/>
      <c r="M939" s="25"/>
      <c r="N939" s="25"/>
      <c r="O939" s="25"/>
      <c r="P939" s="25"/>
      <c r="Q939" s="25"/>
      <c r="R939" s="25"/>
      <c r="S939" s="25"/>
      <c r="T939" s="25"/>
      <c r="U939" s="25"/>
      <c r="V939" s="25"/>
      <c r="W939" s="25"/>
      <c r="X939" s="25"/>
      <c r="Y939" s="25"/>
      <c r="Z939" s="25"/>
    </row>
    <row r="940" ht="15.75" customHeight="1">
      <c r="A940" s="25"/>
      <c r="B940" s="503"/>
      <c r="C940" s="503"/>
      <c r="D940" s="503"/>
      <c r="E940" s="25"/>
      <c r="F940" s="25"/>
      <c r="G940" s="25"/>
      <c r="H940" s="25"/>
      <c r="I940" s="25"/>
      <c r="J940" s="25"/>
      <c r="K940" s="25"/>
      <c r="L940" s="25"/>
      <c r="M940" s="25"/>
      <c r="N940" s="25"/>
      <c r="O940" s="25"/>
      <c r="P940" s="25"/>
      <c r="Q940" s="25"/>
      <c r="R940" s="25"/>
      <c r="S940" s="25"/>
      <c r="T940" s="25"/>
      <c r="U940" s="25"/>
      <c r="V940" s="25"/>
      <c r="W940" s="25"/>
      <c r="X940" s="25"/>
      <c r="Y940" s="25"/>
      <c r="Z940" s="25"/>
    </row>
    <row r="941" ht="15.75" customHeight="1">
      <c r="A941" s="25"/>
      <c r="B941" s="503"/>
      <c r="C941" s="503"/>
      <c r="D941" s="503"/>
      <c r="E941" s="25"/>
      <c r="F941" s="25"/>
      <c r="G941" s="25"/>
      <c r="H941" s="25"/>
      <c r="I941" s="25"/>
      <c r="J941" s="25"/>
      <c r="K941" s="25"/>
      <c r="L941" s="25"/>
      <c r="M941" s="25"/>
      <c r="N941" s="25"/>
      <c r="O941" s="25"/>
      <c r="P941" s="25"/>
      <c r="Q941" s="25"/>
      <c r="R941" s="25"/>
      <c r="S941" s="25"/>
      <c r="T941" s="25"/>
      <c r="U941" s="25"/>
      <c r="V941" s="25"/>
      <c r="W941" s="25"/>
      <c r="X941" s="25"/>
      <c r="Y941" s="25"/>
      <c r="Z941" s="25"/>
    </row>
    <row r="942" ht="15.75" customHeight="1">
      <c r="A942" s="25"/>
      <c r="B942" s="503"/>
      <c r="C942" s="503"/>
      <c r="D942" s="503"/>
      <c r="E942" s="25"/>
      <c r="F942" s="25"/>
      <c r="G942" s="25"/>
      <c r="H942" s="25"/>
      <c r="I942" s="25"/>
      <c r="J942" s="25"/>
      <c r="K942" s="25"/>
      <c r="L942" s="25"/>
      <c r="M942" s="25"/>
      <c r="N942" s="25"/>
      <c r="O942" s="25"/>
      <c r="P942" s="25"/>
      <c r="Q942" s="25"/>
      <c r="R942" s="25"/>
      <c r="S942" s="25"/>
      <c r="T942" s="25"/>
      <c r="U942" s="25"/>
      <c r="V942" s="25"/>
      <c r="W942" s="25"/>
      <c r="X942" s="25"/>
      <c r="Y942" s="25"/>
      <c r="Z942" s="25"/>
    </row>
    <row r="943" ht="15.75" customHeight="1">
      <c r="A943" s="25"/>
      <c r="B943" s="503"/>
      <c r="C943" s="503"/>
      <c r="D943" s="503"/>
      <c r="E943" s="25"/>
      <c r="F943" s="25"/>
      <c r="G943" s="25"/>
      <c r="H943" s="25"/>
      <c r="I943" s="25"/>
      <c r="J943" s="25"/>
      <c r="K943" s="25"/>
      <c r="L943" s="25"/>
      <c r="M943" s="25"/>
      <c r="N943" s="25"/>
      <c r="O943" s="25"/>
      <c r="P943" s="25"/>
      <c r="Q943" s="25"/>
      <c r="R943" s="25"/>
      <c r="S943" s="25"/>
      <c r="T943" s="25"/>
      <c r="U943" s="25"/>
      <c r="V943" s="25"/>
      <c r="W943" s="25"/>
      <c r="X943" s="25"/>
      <c r="Y943" s="25"/>
      <c r="Z943" s="25"/>
    </row>
    <row r="944" ht="15.75" customHeight="1">
      <c r="A944" s="25"/>
      <c r="B944" s="503"/>
      <c r="C944" s="503"/>
      <c r="D944" s="503"/>
      <c r="E944" s="25"/>
      <c r="F944" s="25"/>
      <c r="G944" s="25"/>
      <c r="H944" s="25"/>
      <c r="I944" s="25"/>
      <c r="J944" s="25"/>
      <c r="K944" s="25"/>
      <c r="L944" s="25"/>
      <c r="M944" s="25"/>
      <c r="N944" s="25"/>
      <c r="O944" s="25"/>
      <c r="P944" s="25"/>
      <c r="Q944" s="25"/>
      <c r="R944" s="25"/>
      <c r="S944" s="25"/>
      <c r="T944" s="25"/>
      <c r="U944" s="25"/>
      <c r="V944" s="25"/>
      <c r="W944" s="25"/>
      <c r="X944" s="25"/>
      <c r="Y944" s="25"/>
      <c r="Z944" s="25"/>
    </row>
    <row r="945" ht="15.75" customHeight="1">
      <c r="A945" s="25"/>
      <c r="B945" s="503"/>
      <c r="C945" s="503"/>
      <c r="D945" s="503"/>
      <c r="E945" s="25"/>
      <c r="F945" s="25"/>
      <c r="G945" s="25"/>
      <c r="H945" s="25"/>
      <c r="I945" s="25"/>
      <c r="J945" s="25"/>
      <c r="K945" s="25"/>
      <c r="L945" s="25"/>
      <c r="M945" s="25"/>
      <c r="N945" s="25"/>
      <c r="O945" s="25"/>
      <c r="P945" s="25"/>
      <c r="Q945" s="25"/>
      <c r="R945" s="25"/>
      <c r="S945" s="25"/>
      <c r="T945" s="25"/>
      <c r="U945" s="25"/>
      <c r="V945" s="25"/>
      <c r="W945" s="25"/>
      <c r="X945" s="25"/>
      <c r="Y945" s="25"/>
      <c r="Z945" s="25"/>
    </row>
    <row r="946" ht="15.75" customHeight="1">
      <c r="A946" s="25"/>
      <c r="B946" s="503"/>
      <c r="C946" s="503"/>
      <c r="D946" s="503"/>
      <c r="E946" s="25"/>
      <c r="F946" s="25"/>
      <c r="G946" s="25"/>
      <c r="H946" s="25"/>
      <c r="I946" s="25"/>
      <c r="J946" s="25"/>
      <c r="K946" s="25"/>
      <c r="L946" s="25"/>
      <c r="M946" s="25"/>
      <c r="N946" s="25"/>
      <c r="O946" s="25"/>
      <c r="P946" s="25"/>
      <c r="Q946" s="25"/>
      <c r="R946" s="25"/>
      <c r="S946" s="25"/>
      <c r="T946" s="25"/>
      <c r="U946" s="25"/>
      <c r="V946" s="25"/>
      <c r="W946" s="25"/>
      <c r="X946" s="25"/>
      <c r="Y946" s="25"/>
      <c r="Z946" s="25"/>
    </row>
    <row r="947" ht="15.75" customHeight="1">
      <c r="A947" s="25"/>
      <c r="B947" s="503"/>
      <c r="C947" s="503"/>
      <c r="D947" s="503"/>
      <c r="E947" s="25"/>
      <c r="F947" s="25"/>
      <c r="G947" s="25"/>
      <c r="H947" s="25"/>
      <c r="I947" s="25"/>
      <c r="J947" s="25"/>
      <c r="K947" s="25"/>
      <c r="L947" s="25"/>
      <c r="M947" s="25"/>
      <c r="N947" s="25"/>
      <c r="O947" s="25"/>
      <c r="P947" s="25"/>
      <c r="Q947" s="25"/>
      <c r="R947" s="25"/>
      <c r="S947" s="25"/>
      <c r="T947" s="25"/>
      <c r="U947" s="25"/>
      <c r="V947" s="25"/>
      <c r="W947" s="25"/>
      <c r="X947" s="25"/>
      <c r="Y947" s="25"/>
      <c r="Z947" s="25"/>
    </row>
    <row r="948" ht="15.75" customHeight="1">
      <c r="A948" s="25"/>
      <c r="B948" s="503"/>
      <c r="C948" s="503"/>
      <c r="D948" s="503"/>
      <c r="E948" s="25"/>
      <c r="F948" s="25"/>
      <c r="G948" s="25"/>
      <c r="H948" s="25"/>
      <c r="I948" s="25"/>
      <c r="J948" s="25"/>
      <c r="K948" s="25"/>
      <c r="L948" s="25"/>
      <c r="M948" s="25"/>
      <c r="N948" s="25"/>
      <c r="O948" s="25"/>
      <c r="P948" s="25"/>
      <c r="Q948" s="25"/>
      <c r="R948" s="25"/>
      <c r="S948" s="25"/>
      <c r="T948" s="25"/>
      <c r="U948" s="25"/>
      <c r="V948" s="25"/>
      <c r="W948" s="25"/>
      <c r="X948" s="25"/>
      <c r="Y948" s="25"/>
      <c r="Z948" s="25"/>
    </row>
    <row r="949" ht="15.75" customHeight="1">
      <c r="A949" s="25"/>
      <c r="B949" s="503"/>
      <c r="C949" s="503"/>
      <c r="D949" s="503"/>
      <c r="E949" s="25"/>
      <c r="F949" s="25"/>
      <c r="G949" s="25"/>
      <c r="H949" s="25"/>
      <c r="I949" s="25"/>
      <c r="J949" s="25"/>
      <c r="K949" s="25"/>
      <c r="L949" s="25"/>
      <c r="M949" s="25"/>
      <c r="N949" s="25"/>
      <c r="O949" s="25"/>
      <c r="P949" s="25"/>
      <c r="Q949" s="25"/>
      <c r="R949" s="25"/>
      <c r="S949" s="25"/>
      <c r="T949" s="25"/>
      <c r="U949" s="25"/>
      <c r="V949" s="25"/>
      <c r="W949" s="25"/>
      <c r="X949" s="25"/>
      <c r="Y949" s="25"/>
      <c r="Z949" s="25"/>
    </row>
    <row r="950" ht="15.75" customHeight="1">
      <c r="A950" s="25"/>
      <c r="B950" s="503"/>
      <c r="C950" s="503"/>
      <c r="D950" s="503"/>
      <c r="E950" s="25"/>
      <c r="F950" s="25"/>
      <c r="G950" s="25"/>
      <c r="H950" s="25"/>
      <c r="I950" s="25"/>
      <c r="J950" s="25"/>
      <c r="K950" s="25"/>
      <c r="L950" s="25"/>
      <c r="M950" s="25"/>
      <c r="N950" s="25"/>
      <c r="O950" s="25"/>
      <c r="P950" s="25"/>
      <c r="Q950" s="25"/>
      <c r="R950" s="25"/>
      <c r="S950" s="25"/>
      <c r="T950" s="25"/>
      <c r="U950" s="25"/>
      <c r="V950" s="25"/>
      <c r="W950" s="25"/>
      <c r="X950" s="25"/>
      <c r="Y950" s="25"/>
      <c r="Z950" s="25"/>
    </row>
    <row r="951" ht="15.75" customHeight="1">
      <c r="A951" s="25"/>
      <c r="B951" s="503"/>
      <c r="C951" s="503"/>
      <c r="D951" s="503"/>
      <c r="E951" s="25"/>
      <c r="F951" s="25"/>
      <c r="G951" s="25"/>
      <c r="H951" s="25"/>
      <c r="I951" s="25"/>
      <c r="J951" s="25"/>
      <c r="K951" s="25"/>
      <c r="L951" s="25"/>
      <c r="M951" s="25"/>
      <c r="N951" s="25"/>
      <c r="O951" s="25"/>
      <c r="P951" s="25"/>
      <c r="Q951" s="25"/>
      <c r="R951" s="25"/>
      <c r="S951" s="25"/>
      <c r="T951" s="25"/>
      <c r="U951" s="25"/>
      <c r="V951" s="25"/>
      <c r="W951" s="25"/>
      <c r="X951" s="25"/>
      <c r="Y951" s="25"/>
      <c r="Z951" s="25"/>
    </row>
    <row r="952" ht="15.75" customHeight="1">
      <c r="A952" s="25"/>
      <c r="B952" s="503"/>
      <c r="C952" s="503"/>
      <c r="D952" s="503"/>
      <c r="E952" s="25"/>
      <c r="F952" s="25"/>
      <c r="G952" s="25"/>
      <c r="H952" s="25"/>
      <c r="I952" s="25"/>
      <c r="J952" s="25"/>
      <c r="K952" s="25"/>
      <c r="L952" s="25"/>
      <c r="M952" s="25"/>
      <c r="N952" s="25"/>
      <c r="O952" s="25"/>
      <c r="P952" s="25"/>
      <c r="Q952" s="25"/>
      <c r="R952" s="25"/>
      <c r="S952" s="25"/>
      <c r="T952" s="25"/>
      <c r="U952" s="25"/>
      <c r="V952" s="25"/>
      <c r="W952" s="25"/>
      <c r="X952" s="25"/>
      <c r="Y952" s="25"/>
      <c r="Z952" s="25"/>
    </row>
    <row r="953" ht="15.75" customHeight="1">
      <c r="A953" s="25"/>
      <c r="B953" s="503"/>
      <c r="C953" s="503"/>
      <c r="D953" s="503"/>
      <c r="E953" s="25"/>
      <c r="F953" s="25"/>
      <c r="G953" s="25"/>
      <c r="H953" s="25"/>
      <c r="I953" s="25"/>
      <c r="J953" s="25"/>
      <c r="K953" s="25"/>
      <c r="L953" s="25"/>
      <c r="M953" s="25"/>
      <c r="N953" s="25"/>
      <c r="O953" s="25"/>
      <c r="P953" s="25"/>
      <c r="Q953" s="25"/>
      <c r="R953" s="25"/>
      <c r="S953" s="25"/>
      <c r="T953" s="25"/>
      <c r="U953" s="25"/>
      <c r="V953" s="25"/>
      <c r="W953" s="25"/>
      <c r="X953" s="25"/>
      <c r="Y953" s="25"/>
      <c r="Z953" s="25"/>
    </row>
    <row r="954" ht="15.75" customHeight="1">
      <c r="A954" s="25"/>
      <c r="B954" s="503"/>
      <c r="C954" s="503"/>
      <c r="D954" s="503"/>
      <c r="E954" s="25"/>
      <c r="F954" s="25"/>
      <c r="G954" s="25"/>
      <c r="H954" s="25"/>
      <c r="I954" s="25"/>
      <c r="J954" s="25"/>
      <c r="K954" s="25"/>
      <c r="L954" s="25"/>
      <c r="M954" s="25"/>
      <c r="N954" s="25"/>
      <c r="O954" s="25"/>
      <c r="P954" s="25"/>
      <c r="Q954" s="25"/>
      <c r="R954" s="25"/>
      <c r="S954" s="25"/>
      <c r="T954" s="25"/>
      <c r="U954" s="25"/>
      <c r="V954" s="25"/>
      <c r="W954" s="25"/>
      <c r="X954" s="25"/>
      <c r="Y954" s="25"/>
      <c r="Z954" s="25"/>
    </row>
    <row r="955" ht="15.75" customHeight="1">
      <c r="A955" s="25"/>
      <c r="B955" s="503"/>
      <c r="C955" s="503"/>
      <c r="D955" s="503"/>
      <c r="E955" s="25"/>
      <c r="F955" s="25"/>
      <c r="G955" s="25"/>
      <c r="H955" s="25"/>
      <c r="I955" s="25"/>
      <c r="J955" s="25"/>
      <c r="K955" s="25"/>
      <c r="L955" s="25"/>
      <c r="M955" s="25"/>
      <c r="N955" s="25"/>
      <c r="O955" s="25"/>
      <c r="P955" s="25"/>
      <c r="Q955" s="25"/>
      <c r="R955" s="25"/>
      <c r="S955" s="25"/>
      <c r="T955" s="25"/>
      <c r="U955" s="25"/>
      <c r="V955" s="25"/>
      <c r="W955" s="25"/>
      <c r="X955" s="25"/>
      <c r="Y955" s="25"/>
      <c r="Z955" s="25"/>
    </row>
    <row r="956" ht="15.75" customHeight="1">
      <c r="A956" s="25"/>
      <c r="B956" s="503"/>
      <c r="C956" s="503"/>
      <c r="D956" s="503"/>
      <c r="E956" s="25"/>
      <c r="F956" s="25"/>
      <c r="G956" s="25"/>
      <c r="H956" s="25"/>
      <c r="I956" s="25"/>
      <c r="J956" s="25"/>
      <c r="K956" s="25"/>
      <c r="L956" s="25"/>
      <c r="M956" s="25"/>
      <c r="N956" s="25"/>
      <c r="O956" s="25"/>
      <c r="P956" s="25"/>
      <c r="Q956" s="25"/>
      <c r="R956" s="25"/>
      <c r="S956" s="25"/>
      <c r="T956" s="25"/>
      <c r="U956" s="25"/>
      <c r="V956" s="25"/>
      <c r="W956" s="25"/>
      <c r="X956" s="25"/>
      <c r="Y956" s="25"/>
      <c r="Z956" s="25"/>
    </row>
    <row r="957" ht="15.75" customHeight="1">
      <c r="A957" s="25"/>
      <c r="B957" s="503"/>
      <c r="C957" s="503"/>
      <c r="D957" s="503"/>
      <c r="E957" s="25"/>
      <c r="F957" s="25"/>
      <c r="G957" s="25"/>
      <c r="H957" s="25"/>
      <c r="I957" s="25"/>
      <c r="J957" s="25"/>
      <c r="K957" s="25"/>
      <c r="L957" s="25"/>
      <c r="M957" s="25"/>
      <c r="N957" s="25"/>
      <c r="O957" s="25"/>
      <c r="P957" s="25"/>
      <c r="Q957" s="25"/>
      <c r="R957" s="25"/>
      <c r="S957" s="25"/>
      <c r="T957" s="25"/>
      <c r="U957" s="25"/>
      <c r="V957" s="25"/>
      <c r="W957" s="25"/>
      <c r="X957" s="25"/>
      <c r="Y957" s="25"/>
      <c r="Z957" s="25"/>
    </row>
    <row r="958" ht="15.75" customHeight="1">
      <c r="A958" s="25"/>
      <c r="B958" s="503"/>
      <c r="C958" s="503"/>
      <c r="D958" s="503"/>
      <c r="E958" s="25"/>
      <c r="F958" s="25"/>
      <c r="G958" s="25"/>
      <c r="H958" s="25"/>
      <c r="I958" s="25"/>
      <c r="J958" s="25"/>
      <c r="K958" s="25"/>
      <c r="L958" s="25"/>
      <c r="M958" s="25"/>
      <c r="N958" s="25"/>
      <c r="O958" s="25"/>
      <c r="P958" s="25"/>
      <c r="Q958" s="25"/>
      <c r="R958" s="25"/>
      <c r="S958" s="25"/>
      <c r="T958" s="25"/>
      <c r="U958" s="25"/>
      <c r="V958" s="25"/>
      <c r="W958" s="25"/>
      <c r="X958" s="25"/>
      <c r="Y958" s="25"/>
      <c r="Z958" s="25"/>
    </row>
    <row r="959" ht="15.75" customHeight="1">
      <c r="A959" s="25"/>
      <c r="B959" s="503"/>
      <c r="C959" s="503"/>
      <c r="D959" s="503"/>
      <c r="E959" s="25"/>
      <c r="F959" s="25"/>
      <c r="G959" s="25"/>
      <c r="H959" s="25"/>
      <c r="I959" s="25"/>
      <c r="J959" s="25"/>
      <c r="K959" s="25"/>
      <c r="L959" s="25"/>
      <c r="M959" s="25"/>
      <c r="N959" s="25"/>
      <c r="O959" s="25"/>
      <c r="P959" s="25"/>
      <c r="Q959" s="25"/>
      <c r="R959" s="25"/>
      <c r="S959" s="25"/>
      <c r="T959" s="25"/>
      <c r="U959" s="25"/>
      <c r="V959" s="25"/>
      <c r="W959" s="25"/>
      <c r="X959" s="25"/>
      <c r="Y959" s="25"/>
      <c r="Z959" s="25"/>
    </row>
    <row r="960" ht="15.75" customHeight="1">
      <c r="A960" s="25"/>
      <c r="B960" s="503"/>
      <c r="C960" s="503"/>
      <c r="D960" s="503"/>
      <c r="E960" s="25"/>
      <c r="F960" s="25"/>
      <c r="G960" s="25"/>
      <c r="H960" s="25"/>
      <c r="I960" s="25"/>
      <c r="J960" s="25"/>
      <c r="K960" s="25"/>
      <c r="L960" s="25"/>
      <c r="M960" s="25"/>
      <c r="N960" s="25"/>
      <c r="O960" s="25"/>
      <c r="P960" s="25"/>
      <c r="Q960" s="25"/>
      <c r="R960" s="25"/>
      <c r="S960" s="25"/>
      <c r="T960" s="25"/>
      <c r="U960" s="25"/>
      <c r="V960" s="25"/>
      <c r="W960" s="25"/>
      <c r="X960" s="25"/>
      <c r="Y960" s="25"/>
      <c r="Z960" s="25"/>
    </row>
    <row r="961" ht="15.75" customHeight="1">
      <c r="A961" s="25"/>
      <c r="B961" s="503"/>
      <c r="C961" s="503"/>
      <c r="D961" s="503"/>
      <c r="E961" s="25"/>
      <c r="F961" s="25"/>
      <c r="G961" s="25"/>
      <c r="H961" s="25"/>
      <c r="I961" s="25"/>
      <c r="J961" s="25"/>
      <c r="K961" s="25"/>
      <c r="L961" s="25"/>
      <c r="M961" s="25"/>
      <c r="N961" s="25"/>
      <c r="O961" s="25"/>
      <c r="P961" s="25"/>
      <c r="Q961" s="25"/>
      <c r="R961" s="25"/>
      <c r="S961" s="25"/>
      <c r="T961" s="25"/>
      <c r="U961" s="25"/>
      <c r="V961" s="25"/>
      <c r="W961" s="25"/>
      <c r="X961" s="25"/>
      <c r="Y961" s="25"/>
      <c r="Z961" s="25"/>
    </row>
    <row r="962" ht="15.75" customHeight="1">
      <c r="A962" s="25"/>
      <c r="B962" s="503"/>
      <c r="C962" s="503"/>
      <c r="D962" s="503"/>
      <c r="E962" s="25"/>
      <c r="F962" s="25"/>
      <c r="G962" s="25"/>
      <c r="H962" s="25"/>
      <c r="I962" s="25"/>
      <c r="J962" s="25"/>
      <c r="K962" s="25"/>
      <c r="L962" s="25"/>
      <c r="M962" s="25"/>
      <c r="N962" s="25"/>
      <c r="O962" s="25"/>
      <c r="P962" s="25"/>
      <c r="Q962" s="25"/>
      <c r="R962" s="25"/>
      <c r="S962" s="25"/>
      <c r="T962" s="25"/>
      <c r="U962" s="25"/>
      <c r="V962" s="25"/>
      <c r="W962" s="25"/>
      <c r="X962" s="25"/>
      <c r="Y962" s="25"/>
      <c r="Z962" s="25"/>
    </row>
    <row r="963" ht="15.75" customHeight="1">
      <c r="A963" s="25"/>
      <c r="B963" s="503"/>
      <c r="C963" s="503"/>
      <c r="D963" s="503"/>
      <c r="E963" s="25"/>
      <c r="F963" s="25"/>
      <c r="G963" s="25"/>
      <c r="H963" s="25"/>
      <c r="I963" s="25"/>
      <c r="J963" s="25"/>
      <c r="K963" s="25"/>
      <c r="L963" s="25"/>
      <c r="M963" s="25"/>
      <c r="N963" s="25"/>
      <c r="O963" s="25"/>
      <c r="P963" s="25"/>
      <c r="Q963" s="25"/>
      <c r="R963" s="25"/>
      <c r="S963" s="25"/>
      <c r="T963" s="25"/>
      <c r="U963" s="25"/>
      <c r="V963" s="25"/>
      <c r="W963" s="25"/>
      <c r="X963" s="25"/>
      <c r="Y963" s="25"/>
      <c r="Z963" s="25"/>
    </row>
    <row r="964" ht="15.75" customHeight="1">
      <c r="A964" s="25"/>
      <c r="B964" s="503"/>
      <c r="C964" s="503"/>
      <c r="D964" s="503"/>
      <c r="E964" s="25"/>
      <c r="F964" s="25"/>
      <c r="G964" s="25"/>
      <c r="H964" s="25"/>
      <c r="I964" s="25"/>
      <c r="J964" s="25"/>
      <c r="K964" s="25"/>
      <c r="L964" s="25"/>
      <c r="M964" s="25"/>
      <c r="N964" s="25"/>
      <c r="O964" s="25"/>
      <c r="P964" s="25"/>
      <c r="Q964" s="25"/>
      <c r="R964" s="25"/>
      <c r="S964" s="25"/>
      <c r="T964" s="25"/>
      <c r="U964" s="25"/>
      <c r="V964" s="25"/>
      <c r="W964" s="25"/>
      <c r="X964" s="25"/>
      <c r="Y964" s="25"/>
      <c r="Z964" s="25"/>
    </row>
    <row r="965" ht="15.75" customHeight="1">
      <c r="A965" s="25"/>
      <c r="B965" s="503"/>
      <c r="C965" s="503"/>
      <c r="D965" s="503"/>
      <c r="E965" s="25"/>
      <c r="F965" s="25"/>
      <c r="G965" s="25"/>
      <c r="H965" s="25"/>
      <c r="I965" s="25"/>
      <c r="J965" s="25"/>
      <c r="K965" s="25"/>
      <c r="L965" s="25"/>
      <c r="M965" s="25"/>
      <c r="N965" s="25"/>
      <c r="O965" s="25"/>
      <c r="P965" s="25"/>
      <c r="Q965" s="25"/>
      <c r="R965" s="25"/>
      <c r="S965" s="25"/>
      <c r="T965" s="25"/>
      <c r="U965" s="25"/>
      <c r="V965" s="25"/>
      <c r="W965" s="25"/>
      <c r="X965" s="25"/>
      <c r="Y965" s="25"/>
      <c r="Z965" s="25"/>
    </row>
    <row r="966" ht="15.75" customHeight="1">
      <c r="A966" s="25"/>
      <c r="B966" s="503"/>
      <c r="C966" s="503"/>
      <c r="D966" s="503"/>
      <c r="E966" s="25"/>
      <c r="F966" s="25"/>
      <c r="G966" s="25"/>
      <c r="H966" s="25"/>
      <c r="I966" s="25"/>
      <c r="J966" s="25"/>
      <c r="K966" s="25"/>
      <c r="L966" s="25"/>
      <c r="M966" s="25"/>
      <c r="N966" s="25"/>
      <c r="O966" s="25"/>
      <c r="P966" s="25"/>
      <c r="Q966" s="25"/>
      <c r="R966" s="25"/>
      <c r="S966" s="25"/>
      <c r="T966" s="25"/>
      <c r="U966" s="25"/>
      <c r="V966" s="25"/>
      <c r="W966" s="25"/>
      <c r="X966" s="25"/>
      <c r="Y966" s="25"/>
      <c r="Z966" s="25"/>
    </row>
    <row r="967" ht="15.75" customHeight="1">
      <c r="A967" s="25"/>
      <c r="B967" s="503"/>
      <c r="C967" s="503"/>
      <c r="D967" s="503"/>
      <c r="E967" s="25"/>
      <c r="F967" s="25"/>
      <c r="G967" s="25"/>
      <c r="H967" s="25"/>
      <c r="I967" s="25"/>
      <c r="J967" s="25"/>
      <c r="K967" s="25"/>
      <c r="L967" s="25"/>
      <c r="M967" s="25"/>
      <c r="N967" s="25"/>
      <c r="O967" s="25"/>
      <c r="P967" s="25"/>
      <c r="Q967" s="25"/>
      <c r="R967" s="25"/>
      <c r="S967" s="25"/>
      <c r="T967" s="25"/>
      <c r="U967" s="25"/>
      <c r="V967" s="25"/>
      <c r="W967" s="25"/>
      <c r="X967" s="25"/>
      <c r="Y967" s="25"/>
      <c r="Z967" s="25"/>
    </row>
    <row r="968" ht="15.75" customHeight="1">
      <c r="A968" s="25"/>
      <c r="B968" s="503"/>
      <c r="C968" s="503"/>
      <c r="D968" s="503"/>
      <c r="E968" s="25"/>
      <c r="F968" s="25"/>
      <c r="G968" s="25"/>
      <c r="H968" s="25"/>
      <c r="I968" s="25"/>
      <c r="J968" s="25"/>
      <c r="K968" s="25"/>
      <c r="L968" s="25"/>
      <c r="M968" s="25"/>
      <c r="N968" s="25"/>
      <c r="O968" s="25"/>
      <c r="P968" s="25"/>
      <c r="Q968" s="25"/>
      <c r="R968" s="25"/>
      <c r="S968" s="25"/>
      <c r="T968" s="25"/>
      <c r="U968" s="25"/>
      <c r="V968" s="25"/>
      <c r="W968" s="25"/>
      <c r="X968" s="25"/>
      <c r="Y968" s="25"/>
      <c r="Z968" s="25"/>
    </row>
    <row r="969" ht="15.75" customHeight="1">
      <c r="A969" s="25"/>
      <c r="B969" s="503"/>
      <c r="C969" s="503"/>
      <c r="D969" s="503"/>
      <c r="E969" s="25"/>
      <c r="F969" s="25"/>
      <c r="G969" s="25"/>
      <c r="H969" s="25"/>
      <c r="I969" s="25"/>
      <c r="J969" s="25"/>
      <c r="K969" s="25"/>
      <c r="L969" s="25"/>
      <c r="M969" s="25"/>
      <c r="N969" s="25"/>
      <c r="O969" s="25"/>
      <c r="P969" s="25"/>
      <c r="Q969" s="25"/>
      <c r="R969" s="25"/>
      <c r="S969" s="25"/>
      <c r="T969" s="25"/>
      <c r="U969" s="25"/>
      <c r="V969" s="25"/>
      <c r="W969" s="25"/>
      <c r="X969" s="25"/>
      <c r="Y969" s="25"/>
      <c r="Z969" s="25"/>
    </row>
    <row r="970" ht="15.75" customHeight="1">
      <c r="A970" s="25"/>
      <c r="B970" s="503"/>
      <c r="C970" s="503"/>
      <c r="D970" s="503"/>
      <c r="E970" s="25"/>
      <c r="F970" s="25"/>
      <c r="G970" s="25"/>
      <c r="H970" s="25"/>
      <c r="I970" s="25"/>
      <c r="J970" s="25"/>
      <c r="K970" s="25"/>
      <c r="L970" s="25"/>
      <c r="M970" s="25"/>
      <c r="N970" s="25"/>
      <c r="O970" s="25"/>
      <c r="P970" s="25"/>
      <c r="Q970" s="25"/>
      <c r="R970" s="25"/>
      <c r="S970" s="25"/>
      <c r="T970" s="25"/>
      <c r="U970" s="25"/>
      <c r="V970" s="25"/>
      <c r="W970" s="25"/>
      <c r="X970" s="25"/>
      <c r="Y970" s="25"/>
      <c r="Z970" s="25"/>
    </row>
    <row r="971" ht="15.75" customHeight="1">
      <c r="A971" s="25"/>
      <c r="B971" s="503"/>
      <c r="C971" s="503"/>
      <c r="D971" s="503"/>
      <c r="E971" s="25"/>
      <c r="F971" s="25"/>
      <c r="G971" s="25"/>
      <c r="H971" s="25"/>
      <c r="I971" s="25"/>
      <c r="J971" s="25"/>
      <c r="K971" s="25"/>
      <c r="L971" s="25"/>
      <c r="M971" s="25"/>
      <c r="N971" s="25"/>
      <c r="O971" s="25"/>
      <c r="P971" s="25"/>
      <c r="Q971" s="25"/>
      <c r="R971" s="25"/>
      <c r="S971" s="25"/>
      <c r="T971" s="25"/>
      <c r="U971" s="25"/>
      <c r="V971" s="25"/>
      <c r="W971" s="25"/>
      <c r="X971" s="25"/>
      <c r="Y971" s="25"/>
      <c r="Z971" s="25"/>
    </row>
    <row r="972" ht="15.75" customHeight="1">
      <c r="A972" s="25"/>
      <c r="B972" s="503"/>
      <c r="C972" s="503"/>
      <c r="D972" s="503"/>
      <c r="E972" s="25"/>
      <c r="F972" s="25"/>
      <c r="G972" s="25"/>
      <c r="H972" s="25"/>
      <c r="I972" s="25"/>
      <c r="J972" s="25"/>
      <c r="K972" s="25"/>
      <c r="L972" s="25"/>
      <c r="M972" s="25"/>
      <c r="N972" s="25"/>
      <c r="O972" s="25"/>
      <c r="P972" s="25"/>
      <c r="Q972" s="25"/>
      <c r="R972" s="25"/>
      <c r="S972" s="25"/>
      <c r="T972" s="25"/>
      <c r="U972" s="25"/>
      <c r="V972" s="25"/>
      <c r="W972" s="25"/>
      <c r="X972" s="25"/>
      <c r="Y972" s="25"/>
      <c r="Z972" s="25"/>
    </row>
    <row r="973" ht="15.75" customHeight="1">
      <c r="A973" s="25"/>
      <c r="B973" s="503"/>
      <c r="C973" s="503"/>
      <c r="D973" s="503"/>
      <c r="E973" s="25"/>
      <c r="F973" s="25"/>
      <c r="G973" s="25"/>
      <c r="H973" s="25"/>
      <c r="I973" s="25"/>
      <c r="J973" s="25"/>
      <c r="K973" s="25"/>
      <c r="L973" s="25"/>
      <c r="M973" s="25"/>
      <c r="N973" s="25"/>
      <c r="O973" s="25"/>
      <c r="P973" s="25"/>
      <c r="Q973" s="25"/>
      <c r="R973" s="25"/>
      <c r="S973" s="25"/>
      <c r="T973" s="25"/>
      <c r="U973" s="25"/>
      <c r="V973" s="25"/>
      <c r="W973" s="25"/>
      <c r="X973" s="25"/>
      <c r="Y973" s="25"/>
      <c r="Z973" s="25"/>
    </row>
    <row r="974" ht="15.75" customHeight="1">
      <c r="A974" s="25"/>
      <c r="B974" s="503"/>
      <c r="C974" s="503"/>
      <c r="D974" s="503"/>
      <c r="E974" s="25"/>
      <c r="F974" s="25"/>
      <c r="G974" s="25"/>
      <c r="H974" s="25"/>
      <c r="I974" s="25"/>
      <c r="J974" s="25"/>
      <c r="K974" s="25"/>
      <c r="L974" s="25"/>
      <c r="M974" s="25"/>
      <c r="N974" s="25"/>
      <c r="O974" s="25"/>
      <c r="P974" s="25"/>
      <c r="Q974" s="25"/>
      <c r="R974" s="25"/>
      <c r="S974" s="25"/>
      <c r="T974" s="25"/>
      <c r="U974" s="25"/>
      <c r="V974" s="25"/>
      <c r="W974" s="25"/>
      <c r="X974" s="25"/>
      <c r="Y974" s="25"/>
      <c r="Z974" s="25"/>
    </row>
    <row r="975" ht="15.75" customHeight="1">
      <c r="A975" s="25"/>
      <c r="B975" s="503"/>
      <c r="C975" s="503"/>
      <c r="D975" s="503"/>
      <c r="E975" s="25"/>
      <c r="F975" s="25"/>
      <c r="G975" s="25"/>
      <c r="H975" s="25"/>
      <c r="I975" s="25"/>
      <c r="J975" s="25"/>
      <c r="K975" s="25"/>
      <c r="L975" s="25"/>
      <c r="M975" s="25"/>
      <c r="N975" s="25"/>
      <c r="O975" s="25"/>
      <c r="P975" s="25"/>
      <c r="Q975" s="25"/>
      <c r="R975" s="25"/>
      <c r="S975" s="25"/>
      <c r="T975" s="25"/>
      <c r="U975" s="25"/>
      <c r="V975" s="25"/>
      <c r="W975" s="25"/>
      <c r="X975" s="25"/>
      <c r="Y975" s="25"/>
      <c r="Z975" s="25"/>
    </row>
    <row r="976" ht="15.75" customHeight="1">
      <c r="A976" s="25"/>
      <c r="B976" s="503"/>
      <c r="C976" s="503"/>
      <c r="D976" s="503"/>
      <c r="E976" s="25"/>
      <c r="F976" s="25"/>
      <c r="G976" s="25"/>
      <c r="H976" s="25"/>
      <c r="I976" s="25"/>
      <c r="J976" s="25"/>
      <c r="K976" s="25"/>
      <c r="L976" s="25"/>
      <c r="M976" s="25"/>
      <c r="N976" s="25"/>
      <c r="O976" s="25"/>
      <c r="P976" s="25"/>
      <c r="Q976" s="25"/>
      <c r="R976" s="25"/>
      <c r="S976" s="25"/>
      <c r="T976" s="25"/>
      <c r="U976" s="25"/>
      <c r="V976" s="25"/>
      <c r="W976" s="25"/>
      <c r="X976" s="25"/>
      <c r="Y976" s="25"/>
      <c r="Z976" s="25"/>
    </row>
    <row r="977" ht="15.75" customHeight="1">
      <c r="A977" s="25"/>
      <c r="B977" s="503"/>
      <c r="C977" s="503"/>
      <c r="D977" s="503"/>
      <c r="E977" s="25"/>
      <c r="F977" s="25"/>
      <c r="G977" s="25"/>
      <c r="H977" s="25"/>
      <c r="I977" s="25"/>
      <c r="J977" s="25"/>
      <c r="K977" s="25"/>
      <c r="L977" s="25"/>
      <c r="M977" s="25"/>
      <c r="N977" s="25"/>
      <c r="O977" s="25"/>
      <c r="P977" s="25"/>
      <c r="Q977" s="25"/>
      <c r="R977" s="25"/>
      <c r="S977" s="25"/>
      <c r="T977" s="25"/>
      <c r="U977" s="25"/>
      <c r="V977" s="25"/>
      <c r="W977" s="25"/>
      <c r="X977" s="25"/>
      <c r="Y977" s="25"/>
      <c r="Z977" s="25"/>
    </row>
    <row r="978" ht="15.75" customHeight="1">
      <c r="A978" s="25"/>
      <c r="B978" s="503"/>
      <c r="C978" s="503"/>
      <c r="D978" s="503"/>
      <c r="E978" s="25"/>
      <c r="F978" s="25"/>
      <c r="G978" s="25"/>
      <c r="H978" s="25"/>
      <c r="I978" s="25"/>
      <c r="J978" s="25"/>
      <c r="K978" s="25"/>
      <c r="L978" s="25"/>
      <c r="M978" s="25"/>
      <c r="N978" s="25"/>
      <c r="O978" s="25"/>
      <c r="P978" s="25"/>
      <c r="Q978" s="25"/>
      <c r="R978" s="25"/>
      <c r="S978" s="25"/>
      <c r="T978" s="25"/>
      <c r="U978" s="25"/>
      <c r="V978" s="25"/>
      <c r="W978" s="25"/>
      <c r="X978" s="25"/>
      <c r="Y978" s="25"/>
      <c r="Z978" s="25"/>
    </row>
    <row r="979" ht="15.75" customHeight="1">
      <c r="A979" s="25"/>
      <c r="B979" s="503"/>
      <c r="C979" s="503"/>
      <c r="D979" s="503"/>
      <c r="E979" s="25"/>
      <c r="F979" s="25"/>
      <c r="G979" s="25"/>
      <c r="H979" s="25"/>
      <c r="I979" s="25"/>
      <c r="J979" s="25"/>
      <c r="K979" s="25"/>
      <c r="L979" s="25"/>
      <c r="M979" s="25"/>
      <c r="N979" s="25"/>
      <c r="O979" s="25"/>
      <c r="P979" s="25"/>
      <c r="Q979" s="25"/>
      <c r="R979" s="25"/>
      <c r="S979" s="25"/>
      <c r="T979" s="25"/>
      <c r="U979" s="25"/>
      <c r="V979" s="25"/>
      <c r="W979" s="25"/>
      <c r="X979" s="25"/>
      <c r="Y979" s="25"/>
      <c r="Z979" s="25"/>
    </row>
    <row r="980" ht="15.75" customHeight="1">
      <c r="A980" s="25"/>
      <c r="B980" s="503"/>
      <c r="C980" s="503"/>
      <c r="D980" s="503"/>
      <c r="E980" s="25"/>
      <c r="F980" s="25"/>
      <c r="G980" s="25"/>
      <c r="H980" s="25"/>
      <c r="I980" s="25"/>
      <c r="J980" s="25"/>
      <c r="K980" s="25"/>
      <c r="L980" s="25"/>
      <c r="M980" s="25"/>
      <c r="N980" s="25"/>
      <c r="O980" s="25"/>
      <c r="P980" s="25"/>
      <c r="Q980" s="25"/>
      <c r="R980" s="25"/>
      <c r="S980" s="25"/>
      <c r="T980" s="25"/>
      <c r="U980" s="25"/>
      <c r="V980" s="25"/>
      <c r="W980" s="25"/>
      <c r="X980" s="25"/>
      <c r="Y980" s="25"/>
      <c r="Z980" s="25"/>
    </row>
    <row r="981" ht="15.75" customHeight="1">
      <c r="A981" s="25"/>
      <c r="B981" s="503"/>
      <c r="C981" s="503"/>
      <c r="D981" s="503"/>
      <c r="E981" s="25"/>
      <c r="F981" s="25"/>
      <c r="G981" s="25"/>
      <c r="H981" s="25"/>
      <c r="I981" s="25"/>
      <c r="J981" s="25"/>
      <c r="K981" s="25"/>
      <c r="L981" s="25"/>
      <c r="M981" s="25"/>
      <c r="N981" s="25"/>
      <c r="O981" s="25"/>
      <c r="P981" s="25"/>
      <c r="Q981" s="25"/>
      <c r="R981" s="25"/>
      <c r="S981" s="25"/>
      <c r="T981" s="25"/>
      <c r="U981" s="25"/>
      <c r="V981" s="25"/>
      <c r="W981" s="25"/>
      <c r="X981" s="25"/>
      <c r="Y981" s="25"/>
      <c r="Z981" s="25"/>
    </row>
    <row r="982" ht="15.75" customHeight="1">
      <c r="A982" s="25"/>
      <c r="B982" s="503"/>
      <c r="C982" s="503"/>
      <c r="D982" s="503"/>
      <c r="E982" s="25"/>
      <c r="F982" s="25"/>
      <c r="G982" s="25"/>
      <c r="H982" s="25"/>
      <c r="I982" s="25"/>
      <c r="J982" s="25"/>
      <c r="K982" s="25"/>
      <c r="L982" s="25"/>
      <c r="M982" s="25"/>
      <c r="N982" s="25"/>
      <c r="O982" s="25"/>
      <c r="P982" s="25"/>
      <c r="Q982" s="25"/>
      <c r="R982" s="25"/>
      <c r="S982" s="25"/>
      <c r="T982" s="25"/>
      <c r="U982" s="25"/>
      <c r="V982" s="25"/>
      <c r="W982" s="25"/>
      <c r="X982" s="25"/>
      <c r="Y982" s="25"/>
      <c r="Z982" s="25"/>
    </row>
    <row r="983" ht="15.75" customHeight="1">
      <c r="A983" s="25"/>
      <c r="B983" s="503"/>
      <c r="C983" s="503"/>
      <c r="D983" s="503"/>
      <c r="E983" s="25"/>
      <c r="F983" s="25"/>
      <c r="G983" s="25"/>
      <c r="H983" s="25"/>
      <c r="I983" s="25"/>
      <c r="J983" s="25"/>
      <c r="K983" s="25"/>
      <c r="L983" s="25"/>
      <c r="M983" s="25"/>
      <c r="N983" s="25"/>
      <c r="O983" s="25"/>
      <c r="P983" s="25"/>
      <c r="Q983" s="25"/>
      <c r="R983" s="25"/>
      <c r="S983" s="25"/>
      <c r="T983" s="25"/>
      <c r="U983" s="25"/>
      <c r="V983" s="25"/>
      <c r="W983" s="25"/>
      <c r="X983" s="25"/>
      <c r="Y983" s="25"/>
      <c r="Z983" s="25"/>
    </row>
    <row r="984" ht="15.75" customHeight="1">
      <c r="A984" s="25"/>
      <c r="B984" s="503"/>
      <c r="C984" s="503"/>
      <c r="D984" s="503"/>
      <c r="E984" s="25"/>
      <c r="F984" s="25"/>
      <c r="G984" s="25"/>
      <c r="H984" s="25"/>
      <c r="I984" s="25"/>
      <c r="J984" s="25"/>
      <c r="K984" s="25"/>
      <c r="L984" s="25"/>
      <c r="M984" s="25"/>
      <c r="N984" s="25"/>
      <c r="O984" s="25"/>
      <c r="P984" s="25"/>
      <c r="Q984" s="25"/>
      <c r="R984" s="25"/>
      <c r="S984" s="25"/>
      <c r="T984" s="25"/>
      <c r="U984" s="25"/>
      <c r="V984" s="25"/>
      <c r="W984" s="25"/>
      <c r="X984" s="25"/>
      <c r="Y984" s="25"/>
      <c r="Z984" s="25"/>
    </row>
    <row r="985" ht="15.75" customHeight="1">
      <c r="A985" s="25"/>
      <c r="B985" s="503"/>
      <c r="C985" s="503"/>
      <c r="D985" s="503"/>
      <c r="E985" s="25"/>
      <c r="F985" s="25"/>
      <c r="G985" s="25"/>
      <c r="H985" s="25"/>
      <c r="I985" s="25"/>
      <c r="J985" s="25"/>
      <c r="K985" s="25"/>
      <c r="L985" s="25"/>
      <c r="M985" s="25"/>
      <c r="N985" s="25"/>
      <c r="O985" s="25"/>
      <c r="P985" s="25"/>
      <c r="Q985" s="25"/>
      <c r="R985" s="25"/>
      <c r="S985" s="25"/>
      <c r="T985" s="25"/>
      <c r="U985" s="25"/>
      <c r="V985" s="25"/>
      <c r="W985" s="25"/>
      <c r="X985" s="25"/>
      <c r="Y985" s="25"/>
      <c r="Z985" s="25"/>
    </row>
    <row r="986" ht="15.75" customHeight="1">
      <c r="A986" s="25"/>
      <c r="B986" s="503"/>
      <c r="C986" s="503"/>
      <c r="D986" s="503"/>
      <c r="E986" s="25"/>
      <c r="F986" s="25"/>
      <c r="G986" s="25"/>
      <c r="H986" s="25"/>
      <c r="I986" s="25"/>
      <c r="J986" s="25"/>
      <c r="K986" s="25"/>
      <c r="L986" s="25"/>
      <c r="M986" s="25"/>
      <c r="N986" s="25"/>
      <c r="O986" s="25"/>
      <c r="P986" s="25"/>
      <c r="Q986" s="25"/>
      <c r="R986" s="25"/>
      <c r="S986" s="25"/>
      <c r="T986" s="25"/>
      <c r="U986" s="25"/>
      <c r="V986" s="25"/>
      <c r="W986" s="25"/>
      <c r="X986" s="25"/>
      <c r="Y986" s="25"/>
      <c r="Z986" s="25"/>
    </row>
    <row r="987" ht="15.75" customHeight="1">
      <c r="A987" s="25"/>
      <c r="B987" s="503"/>
      <c r="C987" s="503"/>
      <c r="D987" s="503"/>
      <c r="E987" s="25"/>
      <c r="F987" s="25"/>
      <c r="G987" s="25"/>
      <c r="H987" s="25"/>
      <c r="I987" s="25"/>
      <c r="J987" s="25"/>
      <c r="K987" s="25"/>
      <c r="L987" s="25"/>
      <c r="M987" s="25"/>
      <c r="N987" s="25"/>
      <c r="O987" s="25"/>
      <c r="P987" s="25"/>
      <c r="Q987" s="25"/>
      <c r="R987" s="25"/>
      <c r="S987" s="25"/>
      <c r="T987" s="25"/>
      <c r="U987" s="25"/>
      <c r="V987" s="25"/>
      <c r="W987" s="25"/>
      <c r="X987" s="25"/>
      <c r="Y987" s="25"/>
      <c r="Z987" s="25"/>
    </row>
    <row r="988" ht="15.75" customHeight="1">
      <c r="A988" s="25"/>
      <c r="B988" s="503"/>
      <c r="C988" s="503"/>
      <c r="D988" s="503"/>
      <c r="E988" s="25"/>
      <c r="F988" s="25"/>
      <c r="G988" s="25"/>
      <c r="H988" s="25"/>
      <c r="I988" s="25"/>
      <c r="J988" s="25"/>
      <c r="K988" s="25"/>
      <c r="L988" s="25"/>
      <c r="M988" s="25"/>
      <c r="N988" s="25"/>
      <c r="O988" s="25"/>
      <c r="P988" s="25"/>
      <c r="Q988" s="25"/>
      <c r="R988" s="25"/>
      <c r="S988" s="25"/>
      <c r="T988" s="25"/>
      <c r="U988" s="25"/>
      <c r="V988" s="25"/>
      <c r="W988" s="25"/>
      <c r="X988" s="25"/>
      <c r="Y988" s="25"/>
      <c r="Z988" s="25"/>
    </row>
    <row r="989" ht="15.75" customHeight="1">
      <c r="A989" s="25"/>
      <c r="B989" s="503"/>
      <c r="C989" s="503"/>
      <c r="D989" s="503"/>
      <c r="E989" s="25"/>
      <c r="F989" s="25"/>
      <c r="G989" s="25"/>
      <c r="H989" s="25"/>
      <c r="I989" s="25"/>
      <c r="J989" s="25"/>
      <c r="K989" s="25"/>
      <c r="L989" s="25"/>
      <c r="M989" s="25"/>
      <c r="N989" s="25"/>
      <c r="O989" s="25"/>
      <c r="P989" s="25"/>
      <c r="Q989" s="25"/>
      <c r="R989" s="25"/>
      <c r="S989" s="25"/>
      <c r="T989" s="25"/>
      <c r="U989" s="25"/>
      <c r="V989" s="25"/>
      <c r="W989" s="25"/>
      <c r="X989" s="25"/>
      <c r="Y989" s="25"/>
      <c r="Z989" s="25"/>
    </row>
    <row r="990" ht="15.75" customHeight="1">
      <c r="A990" s="25"/>
      <c r="B990" s="503"/>
      <c r="C990" s="503"/>
      <c r="D990" s="503"/>
      <c r="E990" s="25"/>
      <c r="F990" s="25"/>
      <c r="G990" s="25"/>
      <c r="H990" s="25"/>
      <c r="I990" s="25"/>
      <c r="J990" s="25"/>
      <c r="K990" s="25"/>
      <c r="L990" s="25"/>
      <c r="M990" s="25"/>
      <c r="N990" s="25"/>
      <c r="O990" s="25"/>
      <c r="P990" s="25"/>
      <c r="Q990" s="25"/>
      <c r="R990" s="25"/>
      <c r="S990" s="25"/>
      <c r="T990" s="25"/>
      <c r="U990" s="25"/>
      <c r="V990" s="25"/>
      <c r="W990" s="25"/>
      <c r="X990" s="25"/>
      <c r="Y990" s="25"/>
      <c r="Z990" s="25"/>
    </row>
    <row r="991" ht="15.75" customHeight="1">
      <c r="A991" s="25"/>
      <c r="B991" s="503"/>
      <c r="C991" s="503"/>
      <c r="D991" s="503"/>
      <c r="E991" s="25"/>
      <c r="F991" s="25"/>
      <c r="G991" s="25"/>
      <c r="H991" s="25"/>
      <c r="I991" s="25"/>
      <c r="J991" s="25"/>
      <c r="K991" s="25"/>
      <c r="L991" s="25"/>
      <c r="M991" s="25"/>
      <c r="N991" s="25"/>
      <c r="O991" s="25"/>
      <c r="P991" s="25"/>
      <c r="Q991" s="25"/>
      <c r="R991" s="25"/>
      <c r="S991" s="25"/>
      <c r="T991" s="25"/>
      <c r="U991" s="25"/>
      <c r="V991" s="25"/>
      <c r="W991" s="25"/>
      <c r="X991" s="25"/>
      <c r="Y991" s="25"/>
      <c r="Z991" s="25"/>
    </row>
    <row r="992" ht="15.75" customHeight="1">
      <c r="A992" s="25"/>
      <c r="B992" s="503"/>
      <c r="C992" s="503"/>
      <c r="D992" s="503"/>
      <c r="E992" s="25"/>
      <c r="F992" s="25"/>
      <c r="G992" s="25"/>
      <c r="H992" s="25"/>
      <c r="I992" s="25"/>
      <c r="J992" s="25"/>
      <c r="K992" s="25"/>
      <c r="L992" s="25"/>
      <c r="M992" s="25"/>
      <c r="N992" s="25"/>
      <c r="O992" s="25"/>
      <c r="P992" s="25"/>
      <c r="Q992" s="25"/>
      <c r="R992" s="25"/>
      <c r="S992" s="25"/>
      <c r="T992" s="25"/>
      <c r="U992" s="25"/>
      <c r="V992" s="25"/>
      <c r="W992" s="25"/>
      <c r="X992" s="25"/>
      <c r="Y992" s="25"/>
      <c r="Z992" s="25"/>
    </row>
    <row r="993" ht="15.75" customHeight="1">
      <c r="A993" s="25"/>
      <c r="B993" s="503"/>
      <c r="C993" s="503"/>
      <c r="D993" s="503"/>
      <c r="E993" s="25"/>
      <c r="F993" s="25"/>
      <c r="G993" s="25"/>
      <c r="H993" s="25"/>
      <c r="I993" s="25"/>
      <c r="J993" s="25"/>
      <c r="K993" s="25"/>
      <c r="L993" s="25"/>
      <c r="M993" s="25"/>
      <c r="N993" s="25"/>
      <c r="O993" s="25"/>
      <c r="P993" s="25"/>
      <c r="Q993" s="25"/>
      <c r="R993" s="25"/>
      <c r="S993" s="25"/>
      <c r="T993" s="25"/>
      <c r="U993" s="25"/>
      <c r="V993" s="25"/>
      <c r="W993" s="25"/>
      <c r="X993" s="25"/>
      <c r="Y993" s="25"/>
      <c r="Z993" s="25"/>
    </row>
    <row r="994" ht="15.75" customHeight="1">
      <c r="A994" s="25"/>
      <c r="B994" s="503"/>
      <c r="C994" s="503"/>
      <c r="D994" s="503"/>
      <c r="E994" s="25"/>
      <c r="F994" s="25"/>
      <c r="G994" s="25"/>
      <c r="H994" s="25"/>
      <c r="I994" s="25"/>
      <c r="J994" s="25"/>
      <c r="K994" s="25"/>
      <c r="L994" s="25"/>
      <c r="M994" s="25"/>
      <c r="N994" s="25"/>
      <c r="O994" s="25"/>
      <c r="P994" s="25"/>
      <c r="Q994" s="25"/>
      <c r="R994" s="25"/>
      <c r="S994" s="25"/>
      <c r="T994" s="25"/>
      <c r="U994" s="25"/>
      <c r="V994" s="25"/>
      <c r="W994" s="25"/>
      <c r="X994" s="25"/>
      <c r="Y994" s="25"/>
      <c r="Z994" s="25"/>
    </row>
    <row r="995" ht="15.75" customHeight="1">
      <c r="A995" s="25"/>
      <c r="B995" s="503"/>
      <c r="C995" s="503"/>
      <c r="D995" s="503"/>
      <c r="E995" s="25"/>
      <c r="F995" s="25"/>
      <c r="G995" s="25"/>
      <c r="H995" s="25"/>
      <c r="I995" s="25"/>
      <c r="J995" s="25"/>
      <c r="K995" s="25"/>
      <c r="L995" s="25"/>
      <c r="M995" s="25"/>
      <c r="N995" s="25"/>
      <c r="O995" s="25"/>
      <c r="P995" s="25"/>
      <c r="Q995" s="25"/>
      <c r="R995" s="25"/>
      <c r="S995" s="25"/>
      <c r="T995" s="25"/>
      <c r="U995" s="25"/>
      <c r="V995" s="25"/>
      <c r="W995" s="25"/>
      <c r="X995" s="25"/>
      <c r="Y995" s="25"/>
      <c r="Z995" s="25"/>
    </row>
    <row r="996" ht="15.75" customHeight="1">
      <c r="A996" s="25"/>
      <c r="B996" s="503"/>
      <c r="C996" s="503"/>
      <c r="D996" s="503"/>
      <c r="E996" s="25"/>
      <c r="F996" s="25"/>
      <c r="G996" s="25"/>
      <c r="H996" s="25"/>
      <c r="I996" s="25"/>
      <c r="J996" s="25"/>
      <c r="K996" s="25"/>
      <c r="L996" s="25"/>
      <c r="M996" s="25"/>
      <c r="N996" s="25"/>
      <c r="O996" s="25"/>
      <c r="P996" s="25"/>
      <c r="Q996" s="25"/>
      <c r="R996" s="25"/>
      <c r="S996" s="25"/>
      <c r="T996" s="25"/>
      <c r="U996" s="25"/>
      <c r="V996" s="25"/>
      <c r="W996" s="25"/>
      <c r="X996" s="25"/>
      <c r="Y996" s="25"/>
      <c r="Z996" s="25"/>
    </row>
    <row r="997" ht="15.75" customHeight="1">
      <c r="A997" s="25"/>
      <c r="B997" s="503"/>
      <c r="C997" s="503"/>
      <c r="D997" s="503"/>
      <c r="E997" s="25"/>
      <c r="F997" s="25"/>
      <c r="G997" s="25"/>
      <c r="H997" s="25"/>
      <c r="I997" s="25"/>
      <c r="J997" s="25"/>
      <c r="K997" s="25"/>
      <c r="L997" s="25"/>
      <c r="M997" s="25"/>
      <c r="N997" s="25"/>
      <c r="O997" s="25"/>
      <c r="P997" s="25"/>
      <c r="Q997" s="25"/>
      <c r="R997" s="25"/>
      <c r="S997" s="25"/>
      <c r="T997" s="25"/>
      <c r="U997" s="25"/>
      <c r="V997" s="25"/>
      <c r="W997" s="25"/>
      <c r="X997" s="25"/>
      <c r="Y997" s="25"/>
      <c r="Z997" s="25"/>
    </row>
    <row r="998" ht="15.75" customHeight="1">
      <c r="A998" s="25"/>
      <c r="B998" s="503"/>
      <c r="C998" s="503"/>
      <c r="D998" s="503"/>
      <c r="E998" s="25"/>
      <c r="F998" s="25"/>
      <c r="G998" s="25"/>
      <c r="H998" s="25"/>
      <c r="I998" s="25"/>
      <c r="J998" s="25"/>
      <c r="K998" s="25"/>
      <c r="L998" s="25"/>
      <c r="M998" s="25"/>
      <c r="N998" s="25"/>
      <c r="O998" s="25"/>
      <c r="P998" s="25"/>
      <c r="Q998" s="25"/>
      <c r="R998" s="25"/>
      <c r="S998" s="25"/>
      <c r="T998" s="25"/>
      <c r="U998" s="25"/>
      <c r="V998" s="25"/>
      <c r="W998" s="25"/>
      <c r="X998" s="25"/>
      <c r="Y998" s="25"/>
      <c r="Z998" s="25"/>
    </row>
    <row r="999" ht="15.75" customHeight="1">
      <c r="A999" s="25"/>
      <c r="B999" s="503"/>
      <c r="C999" s="503"/>
      <c r="D999" s="503"/>
      <c r="E999" s="25"/>
      <c r="F999" s="25"/>
      <c r="G999" s="25"/>
      <c r="H999" s="25"/>
      <c r="I999" s="25"/>
      <c r="J999" s="25"/>
      <c r="K999" s="25"/>
      <c r="L999" s="25"/>
      <c r="M999" s="25"/>
      <c r="N999" s="25"/>
      <c r="O999" s="25"/>
      <c r="P999" s="25"/>
      <c r="Q999" s="25"/>
      <c r="R999" s="25"/>
      <c r="S999" s="25"/>
      <c r="T999" s="25"/>
      <c r="U999" s="25"/>
      <c r="V999" s="25"/>
      <c r="W999" s="25"/>
      <c r="X999" s="25"/>
      <c r="Y999" s="25"/>
      <c r="Z999" s="25"/>
    </row>
    <row r="1000" ht="15.75" customHeight="1">
      <c r="A1000" s="25"/>
      <c r="B1000" s="503"/>
      <c r="C1000" s="503"/>
      <c r="D1000" s="503"/>
      <c r="E1000" s="25"/>
      <c r="F1000" s="25"/>
      <c r="G1000" s="25"/>
      <c r="H1000" s="25"/>
      <c r="I1000" s="25"/>
      <c r="J1000" s="25"/>
      <c r="K1000" s="25"/>
      <c r="L1000" s="25"/>
      <c r="M1000" s="25"/>
      <c r="N1000" s="25"/>
      <c r="O1000" s="25"/>
      <c r="P1000" s="25"/>
      <c r="Q1000" s="25"/>
      <c r="R1000" s="25"/>
      <c r="S1000" s="25"/>
      <c r="T1000" s="25"/>
      <c r="U1000" s="25"/>
      <c r="V1000" s="25"/>
      <c r="W1000" s="25"/>
      <c r="X1000" s="25"/>
      <c r="Y1000" s="25"/>
      <c r="Z1000" s="25"/>
    </row>
  </sheetData>
  <printOptions/>
  <pageMargins bottom="0.787401575" footer="0.0" header="0.0" left="0.511811024" right="0.511811024" top="0.7874015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2026-03-12T19:21:26Z</dcterms:created>
  <dc:creator>Renato Mota</dc:creator>
</cp:coreProperties>
</file>